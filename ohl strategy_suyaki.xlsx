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xr:revisionPtr revIDLastSave="0" documentId="8_{915AFEF0-2FC1-6D49-A49E-85A42B910010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OHL Strategy" sheetId="1" r:id="rId1"/>
    <sheet name="Sheet2" sheetId="2" r:id="rId2"/>
    <sheet name="Copy of OHL Strategy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Rtvw0o3Xm2w+8cBOsJv94YI8vwJAPSWKl0w2mcnD6FU="/>
    </ext>
  </extLst>
</workbook>
</file>

<file path=xl/calcChain.xml><?xml version="1.0" encoding="utf-8"?>
<calcChain xmlns="http://schemas.openxmlformats.org/spreadsheetml/2006/main">
  <c r="D1592" i="3" l="1"/>
  <c r="E1592" i="3"/>
  <c r="G1592" i="3"/>
  <c r="I1592" i="3"/>
  <c r="J1592" i="3"/>
  <c r="L1592" i="3"/>
  <c r="N1592" i="3"/>
  <c r="M1592" i="3"/>
  <c r="C1592" i="3"/>
  <c r="H1592" i="3"/>
  <c r="F1592" i="3"/>
  <c r="B1592" i="3"/>
  <c r="D1591" i="3"/>
  <c r="E1591" i="3"/>
  <c r="G1591" i="3"/>
  <c r="I1591" i="3"/>
  <c r="J1591" i="3"/>
  <c r="L1591" i="3"/>
  <c r="N1591" i="3"/>
  <c r="M1591" i="3"/>
  <c r="C1591" i="3"/>
  <c r="H1591" i="3"/>
  <c r="F1591" i="3"/>
  <c r="B1591" i="3"/>
  <c r="D1590" i="3"/>
  <c r="E1590" i="3"/>
  <c r="G1590" i="3"/>
  <c r="I1590" i="3"/>
  <c r="J1590" i="3"/>
  <c r="L1590" i="3"/>
  <c r="N1590" i="3"/>
  <c r="M1590" i="3"/>
  <c r="C1590" i="3"/>
  <c r="H1590" i="3"/>
  <c r="F1590" i="3"/>
  <c r="B1590" i="3"/>
  <c r="D1589" i="3"/>
  <c r="E1589" i="3"/>
  <c r="G1589" i="3"/>
  <c r="I1589" i="3"/>
  <c r="J1589" i="3"/>
  <c r="L1589" i="3"/>
  <c r="N1589" i="3"/>
  <c r="M1589" i="3"/>
  <c r="C1589" i="3"/>
  <c r="H1589" i="3"/>
  <c r="F1589" i="3"/>
  <c r="B1589" i="3"/>
  <c r="D1588" i="3"/>
  <c r="E1588" i="3"/>
  <c r="G1588" i="3"/>
  <c r="I1588" i="3"/>
  <c r="J1588" i="3"/>
  <c r="L1588" i="3"/>
  <c r="N1588" i="3"/>
  <c r="M1588" i="3"/>
  <c r="C1588" i="3"/>
  <c r="H1588" i="3"/>
  <c r="F1588" i="3"/>
  <c r="B1588" i="3"/>
  <c r="D1587" i="3"/>
  <c r="E1587" i="3"/>
  <c r="G1587" i="3"/>
  <c r="I1587" i="3"/>
  <c r="J1587" i="3"/>
  <c r="L1587" i="3"/>
  <c r="N1587" i="3"/>
  <c r="M1587" i="3"/>
  <c r="C1587" i="3"/>
  <c r="H1587" i="3"/>
  <c r="F1587" i="3"/>
  <c r="B1587" i="3"/>
  <c r="D1586" i="3"/>
  <c r="E1586" i="3"/>
  <c r="G1586" i="3"/>
  <c r="I1586" i="3"/>
  <c r="J1586" i="3"/>
  <c r="L1586" i="3"/>
  <c r="N1586" i="3"/>
  <c r="M1586" i="3"/>
  <c r="C1586" i="3"/>
  <c r="H1586" i="3"/>
  <c r="F1586" i="3"/>
  <c r="B1586" i="3"/>
  <c r="D1585" i="3"/>
  <c r="E1585" i="3"/>
  <c r="G1585" i="3"/>
  <c r="I1585" i="3"/>
  <c r="J1585" i="3"/>
  <c r="L1585" i="3"/>
  <c r="N1585" i="3"/>
  <c r="M1585" i="3"/>
  <c r="C1585" i="3"/>
  <c r="H1585" i="3"/>
  <c r="F1585" i="3"/>
  <c r="B1585" i="3"/>
  <c r="D1584" i="3"/>
  <c r="E1584" i="3"/>
  <c r="G1584" i="3"/>
  <c r="I1584" i="3"/>
  <c r="J1584" i="3"/>
  <c r="L1584" i="3"/>
  <c r="N1584" i="3"/>
  <c r="M1584" i="3"/>
  <c r="C1584" i="3"/>
  <c r="H1584" i="3"/>
  <c r="F1584" i="3"/>
  <c r="B1584" i="3"/>
  <c r="D1583" i="3"/>
  <c r="E1583" i="3"/>
  <c r="G1583" i="3"/>
  <c r="I1583" i="3"/>
  <c r="J1583" i="3"/>
  <c r="L1583" i="3"/>
  <c r="N1583" i="3"/>
  <c r="M1583" i="3"/>
  <c r="C1583" i="3"/>
  <c r="H1583" i="3"/>
  <c r="F1583" i="3"/>
  <c r="B1583" i="3"/>
  <c r="D1582" i="3"/>
  <c r="E1582" i="3"/>
  <c r="G1582" i="3"/>
  <c r="I1582" i="3"/>
  <c r="J1582" i="3"/>
  <c r="L1582" i="3"/>
  <c r="N1582" i="3"/>
  <c r="M1582" i="3"/>
  <c r="C1582" i="3"/>
  <c r="H1582" i="3"/>
  <c r="F1582" i="3"/>
  <c r="B1582" i="3"/>
  <c r="D1581" i="3"/>
  <c r="E1581" i="3"/>
  <c r="G1581" i="3"/>
  <c r="I1581" i="3"/>
  <c r="J1581" i="3"/>
  <c r="L1581" i="3"/>
  <c r="N1581" i="3"/>
  <c r="M1581" i="3"/>
  <c r="C1581" i="3"/>
  <c r="H1581" i="3"/>
  <c r="F1581" i="3"/>
  <c r="B1581" i="3"/>
  <c r="D1580" i="3"/>
  <c r="E1580" i="3"/>
  <c r="G1580" i="3"/>
  <c r="I1580" i="3"/>
  <c r="J1580" i="3"/>
  <c r="L1580" i="3"/>
  <c r="N1580" i="3"/>
  <c r="M1580" i="3"/>
  <c r="C1580" i="3"/>
  <c r="H1580" i="3"/>
  <c r="F1580" i="3"/>
  <c r="B1580" i="3"/>
  <c r="D1579" i="3"/>
  <c r="E1579" i="3"/>
  <c r="G1579" i="3"/>
  <c r="I1579" i="3"/>
  <c r="J1579" i="3"/>
  <c r="L1579" i="3"/>
  <c r="N1579" i="3"/>
  <c r="M1579" i="3"/>
  <c r="C1579" i="3"/>
  <c r="H1579" i="3"/>
  <c r="F1579" i="3"/>
  <c r="B1579" i="3"/>
  <c r="D1578" i="3"/>
  <c r="E1578" i="3"/>
  <c r="G1578" i="3"/>
  <c r="I1578" i="3"/>
  <c r="J1578" i="3"/>
  <c r="L1578" i="3"/>
  <c r="N1578" i="3"/>
  <c r="M1578" i="3"/>
  <c r="C1578" i="3"/>
  <c r="H1578" i="3"/>
  <c r="F1578" i="3"/>
  <c r="B1578" i="3"/>
  <c r="D1577" i="3"/>
  <c r="E1577" i="3"/>
  <c r="G1577" i="3"/>
  <c r="I1577" i="3"/>
  <c r="J1577" i="3"/>
  <c r="L1577" i="3"/>
  <c r="N1577" i="3"/>
  <c r="M1577" i="3"/>
  <c r="C1577" i="3"/>
  <c r="H1577" i="3"/>
  <c r="F1577" i="3"/>
  <c r="B1577" i="3"/>
  <c r="D1576" i="3"/>
  <c r="E1576" i="3"/>
  <c r="G1576" i="3"/>
  <c r="I1576" i="3"/>
  <c r="J1576" i="3"/>
  <c r="L1576" i="3"/>
  <c r="N1576" i="3"/>
  <c r="M1576" i="3"/>
  <c r="C1576" i="3"/>
  <c r="H1576" i="3"/>
  <c r="F1576" i="3"/>
  <c r="B1576" i="3"/>
  <c r="D1575" i="3"/>
  <c r="E1575" i="3"/>
  <c r="G1575" i="3"/>
  <c r="I1575" i="3"/>
  <c r="J1575" i="3"/>
  <c r="L1575" i="3"/>
  <c r="N1575" i="3"/>
  <c r="M1575" i="3"/>
  <c r="C1575" i="3"/>
  <c r="H1575" i="3"/>
  <c r="F1575" i="3"/>
  <c r="B1575" i="3"/>
  <c r="D1574" i="3"/>
  <c r="E1574" i="3"/>
  <c r="G1574" i="3"/>
  <c r="I1574" i="3"/>
  <c r="J1574" i="3"/>
  <c r="L1574" i="3"/>
  <c r="N1574" i="3"/>
  <c r="M1574" i="3"/>
  <c r="C1574" i="3"/>
  <c r="H1574" i="3"/>
  <c r="F1574" i="3"/>
  <c r="B1574" i="3"/>
  <c r="D1573" i="3"/>
  <c r="E1573" i="3"/>
  <c r="G1573" i="3"/>
  <c r="I1573" i="3"/>
  <c r="J1573" i="3"/>
  <c r="L1573" i="3"/>
  <c r="N1573" i="3"/>
  <c r="M1573" i="3"/>
  <c r="C1573" i="3"/>
  <c r="H1573" i="3"/>
  <c r="F1573" i="3"/>
  <c r="B1573" i="3"/>
  <c r="D1572" i="3"/>
  <c r="E1572" i="3"/>
  <c r="G1572" i="3"/>
  <c r="I1572" i="3"/>
  <c r="J1572" i="3"/>
  <c r="L1572" i="3"/>
  <c r="N1572" i="3"/>
  <c r="M1572" i="3"/>
  <c r="C1572" i="3"/>
  <c r="H1572" i="3"/>
  <c r="F1572" i="3"/>
  <c r="B1572" i="3"/>
  <c r="D1571" i="3"/>
  <c r="E1571" i="3"/>
  <c r="G1571" i="3"/>
  <c r="I1571" i="3"/>
  <c r="J1571" i="3"/>
  <c r="L1571" i="3"/>
  <c r="N1571" i="3"/>
  <c r="M1571" i="3"/>
  <c r="C1571" i="3"/>
  <c r="H1571" i="3"/>
  <c r="F1571" i="3"/>
  <c r="B1571" i="3"/>
  <c r="D1570" i="3"/>
  <c r="E1570" i="3"/>
  <c r="G1570" i="3"/>
  <c r="I1570" i="3"/>
  <c r="J1570" i="3"/>
  <c r="L1570" i="3"/>
  <c r="N1570" i="3"/>
  <c r="M1570" i="3"/>
  <c r="C1570" i="3"/>
  <c r="H1570" i="3"/>
  <c r="F1570" i="3"/>
  <c r="B1570" i="3"/>
  <c r="D1569" i="3"/>
  <c r="E1569" i="3"/>
  <c r="G1569" i="3"/>
  <c r="I1569" i="3"/>
  <c r="J1569" i="3"/>
  <c r="L1569" i="3"/>
  <c r="N1569" i="3"/>
  <c r="M1569" i="3"/>
  <c r="C1569" i="3"/>
  <c r="H1569" i="3"/>
  <c r="F1569" i="3"/>
  <c r="B1569" i="3"/>
  <c r="D1568" i="3"/>
  <c r="E1568" i="3"/>
  <c r="G1568" i="3"/>
  <c r="I1568" i="3"/>
  <c r="J1568" i="3"/>
  <c r="L1568" i="3"/>
  <c r="N1568" i="3"/>
  <c r="M1568" i="3"/>
  <c r="C1568" i="3"/>
  <c r="H1568" i="3"/>
  <c r="F1568" i="3"/>
  <c r="B1568" i="3"/>
  <c r="D1567" i="3"/>
  <c r="E1567" i="3"/>
  <c r="G1567" i="3"/>
  <c r="I1567" i="3"/>
  <c r="J1567" i="3"/>
  <c r="L1567" i="3"/>
  <c r="N1567" i="3"/>
  <c r="M1567" i="3"/>
  <c r="C1567" i="3"/>
  <c r="H1567" i="3"/>
  <c r="F1567" i="3"/>
  <c r="B1567" i="3"/>
  <c r="D1566" i="3"/>
  <c r="E1566" i="3"/>
  <c r="G1566" i="3"/>
  <c r="I1566" i="3"/>
  <c r="J1566" i="3"/>
  <c r="L1566" i="3"/>
  <c r="N1566" i="3"/>
  <c r="M1566" i="3"/>
  <c r="C1566" i="3"/>
  <c r="H1566" i="3"/>
  <c r="F1566" i="3"/>
  <c r="B1566" i="3"/>
  <c r="D1565" i="3"/>
  <c r="E1565" i="3"/>
  <c r="G1565" i="3"/>
  <c r="I1565" i="3"/>
  <c r="J1565" i="3"/>
  <c r="L1565" i="3"/>
  <c r="N1565" i="3"/>
  <c r="M1565" i="3"/>
  <c r="C1565" i="3"/>
  <c r="H1565" i="3"/>
  <c r="F1565" i="3"/>
  <c r="B1565" i="3"/>
  <c r="D1564" i="3"/>
  <c r="E1564" i="3"/>
  <c r="G1564" i="3"/>
  <c r="I1564" i="3"/>
  <c r="J1564" i="3"/>
  <c r="L1564" i="3"/>
  <c r="N1564" i="3"/>
  <c r="M1564" i="3"/>
  <c r="C1564" i="3"/>
  <c r="H1564" i="3"/>
  <c r="F1564" i="3"/>
  <c r="B1564" i="3"/>
  <c r="D1563" i="3"/>
  <c r="E1563" i="3"/>
  <c r="G1563" i="3"/>
  <c r="I1563" i="3"/>
  <c r="J1563" i="3"/>
  <c r="L1563" i="3"/>
  <c r="N1563" i="3"/>
  <c r="M1563" i="3"/>
  <c r="C1563" i="3"/>
  <c r="H1563" i="3"/>
  <c r="F1563" i="3"/>
  <c r="B1563" i="3"/>
  <c r="D1562" i="3"/>
  <c r="E1562" i="3"/>
  <c r="G1562" i="3"/>
  <c r="I1562" i="3"/>
  <c r="J1562" i="3"/>
  <c r="L1562" i="3"/>
  <c r="N1562" i="3"/>
  <c r="M1562" i="3"/>
  <c r="C1562" i="3"/>
  <c r="H1562" i="3"/>
  <c r="F1562" i="3"/>
  <c r="B1562" i="3"/>
  <c r="D1561" i="3"/>
  <c r="E1561" i="3"/>
  <c r="G1561" i="3"/>
  <c r="I1561" i="3"/>
  <c r="J1561" i="3"/>
  <c r="L1561" i="3"/>
  <c r="N1561" i="3"/>
  <c r="M1561" i="3"/>
  <c r="C1561" i="3"/>
  <c r="H1561" i="3"/>
  <c r="F1561" i="3"/>
  <c r="B1561" i="3"/>
  <c r="D1560" i="3"/>
  <c r="E1560" i="3"/>
  <c r="G1560" i="3"/>
  <c r="I1560" i="3"/>
  <c r="J1560" i="3"/>
  <c r="L1560" i="3"/>
  <c r="N1560" i="3"/>
  <c r="M1560" i="3"/>
  <c r="C1560" i="3"/>
  <c r="H1560" i="3"/>
  <c r="F1560" i="3"/>
  <c r="B1560" i="3"/>
  <c r="D1559" i="3"/>
  <c r="E1559" i="3"/>
  <c r="G1559" i="3"/>
  <c r="I1559" i="3"/>
  <c r="J1559" i="3"/>
  <c r="L1559" i="3"/>
  <c r="N1559" i="3"/>
  <c r="M1559" i="3"/>
  <c r="C1559" i="3"/>
  <c r="H1559" i="3"/>
  <c r="F1559" i="3"/>
  <c r="B1559" i="3"/>
  <c r="D1558" i="3"/>
  <c r="E1558" i="3"/>
  <c r="G1558" i="3"/>
  <c r="I1558" i="3"/>
  <c r="J1558" i="3"/>
  <c r="L1558" i="3"/>
  <c r="N1558" i="3"/>
  <c r="M1558" i="3"/>
  <c r="C1558" i="3"/>
  <c r="H1558" i="3"/>
  <c r="F1558" i="3"/>
  <c r="B1558" i="3"/>
  <c r="D1557" i="3"/>
  <c r="E1557" i="3"/>
  <c r="G1557" i="3"/>
  <c r="I1557" i="3"/>
  <c r="J1557" i="3"/>
  <c r="L1557" i="3"/>
  <c r="N1557" i="3"/>
  <c r="M1557" i="3"/>
  <c r="C1557" i="3"/>
  <c r="H1557" i="3"/>
  <c r="F1557" i="3"/>
  <c r="B1557" i="3"/>
  <c r="D1556" i="3"/>
  <c r="E1556" i="3"/>
  <c r="G1556" i="3"/>
  <c r="I1556" i="3"/>
  <c r="J1556" i="3"/>
  <c r="L1556" i="3"/>
  <c r="N1556" i="3"/>
  <c r="M1556" i="3"/>
  <c r="C1556" i="3"/>
  <c r="H1556" i="3"/>
  <c r="F1556" i="3"/>
  <c r="B1556" i="3"/>
  <c r="D1555" i="3"/>
  <c r="E1555" i="3"/>
  <c r="G1555" i="3"/>
  <c r="I1555" i="3"/>
  <c r="J1555" i="3"/>
  <c r="L1555" i="3"/>
  <c r="N1555" i="3"/>
  <c r="M1555" i="3"/>
  <c r="C1555" i="3"/>
  <c r="H1555" i="3"/>
  <c r="F1555" i="3"/>
  <c r="B1555" i="3"/>
  <c r="D1554" i="3"/>
  <c r="E1554" i="3"/>
  <c r="G1554" i="3"/>
  <c r="I1554" i="3"/>
  <c r="J1554" i="3"/>
  <c r="L1554" i="3"/>
  <c r="N1554" i="3"/>
  <c r="M1554" i="3"/>
  <c r="C1554" i="3"/>
  <c r="H1554" i="3"/>
  <c r="F1554" i="3"/>
  <c r="B1554" i="3"/>
  <c r="D1553" i="3"/>
  <c r="E1553" i="3"/>
  <c r="G1553" i="3"/>
  <c r="I1553" i="3"/>
  <c r="J1553" i="3"/>
  <c r="L1553" i="3"/>
  <c r="N1553" i="3"/>
  <c r="M1553" i="3"/>
  <c r="C1553" i="3"/>
  <c r="H1553" i="3"/>
  <c r="F1553" i="3"/>
  <c r="B1553" i="3"/>
  <c r="D1552" i="3"/>
  <c r="E1552" i="3"/>
  <c r="G1552" i="3"/>
  <c r="I1552" i="3"/>
  <c r="J1552" i="3"/>
  <c r="L1552" i="3"/>
  <c r="N1552" i="3"/>
  <c r="M1552" i="3"/>
  <c r="C1552" i="3"/>
  <c r="H1552" i="3"/>
  <c r="F1552" i="3"/>
  <c r="B1552" i="3"/>
  <c r="D1551" i="3"/>
  <c r="E1551" i="3"/>
  <c r="G1551" i="3"/>
  <c r="I1551" i="3"/>
  <c r="J1551" i="3"/>
  <c r="L1551" i="3"/>
  <c r="N1551" i="3"/>
  <c r="M1551" i="3"/>
  <c r="C1551" i="3"/>
  <c r="H1551" i="3"/>
  <c r="F1551" i="3"/>
  <c r="B1551" i="3"/>
  <c r="D1550" i="3"/>
  <c r="E1550" i="3"/>
  <c r="G1550" i="3"/>
  <c r="I1550" i="3"/>
  <c r="J1550" i="3"/>
  <c r="L1550" i="3"/>
  <c r="N1550" i="3"/>
  <c r="M1550" i="3"/>
  <c r="C1550" i="3"/>
  <c r="H1550" i="3"/>
  <c r="F1550" i="3"/>
  <c r="B1550" i="3"/>
  <c r="D1549" i="3"/>
  <c r="E1549" i="3"/>
  <c r="G1549" i="3"/>
  <c r="I1549" i="3"/>
  <c r="J1549" i="3"/>
  <c r="L1549" i="3"/>
  <c r="N1549" i="3"/>
  <c r="M1549" i="3"/>
  <c r="C1549" i="3"/>
  <c r="H1549" i="3"/>
  <c r="F1549" i="3"/>
  <c r="B1549" i="3"/>
  <c r="D1548" i="3"/>
  <c r="E1548" i="3"/>
  <c r="G1548" i="3"/>
  <c r="I1548" i="3"/>
  <c r="J1548" i="3"/>
  <c r="L1548" i="3"/>
  <c r="N1548" i="3"/>
  <c r="M1548" i="3"/>
  <c r="C1548" i="3"/>
  <c r="H1548" i="3"/>
  <c r="F1548" i="3"/>
  <c r="B1548" i="3"/>
  <c r="D1547" i="3"/>
  <c r="E1547" i="3"/>
  <c r="G1547" i="3"/>
  <c r="I1547" i="3"/>
  <c r="J1547" i="3"/>
  <c r="L1547" i="3"/>
  <c r="N1547" i="3"/>
  <c r="M1547" i="3"/>
  <c r="C1547" i="3"/>
  <c r="H1547" i="3"/>
  <c r="F1547" i="3"/>
  <c r="B1547" i="3"/>
  <c r="D1546" i="3"/>
  <c r="E1546" i="3"/>
  <c r="G1546" i="3"/>
  <c r="I1546" i="3"/>
  <c r="J1546" i="3"/>
  <c r="L1546" i="3"/>
  <c r="N1546" i="3"/>
  <c r="M1546" i="3"/>
  <c r="C1546" i="3"/>
  <c r="H1546" i="3"/>
  <c r="F1546" i="3"/>
  <c r="B1546" i="3"/>
  <c r="D1545" i="3"/>
  <c r="E1545" i="3"/>
  <c r="G1545" i="3"/>
  <c r="I1545" i="3"/>
  <c r="J1545" i="3"/>
  <c r="L1545" i="3"/>
  <c r="N1545" i="3"/>
  <c r="M1545" i="3"/>
  <c r="C1545" i="3"/>
  <c r="H1545" i="3"/>
  <c r="F1545" i="3"/>
  <c r="B1545" i="3"/>
  <c r="D1544" i="3"/>
  <c r="E1544" i="3"/>
  <c r="G1544" i="3"/>
  <c r="I1544" i="3"/>
  <c r="J1544" i="3"/>
  <c r="L1544" i="3"/>
  <c r="N1544" i="3"/>
  <c r="M1544" i="3"/>
  <c r="C1544" i="3"/>
  <c r="H1544" i="3"/>
  <c r="F1544" i="3"/>
  <c r="B1544" i="3"/>
  <c r="D1543" i="3"/>
  <c r="E1543" i="3"/>
  <c r="G1543" i="3"/>
  <c r="I1543" i="3"/>
  <c r="J1543" i="3"/>
  <c r="L1543" i="3"/>
  <c r="N1543" i="3"/>
  <c r="M1543" i="3"/>
  <c r="C1543" i="3"/>
  <c r="H1543" i="3"/>
  <c r="F1543" i="3"/>
  <c r="B1543" i="3"/>
  <c r="D1542" i="3"/>
  <c r="E1542" i="3"/>
  <c r="G1542" i="3"/>
  <c r="I1542" i="3"/>
  <c r="J1542" i="3"/>
  <c r="L1542" i="3"/>
  <c r="N1542" i="3"/>
  <c r="M1542" i="3"/>
  <c r="C1542" i="3"/>
  <c r="H1542" i="3"/>
  <c r="F1542" i="3"/>
  <c r="B1542" i="3"/>
  <c r="D1541" i="3"/>
  <c r="E1541" i="3"/>
  <c r="G1541" i="3"/>
  <c r="I1541" i="3"/>
  <c r="J1541" i="3"/>
  <c r="L1541" i="3"/>
  <c r="N1541" i="3"/>
  <c r="M1541" i="3"/>
  <c r="C1541" i="3"/>
  <c r="H1541" i="3"/>
  <c r="F1541" i="3"/>
  <c r="B1541" i="3"/>
  <c r="D1540" i="3"/>
  <c r="E1540" i="3"/>
  <c r="G1540" i="3"/>
  <c r="I1540" i="3"/>
  <c r="J1540" i="3"/>
  <c r="L1540" i="3"/>
  <c r="N1540" i="3"/>
  <c r="M1540" i="3"/>
  <c r="C1540" i="3"/>
  <c r="H1540" i="3"/>
  <c r="F1540" i="3"/>
  <c r="B1540" i="3"/>
  <c r="D1539" i="3"/>
  <c r="E1539" i="3"/>
  <c r="G1539" i="3"/>
  <c r="I1539" i="3"/>
  <c r="J1539" i="3"/>
  <c r="L1539" i="3"/>
  <c r="N1539" i="3"/>
  <c r="M1539" i="3"/>
  <c r="C1539" i="3"/>
  <c r="H1539" i="3"/>
  <c r="F1539" i="3"/>
  <c r="B1539" i="3"/>
  <c r="D1538" i="3"/>
  <c r="E1538" i="3"/>
  <c r="G1538" i="3"/>
  <c r="I1538" i="3"/>
  <c r="J1538" i="3"/>
  <c r="L1538" i="3"/>
  <c r="N1538" i="3"/>
  <c r="M1538" i="3"/>
  <c r="C1538" i="3"/>
  <c r="H1538" i="3"/>
  <c r="F1538" i="3"/>
  <c r="B1538" i="3"/>
  <c r="D1537" i="3"/>
  <c r="E1537" i="3"/>
  <c r="G1537" i="3"/>
  <c r="I1537" i="3"/>
  <c r="J1537" i="3"/>
  <c r="L1537" i="3"/>
  <c r="N1537" i="3"/>
  <c r="M1537" i="3"/>
  <c r="C1537" i="3"/>
  <c r="H1537" i="3"/>
  <c r="F1537" i="3"/>
  <c r="B1537" i="3"/>
  <c r="D1536" i="3"/>
  <c r="E1536" i="3"/>
  <c r="G1536" i="3"/>
  <c r="I1536" i="3"/>
  <c r="J1536" i="3"/>
  <c r="L1536" i="3"/>
  <c r="N1536" i="3"/>
  <c r="M1536" i="3"/>
  <c r="C1536" i="3"/>
  <c r="H1536" i="3"/>
  <c r="F1536" i="3"/>
  <c r="B1536" i="3"/>
  <c r="D1535" i="3"/>
  <c r="E1535" i="3"/>
  <c r="G1535" i="3"/>
  <c r="I1535" i="3"/>
  <c r="J1535" i="3"/>
  <c r="L1535" i="3"/>
  <c r="N1535" i="3"/>
  <c r="M1535" i="3"/>
  <c r="C1535" i="3"/>
  <c r="H1535" i="3"/>
  <c r="F1535" i="3"/>
  <c r="B1535" i="3"/>
  <c r="D1534" i="3"/>
  <c r="E1534" i="3"/>
  <c r="G1534" i="3"/>
  <c r="I1534" i="3"/>
  <c r="J1534" i="3"/>
  <c r="L1534" i="3"/>
  <c r="N1534" i="3"/>
  <c r="M1534" i="3"/>
  <c r="C1534" i="3"/>
  <c r="H1534" i="3"/>
  <c r="F1534" i="3"/>
  <c r="B1534" i="3"/>
  <c r="D1533" i="3"/>
  <c r="E1533" i="3"/>
  <c r="G1533" i="3"/>
  <c r="I1533" i="3"/>
  <c r="J1533" i="3"/>
  <c r="L1533" i="3"/>
  <c r="N1533" i="3"/>
  <c r="M1533" i="3"/>
  <c r="C1533" i="3"/>
  <c r="H1533" i="3"/>
  <c r="F1533" i="3"/>
  <c r="B1533" i="3"/>
  <c r="D1532" i="3"/>
  <c r="E1532" i="3"/>
  <c r="G1532" i="3"/>
  <c r="I1532" i="3"/>
  <c r="J1532" i="3"/>
  <c r="L1532" i="3"/>
  <c r="N1532" i="3"/>
  <c r="M1532" i="3"/>
  <c r="C1532" i="3"/>
  <c r="H1532" i="3"/>
  <c r="F1532" i="3"/>
  <c r="B1532" i="3"/>
  <c r="D1531" i="3"/>
  <c r="E1531" i="3"/>
  <c r="G1531" i="3"/>
  <c r="I1531" i="3"/>
  <c r="J1531" i="3"/>
  <c r="L1531" i="3"/>
  <c r="N1531" i="3"/>
  <c r="M1531" i="3"/>
  <c r="C1531" i="3"/>
  <c r="H1531" i="3"/>
  <c r="F1531" i="3"/>
  <c r="B1531" i="3"/>
  <c r="D1530" i="3"/>
  <c r="E1530" i="3"/>
  <c r="G1530" i="3"/>
  <c r="I1530" i="3"/>
  <c r="J1530" i="3"/>
  <c r="L1530" i="3"/>
  <c r="N1530" i="3"/>
  <c r="M1530" i="3"/>
  <c r="C1530" i="3"/>
  <c r="H1530" i="3"/>
  <c r="F1530" i="3"/>
  <c r="B1530" i="3"/>
  <c r="D1529" i="3"/>
  <c r="E1529" i="3"/>
  <c r="G1529" i="3"/>
  <c r="I1529" i="3"/>
  <c r="J1529" i="3"/>
  <c r="L1529" i="3"/>
  <c r="N1529" i="3"/>
  <c r="M1529" i="3"/>
  <c r="C1529" i="3"/>
  <c r="H1529" i="3"/>
  <c r="F1529" i="3"/>
  <c r="B1529" i="3"/>
  <c r="D1528" i="3"/>
  <c r="E1528" i="3"/>
  <c r="G1528" i="3"/>
  <c r="I1528" i="3"/>
  <c r="J1528" i="3"/>
  <c r="L1528" i="3"/>
  <c r="N1528" i="3"/>
  <c r="M1528" i="3"/>
  <c r="C1528" i="3"/>
  <c r="H1528" i="3"/>
  <c r="F1528" i="3"/>
  <c r="B1528" i="3"/>
  <c r="D1527" i="3"/>
  <c r="E1527" i="3"/>
  <c r="G1527" i="3"/>
  <c r="I1527" i="3"/>
  <c r="J1527" i="3"/>
  <c r="L1527" i="3"/>
  <c r="N1527" i="3"/>
  <c r="M1527" i="3"/>
  <c r="C1527" i="3"/>
  <c r="H1527" i="3"/>
  <c r="F1527" i="3"/>
  <c r="B1527" i="3"/>
  <c r="D1526" i="3"/>
  <c r="E1526" i="3"/>
  <c r="G1526" i="3"/>
  <c r="I1526" i="3"/>
  <c r="J1526" i="3"/>
  <c r="L1526" i="3"/>
  <c r="N1526" i="3"/>
  <c r="M1526" i="3"/>
  <c r="C1526" i="3"/>
  <c r="H1526" i="3"/>
  <c r="F1526" i="3"/>
  <c r="B1526" i="3"/>
  <c r="D1525" i="3"/>
  <c r="E1525" i="3"/>
  <c r="G1525" i="3"/>
  <c r="I1525" i="3"/>
  <c r="J1525" i="3"/>
  <c r="L1525" i="3"/>
  <c r="N1525" i="3"/>
  <c r="M1525" i="3"/>
  <c r="C1525" i="3"/>
  <c r="H1525" i="3"/>
  <c r="F1525" i="3"/>
  <c r="B1525" i="3"/>
  <c r="D1524" i="3"/>
  <c r="E1524" i="3"/>
  <c r="G1524" i="3"/>
  <c r="I1524" i="3"/>
  <c r="J1524" i="3"/>
  <c r="L1524" i="3"/>
  <c r="N1524" i="3"/>
  <c r="M1524" i="3"/>
  <c r="C1524" i="3"/>
  <c r="H1524" i="3"/>
  <c r="F1524" i="3"/>
  <c r="B1524" i="3"/>
  <c r="D1523" i="3"/>
  <c r="E1523" i="3"/>
  <c r="G1523" i="3"/>
  <c r="I1523" i="3"/>
  <c r="J1523" i="3"/>
  <c r="L1523" i="3"/>
  <c r="N1523" i="3"/>
  <c r="M1523" i="3"/>
  <c r="C1523" i="3"/>
  <c r="H1523" i="3"/>
  <c r="F1523" i="3"/>
  <c r="B1523" i="3"/>
  <c r="D1522" i="3"/>
  <c r="E1522" i="3"/>
  <c r="G1522" i="3"/>
  <c r="I1522" i="3"/>
  <c r="J1522" i="3"/>
  <c r="L1522" i="3"/>
  <c r="N1522" i="3"/>
  <c r="M1522" i="3"/>
  <c r="C1522" i="3"/>
  <c r="H1522" i="3"/>
  <c r="F1522" i="3"/>
  <c r="B1522" i="3"/>
  <c r="D1521" i="3"/>
  <c r="E1521" i="3"/>
  <c r="G1521" i="3"/>
  <c r="I1521" i="3"/>
  <c r="J1521" i="3"/>
  <c r="L1521" i="3"/>
  <c r="N1521" i="3"/>
  <c r="M1521" i="3"/>
  <c r="C1521" i="3"/>
  <c r="H1521" i="3"/>
  <c r="F1521" i="3"/>
  <c r="B1521" i="3"/>
  <c r="D1520" i="3"/>
  <c r="E1520" i="3"/>
  <c r="G1520" i="3"/>
  <c r="I1520" i="3"/>
  <c r="J1520" i="3"/>
  <c r="L1520" i="3"/>
  <c r="N1520" i="3"/>
  <c r="M1520" i="3"/>
  <c r="C1520" i="3"/>
  <c r="H1520" i="3"/>
  <c r="F1520" i="3"/>
  <c r="B1520" i="3"/>
  <c r="D1519" i="3"/>
  <c r="E1519" i="3"/>
  <c r="G1519" i="3"/>
  <c r="I1519" i="3"/>
  <c r="J1519" i="3"/>
  <c r="L1519" i="3"/>
  <c r="N1519" i="3"/>
  <c r="M1519" i="3"/>
  <c r="C1519" i="3"/>
  <c r="H1519" i="3"/>
  <c r="F1519" i="3"/>
  <c r="B1519" i="3"/>
  <c r="D1518" i="3"/>
  <c r="E1518" i="3"/>
  <c r="G1518" i="3"/>
  <c r="I1518" i="3"/>
  <c r="J1518" i="3"/>
  <c r="L1518" i="3"/>
  <c r="N1518" i="3"/>
  <c r="M1518" i="3"/>
  <c r="C1518" i="3"/>
  <c r="H1518" i="3"/>
  <c r="F1518" i="3"/>
  <c r="B1518" i="3"/>
  <c r="D1517" i="3"/>
  <c r="E1517" i="3"/>
  <c r="G1517" i="3"/>
  <c r="I1517" i="3"/>
  <c r="J1517" i="3"/>
  <c r="L1517" i="3"/>
  <c r="N1517" i="3"/>
  <c r="M1517" i="3"/>
  <c r="C1517" i="3"/>
  <c r="H1517" i="3"/>
  <c r="F1517" i="3"/>
  <c r="B1517" i="3"/>
  <c r="D1516" i="3"/>
  <c r="E1516" i="3"/>
  <c r="G1516" i="3"/>
  <c r="I1516" i="3"/>
  <c r="J1516" i="3"/>
  <c r="L1516" i="3"/>
  <c r="N1516" i="3"/>
  <c r="M1516" i="3"/>
  <c r="C1516" i="3"/>
  <c r="H1516" i="3"/>
  <c r="F1516" i="3"/>
  <c r="B1516" i="3"/>
  <c r="D1515" i="3"/>
  <c r="E1515" i="3"/>
  <c r="G1515" i="3"/>
  <c r="I1515" i="3"/>
  <c r="J1515" i="3"/>
  <c r="L1515" i="3"/>
  <c r="N1515" i="3"/>
  <c r="M1515" i="3"/>
  <c r="C1515" i="3"/>
  <c r="H1515" i="3"/>
  <c r="F1515" i="3"/>
  <c r="B1515" i="3"/>
  <c r="D1514" i="3"/>
  <c r="E1514" i="3"/>
  <c r="G1514" i="3"/>
  <c r="I1514" i="3"/>
  <c r="J1514" i="3"/>
  <c r="L1514" i="3"/>
  <c r="N1514" i="3"/>
  <c r="M1514" i="3"/>
  <c r="C1514" i="3"/>
  <c r="H1514" i="3"/>
  <c r="F1514" i="3"/>
  <c r="B1514" i="3"/>
  <c r="D1513" i="3"/>
  <c r="E1513" i="3"/>
  <c r="G1513" i="3"/>
  <c r="I1513" i="3"/>
  <c r="J1513" i="3"/>
  <c r="L1513" i="3"/>
  <c r="N1513" i="3"/>
  <c r="M1513" i="3"/>
  <c r="C1513" i="3"/>
  <c r="H1513" i="3"/>
  <c r="F1513" i="3"/>
  <c r="B1513" i="3"/>
  <c r="D1512" i="3"/>
  <c r="E1512" i="3"/>
  <c r="G1512" i="3"/>
  <c r="I1512" i="3"/>
  <c r="J1512" i="3"/>
  <c r="L1512" i="3"/>
  <c r="N1512" i="3"/>
  <c r="M1512" i="3"/>
  <c r="C1512" i="3"/>
  <c r="H1512" i="3"/>
  <c r="F1512" i="3"/>
  <c r="B1512" i="3"/>
  <c r="D1511" i="3"/>
  <c r="E1511" i="3"/>
  <c r="G1511" i="3"/>
  <c r="I1511" i="3"/>
  <c r="J1511" i="3"/>
  <c r="L1511" i="3"/>
  <c r="N1511" i="3"/>
  <c r="M1511" i="3"/>
  <c r="C1511" i="3"/>
  <c r="H1511" i="3"/>
  <c r="F1511" i="3"/>
  <c r="B1511" i="3"/>
  <c r="D1510" i="3"/>
  <c r="E1510" i="3"/>
  <c r="G1510" i="3"/>
  <c r="I1510" i="3"/>
  <c r="J1510" i="3"/>
  <c r="L1510" i="3"/>
  <c r="N1510" i="3"/>
  <c r="M1510" i="3"/>
  <c r="C1510" i="3"/>
  <c r="H1510" i="3"/>
  <c r="F1510" i="3"/>
  <c r="B1510" i="3"/>
  <c r="D1509" i="3"/>
  <c r="E1509" i="3"/>
  <c r="G1509" i="3"/>
  <c r="I1509" i="3"/>
  <c r="J1509" i="3"/>
  <c r="L1509" i="3"/>
  <c r="N1509" i="3"/>
  <c r="M1509" i="3"/>
  <c r="C1509" i="3"/>
  <c r="H1509" i="3"/>
  <c r="F1509" i="3"/>
  <c r="B1509" i="3"/>
  <c r="D1508" i="3"/>
  <c r="E1508" i="3"/>
  <c r="G1508" i="3"/>
  <c r="I1508" i="3"/>
  <c r="J1508" i="3"/>
  <c r="L1508" i="3"/>
  <c r="N1508" i="3"/>
  <c r="M1508" i="3"/>
  <c r="C1508" i="3"/>
  <c r="H1508" i="3"/>
  <c r="F1508" i="3"/>
  <c r="B1508" i="3"/>
  <c r="D1507" i="3"/>
  <c r="E1507" i="3"/>
  <c r="G1507" i="3"/>
  <c r="I1507" i="3"/>
  <c r="J1507" i="3"/>
  <c r="L1507" i="3"/>
  <c r="N1507" i="3"/>
  <c r="M1507" i="3"/>
  <c r="C1507" i="3"/>
  <c r="H1507" i="3"/>
  <c r="F1507" i="3"/>
  <c r="B1507" i="3"/>
  <c r="D1506" i="3"/>
  <c r="E1506" i="3"/>
  <c r="G1506" i="3"/>
  <c r="I1506" i="3"/>
  <c r="J1506" i="3"/>
  <c r="L1506" i="3"/>
  <c r="N1506" i="3"/>
  <c r="M1506" i="3"/>
  <c r="C1506" i="3"/>
  <c r="H1506" i="3"/>
  <c r="F1506" i="3"/>
  <c r="B1506" i="3"/>
  <c r="D1505" i="3"/>
  <c r="E1505" i="3"/>
  <c r="G1505" i="3"/>
  <c r="I1505" i="3"/>
  <c r="J1505" i="3"/>
  <c r="L1505" i="3"/>
  <c r="N1505" i="3"/>
  <c r="M1505" i="3"/>
  <c r="C1505" i="3"/>
  <c r="H1505" i="3"/>
  <c r="F1505" i="3"/>
  <c r="B1505" i="3"/>
  <c r="D1504" i="3"/>
  <c r="E1504" i="3"/>
  <c r="G1504" i="3"/>
  <c r="I1504" i="3"/>
  <c r="J1504" i="3"/>
  <c r="L1504" i="3"/>
  <c r="N1504" i="3"/>
  <c r="M1504" i="3"/>
  <c r="C1504" i="3"/>
  <c r="H1504" i="3"/>
  <c r="F1504" i="3"/>
  <c r="B1504" i="3"/>
  <c r="D1503" i="3"/>
  <c r="E1503" i="3"/>
  <c r="G1503" i="3"/>
  <c r="I1503" i="3"/>
  <c r="J1503" i="3"/>
  <c r="L1503" i="3"/>
  <c r="N1503" i="3"/>
  <c r="M1503" i="3"/>
  <c r="C1503" i="3"/>
  <c r="H1503" i="3"/>
  <c r="F1503" i="3"/>
  <c r="B1503" i="3"/>
  <c r="D1502" i="3"/>
  <c r="E1502" i="3"/>
  <c r="G1502" i="3"/>
  <c r="I1502" i="3"/>
  <c r="J1502" i="3"/>
  <c r="L1502" i="3"/>
  <c r="N1502" i="3"/>
  <c r="M1502" i="3"/>
  <c r="C1502" i="3"/>
  <c r="H1502" i="3"/>
  <c r="F1502" i="3"/>
  <c r="B1502" i="3"/>
  <c r="D1501" i="3"/>
  <c r="E1501" i="3"/>
  <c r="G1501" i="3"/>
  <c r="I1501" i="3"/>
  <c r="J1501" i="3"/>
  <c r="L1501" i="3"/>
  <c r="N1501" i="3"/>
  <c r="M1501" i="3"/>
  <c r="C1501" i="3"/>
  <c r="H1501" i="3"/>
  <c r="F1501" i="3"/>
  <c r="B1501" i="3"/>
  <c r="D1500" i="3"/>
  <c r="E1500" i="3"/>
  <c r="G1500" i="3"/>
  <c r="I1500" i="3"/>
  <c r="J1500" i="3"/>
  <c r="L1500" i="3"/>
  <c r="N1500" i="3"/>
  <c r="M1500" i="3"/>
  <c r="C1500" i="3"/>
  <c r="H1500" i="3"/>
  <c r="F1500" i="3"/>
  <c r="B1500" i="3"/>
  <c r="D1499" i="3"/>
  <c r="E1499" i="3"/>
  <c r="G1499" i="3"/>
  <c r="I1499" i="3"/>
  <c r="J1499" i="3"/>
  <c r="L1499" i="3"/>
  <c r="N1499" i="3"/>
  <c r="M1499" i="3"/>
  <c r="C1499" i="3"/>
  <c r="H1499" i="3"/>
  <c r="F1499" i="3"/>
  <c r="B1499" i="3"/>
  <c r="D1498" i="3"/>
  <c r="E1498" i="3"/>
  <c r="G1498" i="3"/>
  <c r="I1498" i="3"/>
  <c r="J1498" i="3"/>
  <c r="L1498" i="3"/>
  <c r="N1498" i="3"/>
  <c r="M1498" i="3"/>
  <c r="C1498" i="3"/>
  <c r="H1498" i="3"/>
  <c r="F1498" i="3"/>
  <c r="B1498" i="3"/>
  <c r="D1497" i="3"/>
  <c r="E1497" i="3"/>
  <c r="G1497" i="3"/>
  <c r="I1497" i="3"/>
  <c r="J1497" i="3"/>
  <c r="L1497" i="3"/>
  <c r="N1497" i="3"/>
  <c r="M1497" i="3"/>
  <c r="C1497" i="3"/>
  <c r="H1497" i="3"/>
  <c r="F1497" i="3"/>
  <c r="B1497" i="3"/>
  <c r="D1496" i="3"/>
  <c r="E1496" i="3"/>
  <c r="G1496" i="3"/>
  <c r="I1496" i="3"/>
  <c r="J1496" i="3"/>
  <c r="L1496" i="3"/>
  <c r="N1496" i="3"/>
  <c r="M1496" i="3"/>
  <c r="C1496" i="3"/>
  <c r="H1496" i="3"/>
  <c r="F1496" i="3"/>
  <c r="B1496" i="3"/>
  <c r="D1495" i="3"/>
  <c r="E1495" i="3"/>
  <c r="G1495" i="3"/>
  <c r="I1495" i="3"/>
  <c r="J1495" i="3"/>
  <c r="L1495" i="3"/>
  <c r="N1495" i="3"/>
  <c r="M1495" i="3"/>
  <c r="C1495" i="3"/>
  <c r="H1495" i="3"/>
  <c r="F1495" i="3"/>
  <c r="B1495" i="3"/>
  <c r="D1494" i="3"/>
  <c r="E1494" i="3"/>
  <c r="G1494" i="3"/>
  <c r="I1494" i="3"/>
  <c r="J1494" i="3"/>
  <c r="L1494" i="3"/>
  <c r="N1494" i="3"/>
  <c r="M1494" i="3"/>
  <c r="C1494" i="3"/>
  <c r="H1494" i="3"/>
  <c r="F1494" i="3"/>
  <c r="B1494" i="3"/>
  <c r="D1493" i="3"/>
  <c r="E1493" i="3"/>
  <c r="G1493" i="3"/>
  <c r="I1493" i="3"/>
  <c r="J1493" i="3"/>
  <c r="L1493" i="3"/>
  <c r="N1493" i="3"/>
  <c r="M1493" i="3"/>
  <c r="C1493" i="3"/>
  <c r="H1493" i="3"/>
  <c r="F1493" i="3"/>
  <c r="B1493" i="3"/>
  <c r="D1492" i="3"/>
  <c r="E1492" i="3"/>
  <c r="G1492" i="3"/>
  <c r="I1492" i="3"/>
  <c r="J1492" i="3"/>
  <c r="L1492" i="3"/>
  <c r="N1492" i="3"/>
  <c r="M1492" i="3"/>
  <c r="C1492" i="3"/>
  <c r="H1492" i="3"/>
  <c r="F1492" i="3"/>
  <c r="B1492" i="3"/>
  <c r="D1491" i="3"/>
  <c r="E1491" i="3"/>
  <c r="G1491" i="3"/>
  <c r="I1491" i="3"/>
  <c r="J1491" i="3"/>
  <c r="L1491" i="3"/>
  <c r="N1491" i="3"/>
  <c r="M1491" i="3"/>
  <c r="C1491" i="3"/>
  <c r="H1491" i="3"/>
  <c r="F1491" i="3"/>
  <c r="B1491" i="3"/>
  <c r="D1490" i="3"/>
  <c r="E1490" i="3"/>
  <c r="G1490" i="3"/>
  <c r="I1490" i="3"/>
  <c r="J1490" i="3"/>
  <c r="L1490" i="3"/>
  <c r="N1490" i="3"/>
  <c r="M1490" i="3"/>
  <c r="C1490" i="3"/>
  <c r="H1490" i="3"/>
  <c r="F1490" i="3"/>
  <c r="B1490" i="3"/>
  <c r="D1489" i="3"/>
  <c r="E1489" i="3"/>
  <c r="G1489" i="3"/>
  <c r="I1489" i="3"/>
  <c r="J1489" i="3"/>
  <c r="L1489" i="3"/>
  <c r="N1489" i="3"/>
  <c r="M1489" i="3"/>
  <c r="C1489" i="3"/>
  <c r="H1489" i="3"/>
  <c r="F1489" i="3"/>
  <c r="B1489" i="3"/>
  <c r="D1488" i="3"/>
  <c r="E1488" i="3"/>
  <c r="G1488" i="3"/>
  <c r="I1488" i="3"/>
  <c r="J1488" i="3"/>
  <c r="L1488" i="3"/>
  <c r="N1488" i="3"/>
  <c r="M1488" i="3"/>
  <c r="C1488" i="3"/>
  <c r="H1488" i="3"/>
  <c r="F1488" i="3"/>
  <c r="B1488" i="3"/>
  <c r="D1487" i="3"/>
  <c r="E1487" i="3"/>
  <c r="G1487" i="3"/>
  <c r="I1487" i="3"/>
  <c r="J1487" i="3"/>
  <c r="L1487" i="3"/>
  <c r="N1487" i="3"/>
  <c r="M1487" i="3"/>
  <c r="C1487" i="3"/>
  <c r="H1487" i="3"/>
  <c r="F1487" i="3"/>
  <c r="B1487" i="3"/>
  <c r="D1486" i="3"/>
  <c r="E1486" i="3"/>
  <c r="G1486" i="3"/>
  <c r="I1486" i="3"/>
  <c r="J1486" i="3"/>
  <c r="L1486" i="3"/>
  <c r="N1486" i="3"/>
  <c r="M1486" i="3"/>
  <c r="C1486" i="3"/>
  <c r="H1486" i="3"/>
  <c r="F1486" i="3"/>
  <c r="B1486" i="3"/>
  <c r="D1485" i="3"/>
  <c r="E1485" i="3"/>
  <c r="G1485" i="3"/>
  <c r="I1485" i="3"/>
  <c r="J1485" i="3"/>
  <c r="L1485" i="3"/>
  <c r="N1485" i="3"/>
  <c r="M1485" i="3"/>
  <c r="C1485" i="3"/>
  <c r="H1485" i="3"/>
  <c r="F1485" i="3"/>
  <c r="B1485" i="3"/>
  <c r="D1484" i="3"/>
  <c r="E1484" i="3"/>
  <c r="G1484" i="3"/>
  <c r="I1484" i="3"/>
  <c r="J1484" i="3"/>
  <c r="L1484" i="3"/>
  <c r="N1484" i="3"/>
  <c r="M1484" i="3"/>
  <c r="C1484" i="3"/>
  <c r="H1484" i="3"/>
  <c r="F1484" i="3"/>
  <c r="B1484" i="3"/>
  <c r="D1483" i="3"/>
  <c r="E1483" i="3"/>
  <c r="G1483" i="3"/>
  <c r="I1483" i="3"/>
  <c r="J1483" i="3"/>
  <c r="L1483" i="3"/>
  <c r="N1483" i="3"/>
  <c r="M1483" i="3"/>
  <c r="C1483" i="3"/>
  <c r="H1483" i="3"/>
  <c r="F1483" i="3"/>
  <c r="B1483" i="3"/>
  <c r="D1482" i="3"/>
  <c r="E1482" i="3"/>
  <c r="G1482" i="3"/>
  <c r="I1482" i="3"/>
  <c r="J1482" i="3"/>
  <c r="L1482" i="3"/>
  <c r="N1482" i="3"/>
  <c r="M1482" i="3"/>
  <c r="C1482" i="3"/>
  <c r="H1482" i="3"/>
  <c r="F1482" i="3"/>
  <c r="B1482" i="3"/>
  <c r="D1481" i="3"/>
  <c r="E1481" i="3"/>
  <c r="G1481" i="3"/>
  <c r="I1481" i="3"/>
  <c r="J1481" i="3"/>
  <c r="L1481" i="3"/>
  <c r="N1481" i="3"/>
  <c r="M1481" i="3"/>
  <c r="C1481" i="3"/>
  <c r="H1481" i="3"/>
  <c r="F1481" i="3"/>
  <c r="B1481" i="3"/>
  <c r="D1480" i="3"/>
  <c r="E1480" i="3"/>
  <c r="G1480" i="3"/>
  <c r="I1480" i="3"/>
  <c r="J1480" i="3"/>
  <c r="L1480" i="3"/>
  <c r="N1480" i="3"/>
  <c r="M1480" i="3"/>
  <c r="C1480" i="3"/>
  <c r="H1480" i="3"/>
  <c r="F1480" i="3"/>
  <c r="B1480" i="3"/>
  <c r="D1479" i="3"/>
  <c r="E1479" i="3"/>
  <c r="G1479" i="3"/>
  <c r="I1479" i="3"/>
  <c r="J1479" i="3"/>
  <c r="L1479" i="3"/>
  <c r="N1479" i="3"/>
  <c r="M1479" i="3"/>
  <c r="C1479" i="3"/>
  <c r="H1479" i="3"/>
  <c r="F1479" i="3"/>
  <c r="B1479" i="3"/>
  <c r="D1478" i="3"/>
  <c r="E1478" i="3"/>
  <c r="G1478" i="3"/>
  <c r="I1478" i="3"/>
  <c r="J1478" i="3"/>
  <c r="L1478" i="3"/>
  <c r="N1478" i="3"/>
  <c r="M1478" i="3"/>
  <c r="C1478" i="3"/>
  <c r="H1478" i="3"/>
  <c r="F1478" i="3"/>
  <c r="B1478" i="3"/>
  <c r="D1477" i="3"/>
  <c r="E1477" i="3"/>
  <c r="G1477" i="3"/>
  <c r="I1477" i="3"/>
  <c r="J1477" i="3"/>
  <c r="L1477" i="3"/>
  <c r="N1477" i="3"/>
  <c r="M1477" i="3"/>
  <c r="C1477" i="3"/>
  <c r="H1477" i="3"/>
  <c r="F1477" i="3"/>
  <c r="B1477" i="3"/>
  <c r="D1476" i="3"/>
  <c r="E1476" i="3"/>
  <c r="G1476" i="3"/>
  <c r="I1476" i="3"/>
  <c r="J1476" i="3"/>
  <c r="L1476" i="3"/>
  <c r="N1476" i="3"/>
  <c r="M1476" i="3"/>
  <c r="C1476" i="3"/>
  <c r="H1476" i="3"/>
  <c r="F1476" i="3"/>
  <c r="B1476" i="3"/>
  <c r="D1475" i="3"/>
  <c r="E1475" i="3"/>
  <c r="G1475" i="3"/>
  <c r="I1475" i="3"/>
  <c r="J1475" i="3"/>
  <c r="L1475" i="3"/>
  <c r="N1475" i="3"/>
  <c r="M1475" i="3"/>
  <c r="C1475" i="3"/>
  <c r="H1475" i="3"/>
  <c r="F1475" i="3"/>
  <c r="B1475" i="3"/>
  <c r="D1474" i="3"/>
  <c r="E1474" i="3"/>
  <c r="G1474" i="3"/>
  <c r="I1474" i="3"/>
  <c r="J1474" i="3"/>
  <c r="L1474" i="3"/>
  <c r="N1474" i="3"/>
  <c r="M1474" i="3"/>
  <c r="C1474" i="3"/>
  <c r="H1474" i="3"/>
  <c r="F1474" i="3"/>
  <c r="B1474" i="3"/>
  <c r="D1473" i="3"/>
  <c r="E1473" i="3"/>
  <c r="G1473" i="3"/>
  <c r="I1473" i="3"/>
  <c r="J1473" i="3"/>
  <c r="L1473" i="3"/>
  <c r="N1473" i="3"/>
  <c r="M1473" i="3"/>
  <c r="C1473" i="3"/>
  <c r="H1473" i="3"/>
  <c r="F1473" i="3"/>
  <c r="B1473" i="3"/>
  <c r="D1472" i="3"/>
  <c r="E1472" i="3"/>
  <c r="G1472" i="3"/>
  <c r="I1472" i="3"/>
  <c r="J1472" i="3"/>
  <c r="L1472" i="3"/>
  <c r="N1472" i="3"/>
  <c r="M1472" i="3"/>
  <c r="C1472" i="3"/>
  <c r="H1472" i="3"/>
  <c r="F1472" i="3"/>
  <c r="B1472" i="3"/>
  <c r="D1471" i="3"/>
  <c r="E1471" i="3"/>
  <c r="G1471" i="3"/>
  <c r="I1471" i="3"/>
  <c r="J1471" i="3"/>
  <c r="L1471" i="3"/>
  <c r="N1471" i="3"/>
  <c r="M1471" i="3"/>
  <c r="C1471" i="3"/>
  <c r="H1471" i="3"/>
  <c r="F1471" i="3"/>
  <c r="B1471" i="3"/>
  <c r="D1470" i="3"/>
  <c r="E1470" i="3"/>
  <c r="G1470" i="3"/>
  <c r="I1470" i="3"/>
  <c r="J1470" i="3"/>
  <c r="L1470" i="3"/>
  <c r="N1470" i="3"/>
  <c r="M1470" i="3"/>
  <c r="C1470" i="3"/>
  <c r="H1470" i="3"/>
  <c r="F1470" i="3"/>
  <c r="B1470" i="3"/>
  <c r="D1469" i="3"/>
  <c r="E1469" i="3"/>
  <c r="G1469" i="3"/>
  <c r="I1469" i="3"/>
  <c r="J1469" i="3"/>
  <c r="L1469" i="3"/>
  <c r="N1469" i="3"/>
  <c r="M1469" i="3"/>
  <c r="C1469" i="3"/>
  <c r="H1469" i="3"/>
  <c r="F1469" i="3"/>
  <c r="B1469" i="3"/>
  <c r="D1468" i="3"/>
  <c r="E1468" i="3"/>
  <c r="G1468" i="3"/>
  <c r="I1468" i="3"/>
  <c r="J1468" i="3"/>
  <c r="L1468" i="3"/>
  <c r="N1468" i="3"/>
  <c r="M1468" i="3"/>
  <c r="C1468" i="3"/>
  <c r="H1468" i="3"/>
  <c r="F1468" i="3"/>
  <c r="B1468" i="3"/>
  <c r="D1467" i="3"/>
  <c r="E1467" i="3"/>
  <c r="G1467" i="3"/>
  <c r="I1467" i="3"/>
  <c r="J1467" i="3"/>
  <c r="L1467" i="3"/>
  <c r="N1467" i="3"/>
  <c r="M1467" i="3"/>
  <c r="C1467" i="3"/>
  <c r="H1467" i="3"/>
  <c r="F1467" i="3"/>
  <c r="B1467" i="3"/>
  <c r="D1466" i="3"/>
  <c r="E1466" i="3"/>
  <c r="G1466" i="3"/>
  <c r="I1466" i="3"/>
  <c r="J1466" i="3"/>
  <c r="L1466" i="3"/>
  <c r="N1466" i="3"/>
  <c r="M1466" i="3"/>
  <c r="C1466" i="3"/>
  <c r="H1466" i="3"/>
  <c r="F1466" i="3"/>
  <c r="B1466" i="3"/>
  <c r="D1465" i="3"/>
  <c r="E1465" i="3"/>
  <c r="G1465" i="3"/>
  <c r="I1465" i="3"/>
  <c r="J1465" i="3"/>
  <c r="L1465" i="3"/>
  <c r="N1465" i="3"/>
  <c r="M1465" i="3"/>
  <c r="C1465" i="3"/>
  <c r="H1465" i="3"/>
  <c r="F1465" i="3"/>
  <c r="B1465" i="3"/>
  <c r="D1464" i="3"/>
  <c r="E1464" i="3"/>
  <c r="G1464" i="3"/>
  <c r="I1464" i="3"/>
  <c r="J1464" i="3"/>
  <c r="L1464" i="3"/>
  <c r="N1464" i="3"/>
  <c r="M1464" i="3"/>
  <c r="C1464" i="3"/>
  <c r="H1464" i="3"/>
  <c r="F1464" i="3"/>
  <c r="B1464" i="3"/>
  <c r="D1463" i="3"/>
  <c r="E1463" i="3"/>
  <c r="G1463" i="3"/>
  <c r="I1463" i="3"/>
  <c r="J1463" i="3"/>
  <c r="L1463" i="3"/>
  <c r="N1463" i="3"/>
  <c r="M1463" i="3"/>
  <c r="C1463" i="3"/>
  <c r="H1463" i="3"/>
  <c r="F1463" i="3"/>
  <c r="B1463" i="3"/>
  <c r="D1462" i="3"/>
  <c r="E1462" i="3"/>
  <c r="G1462" i="3"/>
  <c r="I1462" i="3"/>
  <c r="J1462" i="3"/>
  <c r="L1462" i="3"/>
  <c r="N1462" i="3"/>
  <c r="M1462" i="3"/>
  <c r="C1462" i="3"/>
  <c r="H1462" i="3"/>
  <c r="F1462" i="3"/>
  <c r="B1462" i="3"/>
  <c r="D1461" i="3"/>
  <c r="E1461" i="3"/>
  <c r="G1461" i="3"/>
  <c r="I1461" i="3"/>
  <c r="J1461" i="3"/>
  <c r="L1461" i="3"/>
  <c r="N1461" i="3"/>
  <c r="M1461" i="3"/>
  <c r="C1461" i="3"/>
  <c r="H1461" i="3"/>
  <c r="F1461" i="3"/>
  <c r="B1461" i="3"/>
  <c r="D1460" i="3"/>
  <c r="E1460" i="3"/>
  <c r="G1460" i="3"/>
  <c r="I1460" i="3"/>
  <c r="J1460" i="3"/>
  <c r="L1460" i="3"/>
  <c r="N1460" i="3"/>
  <c r="M1460" i="3"/>
  <c r="C1460" i="3"/>
  <c r="H1460" i="3"/>
  <c r="F1460" i="3"/>
  <c r="B1460" i="3"/>
  <c r="D1459" i="3"/>
  <c r="E1459" i="3"/>
  <c r="G1459" i="3"/>
  <c r="I1459" i="3"/>
  <c r="J1459" i="3"/>
  <c r="L1459" i="3"/>
  <c r="N1459" i="3"/>
  <c r="M1459" i="3"/>
  <c r="C1459" i="3"/>
  <c r="H1459" i="3"/>
  <c r="F1459" i="3"/>
  <c r="B1459" i="3"/>
  <c r="D1458" i="3"/>
  <c r="E1458" i="3"/>
  <c r="G1458" i="3"/>
  <c r="I1458" i="3"/>
  <c r="J1458" i="3"/>
  <c r="L1458" i="3"/>
  <c r="N1458" i="3"/>
  <c r="M1458" i="3"/>
  <c r="C1458" i="3"/>
  <c r="H1458" i="3"/>
  <c r="F1458" i="3"/>
  <c r="B1458" i="3"/>
  <c r="D1457" i="3"/>
  <c r="E1457" i="3"/>
  <c r="G1457" i="3"/>
  <c r="I1457" i="3"/>
  <c r="J1457" i="3"/>
  <c r="L1457" i="3"/>
  <c r="N1457" i="3"/>
  <c r="M1457" i="3"/>
  <c r="C1457" i="3"/>
  <c r="H1457" i="3"/>
  <c r="F1457" i="3"/>
  <c r="B1457" i="3"/>
  <c r="D1456" i="3"/>
  <c r="E1456" i="3"/>
  <c r="G1456" i="3"/>
  <c r="I1456" i="3"/>
  <c r="J1456" i="3"/>
  <c r="L1456" i="3"/>
  <c r="N1456" i="3"/>
  <c r="M1456" i="3"/>
  <c r="C1456" i="3"/>
  <c r="H1456" i="3"/>
  <c r="F1456" i="3"/>
  <c r="B1456" i="3"/>
  <c r="D1455" i="3"/>
  <c r="E1455" i="3"/>
  <c r="G1455" i="3"/>
  <c r="I1455" i="3"/>
  <c r="J1455" i="3"/>
  <c r="L1455" i="3"/>
  <c r="N1455" i="3"/>
  <c r="M1455" i="3"/>
  <c r="C1455" i="3"/>
  <c r="H1455" i="3"/>
  <c r="F1455" i="3"/>
  <c r="B1455" i="3"/>
  <c r="D1454" i="3"/>
  <c r="E1454" i="3"/>
  <c r="G1454" i="3"/>
  <c r="I1454" i="3"/>
  <c r="J1454" i="3"/>
  <c r="L1454" i="3"/>
  <c r="N1454" i="3"/>
  <c r="M1454" i="3"/>
  <c r="C1454" i="3"/>
  <c r="H1454" i="3"/>
  <c r="F1454" i="3"/>
  <c r="B1454" i="3"/>
  <c r="D1453" i="3"/>
  <c r="E1453" i="3"/>
  <c r="G1453" i="3"/>
  <c r="I1453" i="3"/>
  <c r="J1453" i="3"/>
  <c r="L1453" i="3"/>
  <c r="N1453" i="3"/>
  <c r="M1453" i="3"/>
  <c r="C1453" i="3"/>
  <c r="H1453" i="3"/>
  <c r="F1453" i="3"/>
  <c r="B1453" i="3"/>
  <c r="D1452" i="3"/>
  <c r="E1452" i="3"/>
  <c r="G1452" i="3"/>
  <c r="I1452" i="3"/>
  <c r="J1452" i="3"/>
  <c r="L1452" i="3"/>
  <c r="N1452" i="3"/>
  <c r="M1452" i="3"/>
  <c r="C1452" i="3"/>
  <c r="H1452" i="3"/>
  <c r="F1452" i="3"/>
  <c r="B1452" i="3"/>
  <c r="D1451" i="3"/>
  <c r="E1451" i="3"/>
  <c r="G1451" i="3"/>
  <c r="I1451" i="3"/>
  <c r="J1451" i="3"/>
  <c r="L1451" i="3"/>
  <c r="N1451" i="3"/>
  <c r="M1451" i="3"/>
  <c r="C1451" i="3"/>
  <c r="H1451" i="3"/>
  <c r="F1451" i="3"/>
  <c r="B1451" i="3"/>
  <c r="D1450" i="3"/>
  <c r="E1450" i="3"/>
  <c r="G1450" i="3"/>
  <c r="I1450" i="3"/>
  <c r="J1450" i="3"/>
  <c r="L1450" i="3"/>
  <c r="N1450" i="3"/>
  <c r="M1450" i="3"/>
  <c r="C1450" i="3"/>
  <c r="H1450" i="3"/>
  <c r="F1450" i="3"/>
  <c r="B1450" i="3"/>
  <c r="D1449" i="3"/>
  <c r="E1449" i="3"/>
  <c r="G1449" i="3"/>
  <c r="I1449" i="3"/>
  <c r="J1449" i="3"/>
  <c r="L1449" i="3"/>
  <c r="N1449" i="3"/>
  <c r="M1449" i="3"/>
  <c r="C1449" i="3"/>
  <c r="H1449" i="3"/>
  <c r="F1449" i="3"/>
  <c r="B1449" i="3"/>
  <c r="D1448" i="3"/>
  <c r="E1448" i="3"/>
  <c r="G1448" i="3"/>
  <c r="I1448" i="3"/>
  <c r="J1448" i="3"/>
  <c r="L1448" i="3"/>
  <c r="N1448" i="3"/>
  <c r="M1448" i="3"/>
  <c r="C1448" i="3"/>
  <c r="H1448" i="3"/>
  <c r="F1448" i="3"/>
  <c r="B1448" i="3"/>
  <c r="D1447" i="3"/>
  <c r="E1447" i="3"/>
  <c r="G1447" i="3"/>
  <c r="I1447" i="3"/>
  <c r="J1447" i="3"/>
  <c r="L1447" i="3"/>
  <c r="N1447" i="3"/>
  <c r="M1447" i="3"/>
  <c r="C1447" i="3"/>
  <c r="H1447" i="3"/>
  <c r="F1447" i="3"/>
  <c r="B1447" i="3"/>
  <c r="D1446" i="3"/>
  <c r="E1446" i="3"/>
  <c r="G1446" i="3"/>
  <c r="I1446" i="3"/>
  <c r="J1446" i="3"/>
  <c r="L1446" i="3"/>
  <c r="N1446" i="3"/>
  <c r="M1446" i="3"/>
  <c r="C1446" i="3"/>
  <c r="H1446" i="3"/>
  <c r="F1446" i="3"/>
  <c r="B1446" i="3"/>
  <c r="D1445" i="3"/>
  <c r="E1445" i="3"/>
  <c r="G1445" i="3"/>
  <c r="I1445" i="3"/>
  <c r="J1445" i="3"/>
  <c r="L1445" i="3"/>
  <c r="N1445" i="3"/>
  <c r="M1445" i="3"/>
  <c r="C1445" i="3"/>
  <c r="H1445" i="3"/>
  <c r="F1445" i="3"/>
  <c r="B1445" i="3"/>
  <c r="D1444" i="3"/>
  <c r="E1444" i="3"/>
  <c r="G1444" i="3"/>
  <c r="I1444" i="3"/>
  <c r="J1444" i="3"/>
  <c r="L1444" i="3"/>
  <c r="N1444" i="3"/>
  <c r="M1444" i="3"/>
  <c r="C1444" i="3"/>
  <c r="H1444" i="3"/>
  <c r="F1444" i="3"/>
  <c r="B1444" i="3"/>
  <c r="D1443" i="3"/>
  <c r="E1443" i="3"/>
  <c r="G1443" i="3"/>
  <c r="I1443" i="3"/>
  <c r="J1443" i="3"/>
  <c r="L1443" i="3"/>
  <c r="N1443" i="3"/>
  <c r="M1443" i="3"/>
  <c r="C1443" i="3"/>
  <c r="H1443" i="3"/>
  <c r="F1443" i="3"/>
  <c r="B1443" i="3"/>
  <c r="D1442" i="3"/>
  <c r="E1442" i="3"/>
  <c r="G1442" i="3"/>
  <c r="I1442" i="3"/>
  <c r="J1442" i="3"/>
  <c r="L1442" i="3"/>
  <c r="N1442" i="3"/>
  <c r="M1442" i="3"/>
  <c r="C1442" i="3"/>
  <c r="H1442" i="3"/>
  <c r="F1442" i="3"/>
  <c r="B1442" i="3"/>
  <c r="D1441" i="3"/>
  <c r="E1441" i="3"/>
  <c r="G1441" i="3"/>
  <c r="I1441" i="3"/>
  <c r="J1441" i="3"/>
  <c r="L1441" i="3"/>
  <c r="N1441" i="3"/>
  <c r="M1441" i="3"/>
  <c r="C1441" i="3"/>
  <c r="H1441" i="3"/>
  <c r="F1441" i="3"/>
  <c r="B1441" i="3"/>
  <c r="D1440" i="3"/>
  <c r="E1440" i="3"/>
  <c r="G1440" i="3"/>
  <c r="I1440" i="3"/>
  <c r="J1440" i="3"/>
  <c r="L1440" i="3"/>
  <c r="N1440" i="3"/>
  <c r="M1440" i="3"/>
  <c r="C1440" i="3"/>
  <c r="H1440" i="3"/>
  <c r="F1440" i="3"/>
  <c r="B1440" i="3"/>
  <c r="D1439" i="3"/>
  <c r="E1439" i="3"/>
  <c r="G1439" i="3"/>
  <c r="I1439" i="3"/>
  <c r="J1439" i="3"/>
  <c r="L1439" i="3"/>
  <c r="N1439" i="3"/>
  <c r="M1439" i="3"/>
  <c r="C1439" i="3"/>
  <c r="H1439" i="3"/>
  <c r="F1439" i="3"/>
  <c r="B1439" i="3"/>
  <c r="D1438" i="3"/>
  <c r="E1438" i="3"/>
  <c r="G1438" i="3"/>
  <c r="I1438" i="3"/>
  <c r="J1438" i="3"/>
  <c r="L1438" i="3"/>
  <c r="N1438" i="3"/>
  <c r="M1438" i="3"/>
  <c r="C1438" i="3"/>
  <c r="H1438" i="3"/>
  <c r="F1438" i="3"/>
  <c r="B1438" i="3"/>
  <c r="D1437" i="3"/>
  <c r="E1437" i="3"/>
  <c r="G1437" i="3"/>
  <c r="I1437" i="3"/>
  <c r="J1437" i="3"/>
  <c r="L1437" i="3"/>
  <c r="N1437" i="3"/>
  <c r="M1437" i="3"/>
  <c r="C1437" i="3"/>
  <c r="H1437" i="3"/>
  <c r="F1437" i="3"/>
  <c r="B1437" i="3"/>
  <c r="D1436" i="3"/>
  <c r="E1436" i="3"/>
  <c r="G1436" i="3"/>
  <c r="I1436" i="3"/>
  <c r="J1436" i="3"/>
  <c r="L1436" i="3"/>
  <c r="N1436" i="3"/>
  <c r="M1436" i="3"/>
  <c r="C1436" i="3"/>
  <c r="H1436" i="3"/>
  <c r="F1436" i="3"/>
  <c r="B1436" i="3"/>
  <c r="D1435" i="3"/>
  <c r="E1435" i="3"/>
  <c r="G1435" i="3"/>
  <c r="I1435" i="3"/>
  <c r="J1435" i="3"/>
  <c r="L1435" i="3"/>
  <c r="N1435" i="3"/>
  <c r="M1435" i="3"/>
  <c r="C1435" i="3"/>
  <c r="H1435" i="3"/>
  <c r="F1435" i="3"/>
  <c r="B1435" i="3"/>
  <c r="D1434" i="3"/>
  <c r="E1434" i="3"/>
  <c r="G1434" i="3"/>
  <c r="I1434" i="3"/>
  <c r="J1434" i="3"/>
  <c r="L1434" i="3"/>
  <c r="N1434" i="3"/>
  <c r="M1434" i="3"/>
  <c r="C1434" i="3"/>
  <c r="H1434" i="3"/>
  <c r="F1434" i="3"/>
  <c r="B1434" i="3"/>
  <c r="D1433" i="3"/>
  <c r="E1433" i="3"/>
  <c r="G1433" i="3"/>
  <c r="I1433" i="3"/>
  <c r="J1433" i="3"/>
  <c r="L1433" i="3"/>
  <c r="N1433" i="3"/>
  <c r="M1433" i="3"/>
  <c r="C1433" i="3"/>
  <c r="H1433" i="3"/>
  <c r="F1433" i="3"/>
  <c r="B1433" i="3"/>
  <c r="D1432" i="3"/>
  <c r="E1432" i="3"/>
  <c r="G1432" i="3"/>
  <c r="I1432" i="3"/>
  <c r="J1432" i="3"/>
  <c r="L1432" i="3"/>
  <c r="N1432" i="3"/>
  <c r="M1432" i="3"/>
  <c r="C1432" i="3"/>
  <c r="H1432" i="3"/>
  <c r="F1432" i="3"/>
  <c r="B1432" i="3"/>
  <c r="D1431" i="3"/>
  <c r="E1431" i="3"/>
  <c r="G1431" i="3"/>
  <c r="I1431" i="3"/>
  <c r="J1431" i="3"/>
  <c r="L1431" i="3"/>
  <c r="N1431" i="3"/>
  <c r="M1431" i="3"/>
  <c r="C1431" i="3"/>
  <c r="H1431" i="3"/>
  <c r="F1431" i="3"/>
  <c r="B1431" i="3"/>
  <c r="D1430" i="3"/>
  <c r="E1430" i="3"/>
  <c r="G1430" i="3"/>
  <c r="I1430" i="3"/>
  <c r="J1430" i="3"/>
  <c r="L1430" i="3"/>
  <c r="N1430" i="3"/>
  <c r="M1430" i="3"/>
  <c r="C1430" i="3"/>
  <c r="H1430" i="3"/>
  <c r="F1430" i="3"/>
  <c r="B1430" i="3"/>
  <c r="D1429" i="3"/>
  <c r="E1429" i="3"/>
  <c r="G1429" i="3"/>
  <c r="I1429" i="3"/>
  <c r="J1429" i="3"/>
  <c r="L1429" i="3"/>
  <c r="N1429" i="3"/>
  <c r="M1429" i="3"/>
  <c r="C1429" i="3"/>
  <c r="H1429" i="3"/>
  <c r="F1429" i="3"/>
  <c r="B1429" i="3"/>
  <c r="D1428" i="3"/>
  <c r="E1428" i="3"/>
  <c r="G1428" i="3"/>
  <c r="I1428" i="3"/>
  <c r="J1428" i="3"/>
  <c r="L1428" i="3"/>
  <c r="N1428" i="3"/>
  <c r="M1428" i="3"/>
  <c r="C1428" i="3"/>
  <c r="H1428" i="3"/>
  <c r="F1428" i="3"/>
  <c r="B1428" i="3"/>
  <c r="D1427" i="3"/>
  <c r="E1427" i="3"/>
  <c r="G1427" i="3"/>
  <c r="I1427" i="3"/>
  <c r="J1427" i="3"/>
  <c r="L1427" i="3"/>
  <c r="N1427" i="3"/>
  <c r="M1427" i="3"/>
  <c r="C1427" i="3"/>
  <c r="H1427" i="3"/>
  <c r="F1427" i="3"/>
  <c r="B1427" i="3"/>
  <c r="D1426" i="3"/>
  <c r="E1426" i="3"/>
  <c r="G1426" i="3"/>
  <c r="I1426" i="3"/>
  <c r="J1426" i="3"/>
  <c r="L1426" i="3"/>
  <c r="N1426" i="3"/>
  <c r="M1426" i="3"/>
  <c r="C1426" i="3"/>
  <c r="H1426" i="3"/>
  <c r="F1426" i="3"/>
  <c r="B1426" i="3"/>
  <c r="D1425" i="3"/>
  <c r="E1425" i="3"/>
  <c r="G1425" i="3"/>
  <c r="I1425" i="3"/>
  <c r="J1425" i="3"/>
  <c r="L1425" i="3"/>
  <c r="N1425" i="3"/>
  <c r="M1425" i="3"/>
  <c r="C1425" i="3"/>
  <c r="H1425" i="3"/>
  <c r="F1425" i="3"/>
  <c r="B1425" i="3"/>
  <c r="D1424" i="3"/>
  <c r="E1424" i="3"/>
  <c r="G1424" i="3"/>
  <c r="I1424" i="3"/>
  <c r="J1424" i="3"/>
  <c r="L1424" i="3"/>
  <c r="N1424" i="3"/>
  <c r="M1424" i="3"/>
  <c r="C1424" i="3"/>
  <c r="H1424" i="3"/>
  <c r="F1424" i="3"/>
  <c r="B1424" i="3"/>
  <c r="D1423" i="3"/>
  <c r="E1423" i="3"/>
  <c r="G1423" i="3"/>
  <c r="I1423" i="3"/>
  <c r="J1423" i="3"/>
  <c r="L1423" i="3"/>
  <c r="N1423" i="3"/>
  <c r="M1423" i="3"/>
  <c r="C1423" i="3"/>
  <c r="H1423" i="3"/>
  <c r="F1423" i="3"/>
  <c r="B1423" i="3"/>
  <c r="D1422" i="3"/>
  <c r="E1422" i="3"/>
  <c r="G1422" i="3"/>
  <c r="I1422" i="3"/>
  <c r="J1422" i="3"/>
  <c r="L1422" i="3"/>
  <c r="N1422" i="3"/>
  <c r="M1422" i="3"/>
  <c r="C1422" i="3"/>
  <c r="H1422" i="3"/>
  <c r="F1422" i="3"/>
  <c r="B1422" i="3"/>
  <c r="D1421" i="3"/>
  <c r="E1421" i="3"/>
  <c r="G1421" i="3"/>
  <c r="I1421" i="3"/>
  <c r="J1421" i="3"/>
  <c r="L1421" i="3"/>
  <c r="N1421" i="3"/>
  <c r="M1421" i="3"/>
  <c r="C1421" i="3"/>
  <c r="H1421" i="3"/>
  <c r="F1421" i="3"/>
  <c r="B1421" i="3"/>
  <c r="D1420" i="3"/>
  <c r="E1420" i="3"/>
  <c r="G1420" i="3"/>
  <c r="I1420" i="3"/>
  <c r="J1420" i="3"/>
  <c r="L1420" i="3"/>
  <c r="N1420" i="3"/>
  <c r="M1420" i="3"/>
  <c r="C1420" i="3"/>
  <c r="H1420" i="3"/>
  <c r="F1420" i="3"/>
  <c r="B1420" i="3"/>
  <c r="D1419" i="3"/>
  <c r="E1419" i="3"/>
  <c r="G1419" i="3"/>
  <c r="I1419" i="3"/>
  <c r="J1419" i="3"/>
  <c r="L1419" i="3"/>
  <c r="N1419" i="3"/>
  <c r="M1419" i="3"/>
  <c r="C1419" i="3"/>
  <c r="H1419" i="3"/>
  <c r="F1419" i="3"/>
  <c r="B1419" i="3"/>
  <c r="D1418" i="3"/>
  <c r="E1418" i="3"/>
  <c r="G1418" i="3"/>
  <c r="I1418" i="3"/>
  <c r="J1418" i="3"/>
  <c r="L1418" i="3"/>
  <c r="N1418" i="3"/>
  <c r="M1418" i="3"/>
  <c r="C1418" i="3"/>
  <c r="H1418" i="3"/>
  <c r="F1418" i="3"/>
  <c r="B1418" i="3"/>
  <c r="D1417" i="3"/>
  <c r="E1417" i="3"/>
  <c r="G1417" i="3"/>
  <c r="I1417" i="3"/>
  <c r="J1417" i="3"/>
  <c r="L1417" i="3"/>
  <c r="N1417" i="3"/>
  <c r="M1417" i="3"/>
  <c r="C1417" i="3"/>
  <c r="H1417" i="3"/>
  <c r="F1417" i="3"/>
  <c r="B1417" i="3"/>
  <c r="D1416" i="3"/>
  <c r="E1416" i="3"/>
  <c r="G1416" i="3"/>
  <c r="I1416" i="3"/>
  <c r="J1416" i="3"/>
  <c r="L1416" i="3"/>
  <c r="N1416" i="3"/>
  <c r="M1416" i="3"/>
  <c r="C1416" i="3"/>
  <c r="H1416" i="3"/>
  <c r="F1416" i="3"/>
  <c r="B1416" i="3"/>
  <c r="D1415" i="3"/>
  <c r="E1415" i="3"/>
  <c r="G1415" i="3"/>
  <c r="I1415" i="3"/>
  <c r="J1415" i="3"/>
  <c r="L1415" i="3"/>
  <c r="N1415" i="3"/>
  <c r="M1415" i="3"/>
  <c r="C1415" i="3"/>
  <c r="H1415" i="3"/>
  <c r="F1415" i="3"/>
  <c r="B1415" i="3"/>
  <c r="D1414" i="3"/>
  <c r="E1414" i="3"/>
  <c r="G1414" i="3"/>
  <c r="I1414" i="3"/>
  <c r="J1414" i="3"/>
  <c r="L1414" i="3"/>
  <c r="N1414" i="3"/>
  <c r="M1414" i="3"/>
  <c r="C1414" i="3"/>
  <c r="H1414" i="3"/>
  <c r="F1414" i="3"/>
  <c r="B1414" i="3"/>
  <c r="D1413" i="3"/>
  <c r="E1413" i="3"/>
  <c r="G1413" i="3"/>
  <c r="I1413" i="3"/>
  <c r="J1413" i="3"/>
  <c r="L1413" i="3"/>
  <c r="N1413" i="3"/>
  <c r="M1413" i="3"/>
  <c r="C1413" i="3"/>
  <c r="H1413" i="3"/>
  <c r="F1413" i="3"/>
  <c r="B1413" i="3"/>
  <c r="D1412" i="3"/>
  <c r="E1412" i="3"/>
  <c r="G1412" i="3"/>
  <c r="I1412" i="3"/>
  <c r="J1412" i="3"/>
  <c r="L1412" i="3"/>
  <c r="N1412" i="3"/>
  <c r="M1412" i="3"/>
  <c r="C1412" i="3"/>
  <c r="H1412" i="3"/>
  <c r="F1412" i="3"/>
  <c r="B1412" i="3"/>
  <c r="D1411" i="3"/>
  <c r="E1411" i="3"/>
  <c r="G1411" i="3"/>
  <c r="I1411" i="3"/>
  <c r="J1411" i="3"/>
  <c r="L1411" i="3"/>
  <c r="N1411" i="3"/>
  <c r="M1411" i="3"/>
  <c r="C1411" i="3"/>
  <c r="H1411" i="3"/>
  <c r="F1411" i="3"/>
  <c r="B1411" i="3"/>
  <c r="D1410" i="3"/>
  <c r="E1410" i="3"/>
  <c r="G1410" i="3"/>
  <c r="I1410" i="3"/>
  <c r="J1410" i="3"/>
  <c r="L1410" i="3"/>
  <c r="N1410" i="3"/>
  <c r="M1410" i="3"/>
  <c r="C1410" i="3"/>
  <c r="H1410" i="3"/>
  <c r="F1410" i="3"/>
  <c r="B1410" i="3"/>
  <c r="D1409" i="3"/>
  <c r="E1409" i="3"/>
  <c r="G1409" i="3"/>
  <c r="I1409" i="3"/>
  <c r="J1409" i="3"/>
  <c r="L1409" i="3"/>
  <c r="N1409" i="3"/>
  <c r="M1409" i="3"/>
  <c r="C1409" i="3"/>
  <c r="H1409" i="3"/>
  <c r="F1409" i="3"/>
  <c r="B1409" i="3"/>
  <c r="D1408" i="3"/>
  <c r="E1408" i="3"/>
  <c r="G1408" i="3"/>
  <c r="I1408" i="3"/>
  <c r="J1408" i="3"/>
  <c r="L1408" i="3"/>
  <c r="N1408" i="3"/>
  <c r="M1408" i="3"/>
  <c r="C1408" i="3"/>
  <c r="H1408" i="3"/>
  <c r="F1408" i="3"/>
  <c r="B1408" i="3"/>
  <c r="D1407" i="3"/>
  <c r="E1407" i="3"/>
  <c r="G1407" i="3"/>
  <c r="I1407" i="3"/>
  <c r="J1407" i="3"/>
  <c r="L1407" i="3"/>
  <c r="N1407" i="3"/>
  <c r="M1407" i="3"/>
  <c r="C1407" i="3"/>
  <c r="H1407" i="3"/>
  <c r="F1407" i="3"/>
  <c r="B1407" i="3"/>
  <c r="D1406" i="3"/>
  <c r="E1406" i="3"/>
  <c r="G1406" i="3"/>
  <c r="I1406" i="3"/>
  <c r="J1406" i="3"/>
  <c r="L1406" i="3"/>
  <c r="N1406" i="3"/>
  <c r="M1406" i="3"/>
  <c r="C1406" i="3"/>
  <c r="H1406" i="3"/>
  <c r="F1406" i="3"/>
  <c r="B1406" i="3"/>
  <c r="D1405" i="3"/>
  <c r="E1405" i="3"/>
  <c r="G1405" i="3"/>
  <c r="I1405" i="3"/>
  <c r="J1405" i="3"/>
  <c r="L1405" i="3"/>
  <c r="N1405" i="3"/>
  <c r="M1405" i="3"/>
  <c r="C1405" i="3"/>
  <c r="H1405" i="3"/>
  <c r="F1405" i="3"/>
  <c r="B1405" i="3"/>
  <c r="D1404" i="3"/>
  <c r="E1404" i="3"/>
  <c r="G1404" i="3"/>
  <c r="I1404" i="3"/>
  <c r="J1404" i="3"/>
  <c r="L1404" i="3"/>
  <c r="N1404" i="3"/>
  <c r="M1404" i="3"/>
  <c r="C1404" i="3"/>
  <c r="H1404" i="3"/>
  <c r="F1404" i="3"/>
  <c r="B1404" i="3"/>
  <c r="D1403" i="3"/>
  <c r="E1403" i="3"/>
  <c r="G1403" i="3"/>
  <c r="I1403" i="3"/>
  <c r="J1403" i="3"/>
  <c r="L1403" i="3"/>
  <c r="N1403" i="3"/>
  <c r="M1403" i="3"/>
  <c r="C1403" i="3"/>
  <c r="H1403" i="3"/>
  <c r="F1403" i="3"/>
  <c r="B1403" i="3"/>
  <c r="D1402" i="3"/>
  <c r="E1402" i="3"/>
  <c r="G1402" i="3"/>
  <c r="I1402" i="3"/>
  <c r="J1402" i="3"/>
  <c r="L1402" i="3"/>
  <c r="N1402" i="3"/>
  <c r="M1402" i="3"/>
  <c r="C1402" i="3"/>
  <c r="H1402" i="3"/>
  <c r="F1402" i="3"/>
  <c r="B1402" i="3"/>
  <c r="D1401" i="3"/>
  <c r="E1401" i="3"/>
  <c r="G1401" i="3"/>
  <c r="I1401" i="3"/>
  <c r="J1401" i="3"/>
  <c r="L1401" i="3"/>
  <c r="N1401" i="3"/>
  <c r="M1401" i="3"/>
  <c r="C1401" i="3"/>
  <c r="H1401" i="3"/>
  <c r="F1401" i="3"/>
  <c r="B1401" i="3"/>
  <c r="D1400" i="3"/>
  <c r="E1400" i="3"/>
  <c r="G1400" i="3"/>
  <c r="I1400" i="3"/>
  <c r="J1400" i="3"/>
  <c r="L1400" i="3"/>
  <c r="N1400" i="3"/>
  <c r="M1400" i="3"/>
  <c r="C1400" i="3"/>
  <c r="H1400" i="3"/>
  <c r="F1400" i="3"/>
  <c r="B1400" i="3"/>
  <c r="D1399" i="3"/>
  <c r="E1399" i="3"/>
  <c r="G1399" i="3"/>
  <c r="I1399" i="3"/>
  <c r="J1399" i="3"/>
  <c r="L1399" i="3"/>
  <c r="N1399" i="3"/>
  <c r="M1399" i="3"/>
  <c r="C1399" i="3"/>
  <c r="H1399" i="3"/>
  <c r="F1399" i="3"/>
  <c r="B1399" i="3"/>
  <c r="D1398" i="3"/>
  <c r="E1398" i="3"/>
  <c r="G1398" i="3"/>
  <c r="I1398" i="3"/>
  <c r="J1398" i="3"/>
  <c r="L1398" i="3"/>
  <c r="N1398" i="3"/>
  <c r="M1398" i="3"/>
  <c r="C1398" i="3"/>
  <c r="H1398" i="3"/>
  <c r="F1398" i="3"/>
  <c r="B1398" i="3"/>
  <c r="D1397" i="3"/>
  <c r="E1397" i="3"/>
  <c r="G1397" i="3"/>
  <c r="I1397" i="3"/>
  <c r="J1397" i="3"/>
  <c r="L1397" i="3"/>
  <c r="N1397" i="3"/>
  <c r="M1397" i="3"/>
  <c r="C1397" i="3"/>
  <c r="H1397" i="3"/>
  <c r="F1397" i="3"/>
  <c r="B1397" i="3"/>
  <c r="D1396" i="3"/>
  <c r="E1396" i="3"/>
  <c r="G1396" i="3"/>
  <c r="I1396" i="3"/>
  <c r="J1396" i="3"/>
  <c r="L1396" i="3"/>
  <c r="N1396" i="3"/>
  <c r="M1396" i="3"/>
  <c r="C1396" i="3"/>
  <c r="H1396" i="3"/>
  <c r="F1396" i="3"/>
  <c r="B1396" i="3"/>
  <c r="D1395" i="3"/>
  <c r="E1395" i="3"/>
  <c r="G1395" i="3"/>
  <c r="I1395" i="3"/>
  <c r="J1395" i="3"/>
  <c r="L1395" i="3"/>
  <c r="N1395" i="3"/>
  <c r="M1395" i="3"/>
  <c r="C1395" i="3"/>
  <c r="H1395" i="3"/>
  <c r="F1395" i="3"/>
  <c r="B1395" i="3"/>
  <c r="D1394" i="3"/>
  <c r="E1394" i="3"/>
  <c r="G1394" i="3"/>
  <c r="I1394" i="3"/>
  <c r="J1394" i="3"/>
  <c r="L1394" i="3"/>
  <c r="N1394" i="3"/>
  <c r="M1394" i="3"/>
  <c r="C1394" i="3"/>
  <c r="H1394" i="3"/>
  <c r="F1394" i="3"/>
  <c r="B1394" i="3"/>
  <c r="D1393" i="3"/>
  <c r="E1393" i="3"/>
  <c r="G1393" i="3"/>
  <c r="I1393" i="3"/>
  <c r="J1393" i="3"/>
  <c r="L1393" i="3"/>
  <c r="N1393" i="3"/>
  <c r="M1393" i="3"/>
  <c r="C1393" i="3"/>
  <c r="H1393" i="3"/>
  <c r="F1393" i="3"/>
  <c r="B1393" i="3"/>
  <c r="D1392" i="3"/>
  <c r="E1392" i="3"/>
  <c r="G1392" i="3"/>
  <c r="I1392" i="3"/>
  <c r="J1392" i="3"/>
  <c r="L1392" i="3"/>
  <c r="N1392" i="3"/>
  <c r="M1392" i="3"/>
  <c r="C1392" i="3"/>
  <c r="H1392" i="3"/>
  <c r="F1392" i="3"/>
  <c r="B1392" i="3"/>
  <c r="D1391" i="3"/>
  <c r="E1391" i="3"/>
  <c r="G1391" i="3"/>
  <c r="I1391" i="3"/>
  <c r="J1391" i="3"/>
  <c r="L1391" i="3"/>
  <c r="N1391" i="3"/>
  <c r="M1391" i="3"/>
  <c r="C1391" i="3"/>
  <c r="H1391" i="3"/>
  <c r="F1391" i="3"/>
  <c r="B1391" i="3"/>
  <c r="D1390" i="3"/>
  <c r="E1390" i="3"/>
  <c r="G1390" i="3"/>
  <c r="I1390" i="3"/>
  <c r="J1390" i="3"/>
  <c r="L1390" i="3"/>
  <c r="N1390" i="3"/>
  <c r="M1390" i="3"/>
  <c r="C1390" i="3"/>
  <c r="H1390" i="3"/>
  <c r="F1390" i="3"/>
  <c r="B1390" i="3"/>
  <c r="D1389" i="3"/>
  <c r="E1389" i="3"/>
  <c r="G1389" i="3"/>
  <c r="I1389" i="3"/>
  <c r="J1389" i="3"/>
  <c r="L1389" i="3"/>
  <c r="N1389" i="3"/>
  <c r="M1389" i="3"/>
  <c r="C1389" i="3"/>
  <c r="H1389" i="3"/>
  <c r="F1389" i="3"/>
  <c r="B1389" i="3"/>
  <c r="D1388" i="3"/>
  <c r="E1388" i="3"/>
  <c r="G1388" i="3"/>
  <c r="I1388" i="3"/>
  <c r="J1388" i="3"/>
  <c r="L1388" i="3"/>
  <c r="N1388" i="3"/>
  <c r="M1388" i="3"/>
  <c r="C1388" i="3"/>
  <c r="H1388" i="3"/>
  <c r="F1388" i="3"/>
  <c r="B1388" i="3"/>
  <c r="D1387" i="3"/>
  <c r="E1387" i="3"/>
  <c r="G1387" i="3"/>
  <c r="I1387" i="3"/>
  <c r="J1387" i="3"/>
  <c r="L1387" i="3"/>
  <c r="N1387" i="3"/>
  <c r="M1387" i="3"/>
  <c r="C1387" i="3"/>
  <c r="H1387" i="3"/>
  <c r="F1387" i="3"/>
  <c r="B1387" i="3"/>
  <c r="D1386" i="3"/>
  <c r="E1386" i="3"/>
  <c r="G1386" i="3"/>
  <c r="I1386" i="3"/>
  <c r="J1386" i="3"/>
  <c r="L1386" i="3"/>
  <c r="N1386" i="3"/>
  <c r="M1386" i="3"/>
  <c r="C1386" i="3"/>
  <c r="H1386" i="3"/>
  <c r="F1386" i="3"/>
  <c r="B1386" i="3"/>
  <c r="D1385" i="3"/>
  <c r="E1385" i="3"/>
  <c r="G1385" i="3"/>
  <c r="I1385" i="3"/>
  <c r="J1385" i="3"/>
  <c r="L1385" i="3"/>
  <c r="N1385" i="3"/>
  <c r="M1385" i="3"/>
  <c r="C1385" i="3"/>
  <c r="H1385" i="3"/>
  <c r="F1385" i="3"/>
  <c r="B1385" i="3"/>
  <c r="D1384" i="3"/>
  <c r="E1384" i="3"/>
  <c r="G1384" i="3"/>
  <c r="I1384" i="3"/>
  <c r="J1384" i="3"/>
  <c r="L1384" i="3"/>
  <c r="N1384" i="3"/>
  <c r="M1384" i="3"/>
  <c r="C1384" i="3"/>
  <c r="H1384" i="3"/>
  <c r="F1384" i="3"/>
  <c r="B1384" i="3"/>
  <c r="D1383" i="3"/>
  <c r="E1383" i="3"/>
  <c r="G1383" i="3"/>
  <c r="I1383" i="3"/>
  <c r="J1383" i="3"/>
  <c r="L1383" i="3"/>
  <c r="N1383" i="3"/>
  <c r="M1383" i="3"/>
  <c r="C1383" i="3"/>
  <c r="H1383" i="3"/>
  <c r="F1383" i="3"/>
  <c r="B1383" i="3"/>
  <c r="D1382" i="3"/>
  <c r="E1382" i="3"/>
  <c r="G1382" i="3"/>
  <c r="I1382" i="3"/>
  <c r="J1382" i="3"/>
  <c r="L1382" i="3"/>
  <c r="N1382" i="3"/>
  <c r="M1382" i="3"/>
  <c r="C1382" i="3"/>
  <c r="H1382" i="3"/>
  <c r="F1382" i="3"/>
  <c r="B1382" i="3"/>
  <c r="D1381" i="3"/>
  <c r="E1381" i="3"/>
  <c r="G1381" i="3"/>
  <c r="I1381" i="3"/>
  <c r="J1381" i="3"/>
  <c r="L1381" i="3"/>
  <c r="N1381" i="3"/>
  <c r="M1381" i="3"/>
  <c r="C1381" i="3"/>
  <c r="H1381" i="3"/>
  <c r="F1381" i="3"/>
  <c r="B1381" i="3"/>
  <c r="D1380" i="3"/>
  <c r="E1380" i="3"/>
  <c r="G1380" i="3"/>
  <c r="I1380" i="3"/>
  <c r="J1380" i="3"/>
  <c r="L1380" i="3"/>
  <c r="N1380" i="3"/>
  <c r="M1380" i="3"/>
  <c r="C1380" i="3"/>
  <c r="H1380" i="3"/>
  <c r="F1380" i="3"/>
  <c r="B1380" i="3"/>
  <c r="D1379" i="3"/>
  <c r="E1379" i="3"/>
  <c r="G1379" i="3"/>
  <c r="I1379" i="3"/>
  <c r="J1379" i="3"/>
  <c r="L1379" i="3"/>
  <c r="N1379" i="3"/>
  <c r="M1379" i="3"/>
  <c r="C1379" i="3"/>
  <c r="H1379" i="3"/>
  <c r="F1379" i="3"/>
  <c r="B1379" i="3"/>
  <c r="D1378" i="3"/>
  <c r="E1378" i="3"/>
  <c r="G1378" i="3"/>
  <c r="I1378" i="3"/>
  <c r="J1378" i="3"/>
  <c r="L1378" i="3"/>
  <c r="N1378" i="3"/>
  <c r="M1378" i="3"/>
  <c r="C1378" i="3"/>
  <c r="H1378" i="3"/>
  <c r="F1378" i="3"/>
  <c r="B1378" i="3"/>
  <c r="D1377" i="3"/>
  <c r="E1377" i="3"/>
  <c r="G1377" i="3"/>
  <c r="I1377" i="3"/>
  <c r="J1377" i="3"/>
  <c r="L1377" i="3"/>
  <c r="N1377" i="3"/>
  <c r="M1377" i="3"/>
  <c r="C1377" i="3"/>
  <c r="H1377" i="3"/>
  <c r="F1377" i="3"/>
  <c r="B1377" i="3"/>
  <c r="D1376" i="3"/>
  <c r="E1376" i="3"/>
  <c r="G1376" i="3"/>
  <c r="I1376" i="3"/>
  <c r="J1376" i="3"/>
  <c r="L1376" i="3"/>
  <c r="N1376" i="3"/>
  <c r="M1376" i="3"/>
  <c r="C1376" i="3"/>
  <c r="H1376" i="3"/>
  <c r="F1376" i="3"/>
  <c r="B1376" i="3"/>
  <c r="D1375" i="3"/>
  <c r="E1375" i="3"/>
  <c r="G1375" i="3"/>
  <c r="I1375" i="3"/>
  <c r="J1375" i="3"/>
  <c r="L1375" i="3"/>
  <c r="N1375" i="3"/>
  <c r="M1375" i="3"/>
  <c r="C1375" i="3"/>
  <c r="H1375" i="3"/>
  <c r="F1375" i="3"/>
  <c r="B1375" i="3"/>
  <c r="D1374" i="3"/>
  <c r="E1374" i="3"/>
  <c r="G1374" i="3"/>
  <c r="I1374" i="3"/>
  <c r="J1374" i="3"/>
  <c r="L1374" i="3"/>
  <c r="N1374" i="3"/>
  <c r="M1374" i="3"/>
  <c r="C1374" i="3"/>
  <c r="H1374" i="3"/>
  <c r="F1374" i="3"/>
  <c r="B1374" i="3"/>
  <c r="D1373" i="3"/>
  <c r="E1373" i="3"/>
  <c r="G1373" i="3"/>
  <c r="I1373" i="3"/>
  <c r="J1373" i="3"/>
  <c r="L1373" i="3"/>
  <c r="N1373" i="3"/>
  <c r="M1373" i="3"/>
  <c r="C1373" i="3"/>
  <c r="H1373" i="3"/>
  <c r="F1373" i="3"/>
  <c r="B1373" i="3"/>
  <c r="D1372" i="3"/>
  <c r="E1372" i="3"/>
  <c r="G1372" i="3"/>
  <c r="I1372" i="3"/>
  <c r="J1372" i="3"/>
  <c r="L1372" i="3"/>
  <c r="N1372" i="3"/>
  <c r="M1372" i="3"/>
  <c r="C1372" i="3"/>
  <c r="H1372" i="3"/>
  <c r="F1372" i="3"/>
  <c r="B1372" i="3"/>
  <c r="D1371" i="3"/>
  <c r="E1371" i="3"/>
  <c r="G1371" i="3"/>
  <c r="I1371" i="3"/>
  <c r="J1371" i="3"/>
  <c r="L1371" i="3"/>
  <c r="N1371" i="3"/>
  <c r="M1371" i="3"/>
  <c r="C1371" i="3"/>
  <c r="H1371" i="3"/>
  <c r="F1371" i="3"/>
  <c r="B1371" i="3"/>
  <c r="D1370" i="3"/>
  <c r="E1370" i="3"/>
  <c r="G1370" i="3"/>
  <c r="I1370" i="3"/>
  <c r="J1370" i="3"/>
  <c r="L1370" i="3"/>
  <c r="N1370" i="3"/>
  <c r="M1370" i="3"/>
  <c r="C1370" i="3"/>
  <c r="H1370" i="3"/>
  <c r="F1370" i="3"/>
  <c r="B1370" i="3"/>
  <c r="D1369" i="3"/>
  <c r="E1369" i="3"/>
  <c r="G1369" i="3"/>
  <c r="I1369" i="3"/>
  <c r="J1369" i="3"/>
  <c r="L1369" i="3"/>
  <c r="N1369" i="3"/>
  <c r="M1369" i="3"/>
  <c r="C1369" i="3"/>
  <c r="H1369" i="3"/>
  <c r="F1369" i="3"/>
  <c r="B1369" i="3"/>
  <c r="D1368" i="3"/>
  <c r="E1368" i="3"/>
  <c r="G1368" i="3"/>
  <c r="I1368" i="3"/>
  <c r="J1368" i="3"/>
  <c r="L1368" i="3"/>
  <c r="N1368" i="3"/>
  <c r="M1368" i="3"/>
  <c r="C1368" i="3"/>
  <c r="H1368" i="3"/>
  <c r="F1368" i="3"/>
  <c r="B1368" i="3"/>
  <c r="D1367" i="3"/>
  <c r="E1367" i="3"/>
  <c r="G1367" i="3"/>
  <c r="I1367" i="3"/>
  <c r="J1367" i="3"/>
  <c r="L1367" i="3"/>
  <c r="N1367" i="3"/>
  <c r="M1367" i="3"/>
  <c r="C1367" i="3"/>
  <c r="H1367" i="3"/>
  <c r="F1367" i="3"/>
  <c r="B1367" i="3"/>
  <c r="D1366" i="3"/>
  <c r="E1366" i="3"/>
  <c r="G1366" i="3"/>
  <c r="I1366" i="3"/>
  <c r="J1366" i="3"/>
  <c r="L1366" i="3"/>
  <c r="N1366" i="3"/>
  <c r="M1366" i="3"/>
  <c r="C1366" i="3"/>
  <c r="H1366" i="3"/>
  <c r="F1366" i="3"/>
  <c r="B1366" i="3"/>
  <c r="D1365" i="3"/>
  <c r="E1365" i="3"/>
  <c r="G1365" i="3"/>
  <c r="I1365" i="3"/>
  <c r="J1365" i="3"/>
  <c r="L1365" i="3"/>
  <c r="N1365" i="3"/>
  <c r="M1365" i="3"/>
  <c r="C1365" i="3"/>
  <c r="H1365" i="3"/>
  <c r="F1365" i="3"/>
  <c r="B1365" i="3"/>
  <c r="D1364" i="3"/>
  <c r="E1364" i="3"/>
  <c r="G1364" i="3"/>
  <c r="I1364" i="3"/>
  <c r="J1364" i="3"/>
  <c r="L1364" i="3"/>
  <c r="N1364" i="3"/>
  <c r="M1364" i="3"/>
  <c r="C1364" i="3"/>
  <c r="H1364" i="3"/>
  <c r="F1364" i="3"/>
  <c r="B1364" i="3"/>
  <c r="D1363" i="3"/>
  <c r="E1363" i="3"/>
  <c r="G1363" i="3"/>
  <c r="I1363" i="3"/>
  <c r="J1363" i="3"/>
  <c r="L1363" i="3"/>
  <c r="N1363" i="3"/>
  <c r="M1363" i="3"/>
  <c r="C1363" i="3"/>
  <c r="H1363" i="3"/>
  <c r="F1363" i="3"/>
  <c r="B1363" i="3"/>
  <c r="D1362" i="3"/>
  <c r="E1362" i="3"/>
  <c r="G1362" i="3"/>
  <c r="I1362" i="3"/>
  <c r="J1362" i="3"/>
  <c r="L1362" i="3"/>
  <c r="N1362" i="3"/>
  <c r="M1362" i="3"/>
  <c r="C1362" i="3"/>
  <c r="H1362" i="3"/>
  <c r="F1362" i="3"/>
  <c r="B1362" i="3"/>
  <c r="D1361" i="3"/>
  <c r="E1361" i="3"/>
  <c r="G1361" i="3"/>
  <c r="I1361" i="3"/>
  <c r="J1361" i="3"/>
  <c r="L1361" i="3"/>
  <c r="N1361" i="3"/>
  <c r="M1361" i="3"/>
  <c r="C1361" i="3"/>
  <c r="H1361" i="3"/>
  <c r="F1361" i="3"/>
  <c r="B1361" i="3"/>
  <c r="D1360" i="3"/>
  <c r="E1360" i="3"/>
  <c r="G1360" i="3"/>
  <c r="I1360" i="3"/>
  <c r="J1360" i="3"/>
  <c r="L1360" i="3"/>
  <c r="N1360" i="3"/>
  <c r="M1360" i="3"/>
  <c r="C1360" i="3"/>
  <c r="H1360" i="3"/>
  <c r="F1360" i="3"/>
  <c r="B1360" i="3"/>
  <c r="D1359" i="3"/>
  <c r="E1359" i="3"/>
  <c r="G1359" i="3"/>
  <c r="I1359" i="3"/>
  <c r="J1359" i="3"/>
  <c r="L1359" i="3"/>
  <c r="N1359" i="3"/>
  <c r="M1359" i="3"/>
  <c r="C1359" i="3"/>
  <c r="H1359" i="3"/>
  <c r="F1359" i="3"/>
  <c r="B1359" i="3"/>
  <c r="D1358" i="3"/>
  <c r="E1358" i="3"/>
  <c r="G1358" i="3"/>
  <c r="I1358" i="3"/>
  <c r="J1358" i="3"/>
  <c r="L1358" i="3"/>
  <c r="N1358" i="3"/>
  <c r="M1358" i="3"/>
  <c r="C1358" i="3"/>
  <c r="H1358" i="3"/>
  <c r="F1358" i="3"/>
  <c r="B1358" i="3"/>
  <c r="D1357" i="3"/>
  <c r="E1357" i="3"/>
  <c r="G1357" i="3"/>
  <c r="I1357" i="3"/>
  <c r="J1357" i="3"/>
  <c r="L1357" i="3"/>
  <c r="N1357" i="3"/>
  <c r="M1357" i="3"/>
  <c r="C1357" i="3"/>
  <c r="H1357" i="3"/>
  <c r="F1357" i="3"/>
  <c r="B1357" i="3"/>
  <c r="D1356" i="3"/>
  <c r="E1356" i="3"/>
  <c r="G1356" i="3"/>
  <c r="I1356" i="3"/>
  <c r="J1356" i="3"/>
  <c r="L1356" i="3"/>
  <c r="N1356" i="3"/>
  <c r="M1356" i="3"/>
  <c r="C1356" i="3"/>
  <c r="H1356" i="3"/>
  <c r="F1356" i="3"/>
  <c r="B1356" i="3"/>
  <c r="D1355" i="3"/>
  <c r="E1355" i="3"/>
  <c r="G1355" i="3"/>
  <c r="I1355" i="3"/>
  <c r="J1355" i="3"/>
  <c r="L1355" i="3"/>
  <c r="N1355" i="3"/>
  <c r="M1355" i="3"/>
  <c r="C1355" i="3"/>
  <c r="H1355" i="3"/>
  <c r="F1355" i="3"/>
  <c r="B1355" i="3"/>
  <c r="D1354" i="3"/>
  <c r="E1354" i="3"/>
  <c r="G1354" i="3"/>
  <c r="I1354" i="3"/>
  <c r="J1354" i="3"/>
  <c r="L1354" i="3"/>
  <c r="N1354" i="3"/>
  <c r="M1354" i="3"/>
  <c r="C1354" i="3"/>
  <c r="H1354" i="3"/>
  <c r="F1354" i="3"/>
  <c r="B1354" i="3"/>
  <c r="D1353" i="3"/>
  <c r="E1353" i="3"/>
  <c r="G1353" i="3"/>
  <c r="I1353" i="3"/>
  <c r="J1353" i="3"/>
  <c r="L1353" i="3"/>
  <c r="N1353" i="3"/>
  <c r="M1353" i="3"/>
  <c r="C1353" i="3"/>
  <c r="H1353" i="3"/>
  <c r="F1353" i="3"/>
  <c r="B1353" i="3"/>
  <c r="D1352" i="3"/>
  <c r="E1352" i="3"/>
  <c r="G1352" i="3"/>
  <c r="I1352" i="3"/>
  <c r="J1352" i="3"/>
  <c r="L1352" i="3"/>
  <c r="N1352" i="3"/>
  <c r="M1352" i="3"/>
  <c r="C1352" i="3"/>
  <c r="H1352" i="3"/>
  <c r="F1352" i="3"/>
  <c r="B1352" i="3"/>
  <c r="D1351" i="3"/>
  <c r="E1351" i="3"/>
  <c r="G1351" i="3"/>
  <c r="I1351" i="3"/>
  <c r="J1351" i="3"/>
  <c r="L1351" i="3"/>
  <c r="N1351" i="3"/>
  <c r="M1351" i="3"/>
  <c r="C1351" i="3"/>
  <c r="H1351" i="3"/>
  <c r="F1351" i="3"/>
  <c r="B1351" i="3"/>
  <c r="D1350" i="3"/>
  <c r="E1350" i="3"/>
  <c r="G1350" i="3"/>
  <c r="I1350" i="3"/>
  <c r="J1350" i="3"/>
  <c r="L1350" i="3"/>
  <c r="N1350" i="3"/>
  <c r="M1350" i="3"/>
  <c r="C1350" i="3"/>
  <c r="H1350" i="3"/>
  <c r="F1350" i="3"/>
  <c r="B1350" i="3"/>
  <c r="D1349" i="3"/>
  <c r="E1349" i="3"/>
  <c r="G1349" i="3"/>
  <c r="I1349" i="3"/>
  <c r="J1349" i="3"/>
  <c r="L1349" i="3"/>
  <c r="N1349" i="3"/>
  <c r="M1349" i="3"/>
  <c r="C1349" i="3"/>
  <c r="H1349" i="3"/>
  <c r="F1349" i="3"/>
  <c r="B1349" i="3"/>
  <c r="D1348" i="3"/>
  <c r="E1348" i="3"/>
  <c r="G1348" i="3"/>
  <c r="I1348" i="3"/>
  <c r="J1348" i="3"/>
  <c r="L1348" i="3"/>
  <c r="N1348" i="3"/>
  <c r="M1348" i="3"/>
  <c r="C1348" i="3"/>
  <c r="H1348" i="3"/>
  <c r="F1348" i="3"/>
  <c r="B1348" i="3"/>
  <c r="D1347" i="3"/>
  <c r="E1347" i="3"/>
  <c r="G1347" i="3"/>
  <c r="I1347" i="3"/>
  <c r="J1347" i="3"/>
  <c r="L1347" i="3"/>
  <c r="N1347" i="3"/>
  <c r="M1347" i="3"/>
  <c r="C1347" i="3"/>
  <c r="H1347" i="3"/>
  <c r="F1347" i="3"/>
  <c r="B1347" i="3"/>
  <c r="D1346" i="3"/>
  <c r="E1346" i="3"/>
  <c r="G1346" i="3"/>
  <c r="I1346" i="3"/>
  <c r="J1346" i="3"/>
  <c r="L1346" i="3"/>
  <c r="N1346" i="3"/>
  <c r="M1346" i="3"/>
  <c r="C1346" i="3"/>
  <c r="H1346" i="3"/>
  <c r="F1346" i="3"/>
  <c r="B1346" i="3"/>
  <c r="D1345" i="3"/>
  <c r="E1345" i="3"/>
  <c r="G1345" i="3"/>
  <c r="I1345" i="3"/>
  <c r="J1345" i="3"/>
  <c r="L1345" i="3"/>
  <c r="N1345" i="3"/>
  <c r="M1345" i="3"/>
  <c r="C1345" i="3"/>
  <c r="H1345" i="3"/>
  <c r="F1345" i="3"/>
  <c r="B1345" i="3"/>
  <c r="D1344" i="3"/>
  <c r="E1344" i="3"/>
  <c r="G1344" i="3"/>
  <c r="I1344" i="3"/>
  <c r="J1344" i="3"/>
  <c r="L1344" i="3"/>
  <c r="N1344" i="3"/>
  <c r="M1344" i="3"/>
  <c r="C1344" i="3"/>
  <c r="H1344" i="3"/>
  <c r="F1344" i="3"/>
  <c r="B1344" i="3"/>
  <c r="D1343" i="3"/>
  <c r="E1343" i="3"/>
  <c r="G1343" i="3"/>
  <c r="I1343" i="3"/>
  <c r="J1343" i="3"/>
  <c r="L1343" i="3"/>
  <c r="N1343" i="3"/>
  <c r="M1343" i="3"/>
  <c r="C1343" i="3"/>
  <c r="H1343" i="3"/>
  <c r="F1343" i="3"/>
  <c r="B1343" i="3"/>
  <c r="D1342" i="3"/>
  <c r="E1342" i="3"/>
  <c r="G1342" i="3"/>
  <c r="I1342" i="3"/>
  <c r="J1342" i="3"/>
  <c r="L1342" i="3"/>
  <c r="N1342" i="3"/>
  <c r="M1342" i="3"/>
  <c r="C1342" i="3"/>
  <c r="H1342" i="3"/>
  <c r="F1342" i="3"/>
  <c r="B1342" i="3"/>
  <c r="D1341" i="3"/>
  <c r="E1341" i="3"/>
  <c r="G1341" i="3"/>
  <c r="I1341" i="3"/>
  <c r="J1341" i="3"/>
  <c r="L1341" i="3"/>
  <c r="N1341" i="3"/>
  <c r="M1341" i="3"/>
  <c r="C1341" i="3"/>
  <c r="H1341" i="3"/>
  <c r="F1341" i="3"/>
  <c r="B1341" i="3"/>
  <c r="D1340" i="3"/>
  <c r="E1340" i="3"/>
  <c r="G1340" i="3"/>
  <c r="I1340" i="3"/>
  <c r="J1340" i="3"/>
  <c r="L1340" i="3"/>
  <c r="N1340" i="3"/>
  <c r="M1340" i="3"/>
  <c r="C1340" i="3"/>
  <c r="H1340" i="3"/>
  <c r="F1340" i="3"/>
  <c r="B1340" i="3"/>
  <c r="D1339" i="3"/>
  <c r="E1339" i="3"/>
  <c r="G1339" i="3"/>
  <c r="I1339" i="3"/>
  <c r="J1339" i="3"/>
  <c r="L1339" i="3"/>
  <c r="N1339" i="3"/>
  <c r="M1339" i="3"/>
  <c r="C1339" i="3"/>
  <c r="H1339" i="3"/>
  <c r="F1339" i="3"/>
  <c r="B1339" i="3"/>
  <c r="D1338" i="3"/>
  <c r="E1338" i="3"/>
  <c r="G1338" i="3"/>
  <c r="I1338" i="3"/>
  <c r="J1338" i="3"/>
  <c r="L1338" i="3"/>
  <c r="N1338" i="3"/>
  <c r="M1338" i="3"/>
  <c r="C1338" i="3"/>
  <c r="H1338" i="3"/>
  <c r="F1338" i="3"/>
  <c r="B1338" i="3"/>
  <c r="D1337" i="3"/>
  <c r="E1337" i="3"/>
  <c r="G1337" i="3"/>
  <c r="I1337" i="3"/>
  <c r="J1337" i="3"/>
  <c r="L1337" i="3"/>
  <c r="N1337" i="3"/>
  <c r="M1337" i="3"/>
  <c r="C1337" i="3"/>
  <c r="H1337" i="3"/>
  <c r="F1337" i="3"/>
  <c r="B1337" i="3"/>
  <c r="D1336" i="3"/>
  <c r="E1336" i="3"/>
  <c r="G1336" i="3"/>
  <c r="I1336" i="3"/>
  <c r="J1336" i="3"/>
  <c r="L1336" i="3"/>
  <c r="N1336" i="3"/>
  <c r="M1336" i="3"/>
  <c r="C1336" i="3"/>
  <c r="H1336" i="3"/>
  <c r="F1336" i="3"/>
  <c r="B1336" i="3"/>
  <c r="D1335" i="3"/>
  <c r="E1335" i="3"/>
  <c r="G1335" i="3"/>
  <c r="I1335" i="3"/>
  <c r="J1335" i="3"/>
  <c r="L1335" i="3"/>
  <c r="N1335" i="3"/>
  <c r="M1335" i="3"/>
  <c r="C1335" i="3"/>
  <c r="H1335" i="3"/>
  <c r="F1335" i="3"/>
  <c r="B1335" i="3"/>
  <c r="D1334" i="3"/>
  <c r="E1334" i="3"/>
  <c r="G1334" i="3"/>
  <c r="I1334" i="3"/>
  <c r="J1334" i="3"/>
  <c r="L1334" i="3"/>
  <c r="N1334" i="3"/>
  <c r="M1334" i="3"/>
  <c r="C1334" i="3"/>
  <c r="H1334" i="3"/>
  <c r="F1334" i="3"/>
  <c r="B1334" i="3"/>
  <c r="D1333" i="3"/>
  <c r="E1333" i="3"/>
  <c r="G1333" i="3"/>
  <c r="I1333" i="3"/>
  <c r="J1333" i="3"/>
  <c r="L1333" i="3"/>
  <c r="N1333" i="3"/>
  <c r="M1333" i="3"/>
  <c r="C1333" i="3"/>
  <c r="H1333" i="3"/>
  <c r="F1333" i="3"/>
  <c r="B1333" i="3"/>
  <c r="D1332" i="3"/>
  <c r="E1332" i="3"/>
  <c r="G1332" i="3"/>
  <c r="I1332" i="3"/>
  <c r="J1332" i="3"/>
  <c r="L1332" i="3"/>
  <c r="N1332" i="3"/>
  <c r="M1332" i="3"/>
  <c r="C1332" i="3"/>
  <c r="H1332" i="3"/>
  <c r="F1332" i="3"/>
  <c r="B1332" i="3"/>
  <c r="D1331" i="3"/>
  <c r="E1331" i="3"/>
  <c r="G1331" i="3"/>
  <c r="I1331" i="3"/>
  <c r="J1331" i="3"/>
  <c r="L1331" i="3"/>
  <c r="N1331" i="3"/>
  <c r="M1331" i="3"/>
  <c r="C1331" i="3"/>
  <c r="H1331" i="3"/>
  <c r="F1331" i="3"/>
  <c r="B1331" i="3"/>
  <c r="D1330" i="3"/>
  <c r="E1330" i="3"/>
  <c r="G1330" i="3"/>
  <c r="I1330" i="3"/>
  <c r="J1330" i="3"/>
  <c r="L1330" i="3"/>
  <c r="N1330" i="3"/>
  <c r="M1330" i="3"/>
  <c r="C1330" i="3"/>
  <c r="H1330" i="3"/>
  <c r="F1330" i="3"/>
  <c r="B1330" i="3"/>
  <c r="D1329" i="3"/>
  <c r="E1329" i="3"/>
  <c r="G1329" i="3"/>
  <c r="I1329" i="3"/>
  <c r="J1329" i="3"/>
  <c r="L1329" i="3"/>
  <c r="N1329" i="3"/>
  <c r="M1329" i="3"/>
  <c r="C1329" i="3"/>
  <c r="H1329" i="3"/>
  <c r="F1329" i="3"/>
  <c r="B1329" i="3"/>
  <c r="D1328" i="3"/>
  <c r="E1328" i="3"/>
  <c r="G1328" i="3"/>
  <c r="I1328" i="3"/>
  <c r="J1328" i="3"/>
  <c r="L1328" i="3"/>
  <c r="N1328" i="3"/>
  <c r="M1328" i="3"/>
  <c r="C1328" i="3"/>
  <c r="H1328" i="3"/>
  <c r="F1328" i="3"/>
  <c r="B1328" i="3"/>
  <c r="D1327" i="3"/>
  <c r="E1327" i="3"/>
  <c r="G1327" i="3"/>
  <c r="I1327" i="3"/>
  <c r="J1327" i="3"/>
  <c r="L1327" i="3"/>
  <c r="N1327" i="3"/>
  <c r="M1327" i="3"/>
  <c r="C1327" i="3"/>
  <c r="H1327" i="3"/>
  <c r="F1327" i="3"/>
  <c r="B1327" i="3"/>
  <c r="D1326" i="3"/>
  <c r="E1326" i="3"/>
  <c r="G1326" i="3"/>
  <c r="I1326" i="3"/>
  <c r="J1326" i="3"/>
  <c r="L1326" i="3"/>
  <c r="N1326" i="3"/>
  <c r="M1326" i="3"/>
  <c r="C1326" i="3"/>
  <c r="H1326" i="3"/>
  <c r="F1326" i="3"/>
  <c r="B1326" i="3"/>
  <c r="D1325" i="3"/>
  <c r="E1325" i="3"/>
  <c r="G1325" i="3"/>
  <c r="I1325" i="3"/>
  <c r="J1325" i="3"/>
  <c r="L1325" i="3"/>
  <c r="N1325" i="3"/>
  <c r="M1325" i="3"/>
  <c r="C1325" i="3"/>
  <c r="H1325" i="3"/>
  <c r="F1325" i="3"/>
  <c r="B1325" i="3"/>
  <c r="D1324" i="3"/>
  <c r="E1324" i="3"/>
  <c r="G1324" i="3"/>
  <c r="I1324" i="3"/>
  <c r="J1324" i="3"/>
  <c r="L1324" i="3"/>
  <c r="N1324" i="3"/>
  <c r="M1324" i="3"/>
  <c r="C1324" i="3"/>
  <c r="H1324" i="3"/>
  <c r="F1324" i="3"/>
  <c r="B1324" i="3"/>
  <c r="D1323" i="3"/>
  <c r="E1323" i="3"/>
  <c r="G1323" i="3"/>
  <c r="I1323" i="3"/>
  <c r="J1323" i="3"/>
  <c r="L1323" i="3"/>
  <c r="N1323" i="3"/>
  <c r="M1323" i="3"/>
  <c r="C1323" i="3"/>
  <c r="H1323" i="3"/>
  <c r="F1323" i="3"/>
  <c r="B1323" i="3"/>
  <c r="D1322" i="3"/>
  <c r="E1322" i="3"/>
  <c r="G1322" i="3"/>
  <c r="I1322" i="3"/>
  <c r="J1322" i="3"/>
  <c r="L1322" i="3"/>
  <c r="N1322" i="3"/>
  <c r="M1322" i="3"/>
  <c r="C1322" i="3"/>
  <c r="H1322" i="3"/>
  <c r="F1322" i="3"/>
  <c r="B1322" i="3"/>
  <c r="D1321" i="3"/>
  <c r="E1321" i="3"/>
  <c r="G1321" i="3"/>
  <c r="I1321" i="3"/>
  <c r="J1321" i="3"/>
  <c r="L1321" i="3"/>
  <c r="N1321" i="3"/>
  <c r="M1321" i="3"/>
  <c r="C1321" i="3"/>
  <c r="H1321" i="3"/>
  <c r="F1321" i="3"/>
  <c r="B1321" i="3"/>
  <c r="D1320" i="3"/>
  <c r="E1320" i="3"/>
  <c r="G1320" i="3"/>
  <c r="I1320" i="3"/>
  <c r="J1320" i="3"/>
  <c r="L1320" i="3"/>
  <c r="N1320" i="3"/>
  <c r="M1320" i="3"/>
  <c r="C1320" i="3"/>
  <c r="H1320" i="3"/>
  <c r="F1320" i="3"/>
  <c r="B1320" i="3"/>
  <c r="D1319" i="3"/>
  <c r="E1319" i="3"/>
  <c r="G1319" i="3"/>
  <c r="I1319" i="3"/>
  <c r="J1319" i="3"/>
  <c r="L1319" i="3"/>
  <c r="N1319" i="3"/>
  <c r="M1319" i="3"/>
  <c r="C1319" i="3"/>
  <c r="H1319" i="3"/>
  <c r="F1319" i="3"/>
  <c r="B1319" i="3"/>
  <c r="D1318" i="3"/>
  <c r="E1318" i="3"/>
  <c r="G1318" i="3"/>
  <c r="I1318" i="3"/>
  <c r="J1318" i="3"/>
  <c r="L1318" i="3"/>
  <c r="N1318" i="3"/>
  <c r="M1318" i="3"/>
  <c r="C1318" i="3"/>
  <c r="H1318" i="3"/>
  <c r="F1318" i="3"/>
  <c r="B1318" i="3"/>
  <c r="D1317" i="3"/>
  <c r="E1317" i="3"/>
  <c r="G1317" i="3"/>
  <c r="I1317" i="3"/>
  <c r="J1317" i="3"/>
  <c r="L1317" i="3"/>
  <c r="N1317" i="3"/>
  <c r="M1317" i="3"/>
  <c r="C1317" i="3"/>
  <c r="H1317" i="3"/>
  <c r="F1317" i="3"/>
  <c r="B1317" i="3"/>
  <c r="D1316" i="3"/>
  <c r="E1316" i="3"/>
  <c r="G1316" i="3"/>
  <c r="I1316" i="3"/>
  <c r="J1316" i="3"/>
  <c r="L1316" i="3"/>
  <c r="N1316" i="3"/>
  <c r="M1316" i="3"/>
  <c r="C1316" i="3"/>
  <c r="H1316" i="3"/>
  <c r="F1316" i="3"/>
  <c r="B1316" i="3"/>
  <c r="D1315" i="3"/>
  <c r="E1315" i="3"/>
  <c r="G1315" i="3"/>
  <c r="I1315" i="3"/>
  <c r="J1315" i="3"/>
  <c r="L1315" i="3"/>
  <c r="N1315" i="3"/>
  <c r="M1315" i="3"/>
  <c r="C1315" i="3"/>
  <c r="H1315" i="3"/>
  <c r="F1315" i="3"/>
  <c r="B1315" i="3"/>
  <c r="D1314" i="3"/>
  <c r="E1314" i="3"/>
  <c r="G1314" i="3"/>
  <c r="I1314" i="3"/>
  <c r="J1314" i="3"/>
  <c r="L1314" i="3"/>
  <c r="N1314" i="3"/>
  <c r="M1314" i="3"/>
  <c r="C1314" i="3"/>
  <c r="H1314" i="3"/>
  <c r="F1314" i="3"/>
  <c r="B1314" i="3"/>
  <c r="D1313" i="3"/>
  <c r="E1313" i="3"/>
  <c r="G1313" i="3"/>
  <c r="I1313" i="3"/>
  <c r="J1313" i="3"/>
  <c r="L1313" i="3"/>
  <c r="N1313" i="3"/>
  <c r="M1313" i="3"/>
  <c r="C1313" i="3"/>
  <c r="H1313" i="3"/>
  <c r="F1313" i="3"/>
  <c r="B1313" i="3"/>
  <c r="D1312" i="3"/>
  <c r="E1312" i="3"/>
  <c r="G1312" i="3"/>
  <c r="I1312" i="3"/>
  <c r="J1312" i="3"/>
  <c r="L1312" i="3"/>
  <c r="N1312" i="3"/>
  <c r="M1312" i="3"/>
  <c r="C1312" i="3"/>
  <c r="H1312" i="3"/>
  <c r="F1312" i="3"/>
  <c r="B1312" i="3"/>
  <c r="D1311" i="3"/>
  <c r="E1311" i="3"/>
  <c r="G1311" i="3"/>
  <c r="I1311" i="3"/>
  <c r="J1311" i="3"/>
  <c r="L1311" i="3"/>
  <c r="N1311" i="3"/>
  <c r="M1311" i="3"/>
  <c r="C1311" i="3"/>
  <c r="H1311" i="3"/>
  <c r="F1311" i="3"/>
  <c r="B1311" i="3"/>
  <c r="D1310" i="3"/>
  <c r="E1310" i="3"/>
  <c r="G1310" i="3"/>
  <c r="I1310" i="3"/>
  <c r="J1310" i="3"/>
  <c r="L1310" i="3"/>
  <c r="N1310" i="3"/>
  <c r="M1310" i="3"/>
  <c r="C1310" i="3"/>
  <c r="H1310" i="3"/>
  <c r="F1310" i="3"/>
  <c r="B1310" i="3"/>
  <c r="D1309" i="3"/>
  <c r="E1309" i="3"/>
  <c r="G1309" i="3"/>
  <c r="I1309" i="3"/>
  <c r="J1309" i="3"/>
  <c r="L1309" i="3"/>
  <c r="N1309" i="3"/>
  <c r="M1309" i="3"/>
  <c r="C1309" i="3"/>
  <c r="H1309" i="3"/>
  <c r="F1309" i="3"/>
  <c r="B1309" i="3"/>
  <c r="D1308" i="3"/>
  <c r="E1308" i="3"/>
  <c r="G1308" i="3"/>
  <c r="I1308" i="3"/>
  <c r="J1308" i="3"/>
  <c r="L1308" i="3"/>
  <c r="N1308" i="3"/>
  <c r="M1308" i="3"/>
  <c r="C1308" i="3"/>
  <c r="H1308" i="3"/>
  <c r="F1308" i="3"/>
  <c r="B1308" i="3"/>
  <c r="D1307" i="3"/>
  <c r="E1307" i="3"/>
  <c r="G1307" i="3"/>
  <c r="I1307" i="3"/>
  <c r="J1307" i="3"/>
  <c r="L1307" i="3"/>
  <c r="N1307" i="3"/>
  <c r="M1307" i="3"/>
  <c r="C1307" i="3"/>
  <c r="H1307" i="3"/>
  <c r="F1307" i="3"/>
  <c r="B1307" i="3"/>
  <c r="D1306" i="3"/>
  <c r="E1306" i="3"/>
  <c r="G1306" i="3"/>
  <c r="I1306" i="3"/>
  <c r="J1306" i="3"/>
  <c r="L1306" i="3"/>
  <c r="N1306" i="3"/>
  <c r="M1306" i="3"/>
  <c r="C1306" i="3"/>
  <c r="H1306" i="3"/>
  <c r="F1306" i="3"/>
  <c r="B1306" i="3"/>
  <c r="D1305" i="3"/>
  <c r="E1305" i="3"/>
  <c r="G1305" i="3"/>
  <c r="I1305" i="3"/>
  <c r="J1305" i="3"/>
  <c r="L1305" i="3"/>
  <c r="N1305" i="3"/>
  <c r="M1305" i="3"/>
  <c r="C1305" i="3"/>
  <c r="H1305" i="3"/>
  <c r="F1305" i="3"/>
  <c r="B1305" i="3"/>
  <c r="D1304" i="3"/>
  <c r="E1304" i="3"/>
  <c r="G1304" i="3"/>
  <c r="I1304" i="3"/>
  <c r="J1304" i="3"/>
  <c r="L1304" i="3"/>
  <c r="N1304" i="3"/>
  <c r="M1304" i="3"/>
  <c r="C1304" i="3"/>
  <c r="H1304" i="3"/>
  <c r="F1304" i="3"/>
  <c r="B1304" i="3"/>
  <c r="D1303" i="3"/>
  <c r="E1303" i="3"/>
  <c r="G1303" i="3"/>
  <c r="I1303" i="3"/>
  <c r="J1303" i="3"/>
  <c r="L1303" i="3"/>
  <c r="N1303" i="3"/>
  <c r="M1303" i="3"/>
  <c r="C1303" i="3"/>
  <c r="H1303" i="3"/>
  <c r="F1303" i="3"/>
  <c r="B1303" i="3"/>
  <c r="D1302" i="3"/>
  <c r="E1302" i="3"/>
  <c r="G1302" i="3"/>
  <c r="I1302" i="3"/>
  <c r="J1302" i="3"/>
  <c r="L1302" i="3"/>
  <c r="N1302" i="3"/>
  <c r="M1302" i="3"/>
  <c r="C1302" i="3"/>
  <c r="H1302" i="3"/>
  <c r="F1302" i="3"/>
  <c r="B1302" i="3"/>
  <c r="D1301" i="3"/>
  <c r="E1301" i="3"/>
  <c r="G1301" i="3"/>
  <c r="I1301" i="3"/>
  <c r="J1301" i="3"/>
  <c r="L1301" i="3"/>
  <c r="N1301" i="3"/>
  <c r="M1301" i="3"/>
  <c r="C1301" i="3"/>
  <c r="H1301" i="3"/>
  <c r="F1301" i="3"/>
  <c r="B1301" i="3"/>
  <c r="D1300" i="3"/>
  <c r="E1300" i="3"/>
  <c r="G1300" i="3"/>
  <c r="I1300" i="3"/>
  <c r="J1300" i="3"/>
  <c r="L1300" i="3"/>
  <c r="N1300" i="3"/>
  <c r="M1300" i="3"/>
  <c r="C1300" i="3"/>
  <c r="H1300" i="3"/>
  <c r="F1300" i="3"/>
  <c r="B1300" i="3"/>
  <c r="D1299" i="3"/>
  <c r="E1299" i="3"/>
  <c r="G1299" i="3"/>
  <c r="I1299" i="3"/>
  <c r="J1299" i="3"/>
  <c r="L1299" i="3"/>
  <c r="N1299" i="3"/>
  <c r="M1299" i="3"/>
  <c r="C1299" i="3"/>
  <c r="H1299" i="3"/>
  <c r="F1299" i="3"/>
  <c r="B1299" i="3"/>
  <c r="D1298" i="3"/>
  <c r="E1298" i="3"/>
  <c r="G1298" i="3"/>
  <c r="I1298" i="3"/>
  <c r="J1298" i="3"/>
  <c r="L1298" i="3"/>
  <c r="N1298" i="3"/>
  <c r="M1298" i="3"/>
  <c r="C1298" i="3"/>
  <c r="H1298" i="3"/>
  <c r="F1298" i="3"/>
  <c r="B1298" i="3"/>
  <c r="D1297" i="3"/>
  <c r="E1297" i="3"/>
  <c r="G1297" i="3"/>
  <c r="I1297" i="3"/>
  <c r="J1297" i="3"/>
  <c r="L1297" i="3"/>
  <c r="N1297" i="3"/>
  <c r="M1297" i="3"/>
  <c r="C1297" i="3"/>
  <c r="H1297" i="3"/>
  <c r="F1297" i="3"/>
  <c r="B1297" i="3"/>
  <c r="D1296" i="3"/>
  <c r="E1296" i="3"/>
  <c r="G1296" i="3"/>
  <c r="I1296" i="3"/>
  <c r="J1296" i="3"/>
  <c r="L1296" i="3"/>
  <c r="N1296" i="3"/>
  <c r="M1296" i="3"/>
  <c r="C1296" i="3"/>
  <c r="H1296" i="3"/>
  <c r="F1296" i="3"/>
  <c r="B1296" i="3"/>
  <c r="D1295" i="3"/>
  <c r="E1295" i="3"/>
  <c r="G1295" i="3"/>
  <c r="I1295" i="3"/>
  <c r="J1295" i="3"/>
  <c r="L1295" i="3"/>
  <c r="N1295" i="3"/>
  <c r="M1295" i="3"/>
  <c r="C1295" i="3"/>
  <c r="H1295" i="3"/>
  <c r="F1295" i="3"/>
  <c r="B1295" i="3"/>
  <c r="D1294" i="3"/>
  <c r="E1294" i="3"/>
  <c r="G1294" i="3"/>
  <c r="I1294" i="3"/>
  <c r="J1294" i="3"/>
  <c r="L1294" i="3"/>
  <c r="N1294" i="3"/>
  <c r="M1294" i="3"/>
  <c r="C1294" i="3"/>
  <c r="H1294" i="3"/>
  <c r="F1294" i="3"/>
  <c r="B1294" i="3"/>
  <c r="D1293" i="3"/>
  <c r="E1293" i="3"/>
  <c r="G1293" i="3"/>
  <c r="I1293" i="3"/>
  <c r="J1293" i="3"/>
  <c r="L1293" i="3"/>
  <c r="N1293" i="3"/>
  <c r="M1293" i="3"/>
  <c r="C1293" i="3"/>
  <c r="H1293" i="3"/>
  <c r="F1293" i="3"/>
  <c r="B1293" i="3"/>
  <c r="D1292" i="3"/>
  <c r="E1292" i="3"/>
  <c r="G1292" i="3"/>
  <c r="I1292" i="3"/>
  <c r="J1292" i="3"/>
  <c r="L1292" i="3"/>
  <c r="N1292" i="3"/>
  <c r="M1292" i="3"/>
  <c r="C1292" i="3"/>
  <c r="H1292" i="3"/>
  <c r="F1292" i="3"/>
  <c r="B1292" i="3"/>
  <c r="D1291" i="3"/>
  <c r="E1291" i="3"/>
  <c r="G1291" i="3"/>
  <c r="I1291" i="3"/>
  <c r="J1291" i="3"/>
  <c r="L1291" i="3"/>
  <c r="N1291" i="3"/>
  <c r="M1291" i="3"/>
  <c r="C1291" i="3"/>
  <c r="H1291" i="3"/>
  <c r="F1291" i="3"/>
  <c r="B1291" i="3"/>
  <c r="D1290" i="3"/>
  <c r="E1290" i="3"/>
  <c r="G1290" i="3"/>
  <c r="I1290" i="3"/>
  <c r="J1290" i="3"/>
  <c r="L1290" i="3"/>
  <c r="N1290" i="3"/>
  <c r="M1290" i="3"/>
  <c r="C1290" i="3"/>
  <c r="H1290" i="3"/>
  <c r="F1290" i="3"/>
  <c r="B1290" i="3"/>
  <c r="D1289" i="3"/>
  <c r="E1289" i="3"/>
  <c r="G1289" i="3"/>
  <c r="I1289" i="3"/>
  <c r="J1289" i="3"/>
  <c r="L1289" i="3"/>
  <c r="N1289" i="3"/>
  <c r="M1289" i="3"/>
  <c r="C1289" i="3"/>
  <c r="H1289" i="3"/>
  <c r="F1289" i="3"/>
  <c r="B1289" i="3"/>
  <c r="D1288" i="3"/>
  <c r="E1288" i="3"/>
  <c r="G1288" i="3"/>
  <c r="I1288" i="3"/>
  <c r="J1288" i="3"/>
  <c r="L1288" i="3"/>
  <c r="N1288" i="3"/>
  <c r="M1288" i="3"/>
  <c r="C1288" i="3"/>
  <c r="H1288" i="3"/>
  <c r="F1288" i="3"/>
  <c r="B1288" i="3"/>
  <c r="D1287" i="3"/>
  <c r="E1287" i="3"/>
  <c r="G1287" i="3"/>
  <c r="I1287" i="3"/>
  <c r="J1287" i="3"/>
  <c r="L1287" i="3"/>
  <c r="N1287" i="3"/>
  <c r="M1287" i="3"/>
  <c r="C1287" i="3"/>
  <c r="H1287" i="3"/>
  <c r="F1287" i="3"/>
  <c r="B1287" i="3"/>
  <c r="D1286" i="3"/>
  <c r="E1286" i="3"/>
  <c r="G1286" i="3"/>
  <c r="I1286" i="3"/>
  <c r="J1286" i="3"/>
  <c r="L1286" i="3"/>
  <c r="N1286" i="3"/>
  <c r="M1286" i="3"/>
  <c r="C1286" i="3"/>
  <c r="H1286" i="3"/>
  <c r="F1286" i="3"/>
  <c r="B1286" i="3"/>
  <c r="D1285" i="3"/>
  <c r="E1285" i="3"/>
  <c r="G1285" i="3"/>
  <c r="I1285" i="3"/>
  <c r="J1285" i="3"/>
  <c r="L1285" i="3"/>
  <c r="N1285" i="3"/>
  <c r="M1285" i="3"/>
  <c r="C1285" i="3"/>
  <c r="H1285" i="3"/>
  <c r="F1285" i="3"/>
  <c r="B1285" i="3"/>
  <c r="D1284" i="3"/>
  <c r="E1284" i="3"/>
  <c r="G1284" i="3"/>
  <c r="I1284" i="3"/>
  <c r="J1284" i="3"/>
  <c r="L1284" i="3"/>
  <c r="N1284" i="3"/>
  <c r="M1284" i="3"/>
  <c r="C1284" i="3"/>
  <c r="H1284" i="3"/>
  <c r="F1284" i="3"/>
  <c r="B1284" i="3"/>
  <c r="D1283" i="3"/>
  <c r="E1283" i="3"/>
  <c r="G1283" i="3"/>
  <c r="I1283" i="3"/>
  <c r="J1283" i="3"/>
  <c r="L1283" i="3"/>
  <c r="N1283" i="3"/>
  <c r="M1283" i="3"/>
  <c r="C1283" i="3"/>
  <c r="H1283" i="3"/>
  <c r="F1283" i="3"/>
  <c r="B1283" i="3"/>
  <c r="D1282" i="3"/>
  <c r="E1282" i="3"/>
  <c r="G1282" i="3"/>
  <c r="I1282" i="3"/>
  <c r="J1282" i="3"/>
  <c r="L1282" i="3"/>
  <c r="N1282" i="3"/>
  <c r="M1282" i="3"/>
  <c r="C1282" i="3"/>
  <c r="H1282" i="3"/>
  <c r="F1282" i="3"/>
  <c r="B1282" i="3"/>
  <c r="D1281" i="3"/>
  <c r="E1281" i="3"/>
  <c r="G1281" i="3"/>
  <c r="I1281" i="3"/>
  <c r="J1281" i="3"/>
  <c r="L1281" i="3"/>
  <c r="N1281" i="3"/>
  <c r="M1281" i="3"/>
  <c r="C1281" i="3"/>
  <c r="H1281" i="3"/>
  <c r="F1281" i="3"/>
  <c r="B1281" i="3"/>
  <c r="D1280" i="3"/>
  <c r="E1280" i="3"/>
  <c r="G1280" i="3"/>
  <c r="I1280" i="3"/>
  <c r="J1280" i="3"/>
  <c r="L1280" i="3"/>
  <c r="N1280" i="3"/>
  <c r="M1280" i="3"/>
  <c r="C1280" i="3"/>
  <c r="H1280" i="3"/>
  <c r="F1280" i="3"/>
  <c r="B1280" i="3"/>
  <c r="D1279" i="3"/>
  <c r="E1279" i="3"/>
  <c r="G1279" i="3"/>
  <c r="I1279" i="3"/>
  <c r="J1279" i="3"/>
  <c r="L1279" i="3"/>
  <c r="N1279" i="3"/>
  <c r="M1279" i="3"/>
  <c r="C1279" i="3"/>
  <c r="H1279" i="3"/>
  <c r="F1279" i="3"/>
  <c r="B1279" i="3"/>
  <c r="D1278" i="3"/>
  <c r="E1278" i="3"/>
  <c r="G1278" i="3"/>
  <c r="I1278" i="3"/>
  <c r="J1278" i="3"/>
  <c r="L1278" i="3"/>
  <c r="N1278" i="3"/>
  <c r="M1278" i="3"/>
  <c r="C1278" i="3"/>
  <c r="H1278" i="3"/>
  <c r="F1278" i="3"/>
  <c r="B1278" i="3"/>
  <c r="D1277" i="3"/>
  <c r="E1277" i="3"/>
  <c r="G1277" i="3"/>
  <c r="I1277" i="3"/>
  <c r="J1277" i="3"/>
  <c r="L1277" i="3"/>
  <c r="N1277" i="3"/>
  <c r="M1277" i="3"/>
  <c r="C1277" i="3"/>
  <c r="H1277" i="3"/>
  <c r="F1277" i="3"/>
  <c r="B1277" i="3"/>
  <c r="D1276" i="3"/>
  <c r="E1276" i="3"/>
  <c r="G1276" i="3"/>
  <c r="I1276" i="3"/>
  <c r="J1276" i="3"/>
  <c r="L1276" i="3"/>
  <c r="N1276" i="3"/>
  <c r="M1276" i="3"/>
  <c r="C1276" i="3"/>
  <c r="H1276" i="3"/>
  <c r="F1276" i="3"/>
  <c r="B1276" i="3"/>
  <c r="D1275" i="3"/>
  <c r="E1275" i="3"/>
  <c r="G1275" i="3"/>
  <c r="I1275" i="3"/>
  <c r="J1275" i="3"/>
  <c r="L1275" i="3"/>
  <c r="N1275" i="3"/>
  <c r="M1275" i="3"/>
  <c r="C1275" i="3"/>
  <c r="H1275" i="3"/>
  <c r="F1275" i="3"/>
  <c r="B1275" i="3"/>
  <c r="D1274" i="3"/>
  <c r="E1274" i="3"/>
  <c r="G1274" i="3"/>
  <c r="I1274" i="3"/>
  <c r="J1274" i="3"/>
  <c r="L1274" i="3"/>
  <c r="N1274" i="3"/>
  <c r="M1274" i="3"/>
  <c r="C1274" i="3"/>
  <c r="H1274" i="3"/>
  <c r="F1274" i="3"/>
  <c r="B1274" i="3"/>
  <c r="D1273" i="3"/>
  <c r="E1273" i="3"/>
  <c r="G1273" i="3"/>
  <c r="I1273" i="3"/>
  <c r="J1273" i="3"/>
  <c r="L1273" i="3"/>
  <c r="N1273" i="3"/>
  <c r="M1273" i="3"/>
  <c r="C1273" i="3"/>
  <c r="H1273" i="3"/>
  <c r="F1273" i="3"/>
  <c r="B1273" i="3"/>
  <c r="D1272" i="3"/>
  <c r="E1272" i="3"/>
  <c r="G1272" i="3"/>
  <c r="I1272" i="3"/>
  <c r="J1272" i="3"/>
  <c r="L1272" i="3"/>
  <c r="N1272" i="3"/>
  <c r="M1272" i="3"/>
  <c r="C1272" i="3"/>
  <c r="H1272" i="3"/>
  <c r="F1272" i="3"/>
  <c r="B1272" i="3"/>
  <c r="D1271" i="3"/>
  <c r="E1271" i="3"/>
  <c r="G1271" i="3"/>
  <c r="I1271" i="3"/>
  <c r="J1271" i="3"/>
  <c r="L1271" i="3"/>
  <c r="N1271" i="3"/>
  <c r="M1271" i="3"/>
  <c r="C1271" i="3"/>
  <c r="H1271" i="3"/>
  <c r="F1271" i="3"/>
  <c r="B1271" i="3"/>
  <c r="D1270" i="3"/>
  <c r="E1270" i="3"/>
  <c r="G1270" i="3"/>
  <c r="I1270" i="3"/>
  <c r="J1270" i="3"/>
  <c r="L1270" i="3"/>
  <c r="N1270" i="3"/>
  <c r="M1270" i="3"/>
  <c r="C1270" i="3"/>
  <c r="H1270" i="3"/>
  <c r="F1270" i="3"/>
  <c r="B1270" i="3"/>
  <c r="D1269" i="3"/>
  <c r="E1269" i="3"/>
  <c r="G1269" i="3"/>
  <c r="I1269" i="3"/>
  <c r="J1269" i="3"/>
  <c r="L1269" i="3"/>
  <c r="N1269" i="3"/>
  <c r="M1269" i="3"/>
  <c r="C1269" i="3"/>
  <c r="H1269" i="3"/>
  <c r="F1269" i="3"/>
  <c r="B1269" i="3"/>
  <c r="D1268" i="3"/>
  <c r="E1268" i="3"/>
  <c r="G1268" i="3"/>
  <c r="I1268" i="3"/>
  <c r="J1268" i="3"/>
  <c r="L1268" i="3"/>
  <c r="N1268" i="3"/>
  <c r="M1268" i="3"/>
  <c r="C1268" i="3"/>
  <c r="H1268" i="3"/>
  <c r="F1268" i="3"/>
  <c r="B1268" i="3"/>
  <c r="D1267" i="3"/>
  <c r="E1267" i="3"/>
  <c r="G1267" i="3"/>
  <c r="I1267" i="3"/>
  <c r="J1267" i="3"/>
  <c r="L1267" i="3"/>
  <c r="N1267" i="3"/>
  <c r="M1267" i="3"/>
  <c r="C1267" i="3"/>
  <c r="H1267" i="3"/>
  <c r="F1267" i="3"/>
  <c r="B1267" i="3"/>
  <c r="D1266" i="3"/>
  <c r="E1266" i="3"/>
  <c r="G1266" i="3"/>
  <c r="I1266" i="3"/>
  <c r="J1266" i="3"/>
  <c r="L1266" i="3"/>
  <c r="N1266" i="3"/>
  <c r="M1266" i="3"/>
  <c r="C1266" i="3"/>
  <c r="H1266" i="3"/>
  <c r="F1266" i="3"/>
  <c r="B1266" i="3"/>
  <c r="D1265" i="3"/>
  <c r="E1265" i="3"/>
  <c r="G1265" i="3"/>
  <c r="I1265" i="3"/>
  <c r="J1265" i="3"/>
  <c r="L1265" i="3"/>
  <c r="N1265" i="3"/>
  <c r="M1265" i="3"/>
  <c r="C1265" i="3"/>
  <c r="H1265" i="3"/>
  <c r="F1265" i="3"/>
  <c r="B1265" i="3"/>
  <c r="D1264" i="3"/>
  <c r="E1264" i="3"/>
  <c r="G1264" i="3"/>
  <c r="I1264" i="3"/>
  <c r="J1264" i="3"/>
  <c r="L1264" i="3"/>
  <c r="N1264" i="3"/>
  <c r="M1264" i="3"/>
  <c r="C1264" i="3"/>
  <c r="H1264" i="3"/>
  <c r="F1264" i="3"/>
  <c r="B1264" i="3"/>
  <c r="D1263" i="3"/>
  <c r="E1263" i="3"/>
  <c r="G1263" i="3"/>
  <c r="I1263" i="3"/>
  <c r="J1263" i="3"/>
  <c r="L1263" i="3"/>
  <c r="N1263" i="3"/>
  <c r="M1263" i="3"/>
  <c r="C1263" i="3"/>
  <c r="H1263" i="3"/>
  <c r="F1263" i="3"/>
  <c r="B1263" i="3"/>
  <c r="D1262" i="3"/>
  <c r="E1262" i="3"/>
  <c r="G1262" i="3"/>
  <c r="I1262" i="3"/>
  <c r="J1262" i="3"/>
  <c r="L1262" i="3"/>
  <c r="N1262" i="3"/>
  <c r="M1262" i="3"/>
  <c r="C1262" i="3"/>
  <c r="H1262" i="3"/>
  <c r="F1262" i="3"/>
  <c r="B1262" i="3"/>
  <c r="D1261" i="3"/>
  <c r="E1261" i="3"/>
  <c r="G1261" i="3"/>
  <c r="I1261" i="3"/>
  <c r="J1261" i="3"/>
  <c r="L1261" i="3"/>
  <c r="N1261" i="3"/>
  <c r="M1261" i="3"/>
  <c r="C1261" i="3"/>
  <c r="H1261" i="3"/>
  <c r="F1261" i="3"/>
  <c r="B1261" i="3"/>
  <c r="D1260" i="3"/>
  <c r="E1260" i="3"/>
  <c r="G1260" i="3"/>
  <c r="I1260" i="3"/>
  <c r="J1260" i="3"/>
  <c r="L1260" i="3"/>
  <c r="N1260" i="3"/>
  <c r="M1260" i="3"/>
  <c r="C1260" i="3"/>
  <c r="H1260" i="3"/>
  <c r="F1260" i="3"/>
  <c r="B1260" i="3"/>
  <c r="D1259" i="3"/>
  <c r="E1259" i="3"/>
  <c r="G1259" i="3"/>
  <c r="I1259" i="3"/>
  <c r="J1259" i="3"/>
  <c r="L1259" i="3"/>
  <c r="N1259" i="3"/>
  <c r="M1259" i="3"/>
  <c r="C1259" i="3"/>
  <c r="H1259" i="3"/>
  <c r="F1259" i="3"/>
  <c r="B1259" i="3"/>
  <c r="D1258" i="3"/>
  <c r="E1258" i="3"/>
  <c r="G1258" i="3"/>
  <c r="I1258" i="3"/>
  <c r="J1258" i="3"/>
  <c r="L1258" i="3"/>
  <c r="N1258" i="3"/>
  <c r="M1258" i="3"/>
  <c r="C1258" i="3"/>
  <c r="H1258" i="3"/>
  <c r="F1258" i="3"/>
  <c r="B1258" i="3"/>
  <c r="D1257" i="3"/>
  <c r="E1257" i="3"/>
  <c r="G1257" i="3"/>
  <c r="I1257" i="3"/>
  <c r="J1257" i="3"/>
  <c r="L1257" i="3"/>
  <c r="N1257" i="3"/>
  <c r="M1257" i="3"/>
  <c r="C1257" i="3"/>
  <c r="H1257" i="3"/>
  <c r="F1257" i="3"/>
  <c r="B1257" i="3"/>
  <c r="D1256" i="3"/>
  <c r="E1256" i="3"/>
  <c r="G1256" i="3"/>
  <c r="I1256" i="3"/>
  <c r="J1256" i="3"/>
  <c r="L1256" i="3"/>
  <c r="N1256" i="3"/>
  <c r="M1256" i="3"/>
  <c r="C1256" i="3"/>
  <c r="H1256" i="3"/>
  <c r="F1256" i="3"/>
  <c r="B1256" i="3"/>
  <c r="D1255" i="3"/>
  <c r="E1255" i="3"/>
  <c r="G1255" i="3"/>
  <c r="I1255" i="3"/>
  <c r="J1255" i="3"/>
  <c r="L1255" i="3"/>
  <c r="N1255" i="3"/>
  <c r="M1255" i="3"/>
  <c r="C1255" i="3"/>
  <c r="H1255" i="3"/>
  <c r="F1255" i="3"/>
  <c r="B1255" i="3"/>
  <c r="D1254" i="3"/>
  <c r="E1254" i="3"/>
  <c r="G1254" i="3"/>
  <c r="I1254" i="3"/>
  <c r="J1254" i="3"/>
  <c r="L1254" i="3"/>
  <c r="N1254" i="3"/>
  <c r="M1254" i="3"/>
  <c r="C1254" i="3"/>
  <c r="H1254" i="3"/>
  <c r="F1254" i="3"/>
  <c r="B1254" i="3"/>
  <c r="D1253" i="3"/>
  <c r="E1253" i="3"/>
  <c r="G1253" i="3"/>
  <c r="I1253" i="3"/>
  <c r="J1253" i="3"/>
  <c r="L1253" i="3"/>
  <c r="N1253" i="3"/>
  <c r="M1253" i="3"/>
  <c r="C1253" i="3"/>
  <c r="H1253" i="3"/>
  <c r="F1253" i="3"/>
  <c r="B1253" i="3"/>
  <c r="D1252" i="3"/>
  <c r="E1252" i="3"/>
  <c r="G1252" i="3"/>
  <c r="I1252" i="3"/>
  <c r="J1252" i="3"/>
  <c r="L1252" i="3"/>
  <c r="N1252" i="3"/>
  <c r="M1252" i="3"/>
  <c r="C1252" i="3"/>
  <c r="H1252" i="3"/>
  <c r="F1252" i="3"/>
  <c r="B1252" i="3"/>
  <c r="D1251" i="3"/>
  <c r="E1251" i="3"/>
  <c r="G1251" i="3"/>
  <c r="I1251" i="3"/>
  <c r="J1251" i="3"/>
  <c r="L1251" i="3"/>
  <c r="N1251" i="3"/>
  <c r="M1251" i="3"/>
  <c r="C1251" i="3"/>
  <c r="H1251" i="3"/>
  <c r="F1251" i="3"/>
  <c r="B1251" i="3"/>
  <c r="D1250" i="3"/>
  <c r="E1250" i="3"/>
  <c r="G1250" i="3"/>
  <c r="I1250" i="3"/>
  <c r="J1250" i="3"/>
  <c r="L1250" i="3"/>
  <c r="N1250" i="3"/>
  <c r="M1250" i="3"/>
  <c r="C1250" i="3"/>
  <c r="H1250" i="3"/>
  <c r="F1250" i="3"/>
  <c r="B1250" i="3"/>
  <c r="D1249" i="3"/>
  <c r="E1249" i="3"/>
  <c r="G1249" i="3"/>
  <c r="I1249" i="3"/>
  <c r="J1249" i="3"/>
  <c r="L1249" i="3"/>
  <c r="N1249" i="3"/>
  <c r="M1249" i="3"/>
  <c r="C1249" i="3"/>
  <c r="H1249" i="3"/>
  <c r="F1249" i="3"/>
  <c r="B1249" i="3"/>
  <c r="D1248" i="3"/>
  <c r="E1248" i="3"/>
  <c r="G1248" i="3"/>
  <c r="I1248" i="3"/>
  <c r="J1248" i="3"/>
  <c r="L1248" i="3"/>
  <c r="N1248" i="3"/>
  <c r="M1248" i="3"/>
  <c r="C1248" i="3"/>
  <c r="H1248" i="3"/>
  <c r="F1248" i="3"/>
  <c r="B1248" i="3"/>
  <c r="D1247" i="3"/>
  <c r="E1247" i="3"/>
  <c r="G1247" i="3"/>
  <c r="I1247" i="3"/>
  <c r="J1247" i="3"/>
  <c r="L1247" i="3"/>
  <c r="N1247" i="3"/>
  <c r="M1247" i="3"/>
  <c r="C1247" i="3"/>
  <c r="H1247" i="3"/>
  <c r="F1247" i="3"/>
  <c r="B1247" i="3"/>
  <c r="D1246" i="3"/>
  <c r="E1246" i="3"/>
  <c r="G1246" i="3"/>
  <c r="I1246" i="3"/>
  <c r="J1246" i="3"/>
  <c r="L1246" i="3"/>
  <c r="N1246" i="3"/>
  <c r="M1246" i="3"/>
  <c r="C1246" i="3"/>
  <c r="H1246" i="3"/>
  <c r="F1246" i="3"/>
  <c r="B1246" i="3"/>
  <c r="D1245" i="3"/>
  <c r="E1245" i="3"/>
  <c r="G1245" i="3"/>
  <c r="I1245" i="3"/>
  <c r="J1245" i="3"/>
  <c r="L1245" i="3"/>
  <c r="N1245" i="3"/>
  <c r="M1245" i="3"/>
  <c r="C1245" i="3"/>
  <c r="H1245" i="3"/>
  <c r="F1245" i="3"/>
  <c r="B1245" i="3"/>
  <c r="D1244" i="3"/>
  <c r="E1244" i="3"/>
  <c r="G1244" i="3"/>
  <c r="I1244" i="3"/>
  <c r="J1244" i="3"/>
  <c r="L1244" i="3"/>
  <c r="N1244" i="3"/>
  <c r="M1244" i="3"/>
  <c r="C1244" i="3"/>
  <c r="H1244" i="3"/>
  <c r="F1244" i="3"/>
  <c r="B1244" i="3"/>
  <c r="D1243" i="3"/>
  <c r="E1243" i="3"/>
  <c r="G1243" i="3"/>
  <c r="I1243" i="3"/>
  <c r="J1243" i="3"/>
  <c r="L1243" i="3"/>
  <c r="N1243" i="3"/>
  <c r="M1243" i="3"/>
  <c r="C1243" i="3"/>
  <c r="H1243" i="3"/>
  <c r="F1243" i="3"/>
  <c r="B1243" i="3"/>
  <c r="D1242" i="3"/>
  <c r="E1242" i="3"/>
  <c r="G1242" i="3"/>
  <c r="I1242" i="3"/>
  <c r="J1242" i="3"/>
  <c r="L1242" i="3"/>
  <c r="N1242" i="3"/>
  <c r="M1242" i="3"/>
  <c r="C1242" i="3"/>
  <c r="H1242" i="3"/>
  <c r="F1242" i="3"/>
  <c r="B1242" i="3"/>
  <c r="D1241" i="3"/>
  <c r="E1241" i="3"/>
  <c r="G1241" i="3"/>
  <c r="I1241" i="3"/>
  <c r="J1241" i="3"/>
  <c r="L1241" i="3"/>
  <c r="N1241" i="3"/>
  <c r="M1241" i="3"/>
  <c r="C1241" i="3"/>
  <c r="H1241" i="3"/>
  <c r="F1241" i="3"/>
  <c r="B1241" i="3"/>
  <c r="D1240" i="3"/>
  <c r="E1240" i="3"/>
  <c r="G1240" i="3"/>
  <c r="I1240" i="3"/>
  <c r="J1240" i="3"/>
  <c r="L1240" i="3"/>
  <c r="N1240" i="3"/>
  <c r="M1240" i="3"/>
  <c r="C1240" i="3"/>
  <c r="H1240" i="3"/>
  <c r="F1240" i="3"/>
  <c r="B1240" i="3"/>
  <c r="D1239" i="3"/>
  <c r="E1239" i="3"/>
  <c r="G1239" i="3"/>
  <c r="I1239" i="3"/>
  <c r="J1239" i="3"/>
  <c r="L1239" i="3"/>
  <c r="N1239" i="3"/>
  <c r="M1239" i="3"/>
  <c r="C1239" i="3"/>
  <c r="H1239" i="3"/>
  <c r="F1239" i="3"/>
  <c r="B1239" i="3"/>
  <c r="D1238" i="3"/>
  <c r="E1238" i="3"/>
  <c r="G1238" i="3"/>
  <c r="I1238" i="3"/>
  <c r="J1238" i="3"/>
  <c r="L1238" i="3"/>
  <c r="N1238" i="3"/>
  <c r="M1238" i="3"/>
  <c r="C1238" i="3"/>
  <c r="H1238" i="3"/>
  <c r="F1238" i="3"/>
  <c r="B1238" i="3"/>
  <c r="D1237" i="3"/>
  <c r="E1237" i="3"/>
  <c r="G1237" i="3"/>
  <c r="I1237" i="3"/>
  <c r="J1237" i="3"/>
  <c r="L1237" i="3"/>
  <c r="N1237" i="3"/>
  <c r="M1237" i="3"/>
  <c r="C1237" i="3"/>
  <c r="H1237" i="3"/>
  <c r="F1237" i="3"/>
  <c r="B1237" i="3"/>
  <c r="D1236" i="3"/>
  <c r="E1236" i="3"/>
  <c r="G1236" i="3"/>
  <c r="I1236" i="3"/>
  <c r="J1236" i="3"/>
  <c r="L1236" i="3"/>
  <c r="N1236" i="3"/>
  <c r="M1236" i="3"/>
  <c r="C1236" i="3"/>
  <c r="H1236" i="3"/>
  <c r="F1236" i="3"/>
  <c r="B1236" i="3"/>
  <c r="D1235" i="3"/>
  <c r="E1235" i="3"/>
  <c r="G1235" i="3"/>
  <c r="I1235" i="3"/>
  <c r="J1235" i="3"/>
  <c r="L1235" i="3"/>
  <c r="N1235" i="3"/>
  <c r="M1235" i="3"/>
  <c r="C1235" i="3"/>
  <c r="H1235" i="3"/>
  <c r="F1235" i="3"/>
  <c r="B1235" i="3"/>
  <c r="D1234" i="3"/>
  <c r="E1234" i="3"/>
  <c r="G1234" i="3"/>
  <c r="I1234" i="3"/>
  <c r="J1234" i="3"/>
  <c r="L1234" i="3"/>
  <c r="N1234" i="3"/>
  <c r="M1234" i="3"/>
  <c r="C1234" i="3"/>
  <c r="H1234" i="3"/>
  <c r="F1234" i="3"/>
  <c r="B1234" i="3"/>
  <c r="D1233" i="3"/>
  <c r="E1233" i="3"/>
  <c r="G1233" i="3"/>
  <c r="I1233" i="3"/>
  <c r="J1233" i="3"/>
  <c r="L1233" i="3"/>
  <c r="N1233" i="3"/>
  <c r="M1233" i="3"/>
  <c r="C1233" i="3"/>
  <c r="H1233" i="3"/>
  <c r="F1233" i="3"/>
  <c r="B1233" i="3"/>
  <c r="D1232" i="3"/>
  <c r="E1232" i="3"/>
  <c r="G1232" i="3"/>
  <c r="I1232" i="3"/>
  <c r="J1232" i="3"/>
  <c r="L1232" i="3"/>
  <c r="N1232" i="3"/>
  <c r="M1232" i="3"/>
  <c r="C1232" i="3"/>
  <c r="H1232" i="3"/>
  <c r="F1232" i="3"/>
  <c r="B1232" i="3"/>
  <c r="D1231" i="3"/>
  <c r="E1231" i="3"/>
  <c r="G1231" i="3"/>
  <c r="I1231" i="3"/>
  <c r="J1231" i="3"/>
  <c r="L1231" i="3"/>
  <c r="N1231" i="3"/>
  <c r="M1231" i="3"/>
  <c r="C1231" i="3"/>
  <c r="H1231" i="3"/>
  <c r="F1231" i="3"/>
  <c r="B1231" i="3"/>
  <c r="D1230" i="3"/>
  <c r="E1230" i="3"/>
  <c r="G1230" i="3"/>
  <c r="I1230" i="3"/>
  <c r="J1230" i="3"/>
  <c r="L1230" i="3"/>
  <c r="N1230" i="3"/>
  <c r="M1230" i="3"/>
  <c r="C1230" i="3"/>
  <c r="H1230" i="3"/>
  <c r="F1230" i="3"/>
  <c r="B1230" i="3"/>
  <c r="D1229" i="3"/>
  <c r="E1229" i="3"/>
  <c r="G1229" i="3"/>
  <c r="I1229" i="3"/>
  <c r="J1229" i="3"/>
  <c r="L1229" i="3"/>
  <c r="N1229" i="3"/>
  <c r="M1229" i="3"/>
  <c r="C1229" i="3"/>
  <c r="H1229" i="3"/>
  <c r="F1229" i="3"/>
  <c r="B1229" i="3"/>
  <c r="D1228" i="3"/>
  <c r="E1228" i="3"/>
  <c r="G1228" i="3"/>
  <c r="I1228" i="3"/>
  <c r="J1228" i="3"/>
  <c r="L1228" i="3"/>
  <c r="N1228" i="3"/>
  <c r="M1228" i="3"/>
  <c r="C1228" i="3"/>
  <c r="H1228" i="3"/>
  <c r="F1228" i="3"/>
  <c r="B1228" i="3"/>
  <c r="D1227" i="3"/>
  <c r="E1227" i="3"/>
  <c r="G1227" i="3"/>
  <c r="I1227" i="3"/>
  <c r="J1227" i="3"/>
  <c r="L1227" i="3"/>
  <c r="N1227" i="3"/>
  <c r="M1227" i="3"/>
  <c r="C1227" i="3"/>
  <c r="H1227" i="3"/>
  <c r="F1227" i="3"/>
  <c r="B1227" i="3"/>
  <c r="D1226" i="3"/>
  <c r="E1226" i="3"/>
  <c r="G1226" i="3"/>
  <c r="I1226" i="3"/>
  <c r="J1226" i="3"/>
  <c r="L1226" i="3"/>
  <c r="N1226" i="3"/>
  <c r="M1226" i="3"/>
  <c r="C1226" i="3"/>
  <c r="H1226" i="3"/>
  <c r="F1226" i="3"/>
  <c r="B1226" i="3"/>
  <c r="D1225" i="3"/>
  <c r="E1225" i="3"/>
  <c r="G1225" i="3"/>
  <c r="I1225" i="3"/>
  <c r="J1225" i="3"/>
  <c r="L1225" i="3"/>
  <c r="N1225" i="3"/>
  <c r="M1225" i="3"/>
  <c r="C1225" i="3"/>
  <c r="H1225" i="3"/>
  <c r="F1225" i="3"/>
  <c r="B1225" i="3"/>
  <c r="D1224" i="3"/>
  <c r="E1224" i="3"/>
  <c r="G1224" i="3"/>
  <c r="I1224" i="3"/>
  <c r="J1224" i="3"/>
  <c r="L1224" i="3"/>
  <c r="N1224" i="3"/>
  <c r="M1224" i="3"/>
  <c r="C1224" i="3"/>
  <c r="H1224" i="3"/>
  <c r="F1224" i="3"/>
  <c r="B1224" i="3"/>
  <c r="D1223" i="3"/>
  <c r="E1223" i="3"/>
  <c r="G1223" i="3"/>
  <c r="I1223" i="3"/>
  <c r="J1223" i="3"/>
  <c r="L1223" i="3"/>
  <c r="N1223" i="3"/>
  <c r="M1223" i="3"/>
  <c r="C1223" i="3"/>
  <c r="H1223" i="3"/>
  <c r="F1223" i="3"/>
  <c r="B1223" i="3"/>
  <c r="D1222" i="3"/>
  <c r="E1222" i="3"/>
  <c r="G1222" i="3"/>
  <c r="I1222" i="3"/>
  <c r="J1222" i="3"/>
  <c r="L1222" i="3"/>
  <c r="N1222" i="3"/>
  <c r="M1222" i="3"/>
  <c r="C1222" i="3"/>
  <c r="H1222" i="3"/>
  <c r="F1222" i="3"/>
  <c r="B1222" i="3"/>
  <c r="D1221" i="3"/>
  <c r="E1221" i="3"/>
  <c r="G1221" i="3"/>
  <c r="I1221" i="3"/>
  <c r="J1221" i="3"/>
  <c r="L1221" i="3"/>
  <c r="N1221" i="3"/>
  <c r="M1221" i="3"/>
  <c r="C1221" i="3"/>
  <c r="H1221" i="3"/>
  <c r="F1221" i="3"/>
  <c r="B1221" i="3"/>
  <c r="D1220" i="3"/>
  <c r="E1220" i="3"/>
  <c r="G1220" i="3"/>
  <c r="I1220" i="3"/>
  <c r="J1220" i="3"/>
  <c r="L1220" i="3"/>
  <c r="N1220" i="3"/>
  <c r="M1220" i="3"/>
  <c r="C1220" i="3"/>
  <c r="H1220" i="3"/>
  <c r="F1220" i="3"/>
  <c r="B1220" i="3"/>
  <c r="D1219" i="3"/>
  <c r="E1219" i="3"/>
  <c r="G1219" i="3"/>
  <c r="I1219" i="3"/>
  <c r="J1219" i="3"/>
  <c r="L1219" i="3"/>
  <c r="N1219" i="3"/>
  <c r="M1219" i="3"/>
  <c r="C1219" i="3"/>
  <c r="H1219" i="3"/>
  <c r="F1219" i="3"/>
  <c r="B1219" i="3"/>
  <c r="D1218" i="3"/>
  <c r="E1218" i="3"/>
  <c r="G1218" i="3"/>
  <c r="I1218" i="3"/>
  <c r="J1218" i="3"/>
  <c r="L1218" i="3"/>
  <c r="N1218" i="3"/>
  <c r="M1218" i="3"/>
  <c r="C1218" i="3"/>
  <c r="H1218" i="3"/>
  <c r="F1218" i="3"/>
  <c r="B1218" i="3"/>
  <c r="D1217" i="3"/>
  <c r="E1217" i="3"/>
  <c r="G1217" i="3"/>
  <c r="I1217" i="3"/>
  <c r="J1217" i="3"/>
  <c r="L1217" i="3"/>
  <c r="N1217" i="3"/>
  <c r="M1217" i="3"/>
  <c r="C1217" i="3"/>
  <c r="H1217" i="3"/>
  <c r="F1217" i="3"/>
  <c r="B1217" i="3"/>
  <c r="D1216" i="3"/>
  <c r="E1216" i="3"/>
  <c r="G1216" i="3"/>
  <c r="I1216" i="3"/>
  <c r="J1216" i="3"/>
  <c r="L1216" i="3"/>
  <c r="N1216" i="3"/>
  <c r="M1216" i="3"/>
  <c r="C1216" i="3"/>
  <c r="H1216" i="3"/>
  <c r="F1216" i="3"/>
  <c r="B1216" i="3"/>
  <c r="D1215" i="3"/>
  <c r="E1215" i="3"/>
  <c r="G1215" i="3"/>
  <c r="I1215" i="3"/>
  <c r="J1215" i="3"/>
  <c r="L1215" i="3"/>
  <c r="N1215" i="3"/>
  <c r="M1215" i="3"/>
  <c r="C1215" i="3"/>
  <c r="H1215" i="3"/>
  <c r="F1215" i="3"/>
  <c r="B1215" i="3"/>
  <c r="D1214" i="3"/>
  <c r="E1214" i="3"/>
  <c r="G1214" i="3"/>
  <c r="I1214" i="3"/>
  <c r="J1214" i="3"/>
  <c r="L1214" i="3"/>
  <c r="N1214" i="3"/>
  <c r="M1214" i="3"/>
  <c r="C1214" i="3"/>
  <c r="H1214" i="3"/>
  <c r="F1214" i="3"/>
  <c r="B1214" i="3"/>
  <c r="D1213" i="3"/>
  <c r="E1213" i="3"/>
  <c r="G1213" i="3"/>
  <c r="I1213" i="3"/>
  <c r="J1213" i="3"/>
  <c r="L1213" i="3"/>
  <c r="N1213" i="3"/>
  <c r="M1213" i="3"/>
  <c r="C1213" i="3"/>
  <c r="H1213" i="3"/>
  <c r="F1213" i="3"/>
  <c r="B1213" i="3"/>
  <c r="D1212" i="3"/>
  <c r="E1212" i="3"/>
  <c r="G1212" i="3"/>
  <c r="I1212" i="3"/>
  <c r="J1212" i="3"/>
  <c r="L1212" i="3"/>
  <c r="N1212" i="3"/>
  <c r="M1212" i="3"/>
  <c r="C1212" i="3"/>
  <c r="H1212" i="3"/>
  <c r="F1212" i="3"/>
  <c r="B1212" i="3"/>
  <c r="D1211" i="3"/>
  <c r="E1211" i="3"/>
  <c r="G1211" i="3"/>
  <c r="I1211" i="3"/>
  <c r="J1211" i="3"/>
  <c r="L1211" i="3"/>
  <c r="N1211" i="3"/>
  <c r="M1211" i="3"/>
  <c r="C1211" i="3"/>
  <c r="H1211" i="3"/>
  <c r="F1211" i="3"/>
  <c r="B1211" i="3"/>
  <c r="D1210" i="3"/>
  <c r="E1210" i="3"/>
  <c r="G1210" i="3"/>
  <c r="I1210" i="3"/>
  <c r="J1210" i="3"/>
  <c r="L1210" i="3"/>
  <c r="N1210" i="3"/>
  <c r="M1210" i="3"/>
  <c r="C1210" i="3"/>
  <c r="H1210" i="3"/>
  <c r="F1210" i="3"/>
  <c r="B1210" i="3"/>
  <c r="D1209" i="3"/>
  <c r="E1209" i="3"/>
  <c r="G1209" i="3"/>
  <c r="I1209" i="3"/>
  <c r="J1209" i="3"/>
  <c r="L1209" i="3"/>
  <c r="N1209" i="3"/>
  <c r="M1209" i="3"/>
  <c r="C1209" i="3"/>
  <c r="H1209" i="3"/>
  <c r="F1209" i="3"/>
  <c r="B1209" i="3"/>
  <c r="D1208" i="3"/>
  <c r="E1208" i="3"/>
  <c r="G1208" i="3"/>
  <c r="I1208" i="3"/>
  <c r="J1208" i="3"/>
  <c r="L1208" i="3"/>
  <c r="N1208" i="3"/>
  <c r="M1208" i="3"/>
  <c r="C1208" i="3"/>
  <c r="H1208" i="3"/>
  <c r="F1208" i="3"/>
  <c r="B1208" i="3"/>
  <c r="D1207" i="3"/>
  <c r="E1207" i="3"/>
  <c r="G1207" i="3"/>
  <c r="I1207" i="3"/>
  <c r="J1207" i="3"/>
  <c r="L1207" i="3"/>
  <c r="N1207" i="3"/>
  <c r="M1207" i="3"/>
  <c r="C1207" i="3"/>
  <c r="H1207" i="3"/>
  <c r="F1207" i="3"/>
  <c r="B1207" i="3"/>
  <c r="D1206" i="3"/>
  <c r="E1206" i="3"/>
  <c r="G1206" i="3"/>
  <c r="I1206" i="3"/>
  <c r="J1206" i="3"/>
  <c r="L1206" i="3"/>
  <c r="N1206" i="3"/>
  <c r="M1206" i="3"/>
  <c r="C1206" i="3"/>
  <c r="H1206" i="3"/>
  <c r="F1206" i="3"/>
  <c r="B1206" i="3"/>
  <c r="D1205" i="3"/>
  <c r="E1205" i="3"/>
  <c r="G1205" i="3"/>
  <c r="I1205" i="3"/>
  <c r="J1205" i="3"/>
  <c r="L1205" i="3"/>
  <c r="N1205" i="3"/>
  <c r="M1205" i="3"/>
  <c r="C1205" i="3"/>
  <c r="H1205" i="3"/>
  <c r="F1205" i="3"/>
  <c r="B1205" i="3"/>
  <c r="D1204" i="3"/>
  <c r="E1204" i="3"/>
  <c r="G1204" i="3"/>
  <c r="I1204" i="3"/>
  <c r="J1204" i="3"/>
  <c r="L1204" i="3"/>
  <c r="N1204" i="3"/>
  <c r="M1204" i="3"/>
  <c r="C1204" i="3"/>
  <c r="H1204" i="3"/>
  <c r="F1204" i="3"/>
  <c r="B1204" i="3"/>
  <c r="D1203" i="3"/>
  <c r="E1203" i="3"/>
  <c r="G1203" i="3"/>
  <c r="I1203" i="3"/>
  <c r="J1203" i="3"/>
  <c r="L1203" i="3"/>
  <c r="N1203" i="3"/>
  <c r="M1203" i="3"/>
  <c r="C1203" i="3"/>
  <c r="H1203" i="3"/>
  <c r="F1203" i="3"/>
  <c r="B1203" i="3"/>
  <c r="D1202" i="3"/>
  <c r="E1202" i="3"/>
  <c r="G1202" i="3"/>
  <c r="I1202" i="3"/>
  <c r="J1202" i="3"/>
  <c r="L1202" i="3"/>
  <c r="N1202" i="3"/>
  <c r="M1202" i="3"/>
  <c r="C1202" i="3"/>
  <c r="H1202" i="3"/>
  <c r="F1202" i="3"/>
  <c r="B1202" i="3"/>
  <c r="D1201" i="3"/>
  <c r="E1201" i="3"/>
  <c r="G1201" i="3"/>
  <c r="I1201" i="3"/>
  <c r="J1201" i="3"/>
  <c r="L1201" i="3"/>
  <c r="N1201" i="3"/>
  <c r="M1201" i="3"/>
  <c r="C1201" i="3"/>
  <c r="H1201" i="3"/>
  <c r="F1201" i="3"/>
  <c r="B1201" i="3"/>
  <c r="D1200" i="3"/>
  <c r="E1200" i="3"/>
  <c r="G1200" i="3"/>
  <c r="I1200" i="3"/>
  <c r="J1200" i="3"/>
  <c r="L1200" i="3"/>
  <c r="N1200" i="3"/>
  <c r="M1200" i="3"/>
  <c r="C1200" i="3"/>
  <c r="H1200" i="3"/>
  <c r="F1200" i="3"/>
  <c r="B1200" i="3"/>
  <c r="D1199" i="3"/>
  <c r="E1199" i="3"/>
  <c r="G1199" i="3"/>
  <c r="I1199" i="3"/>
  <c r="J1199" i="3"/>
  <c r="L1199" i="3"/>
  <c r="N1199" i="3"/>
  <c r="M1199" i="3"/>
  <c r="C1199" i="3"/>
  <c r="H1199" i="3"/>
  <c r="F1199" i="3"/>
  <c r="B1199" i="3"/>
  <c r="D1198" i="3"/>
  <c r="E1198" i="3"/>
  <c r="G1198" i="3"/>
  <c r="I1198" i="3"/>
  <c r="J1198" i="3"/>
  <c r="L1198" i="3"/>
  <c r="N1198" i="3"/>
  <c r="M1198" i="3"/>
  <c r="C1198" i="3"/>
  <c r="H1198" i="3"/>
  <c r="F1198" i="3"/>
  <c r="B1198" i="3"/>
  <c r="D1197" i="3"/>
  <c r="E1197" i="3"/>
  <c r="G1197" i="3"/>
  <c r="I1197" i="3"/>
  <c r="J1197" i="3"/>
  <c r="L1197" i="3"/>
  <c r="N1197" i="3"/>
  <c r="M1197" i="3"/>
  <c r="C1197" i="3"/>
  <c r="H1197" i="3"/>
  <c r="F1197" i="3"/>
  <c r="B1197" i="3"/>
  <c r="D1196" i="3"/>
  <c r="E1196" i="3"/>
  <c r="G1196" i="3"/>
  <c r="I1196" i="3"/>
  <c r="J1196" i="3"/>
  <c r="L1196" i="3"/>
  <c r="N1196" i="3"/>
  <c r="M1196" i="3"/>
  <c r="C1196" i="3"/>
  <c r="H1196" i="3"/>
  <c r="F1196" i="3"/>
  <c r="B1196" i="3"/>
  <c r="D1195" i="3"/>
  <c r="E1195" i="3"/>
  <c r="G1195" i="3"/>
  <c r="I1195" i="3"/>
  <c r="J1195" i="3"/>
  <c r="L1195" i="3"/>
  <c r="N1195" i="3"/>
  <c r="M1195" i="3"/>
  <c r="C1195" i="3"/>
  <c r="H1195" i="3"/>
  <c r="F1195" i="3"/>
  <c r="B1195" i="3"/>
  <c r="D1194" i="3"/>
  <c r="E1194" i="3"/>
  <c r="G1194" i="3"/>
  <c r="I1194" i="3"/>
  <c r="J1194" i="3"/>
  <c r="L1194" i="3"/>
  <c r="N1194" i="3"/>
  <c r="M1194" i="3"/>
  <c r="C1194" i="3"/>
  <c r="H1194" i="3"/>
  <c r="F1194" i="3"/>
  <c r="B1194" i="3"/>
  <c r="D1193" i="3"/>
  <c r="E1193" i="3"/>
  <c r="G1193" i="3"/>
  <c r="I1193" i="3"/>
  <c r="J1193" i="3"/>
  <c r="L1193" i="3"/>
  <c r="N1193" i="3"/>
  <c r="M1193" i="3"/>
  <c r="C1193" i="3"/>
  <c r="H1193" i="3"/>
  <c r="F1193" i="3"/>
  <c r="B1193" i="3"/>
  <c r="D1192" i="3"/>
  <c r="E1192" i="3"/>
  <c r="G1192" i="3"/>
  <c r="I1192" i="3"/>
  <c r="J1192" i="3"/>
  <c r="L1192" i="3"/>
  <c r="N1192" i="3"/>
  <c r="M1192" i="3"/>
  <c r="C1192" i="3"/>
  <c r="H1192" i="3"/>
  <c r="F1192" i="3"/>
  <c r="B1192" i="3"/>
  <c r="D1191" i="3"/>
  <c r="E1191" i="3"/>
  <c r="G1191" i="3"/>
  <c r="I1191" i="3"/>
  <c r="J1191" i="3"/>
  <c r="L1191" i="3"/>
  <c r="N1191" i="3"/>
  <c r="M1191" i="3"/>
  <c r="C1191" i="3"/>
  <c r="H1191" i="3"/>
  <c r="F1191" i="3"/>
  <c r="B1191" i="3"/>
  <c r="D1190" i="3"/>
  <c r="E1190" i="3"/>
  <c r="G1190" i="3"/>
  <c r="I1190" i="3"/>
  <c r="J1190" i="3"/>
  <c r="L1190" i="3"/>
  <c r="N1190" i="3"/>
  <c r="M1190" i="3"/>
  <c r="C1190" i="3"/>
  <c r="H1190" i="3"/>
  <c r="F1190" i="3"/>
  <c r="B1190" i="3"/>
  <c r="D1189" i="3"/>
  <c r="E1189" i="3"/>
  <c r="G1189" i="3"/>
  <c r="I1189" i="3"/>
  <c r="J1189" i="3"/>
  <c r="L1189" i="3"/>
  <c r="N1189" i="3"/>
  <c r="M1189" i="3"/>
  <c r="C1189" i="3"/>
  <c r="H1189" i="3"/>
  <c r="F1189" i="3"/>
  <c r="B1189" i="3"/>
  <c r="D1188" i="3"/>
  <c r="E1188" i="3"/>
  <c r="G1188" i="3"/>
  <c r="I1188" i="3"/>
  <c r="J1188" i="3"/>
  <c r="L1188" i="3"/>
  <c r="N1188" i="3"/>
  <c r="M1188" i="3"/>
  <c r="C1188" i="3"/>
  <c r="H1188" i="3"/>
  <c r="F1188" i="3"/>
  <c r="B1188" i="3"/>
  <c r="D1187" i="3"/>
  <c r="E1187" i="3"/>
  <c r="G1187" i="3"/>
  <c r="I1187" i="3"/>
  <c r="J1187" i="3"/>
  <c r="L1187" i="3"/>
  <c r="N1187" i="3"/>
  <c r="M1187" i="3"/>
  <c r="C1187" i="3"/>
  <c r="H1187" i="3"/>
  <c r="F1187" i="3"/>
  <c r="B1187" i="3"/>
  <c r="D1186" i="3"/>
  <c r="E1186" i="3"/>
  <c r="G1186" i="3"/>
  <c r="I1186" i="3"/>
  <c r="J1186" i="3"/>
  <c r="L1186" i="3"/>
  <c r="N1186" i="3"/>
  <c r="M1186" i="3"/>
  <c r="C1186" i="3"/>
  <c r="H1186" i="3"/>
  <c r="F1186" i="3"/>
  <c r="B1186" i="3"/>
  <c r="D1185" i="3"/>
  <c r="E1185" i="3"/>
  <c r="G1185" i="3"/>
  <c r="I1185" i="3"/>
  <c r="J1185" i="3"/>
  <c r="L1185" i="3"/>
  <c r="N1185" i="3"/>
  <c r="M1185" i="3"/>
  <c r="C1185" i="3"/>
  <c r="H1185" i="3"/>
  <c r="F1185" i="3"/>
  <c r="B1185" i="3"/>
  <c r="D1184" i="3"/>
  <c r="E1184" i="3"/>
  <c r="G1184" i="3"/>
  <c r="I1184" i="3"/>
  <c r="J1184" i="3"/>
  <c r="L1184" i="3"/>
  <c r="N1184" i="3"/>
  <c r="M1184" i="3"/>
  <c r="C1184" i="3"/>
  <c r="H1184" i="3"/>
  <c r="F1184" i="3"/>
  <c r="B1184" i="3"/>
  <c r="D1183" i="3"/>
  <c r="E1183" i="3"/>
  <c r="G1183" i="3"/>
  <c r="I1183" i="3"/>
  <c r="J1183" i="3"/>
  <c r="L1183" i="3"/>
  <c r="N1183" i="3"/>
  <c r="M1183" i="3"/>
  <c r="C1183" i="3"/>
  <c r="H1183" i="3"/>
  <c r="F1183" i="3"/>
  <c r="B1183" i="3"/>
  <c r="D1182" i="3"/>
  <c r="E1182" i="3"/>
  <c r="G1182" i="3"/>
  <c r="I1182" i="3"/>
  <c r="J1182" i="3"/>
  <c r="L1182" i="3"/>
  <c r="N1182" i="3"/>
  <c r="M1182" i="3"/>
  <c r="C1182" i="3"/>
  <c r="H1182" i="3"/>
  <c r="F1182" i="3"/>
  <c r="B1182" i="3"/>
  <c r="D1181" i="3"/>
  <c r="E1181" i="3"/>
  <c r="G1181" i="3"/>
  <c r="I1181" i="3"/>
  <c r="J1181" i="3"/>
  <c r="L1181" i="3"/>
  <c r="N1181" i="3"/>
  <c r="M1181" i="3"/>
  <c r="C1181" i="3"/>
  <c r="H1181" i="3"/>
  <c r="F1181" i="3"/>
  <c r="B1181" i="3"/>
  <c r="D1180" i="3"/>
  <c r="E1180" i="3"/>
  <c r="G1180" i="3"/>
  <c r="I1180" i="3"/>
  <c r="J1180" i="3"/>
  <c r="L1180" i="3"/>
  <c r="N1180" i="3"/>
  <c r="M1180" i="3"/>
  <c r="C1180" i="3"/>
  <c r="H1180" i="3"/>
  <c r="F1180" i="3"/>
  <c r="B1180" i="3"/>
  <c r="D1179" i="3"/>
  <c r="E1179" i="3"/>
  <c r="G1179" i="3"/>
  <c r="I1179" i="3"/>
  <c r="J1179" i="3"/>
  <c r="L1179" i="3"/>
  <c r="N1179" i="3"/>
  <c r="M1179" i="3"/>
  <c r="C1179" i="3"/>
  <c r="H1179" i="3"/>
  <c r="F1179" i="3"/>
  <c r="B1179" i="3"/>
  <c r="D1178" i="3"/>
  <c r="E1178" i="3"/>
  <c r="G1178" i="3"/>
  <c r="I1178" i="3"/>
  <c r="J1178" i="3"/>
  <c r="L1178" i="3"/>
  <c r="N1178" i="3"/>
  <c r="M1178" i="3"/>
  <c r="C1178" i="3"/>
  <c r="H1178" i="3"/>
  <c r="F1178" i="3"/>
  <c r="B1178" i="3"/>
  <c r="D1177" i="3"/>
  <c r="E1177" i="3"/>
  <c r="G1177" i="3"/>
  <c r="I1177" i="3"/>
  <c r="J1177" i="3"/>
  <c r="L1177" i="3"/>
  <c r="N1177" i="3"/>
  <c r="M1177" i="3"/>
  <c r="C1177" i="3"/>
  <c r="H1177" i="3"/>
  <c r="F1177" i="3"/>
  <c r="B1177" i="3"/>
  <c r="D1176" i="3"/>
  <c r="E1176" i="3"/>
  <c r="G1176" i="3"/>
  <c r="I1176" i="3"/>
  <c r="J1176" i="3"/>
  <c r="L1176" i="3"/>
  <c r="N1176" i="3"/>
  <c r="M1176" i="3"/>
  <c r="C1176" i="3"/>
  <c r="H1176" i="3"/>
  <c r="F1176" i="3"/>
  <c r="B1176" i="3"/>
  <c r="D1175" i="3"/>
  <c r="E1175" i="3"/>
  <c r="G1175" i="3"/>
  <c r="I1175" i="3"/>
  <c r="J1175" i="3"/>
  <c r="L1175" i="3"/>
  <c r="N1175" i="3"/>
  <c r="M1175" i="3"/>
  <c r="C1175" i="3"/>
  <c r="H1175" i="3"/>
  <c r="F1175" i="3"/>
  <c r="B1175" i="3"/>
  <c r="D1174" i="3"/>
  <c r="E1174" i="3"/>
  <c r="G1174" i="3"/>
  <c r="I1174" i="3"/>
  <c r="J1174" i="3"/>
  <c r="L1174" i="3"/>
  <c r="N1174" i="3"/>
  <c r="M1174" i="3"/>
  <c r="C1174" i="3"/>
  <c r="H1174" i="3"/>
  <c r="F1174" i="3"/>
  <c r="B1174" i="3"/>
  <c r="D1173" i="3"/>
  <c r="E1173" i="3"/>
  <c r="G1173" i="3"/>
  <c r="I1173" i="3"/>
  <c r="J1173" i="3"/>
  <c r="L1173" i="3"/>
  <c r="N1173" i="3"/>
  <c r="M1173" i="3"/>
  <c r="C1173" i="3"/>
  <c r="H1173" i="3"/>
  <c r="F1173" i="3"/>
  <c r="B1173" i="3"/>
  <c r="D1172" i="3"/>
  <c r="E1172" i="3"/>
  <c r="G1172" i="3"/>
  <c r="I1172" i="3"/>
  <c r="J1172" i="3"/>
  <c r="L1172" i="3"/>
  <c r="N1172" i="3"/>
  <c r="M1172" i="3"/>
  <c r="C1172" i="3"/>
  <c r="H1172" i="3"/>
  <c r="F1172" i="3"/>
  <c r="B1172" i="3"/>
  <c r="D1171" i="3"/>
  <c r="E1171" i="3"/>
  <c r="G1171" i="3"/>
  <c r="I1171" i="3"/>
  <c r="J1171" i="3"/>
  <c r="L1171" i="3"/>
  <c r="N1171" i="3"/>
  <c r="M1171" i="3"/>
  <c r="C1171" i="3"/>
  <c r="H1171" i="3"/>
  <c r="F1171" i="3"/>
  <c r="B1171" i="3"/>
  <c r="D1170" i="3"/>
  <c r="E1170" i="3"/>
  <c r="G1170" i="3"/>
  <c r="I1170" i="3"/>
  <c r="J1170" i="3"/>
  <c r="L1170" i="3"/>
  <c r="N1170" i="3"/>
  <c r="M1170" i="3"/>
  <c r="C1170" i="3"/>
  <c r="H1170" i="3"/>
  <c r="F1170" i="3"/>
  <c r="B1170" i="3"/>
  <c r="D1169" i="3"/>
  <c r="E1169" i="3"/>
  <c r="G1169" i="3"/>
  <c r="I1169" i="3"/>
  <c r="J1169" i="3"/>
  <c r="L1169" i="3"/>
  <c r="N1169" i="3"/>
  <c r="M1169" i="3"/>
  <c r="C1169" i="3"/>
  <c r="H1169" i="3"/>
  <c r="F1169" i="3"/>
  <c r="B1169" i="3"/>
  <c r="D1168" i="3"/>
  <c r="E1168" i="3"/>
  <c r="G1168" i="3"/>
  <c r="I1168" i="3"/>
  <c r="J1168" i="3"/>
  <c r="L1168" i="3"/>
  <c r="N1168" i="3"/>
  <c r="M1168" i="3"/>
  <c r="C1168" i="3"/>
  <c r="H1168" i="3"/>
  <c r="F1168" i="3"/>
  <c r="B1168" i="3"/>
  <c r="D1167" i="3"/>
  <c r="E1167" i="3"/>
  <c r="G1167" i="3"/>
  <c r="I1167" i="3"/>
  <c r="J1167" i="3"/>
  <c r="L1167" i="3"/>
  <c r="N1167" i="3"/>
  <c r="M1167" i="3"/>
  <c r="C1167" i="3"/>
  <c r="H1167" i="3"/>
  <c r="F1167" i="3"/>
  <c r="B1167" i="3"/>
  <c r="D1166" i="3"/>
  <c r="E1166" i="3"/>
  <c r="G1166" i="3"/>
  <c r="I1166" i="3"/>
  <c r="J1166" i="3"/>
  <c r="L1166" i="3"/>
  <c r="N1166" i="3"/>
  <c r="M1166" i="3"/>
  <c r="C1166" i="3"/>
  <c r="H1166" i="3"/>
  <c r="F1166" i="3"/>
  <c r="B1166" i="3"/>
  <c r="D1165" i="3"/>
  <c r="E1165" i="3"/>
  <c r="G1165" i="3"/>
  <c r="I1165" i="3"/>
  <c r="J1165" i="3"/>
  <c r="L1165" i="3"/>
  <c r="N1165" i="3"/>
  <c r="M1165" i="3"/>
  <c r="C1165" i="3"/>
  <c r="H1165" i="3"/>
  <c r="F1165" i="3"/>
  <c r="B1165" i="3"/>
  <c r="D1164" i="3"/>
  <c r="E1164" i="3"/>
  <c r="G1164" i="3"/>
  <c r="I1164" i="3"/>
  <c r="J1164" i="3"/>
  <c r="L1164" i="3"/>
  <c r="N1164" i="3"/>
  <c r="M1164" i="3"/>
  <c r="C1164" i="3"/>
  <c r="H1164" i="3"/>
  <c r="F1164" i="3"/>
  <c r="B1164" i="3"/>
  <c r="D1163" i="3"/>
  <c r="E1163" i="3"/>
  <c r="G1163" i="3"/>
  <c r="I1163" i="3"/>
  <c r="J1163" i="3"/>
  <c r="L1163" i="3"/>
  <c r="N1163" i="3"/>
  <c r="M1163" i="3"/>
  <c r="C1163" i="3"/>
  <c r="H1163" i="3"/>
  <c r="F1163" i="3"/>
  <c r="B1163" i="3"/>
  <c r="D1162" i="3"/>
  <c r="E1162" i="3"/>
  <c r="G1162" i="3"/>
  <c r="I1162" i="3"/>
  <c r="J1162" i="3"/>
  <c r="L1162" i="3"/>
  <c r="N1162" i="3"/>
  <c r="M1162" i="3"/>
  <c r="C1162" i="3"/>
  <c r="H1162" i="3"/>
  <c r="F1162" i="3"/>
  <c r="B1162" i="3"/>
  <c r="D1161" i="3"/>
  <c r="E1161" i="3"/>
  <c r="G1161" i="3"/>
  <c r="I1161" i="3"/>
  <c r="J1161" i="3"/>
  <c r="L1161" i="3"/>
  <c r="N1161" i="3"/>
  <c r="M1161" i="3"/>
  <c r="C1161" i="3"/>
  <c r="H1161" i="3"/>
  <c r="F1161" i="3"/>
  <c r="B1161" i="3"/>
  <c r="D1160" i="3"/>
  <c r="E1160" i="3"/>
  <c r="G1160" i="3"/>
  <c r="I1160" i="3"/>
  <c r="J1160" i="3"/>
  <c r="L1160" i="3"/>
  <c r="N1160" i="3"/>
  <c r="M1160" i="3"/>
  <c r="C1160" i="3"/>
  <c r="H1160" i="3"/>
  <c r="F1160" i="3"/>
  <c r="B1160" i="3"/>
  <c r="D1159" i="3"/>
  <c r="E1159" i="3"/>
  <c r="G1159" i="3"/>
  <c r="I1159" i="3"/>
  <c r="J1159" i="3"/>
  <c r="L1159" i="3"/>
  <c r="N1159" i="3"/>
  <c r="M1159" i="3"/>
  <c r="C1159" i="3"/>
  <c r="H1159" i="3"/>
  <c r="F1159" i="3"/>
  <c r="B1159" i="3"/>
  <c r="D1158" i="3"/>
  <c r="E1158" i="3"/>
  <c r="G1158" i="3"/>
  <c r="I1158" i="3"/>
  <c r="J1158" i="3"/>
  <c r="L1158" i="3"/>
  <c r="N1158" i="3"/>
  <c r="M1158" i="3"/>
  <c r="C1158" i="3"/>
  <c r="H1158" i="3"/>
  <c r="F1158" i="3"/>
  <c r="B1158" i="3"/>
  <c r="D1157" i="3"/>
  <c r="E1157" i="3"/>
  <c r="G1157" i="3"/>
  <c r="I1157" i="3"/>
  <c r="J1157" i="3"/>
  <c r="L1157" i="3"/>
  <c r="N1157" i="3"/>
  <c r="M1157" i="3"/>
  <c r="C1157" i="3"/>
  <c r="H1157" i="3"/>
  <c r="F1157" i="3"/>
  <c r="B1157" i="3"/>
  <c r="D1156" i="3"/>
  <c r="E1156" i="3"/>
  <c r="G1156" i="3"/>
  <c r="I1156" i="3"/>
  <c r="J1156" i="3"/>
  <c r="L1156" i="3"/>
  <c r="N1156" i="3"/>
  <c r="M1156" i="3"/>
  <c r="C1156" i="3"/>
  <c r="H1156" i="3"/>
  <c r="F1156" i="3"/>
  <c r="B1156" i="3"/>
  <c r="D1155" i="3"/>
  <c r="E1155" i="3"/>
  <c r="G1155" i="3"/>
  <c r="I1155" i="3"/>
  <c r="J1155" i="3"/>
  <c r="L1155" i="3"/>
  <c r="N1155" i="3"/>
  <c r="M1155" i="3"/>
  <c r="C1155" i="3"/>
  <c r="H1155" i="3"/>
  <c r="F1155" i="3"/>
  <c r="B1155" i="3"/>
  <c r="D1154" i="3"/>
  <c r="E1154" i="3"/>
  <c r="G1154" i="3"/>
  <c r="I1154" i="3"/>
  <c r="J1154" i="3"/>
  <c r="L1154" i="3"/>
  <c r="N1154" i="3"/>
  <c r="M1154" i="3"/>
  <c r="C1154" i="3"/>
  <c r="H1154" i="3"/>
  <c r="F1154" i="3"/>
  <c r="B1154" i="3"/>
  <c r="D1153" i="3"/>
  <c r="E1153" i="3"/>
  <c r="G1153" i="3"/>
  <c r="I1153" i="3"/>
  <c r="J1153" i="3"/>
  <c r="L1153" i="3"/>
  <c r="N1153" i="3"/>
  <c r="M1153" i="3"/>
  <c r="C1153" i="3"/>
  <c r="H1153" i="3"/>
  <c r="F1153" i="3"/>
  <c r="B1153" i="3"/>
  <c r="D1152" i="3"/>
  <c r="E1152" i="3"/>
  <c r="G1152" i="3"/>
  <c r="I1152" i="3"/>
  <c r="J1152" i="3"/>
  <c r="L1152" i="3"/>
  <c r="N1152" i="3"/>
  <c r="M1152" i="3"/>
  <c r="C1152" i="3"/>
  <c r="H1152" i="3"/>
  <c r="F1152" i="3"/>
  <c r="B1152" i="3"/>
  <c r="D1151" i="3"/>
  <c r="E1151" i="3"/>
  <c r="G1151" i="3"/>
  <c r="I1151" i="3"/>
  <c r="J1151" i="3"/>
  <c r="L1151" i="3"/>
  <c r="N1151" i="3"/>
  <c r="M1151" i="3"/>
  <c r="C1151" i="3"/>
  <c r="H1151" i="3"/>
  <c r="F1151" i="3"/>
  <c r="B1151" i="3"/>
  <c r="D1150" i="3"/>
  <c r="E1150" i="3"/>
  <c r="G1150" i="3"/>
  <c r="I1150" i="3"/>
  <c r="J1150" i="3"/>
  <c r="L1150" i="3"/>
  <c r="N1150" i="3"/>
  <c r="M1150" i="3"/>
  <c r="C1150" i="3"/>
  <c r="H1150" i="3"/>
  <c r="F1150" i="3"/>
  <c r="B1150" i="3"/>
  <c r="D1149" i="3"/>
  <c r="E1149" i="3"/>
  <c r="G1149" i="3"/>
  <c r="I1149" i="3"/>
  <c r="J1149" i="3"/>
  <c r="L1149" i="3"/>
  <c r="N1149" i="3"/>
  <c r="M1149" i="3"/>
  <c r="C1149" i="3"/>
  <c r="H1149" i="3"/>
  <c r="F1149" i="3"/>
  <c r="B1149" i="3"/>
  <c r="D1148" i="3"/>
  <c r="E1148" i="3"/>
  <c r="G1148" i="3"/>
  <c r="I1148" i="3"/>
  <c r="J1148" i="3"/>
  <c r="L1148" i="3"/>
  <c r="N1148" i="3"/>
  <c r="M1148" i="3"/>
  <c r="C1148" i="3"/>
  <c r="H1148" i="3"/>
  <c r="F1148" i="3"/>
  <c r="B1148" i="3"/>
  <c r="D1147" i="3"/>
  <c r="E1147" i="3"/>
  <c r="G1147" i="3"/>
  <c r="I1147" i="3"/>
  <c r="J1147" i="3"/>
  <c r="L1147" i="3"/>
  <c r="N1147" i="3"/>
  <c r="M1147" i="3"/>
  <c r="C1147" i="3"/>
  <c r="H1147" i="3"/>
  <c r="F1147" i="3"/>
  <c r="B1147" i="3"/>
  <c r="D1146" i="3"/>
  <c r="E1146" i="3"/>
  <c r="G1146" i="3"/>
  <c r="I1146" i="3"/>
  <c r="J1146" i="3"/>
  <c r="L1146" i="3"/>
  <c r="N1146" i="3"/>
  <c r="M1146" i="3"/>
  <c r="C1146" i="3"/>
  <c r="H1146" i="3"/>
  <c r="F1146" i="3"/>
  <c r="B1146" i="3"/>
  <c r="D1145" i="3"/>
  <c r="E1145" i="3"/>
  <c r="G1145" i="3"/>
  <c r="I1145" i="3"/>
  <c r="J1145" i="3"/>
  <c r="L1145" i="3"/>
  <c r="N1145" i="3"/>
  <c r="M1145" i="3"/>
  <c r="C1145" i="3"/>
  <c r="H1145" i="3"/>
  <c r="F1145" i="3"/>
  <c r="B1145" i="3"/>
  <c r="D1144" i="3"/>
  <c r="E1144" i="3"/>
  <c r="G1144" i="3"/>
  <c r="I1144" i="3"/>
  <c r="J1144" i="3"/>
  <c r="L1144" i="3"/>
  <c r="N1144" i="3"/>
  <c r="M1144" i="3"/>
  <c r="C1144" i="3"/>
  <c r="H1144" i="3"/>
  <c r="F1144" i="3"/>
  <c r="B1144" i="3"/>
  <c r="D1143" i="3"/>
  <c r="E1143" i="3"/>
  <c r="G1143" i="3"/>
  <c r="I1143" i="3"/>
  <c r="J1143" i="3"/>
  <c r="L1143" i="3"/>
  <c r="N1143" i="3"/>
  <c r="M1143" i="3"/>
  <c r="C1143" i="3"/>
  <c r="H1143" i="3"/>
  <c r="F1143" i="3"/>
  <c r="B1143" i="3"/>
  <c r="D1142" i="3"/>
  <c r="E1142" i="3"/>
  <c r="G1142" i="3"/>
  <c r="I1142" i="3"/>
  <c r="J1142" i="3"/>
  <c r="L1142" i="3"/>
  <c r="N1142" i="3"/>
  <c r="M1142" i="3"/>
  <c r="C1142" i="3"/>
  <c r="H1142" i="3"/>
  <c r="F1142" i="3"/>
  <c r="B1142" i="3"/>
  <c r="D1141" i="3"/>
  <c r="E1141" i="3"/>
  <c r="G1141" i="3"/>
  <c r="I1141" i="3"/>
  <c r="J1141" i="3"/>
  <c r="L1141" i="3"/>
  <c r="N1141" i="3"/>
  <c r="M1141" i="3"/>
  <c r="C1141" i="3"/>
  <c r="H1141" i="3"/>
  <c r="F1141" i="3"/>
  <c r="B1141" i="3"/>
  <c r="D1140" i="3"/>
  <c r="E1140" i="3"/>
  <c r="G1140" i="3"/>
  <c r="I1140" i="3"/>
  <c r="J1140" i="3"/>
  <c r="L1140" i="3"/>
  <c r="N1140" i="3"/>
  <c r="M1140" i="3"/>
  <c r="C1140" i="3"/>
  <c r="H1140" i="3"/>
  <c r="F1140" i="3"/>
  <c r="B1140" i="3"/>
  <c r="D1139" i="3"/>
  <c r="E1139" i="3"/>
  <c r="G1139" i="3"/>
  <c r="I1139" i="3"/>
  <c r="J1139" i="3"/>
  <c r="L1139" i="3"/>
  <c r="N1139" i="3"/>
  <c r="M1139" i="3"/>
  <c r="C1139" i="3"/>
  <c r="H1139" i="3"/>
  <c r="F1139" i="3"/>
  <c r="B1139" i="3"/>
  <c r="D1138" i="3"/>
  <c r="E1138" i="3"/>
  <c r="G1138" i="3"/>
  <c r="I1138" i="3"/>
  <c r="J1138" i="3"/>
  <c r="L1138" i="3"/>
  <c r="N1138" i="3"/>
  <c r="M1138" i="3"/>
  <c r="C1138" i="3"/>
  <c r="H1138" i="3"/>
  <c r="F1138" i="3"/>
  <c r="B1138" i="3"/>
  <c r="D1137" i="3"/>
  <c r="E1137" i="3"/>
  <c r="G1137" i="3"/>
  <c r="I1137" i="3"/>
  <c r="J1137" i="3"/>
  <c r="L1137" i="3"/>
  <c r="N1137" i="3"/>
  <c r="M1137" i="3"/>
  <c r="C1137" i="3"/>
  <c r="H1137" i="3"/>
  <c r="F1137" i="3"/>
  <c r="B1137" i="3"/>
  <c r="D1136" i="3"/>
  <c r="E1136" i="3"/>
  <c r="G1136" i="3"/>
  <c r="I1136" i="3"/>
  <c r="J1136" i="3"/>
  <c r="L1136" i="3"/>
  <c r="N1136" i="3"/>
  <c r="M1136" i="3"/>
  <c r="C1136" i="3"/>
  <c r="H1136" i="3"/>
  <c r="F1136" i="3"/>
  <c r="B1136" i="3"/>
  <c r="D1135" i="3"/>
  <c r="E1135" i="3"/>
  <c r="G1135" i="3"/>
  <c r="I1135" i="3"/>
  <c r="J1135" i="3"/>
  <c r="L1135" i="3"/>
  <c r="N1135" i="3"/>
  <c r="M1135" i="3"/>
  <c r="C1135" i="3"/>
  <c r="H1135" i="3"/>
  <c r="F1135" i="3"/>
  <c r="B1135" i="3"/>
  <c r="D1134" i="3"/>
  <c r="E1134" i="3"/>
  <c r="G1134" i="3"/>
  <c r="I1134" i="3"/>
  <c r="J1134" i="3"/>
  <c r="L1134" i="3"/>
  <c r="N1134" i="3"/>
  <c r="M1134" i="3"/>
  <c r="C1134" i="3"/>
  <c r="H1134" i="3"/>
  <c r="F1134" i="3"/>
  <c r="B1134" i="3"/>
  <c r="D1133" i="3"/>
  <c r="E1133" i="3"/>
  <c r="G1133" i="3"/>
  <c r="I1133" i="3"/>
  <c r="J1133" i="3"/>
  <c r="L1133" i="3"/>
  <c r="N1133" i="3"/>
  <c r="M1133" i="3"/>
  <c r="C1133" i="3"/>
  <c r="H1133" i="3"/>
  <c r="F1133" i="3"/>
  <c r="B1133" i="3"/>
  <c r="D1132" i="3"/>
  <c r="E1132" i="3"/>
  <c r="G1132" i="3"/>
  <c r="I1132" i="3"/>
  <c r="J1132" i="3"/>
  <c r="L1132" i="3"/>
  <c r="N1132" i="3"/>
  <c r="M1132" i="3"/>
  <c r="C1132" i="3"/>
  <c r="H1132" i="3"/>
  <c r="F1132" i="3"/>
  <c r="B1132" i="3"/>
  <c r="D1131" i="3"/>
  <c r="E1131" i="3"/>
  <c r="G1131" i="3"/>
  <c r="I1131" i="3"/>
  <c r="J1131" i="3"/>
  <c r="L1131" i="3"/>
  <c r="N1131" i="3"/>
  <c r="M1131" i="3"/>
  <c r="C1131" i="3"/>
  <c r="H1131" i="3"/>
  <c r="F1131" i="3"/>
  <c r="B1131" i="3"/>
  <c r="D1130" i="3"/>
  <c r="E1130" i="3"/>
  <c r="G1130" i="3"/>
  <c r="I1130" i="3"/>
  <c r="J1130" i="3"/>
  <c r="L1130" i="3"/>
  <c r="N1130" i="3"/>
  <c r="M1130" i="3"/>
  <c r="C1130" i="3"/>
  <c r="H1130" i="3"/>
  <c r="F1130" i="3"/>
  <c r="B1130" i="3"/>
  <c r="D1129" i="3"/>
  <c r="E1129" i="3"/>
  <c r="G1129" i="3"/>
  <c r="I1129" i="3"/>
  <c r="J1129" i="3"/>
  <c r="L1129" i="3"/>
  <c r="N1129" i="3"/>
  <c r="M1129" i="3"/>
  <c r="C1129" i="3"/>
  <c r="H1129" i="3"/>
  <c r="F1129" i="3"/>
  <c r="B1129" i="3"/>
  <c r="D1128" i="3"/>
  <c r="E1128" i="3"/>
  <c r="G1128" i="3"/>
  <c r="I1128" i="3"/>
  <c r="J1128" i="3"/>
  <c r="L1128" i="3"/>
  <c r="N1128" i="3"/>
  <c r="M1128" i="3"/>
  <c r="C1128" i="3"/>
  <c r="H1128" i="3"/>
  <c r="F1128" i="3"/>
  <c r="B1128" i="3"/>
  <c r="D1127" i="3"/>
  <c r="E1127" i="3"/>
  <c r="G1127" i="3"/>
  <c r="I1127" i="3"/>
  <c r="J1127" i="3"/>
  <c r="L1127" i="3"/>
  <c r="N1127" i="3"/>
  <c r="M1127" i="3"/>
  <c r="C1127" i="3"/>
  <c r="H1127" i="3"/>
  <c r="F1127" i="3"/>
  <c r="B1127" i="3"/>
  <c r="D1126" i="3"/>
  <c r="E1126" i="3"/>
  <c r="G1126" i="3"/>
  <c r="I1126" i="3"/>
  <c r="J1126" i="3"/>
  <c r="L1126" i="3"/>
  <c r="N1126" i="3"/>
  <c r="M1126" i="3"/>
  <c r="C1126" i="3"/>
  <c r="H1126" i="3"/>
  <c r="F1126" i="3"/>
  <c r="B1126" i="3"/>
  <c r="D1125" i="3"/>
  <c r="E1125" i="3"/>
  <c r="G1125" i="3"/>
  <c r="I1125" i="3"/>
  <c r="J1125" i="3"/>
  <c r="L1125" i="3"/>
  <c r="N1125" i="3"/>
  <c r="M1125" i="3"/>
  <c r="C1125" i="3"/>
  <c r="H1125" i="3"/>
  <c r="F1125" i="3"/>
  <c r="B1125" i="3"/>
  <c r="D1124" i="3"/>
  <c r="E1124" i="3"/>
  <c r="G1124" i="3"/>
  <c r="I1124" i="3"/>
  <c r="J1124" i="3"/>
  <c r="L1124" i="3"/>
  <c r="N1124" i="3"/>
  <c r="M1124" i="3"/>
  <c r="C1124" i="3"/>
  <c r="H1124" i="3"/>
  <c r="F1124" i="3"/>
  <c r="B1124" i="3"/>
  <c r="D1123" i="3"/>
  <c r="E1123" i="3"/>
  <c r="G1123" i="3"/>
  <c r="I1123" i="3"/>
  <c r="J1123" i="3"/>
  <c r="L1123" i="3"/>
  <c r="N1123" i="3"/>
  <c r="M1123" i="3"/>
  <c r="C1123" i="3"/>
  <c r="H1123" i="3"/>
  <c r="F1123" i="3"/>
  <c r="B1123" i="3"/>
  <c r="D1122" i="3"/>
  <c r="E1122" i="3"/>
  <c r="G1122" i="3"/>
  <c r="I1122" i="3"/>
  <c r="J1122" i="3"/>
  <c r="L1122" i="3"/>
  <c r="N1122" i="3"/>
  <c r="M1122" i="3"/>
  <c r="C1122" i="3"/>
  <c r="H1122" i="3"/>
  <c r="F1122" i="3"/>
  <c r="B1122" i="3"/>
  <c r="D1121" i="3"/>
  <c r="E1121" i="3"/>
  <c r="G1121" i="3"/>
  <c r="I1121" i="3"/>
  <c r="J1121" i="3"/>
  <c r="L1121" i="3"/>
  <c r="N1121" i="3"/>
  <c r="M1121" i="3"/>
  <c r="C1121" i="3"/>
  <c r="H1121" i="3"/>
  <c r="F1121" i="3"/>
  <c r="B1121" i="3"/>
  <c r="D1120" i="3"/>
  <c r="E1120" i="3"/>
  <c r="G1120" i="3"/>
  <c r="I1120" i="3"/>
  <c r="J1120" i="3"/>
  <c r="L1120" i="3"/>
  <c r="N1120" i="3"/>
  <c r="M1120" i="3"/>
  <c r="C1120" i="3"/>
  <c r="H1120" i="3"/>
  <c r="F1120" i="3"/>
  <c r="B1120" i="3"/>
  <c r="D1119" i="3"/>
  <c r="E1119" i="3"/>
  <c r="G1119" i="3"/>
  <c r="I1119" i="3"/>
  <c r="J1119" i="3"/>
  <c r="L1119" i="3"/>
  <c r="N1119" i="3"/>
  <c r="M1119" i="3"/>
  <c r="C1119" i="3"/>
  <c r="H1119" i="3"/>
  <c r="F1119" i="3"/>
  <c r="B1119" i="3"/>
  <c r="D1118" i="3"/>
  <c r="E1118" i="3"/>
  <c r="G1118" i="3"/>
  <c r="I1118" i="3"/>
  <c r="J1118" i="3"/>
  <c r="L1118" i="3"/>
  <c r="N1118" i="3"/>
  <c r="M1118" i="3"/>
  <c r="C1118" i="3"/>
  <c r="H1118" i="3"/>
  <c r="F1118" i="3"/>
  <c r="B1118" i="3"/>
  <c r="D1117" i="3"/>
  <c r="E1117" i="3"/>
  <c r="G1117" i="3"/>
  <c r="I1117" i="3"/>
  <c r="J1117" i="3"/>
  <c r="L1117" i="3"/>
  <c r="N1117" i="3"/>
  <c r="M1117" i="3"/>
  <c r="C1117" i="3"/>
  <c r="H1117" i="3"/>
  <c r="F1117" i="3"/>
  <c r="B1117" i="3"/>
  <c r="D1116" i="3"/>
  <c r="E1116" i="3"/>
  <c r="G1116" i="3"/>
  <c r="I1116" i="3"/>
  <c r="J1116" i="3"/>
  <c r="L1116" i="3"/>
  <c r="N1116" i="3"/>
  <c r="M1116" i="3"/>
  <c r="C1116" i="3"/>
  <c r="H1116" i="3"/>
  <c r="F1116" i="3"/>
  <c r="B1116" i="3"/>
  <c r="D1115" i="3"/>
  <c r="E1115" i="3"/>
  <c r="G1115" i="3"/>
  <c r="I1115" i="3"/>
  <c r="J1115" i="3"/>
  <c r="L1115" i="3"/>
  <c r="N1115" i="3"/>
  <c r="M1115" i="3"/>
  <c r="C1115" i="3"/>
  <c r="H1115" i="3"/>
  <c r="F1115" i="3"/>
  <c r="B1115" i="3"/>
  <c r="D1114" i="3"/>
  <c r="E1114" i="3"/>
  <c r="G1114" i="3"/>
  <c r="I1114" i="3"/>
  <c r="J1114" i="3"/>
  <c r="L1114" i="3"/>
  <c r="N1114" i="3"/>
  <c r="M1114" i="3"/>
  <c r="C1114" i="3"/>
  <c r="H1114" i="3"/>
  <c r="F1114" i="3"/>
  <c r="B1114" i="3"/>
  <c r="D1113" i="3"/>
  <c r="E1113" i="3"/>
  <c r="G1113" i="3"/>
  <c r="I1113" i="3"/>
  <c r="J1113" i="3"/>
  <c r="L1113" i="3"/>
  <c r="N1113" i="3"/>
  <c r="M1113" i="3"/>
  <c r="C1113" i="3"/>
  <c r="H1113" i="3"/>
  <c r="F1113" i="3"/>
  <c r="B1113" i="3"/>
  <c r="D1112" i="3"/>
  <c r="E1112" i="3"/>
  <c r="G1112" i="3"/>
  <c r="I1112" i="3"/>
  <c r="J1112" i="3"/>
  <c r="L1112" i="3"/>
  <c r="N1112" i="3"/>
  <c r="M1112" i="3"/>
  <c r="C1112" i="3"/>
  <c r="H1112" i="3"/>
  <c r="F1112" i="3"/>
  <c r="B1112" i="3"/>
  <c r="D1111" i="3"/>
  <c r="E1111" i="3"/>
  <c r="G1111" i="3"/>
  <c r="I1111" i="3"/>
  <c r="J1111" i="3"/>
  <c r="L1111" i="3"/>
  <c r="N1111" i="3"/>
  <c r="M1111" i="3"/>
  <c r="C1111" i="3"/>
  <c r="H1111" i="3"/>
  <c r="F1111" i="3"/>
  <c r="B1111" i="3"/>
  <c r="D1110" i="3"/>
  <c r="E1110" i="3"/>
  <c r="G1110" i="3"/>
  <c r="I1110" i="3"/>
  <c r="J1110" i="3"/>
  <c r="L1110" i="3"/>
  <c r="N1110" i="3"/>
  <c r="M1110" i="3"/>
  <c r="C1110" i="3"/>
  <c r="H1110" i="3"/>
  <c r="F1110" i="3"/>
  <c r="B1110" i="3"/>
  <c r="D1109" i="3"/>
  <c r="E1109" i="3"/>
  <c r="G1109" i="3"/>
  <c r="I1109" i="3"/>
  <c r="J1109" i="3"/>
  <c r="L1109" i="3"/>
  <c r="N1109" i="3"/>
  <c r="M1109" i="3"/>
  <c r="C1109" i="3"/>
  <c r="H1109" i="3"/>
  <c r="F1109" i="3"/>
  <c r="B1109" i="3"/>
  <c r="D1108" i="3"/>
  <c r="E1108" i="3"/>
  <c r="G1108" i="3"/>
  <c r="I1108" i="3"/>
  <c r="J1108" i="3"/>
  <c r="L1108" i="3"/>
  <c r="N1108" i="3"/>
  <c r="M1108" i="3"/>
  <c r="C1108" i="3"/>
  <c r="H1108" i="3"/>
  <c r="F1108" i="3"/>
  <c r="B1108" i="3"/>
  <c r="D1107" i="3"/>
  <c r="E1107" i="3"/>
  <c r="G1107" i="3"/>
  <c r="I1107" i="3"/>
  <c r="J1107" i="3"/>
  <c r="L1107" i="3"/>
  <c r="N1107" i="3"/>
  <c r="M1107" i="3"/>
  <c r="C1107" i="3"/>
  <c r="H1107" i="3"/>
  <c r="F1107" i="3"/>
  <c r="B1107" i="3"/>
  <c r="D1106" i="3"/>
  <c r="E1106" i="3"/>
  <c r="G1106" i="3"/>
  <c r="I1106" i="3"/>
  <c r="J1106" i="3"/>
  <c r="L1106" i="3"/>
  <c r="N1106" i="3"/>
  <c r="M1106" i="3"/>
  <c r="C1106" i="3"/>
  <c r="H1106" i="3"/>
  <c r="F1106" i="3"/>
  <c r="B1106" i="3"/>
  <c r="D1105" i="3"/>
  <c r="E1105" i="3"/>
  <c r="G1105" i="3"/>
  <c r="I1105" i="3"/>
  <c r="J1105" i="3"/>
  <c r="L1105" i="3"/>
  <c r="N1105" i="3"/>
  <c r="M1105" i="3"/>
  <c r="C1105" i="3"/>
  <c r="H1105" i="3"/>
  <c r="F1105" i="3"/>
  <c r="B1105" i="3"/>
  <c r="D1104" i="3"/>
  <c r="E1104" i="3"/>
  <c r="G1104" i="3"/>
  <c r="I1104" i="3"/>
  <c r="J1104" i="3"/>
  <c r="L1104" i="3"/>
  <c r="N1104" i="3"/>
  <c r="M1104" i="3"/>
  <c r="C1104" i="3"/>
  <c r="H1104" i="3"/>
  <c r="F1104" i="3"/>
  <c r="B1104" i="3"/>
  <c r="D1103" i="3"/>
  <c r="E1103" i="3"/>
  <c r="G1103" i="3"/>
  <c r="I1103" i="3"/>
  <c r="J1103" i="3"/>
  <c r="L1103" i="3"/>
  <c r="N1103" i="3"/>
  <c r="M1103" i="3"/>
  <c r="C1103" i="3"/>
  <c r="H1103" i="3"/>
  <c r="F1103" i="3"/>
  <c r="B1103" i="3"/>
  <c r="D1102" i="3"/>
  <c r="E1102" i="3"/>
  <c r="G1102" i="3"/>
  <c r="I1102" i="3"/>
  <c r="J1102" i="3"/>
  <c r="L1102" i="3"/>
  <c r="N1102" i="3"/>
  <c r="M1102" i="3"/>
  <c r="C1102" i="3"/>
  <c r="H1102" i="3"/>
  <c r="F1102" i="3"/>
  <c r="B1102" i="3"/>
  <c r="D1101" i="3"/>
  <c r="E1101" i="3"/>
  <c r="G1101" i="3"/>
  <c r="I1101" i="3"/>
  <c r="J1101" i="3"/>
  <c r="L1101" i="3"/>
  <c r="N1101" i="3"/>
  <c r="M1101" i="3"/>
  <c r="C1101" i="3"/>
  <c r="H1101" i="3"/>
  <c r="F1101" i="3"/>
  <c r="B1101" i="3"/>
  <c r="D1100" i="3"/>
  <c r="E1100" i="3"/>
  <c r="G1100" i="3"/>
  <c r="I1100" i="3"/>
  <c r="J1100" i="3"/>
  <c r="L1100" i="3"/>
  <c r="N1100" i="3"/>
  <c r="M1100" i="3"/>
  <c r="C1100" i="3"/>
  <c r="H1100" i="3"/>
  <c r="F1100" i="3"/>
  <c r="B1100" i="3"/>
  <c r="D1099" i="3"/>
  <c r="E1099" i="3"/>
  <c r="G1099" i="3"/>
  <c r="I1099" i="3"/>
  <c r="J1099" i="3"/>
  <c r="L1099" i="3"/>
  <c r="N1099" i="3"/>
  <c r="M1099" i="3"/>
  <c r="C1099" i="3"/>
  <c r="H1099" i="3"/>
  <c r="F1099" i="3"/>
  <c r="B1099" i="3"/>
  <c r="D1098" i="3"/>
  <c r="E1098" i="3"/>
  <c r="G1098" i="3"/>
  <c r="I1098" i="3"/>
  <c r="J1098" i="3"/>
  <c r="L1098" i="3"/>
  <c r="N1098" i="3"/>
  <c r="M1098" i="3"/>
  <c r="C1098" i="3"/>
  <c r="H1098" i="3"/>
  <c r="F1098" i="3"/>
  <c r="B1098" i="3"/>
  <c r="D1097" i="3"/>
  <c r="E1097" i="3"/>
  <c r="G1097" i="3"/>
  <c r="I1097" i="3"/>
  <c r="J1097" i="3"/>
  <c r="L1097" i="3"/>
  <c r="N1097" i="3"/>
  <c r="M1097" i="3"/>
  <c r="C1097" i="3"/>
  <c r="H1097" i="3"/>
  <c r="F1097" i="3"/>
  <c r="B1097" i="3"/>
  <c r="D1096" i="3"/>
  <c r="E1096" i="3"/>
  <c r="G1096" i="3"/>
  <c r="I1096" i="3"/>
  <c r="J1096" i="3"/>
  <c r="L1096" i="3"/>
  <c r="N1096" i="3"/>
  <c r="M1096" i="3"/>
  <c r="C1096" i="3"/>
  <c r="H1096" i="3"/>
  <c r="F1096" i="3"/>
  <c r="B1096" i="3"/>
  <c r="D1095" i="3"/>
  <c r="E1095" i="3"/>
  <c r="G1095" i="3"/>
  <c r="I1095" i="3"/>
  <c r="J1095" i="3"/>
  <c r="L1095" i="3"/>
  <c r="N1095" i="3"/>
  <c r="M1095" i="3"/>
  <c r="C1095" i="3"/>
  <c r="H1095" i="3"/>
  <c r="F1095" i="3"/>
  <c r="B1095" i="3"/>
  <c r="D1094" i="3"/>
  <c r="E1094" i="3"/>
  <c r="G1094" i="3"/>
  <c r="I1094" i="3"/>
  <c r="J1094" i="3"/>
  <c r="L1094" i="3"/>
  <c r="N1094" i="3"/>
  <c r="M1094" i="3"/>
  <c r="C1094" i="3"/>
  <c r="H1094" i="3"/>
  <c r="F1094" i="3"/>
  <c r="B1094" i="3"/>
  <c r="D1093" i="3"/>
  <c r="E1093" i="3"/>
  <c r="G1093" i="3"/>
  <c r="I1093" i="3"/>
  <c r="J1093" i="3"/>
  <c r="L1093" i="3"/>
  <c r="N1093" i="3"/>
  <c r="M1093" i="3"/>
  <c r="C1093" i="3"/>
  <c r="H1093" i="3"/>
  <c r="F1093" i="3"/>
  <c r="B1093" i="3"/>
  <c r="D1092" i="3"/>
  <c r="E1092" i="3"/>
  <c r="G1092" i="3"/>
  <c r="I1092" i="3"/>
  <c r="J1092" i="3"/>
  <c r="L1092" i="3"/>
  <c r="N1092" i="3"/>
  <c r="M1092" i="3"/>
  <c r="C1092" i="3"/>
  <c r="H1092" i="3"/>
  <c r="F1092" i="3"/>
  <c r="B1092" i="3"/>
  <c r="D1091" i="3"/>
  <c r="E1091" i="3"/>
  <c r="G1091" i="3"/>
  <c r="I1091" i="3"/>
  <c r="J1091" i="3"/>
  <c r="L1091" i="3"/>
  <c r="N1091" i="3"/>
  <c r="M1091" i="3"/>
  <c r="C1091" i="3"/>
  <c r="H1091" i="3"/>
  <c r="F1091" i="3"/>
  <c r="B1091" i="3"/>
  <c r="D1090" i="3"/>
  <c r="E1090" i="3"/>
  <c r="G1090" i="3"/>
  <c r="I1090" i="3"/>
  <c r="J1090" i="3"/>
  <c r="L1090" i="3"/>
  <c r="N1090" i="3"/>
  <c r="M1090" i="3"/>
  <c r="C1090" i="3"/>
  <c r="H1090" i="3"/>
  <c r="F1090" i="3"/>
  <c r="B1090" i="3"/>
  <c r="D1089" i="3"/>
  <c r="E1089" i="3"/>
  <c r="G1089" i="3"/>
  <c r="I1089" i="3"/>
  <c r="J1089" i="3"/>
  <c r="L1089" i="3"/>
  <c r="N1089" i="3"/>
  <c r="M1089" i="3"/>
  <c r="C1089" i="3"/>
  <c r="H1089" i="3"/>
  <c r="F1089" i="3"/>
  <c r="B1089" i="3"/>
  <c r="D1088" i="3"/>
  <c r="E1088" i="3"/>
  <c r="G1088" i="3"/>
  <c r="I1088" i="3"/>
  <c r="J1088" i="3"/>
  <c r="L1088" i="3"/>
  <c r="N1088" i="3"/>
  <c r="M1088" i="3"/>
  <c r="C1088" i="3"/>
  <c r="H1088" i="3"/>
  <c r="F1088" i="3"/>
  <c r="B1088" i="3"/>
  <c r="D1087" i="3"/>
  <c r="E1087" i="3"/>
  <c r="G1087" i="3"/>
  <c r="I1087" i="3"/>
  <c r="J1087" i="3"/>
  <c r="L1087" i="3"/>
  <c r="N1087" i="3"/>
  <c r="M1087" i="3"/>
  <c r="C1087" i="3"/>
  <c r="H1087" i="3"/>
  <c r="F1087" i="3"/>
  <c r="B1087" i="3"/>
  <c r="D1086" i="3"/>
  <c r="E1086" i="3"/>
  <c r="G1086" i="3"/>
  <c r="I1086" i="3"/>
  <c r="J1086" i="3"/>
  <c r="L1086" i="3"/>
  <c r="N1086" i="3"/>
  <c r="M1086" i="3"/>
  <c r="C1086" i="3"/>
  <c r="H1086" i="3"/>
  <c r="F1086" i="3"/>
  <c r="B1086" i="3"/>
  <c r="D1085" i="3"/>
  <c r="E1085" i="3"/>
  <c r="G1085" i="3"/>
  <c r="I1085" i="3"/>
  <c r="J1085" i="3"/>
  <c r="L1085" i="3"/>
  <c r="N1085" i="3"/>
  <c r="M1085" i="3"/>
  <c r="C1085" i="3"/>
  <c r="H1085" i="3"/>
  <c r="F1085" i="3"/>
  <c r="B1085" i="3"/>
  <c r="D1084" i="3"/>
  <c r="E1084" i="3"/>
  <c r="G1084" i="3"/>
  <c r="I1084" i="3"/>
  <c r="J1084" i="3"/>
  <c r="L1084" i="3"/>
  <c r="N1084" i="3"/>
  <c r="M1084" i="3"/>
  <c r="C1084" i="3"/>
  <c r="H1084" i="3"/>
  <c r="F1084" i="3"/>
  <c r="B1084" i="3"/>
  <c r="D1083" i="3"/>
  <c r="E1083" i="3"/>
  <c r="G1083" i="3"/>
  <c r="I1083" i="3"/>
  <c r="J1083" i="3"/>
  <c r="L1083" i="3"/>
  <c r="N1083" i="3"/>
  <c r="M1083" i="3"/>
  <c r="C1083" i="3"/>
  <c r="H1083" i="3"/>
  <c r="F1083" i="3"/>
  <c r="B1083" i="3"/>
  <c r="D1082" i="3"/>
  <c r="E1082" i="3"/>
  <c r="G1082" i="3"/>
  <c r="I1082" i="3"/>
  <c r="J1082" i="3"/>
  <c r="L1082" i="3"/>
  <c r="N1082" i="3"/>
  <c r="M1082" i="3"/>
  <c r="C1082" i="3"/>
  <c r="H1082" i="3"/>
  <c r="F1082" i="3"/>
  <c r="B1082" i="3"/>
  <c r="D1081" i="3"/>
  <c r="E1081" i="3"/>
  <c r="G1081" i="3"/>
  <c r="I1081" i="3"/>
  <c r="J1081" i="3"/>
  <c r="L1081" i="3"/>
  <c r="N1081" i="3"/>
  <c r="M1081" i="3"/>
  <c r="C1081" i="3"/>
  <c r="H1081" i="3"/>
  <c r="F1081" i="3"/>
  <c r="B1081" i="3"/>
  <c r="D1080" i="3"/>
  <c r="E1080" i="3"/>
  <c r="G1080" i="3"/>
  <c r="I1080" i="3"/>
  <c r="J1080" i="3"/>
  <c r="L1080" i="3"/>
  <c r="N1080" i="3"/>
  <c r="M1080" i="3"/>
  <c r="C1080" i="3"/>
  <c r="H1080" i="3"/>
  <c r="F1080" i="3"/>
  <c r="B1080" i="3"/>
  <c r="D1079" i="3"/>
  <c r="E1079" i="3"/>
  <c r="G1079" i="3"/>
  <c r="I1079" i="3"/>
  <c r="J1079" i="3"/>
  <c r="L1079" i="3"/>
  <c r="N1079" i="3"/>
  <c r="M1079" i="3"/>
  <c r="C1079" i="3"/>
  <c r="H1079" i="3"/>
  <c r="F1079" i="3"/>
  <c r="B1079" i="3"/>
  <c r="D1078" i="3"/>
  <c r="E1078" i="3"/>
  <c r="G1078" i="3"/>
  <c r="I1078" i="3"/>
  <c r="J1078" i="3"/>
  <c r="L1078" i="3"/>
  <c r="N1078" i="3"/>
  <c r="M1078" i="3"/>
  <c r="C1078" i="3"/>
  <c r="H1078" i="3"/>
  <c r="F1078" i="3"/>
  <c r="B1078" i="3"/>
  <c r="D1077" i="3"/>
  <c r="E1077" i="3"/>
  <c r="G1077" i="3"/>
  <c r="I1077" i="3"/>
  <c r="J1077" i="3"/>
  <c r="L1077" i="3"/>
  <c r="N1077" i="3"/>
  <c r="M1077" i="3"/>
  <c r="C1077" i="3"/>
  <c r="H1077" i="3"/>
  <c r="F1077" i="3"/>
  <c r="B1077" i="3"/>
  <c r="D1076" i="3"/>
  <c r="E1076" i="3"/>
  <c r="G1076" i="3"/>
  <c r="I1076" i="3"/>
  <c r="J1076" i="3"/>
  <c r="L1076" i="3"/>
  <c r="N1076" i="3"/>
  <c r="M1076" i="3"/>
  <c r="C1076" i="3"/>
  <c r="H1076" i="3"/>
  <c r="F1076" i="3"/>
  <c r="B1076" i="3"/>
  <c r="D1075" i="3"/>
  <c r="E1075" i="3"/>
  <c r="G1075" i="3"/>
  <c r="I1075" i="3"/>
  <c r="J1075" i="3"/>
  <c r="L1075" i="3"/>
  <c r="N1075" i="3"/>
  <c r="M1075" i="3"/>
  <c r="C1075" i="3"/>
  <c r="H1075" i="3"/>
  <c r="F1075" i="3"/>
  <c r="B1075" i="3"/>
  <c r="D1074" i="3"/>
  <c r="E1074" i="3"/>
  <c r="G1074" i="3"/>
  <c r="I1074" i="3"/>
  <c r="J1074" i="3"/>
  <c r="L1074" i="3"/>
  <c r="N1074" i="3"/>
  <c r="M1074" i="3"/>
  <c r="C1074" i="3"/>
  <c r="H1074" i="3"/>
  <c r="F1074" i="3"/>
  <c r="B1074" i="3"/>
  <c r="D1073" i="3"/>
  <c r="E1073" i="3"/>
  <c r="G1073" i="3"/>
  <c r="I1073" i="3"/>
  <c r="J1073" i="3"/>
  <c r="L1073" i="3"/>
  <c r="N1073" i="3"/>
  <c r="M1073" i="3"/>
  <c r="C1073" i="3"/>
  <c r="H1073" i="3"/>
  <c r="F1073" i="3"/>
  <c r="B1073" i="3"/>
  <c r="D1072" i="3"/>
  <c r="E1072" i="3"/>
  <c r="G1072" i="3"/>
  <c r="I1072" i="3"/>
  <c r="J1072" i="3"/>
  <c r="L1072" i="3"/>
  <c r="N1072" i="3"/>
  <c r="M1072" i="3"/>
  <c r="C1072" i="3"/>
  <c r="H1072" i="3"/>
  <c r="F1072" i="3"/>
  <c r="B1072" i="3"/>
  <c r="D1071" i="3"/>
  <c r="E1071" i="3"/>
  <c r="G1071" i="3"/>
  <c r="I1071" i="3"/>
  <c r="J1071" i="3"/>
  <c r="L1071" i="3"/>
  <c r="N1071" i="3"/>
  <c r="M1071" i="3"/>
  <c r="C1071" i="3"/>
  <c r="H1071" i="3"/>
  <c r="F1071" i="3"/>
  <c r="B1071" i="3"/>
  <c r="D1070" i="3"/>
  <c r="E1070" i="3"/>
  <c r="G1070" i="3"/>
  <c r="I1070" i="3"/>
  <c r="J1070" i="3"/>
  <c r="L1070" i="3"/>
  <c r="N1070" i="3"/>
  <c r="M1070" i="3"/>
  <c r="C1070" i="3"/>
  <c r="H1070" i="3"/>
  <c r="F1070" i="3"/>
  <c r="B1070" i="3"/>
  <c r="D1069" i="3"/>
  <c r="E1069" i="3"/>
  <c r="G1069" i="3"/>
  <c r="I1069" i="3"/>
  <c r="J1069" i="3"/>
  <c r="L1069" i="3"/>
  <c r="N1069" i="3"/>
  <c r="M1069" i="3"/>
  <c r="C1069" i="3"/>
  <c r="H1069" i="3"/>
  <c r="F1069" i="3"/>
  <c r="B1069" i="3"/>
  <c r="D1068" i="3"/>
  <c r="E1068" i="3"/>
  <c r="G1068" i="3"/>
  <c r="I1068" i="3"/>
  <c r="J1068" i="3"/>
  <c r="L1068" i="3"/>
  <c r="N1068" i="3"/>
  <c r="M1068" i="3"/>
  <c r="C1068" i="3"/>
  <c r="H1068" i="3"/>
  <c r="F1068" i="3"/>
  <c r="B1068" i="3"/>
  <c r="D1067" i="3"/>
  <c r="E1067" i="3"/>
  <c r="G1067" i="3"/>
  <c r="I1067" i="3"/>
  <c r="J1067" i="3"/>
  <c r="L1067" i="3"/>
  <c r="N1067" i="3"/>
  <c r="M1067" i="3"/>
  <c r="C1067" i="3"/>
  <c r="H1067" i="3"/>
  <c r="F1067" i="3"/>
  <c r="B1067" i="3"/>
  <c r="D1066" i="3"/>
  <c r="E1066" i="3"/>
  <c r="G1066" i="3"/>
  <c r="I1066" i="3"/>
  <c r="J1066" i="3"/>
  <c r="L1066" i="3"/>
  <c r="N1066" i="3"/>
  <c r="M1066" i="3"/>
  <c r="C1066" i="3"/>
  <c r="H1066" i="3"/>
  <c r="F1066" i="3"/>
  <c r="B1066" i="3"/>
  <c r="D1065" i="3"/>
  <c r="E1065" i="3"/>
  <c r="G1065" i="3"/>
  <c r="I1065" i="3"/>
  <c r="J1065" i="3"/>
  <c r="L1065" i="3"/>
  <c r="N1065" i="3"/>
  <c r="M1065" i="3"/>
  <c r="C1065" i="3"/>
  <c r="H1065" i="3"/>
  <c r="F1065" i="3"/>
  <c r="B1065" i="3"/>
  <c r="D1064" i="3"/>
  <c r="E1064" i="3"/>
  <c r="G1064" i="3"/>
  <c r="I1064" i="3"/>
  <c r="J1064" i="3"/>
  <c r="L1064" i="3"/>
  <c r="N1064" i="3"/>
  <c r="M1064" i="3"/>
  <c r="C1064" i="3"/>
  <c r="H1064" i="3"/>
  <c r="F1064" i="3"/>
  <c r="B1064" i="3"/>
  <c r="D1063" i="3"/>
  <c r="E1063" i="3"/>
  <c r="G1063" i="3"/>
  <c r="I1063" i="3"/>
  <c r="J1063" i="3"/>
  <c r="L1063" i="3"/>
  <c r="N1063" i="3"/>
  <c r="M1063" i="3"/>
  <c r="C1063" i="3"/>
  <c r="H1063" i="3"/>
  <c r="F1063" i="3"/>
  <c r="B1063" i="3"/>
  <c r="D1062" i="3"/>
  <c r="E1062" i="3"/>
  <c r="G1062" i="3"/>
  <c r="I1062" i="3"/>
  <c r="J1062" i="3"/>
  <c r="L1062" i="3"/>
  <c r="N1062" i="3"/>
  <c r="M1062" i="3"/>
  <c r="C1062" i="3"/>
  <c r="H1062" i="3"/>
  <c r="F1062" i="3"/>
  <c r="B1062" i="3"/>
  <c r="D1061" i="3"/>
  <c r="E1061" i="3"/>
  <c r="G1061" i="3"/>
  <c r="I1061" i="3"/>
  <c r="J1061" i="3"/>
  <c r="L1061" i="3"/>
  <c r="N1061" i="3"/>
  <c r="M1061" i="3"/>
  <c r="C1061" i="3"/>
  <c r="H1061" i="3"/>
  <c r="F1061" i="3"/>
  <c r="B1061" i="3"/>
  <c r="D1060" i="3"/>
  <c r="E1060" i="3"/>
  <c r="G1060" i="3"/>
  <c r="I1060" i="3"/>
  <c r="J1060" i="3"/>
  <c r="L1060" i="3"/>
  <c r="N1060" i="3"/>
  <c r="M1060" i="3"/>
  <c r="C1060" i="3"/>
  <c r="H1060" i="3"/>
  <c r="F1060" i="3"/>
  <c r="B1060" i="3"/>
  <c r="D1059" i="3"/>
  <c r="E1059" i="3"/>
  <c r="G1059" i="3"/>
  <c r="I1059" i="3"/>
  <c r="J1059" i="3"/>
  <c r="L1059" i="3"/>
  <c r="N1059" i="3"/>
  <c r="M1059" i="3"/>
  <c r="C1059" i="3"/>
  <c r="H1059" i="3"/>
  <c r="F1059" i="3"/>
  <c r="B1059" i="3"/>
  <c r="D1058" i="3"/>
  <c r="E1058" i="3"/>
  <c r="G1058" i="3"/>
  <c r="I1058" i="3"/>
  <c r="J1058" i="3"/>
  <c r="L1058" i="3"/>
  <c r="N1058" i="3"/>
  <c r="M1058" i="3"/>
  <c r="C1058" i="3"/>
  <c r="H1058" i="3"/>
  <c r="F1058" i="3"/>
  <c r="B1058" i="3"/>
  <c r="D1057" i="3"/>
  <c r="E1057" i="3"/>
  <c r="G1057" i="3"/>
  <c r="I1057" i="3"/>
  <c r="J1057" i="3"/>
  <c r="L1057" i="3"/>
  <c r="N1057" i="3"/>
  <c r="M1057" i="3"/>
  <c r="C1057" i="3"/>
  <c r="H1057" i="3"/>
  <c r="F1057" i="3"/>
  <c r="B1057" i="3"/>
  <c r="D1056" i="3"/>
  <c r="E1056" i="3"/>
  <c r="G1056" i="3"/>
  <c r="I1056" i="3"/>
  <c r="J1056" i="3"/>
  <c r="L1056" i="3"/>
  <c r="N1056" i="3"/>
  <c r="M1056" i="3"/>
  <c r="C1056" i="3"/>
  <c r="H1056" i="3"/>
  <c r="F1056" i="3"/>
  <c r="B1056" i="3"/>
  <c r="D1055" i="3"/>
  <c r="E1055" i="3"/>
  <c r="G1055" i="3"/>
  <c r="I1055" i="3"/>
  <c r="J1055" i="3"/>
  <c r="L1055" i="3"/>
  <c r="N1055" i="3"/>
  <c r="M1055" i="3"/>
  <c r="C1055" i="3"/>
  <c r="H1055" i="3"/>
  <c r="F1055" i="3"/>
  <c r="B1055" i="3"/>
  <c r="D1054" i="3"/>
  <c r="E1054" i="3"/>
  <c r="G1054" i="3"/>
  <c r="I1054" i="3"/>
  <c r="J1054" i="3"/>
  <c r="L1054" i="3"/>
  <c r="N1054" i="3"/>
  <c r="M1054" i="3"/>
  <c r="C1054" i="3"/>
  <c r="H1054" i="3"/>
  <c r="F1054" i="3"/>
  <c r="B1054" i="3"/>
  <c r="D1053" i="3"/>
  <c r="E1053" i="3"/>
  <c r="G1053" i="3"/>
  <c r="I1053" i="3"/>
  <c r="J1053" i="3"/>
  <c r="L1053" i="3"/>
  <c r="N1053" i="3"/>
  <c r="M1053" i="3"/>
  <c r="C1053" i="3"/>
  <c r="H1053" i="3"/>
  <c r="F1053" i="3"/>
  <c r="B1053" i="3"/>
  <c r="D1052" i="3"/>
  <c r="E1052" i="3"/>
  <c r="G1052" i="3"/>
  <c r="I1052" i="3"/>
  <c r="J1052" i="3"/>
  <c r="L1052" i="3"/>
  <c r="N1052" i="3"/>
  <c r="M1052" i="3"/>
  <c r="C1052" i="3"/>
  <c r="H1052" i="3"/>
  <c r="F1052" i="3"/>
  <c r="B1052" i="3"/>
  <c r="D1051" i="3"/>
  <c r="E1051" i="3"/>
  <c r="G1051" i="3"/>
  <c r="I1051" i="3"/>
  <c r="J1051" i="3"/>
  <c r="L1051" i="3"/>
  <c r="N1051" i="3"/>
  <c r="M1051" i="3"/>
  <c r="C1051" i="3"/>
  <c r="H1051" i="3"/>
  <c r="F1051" i="3"/>
  <c r="B1051" i="3"/>
  <c r="D1050" i="3"/>
  <c r="E1050" i="3"/>
  <c r="G1050" i="3"/>
  <c r="I1050" i="3"/>
  <c r="J1050" i="3"/>
  <c r="L1050" i="3"/>
  <c r="N1050" i="3"/>
  <c r="M1050" i="3"/>
  <c r="C1050" i="3"/>
  <c r="H1050" i="3"/>
  <c r="F1050" i="3"/>
  <c r="B1050" i="3"/>
  <c r="D1049" i="3"/>
  <c r="E1049" i="3"/>
  <c r="G1049" i="3"/>
  <c r="I1049" i="3"/>
  <c r="J1049" i="3"/>
  <c r="L1049" i="3"/>
  <c r="N1049" i="3"/>
  <c r="M1049" i="3"/>
  <c r="C1049" i="3"/>
  <c r="H1049" i="3"/>
  <c r="F1049" i="3"/>
  <c r="B1049" i="3"/>
  <c r="D1048" i="3"/>
  <c r="E1048" i="3"/>
  <c r="G1048" i="3"/>
  <c r="I1048" i="3"/>
  <c r="J1048" i="3"/>
  <c r="L1048" i="3"/>
  <c r="N1048" i="3"/>
  <c r="M1048" i="3"/>
  <c r="C1048" i="3"/>
  <c r="H1048" i="3"/>
  <c r="F1048" i="3"/>
  <c r="B1048" i="3"/>
  <c r="D1047" i="3"/>
  <c r="E1047" i="3"/>
  <c r="G1047" i="3"/>
  <c r="I1047" i="3"/>
  <c r="J1047" i="3"/>
  <c r="L1047" i="3"/>
  <c r="N1047" i="3"/>
  <c r="M1047" i="3"/>
  <c r="C1047" i="3"/>
  <c r="H1047" i="3"/>
  <c r="F1047" i="3"/>
  <c r="B1047" i="3"/>
  <c r="D1046" i="3"/>
  <c r="E1046" i="3"/>
  <c r="G1046" i="3"/>
  <c r="I1046" i="3"/>
  <c r="J1046" i="3"/>
  <c r="L1046" i="3"/>
  <c r="N1046" i="3"/>
  <c r="M1046" i="3"/>
  <c r="C1046" i="3"/>
  <c r="H1046" i="3"/>
  <c r="F1046" i="3"/>
  <c r="B1046" i="3"/>
  <c r="D1045" i="3"/>
  <c r="E1045" i="3"/>
  <c r="G1045" i="3"/>
  <c r="I1045" i="3"/>
  <c r="J1045" i="3"/>
  <c r="L1045" i="3"/>
  <c r="N1045" i="3"/>
  <c r="M1045" i="3"/>
  <c r="C1045" i="3"/>
  <c r="H1045" i="3"/>
  <c r="F1045" i="3"/>
  <c r="B1045" i="3"/>
  <c r="D1044" i="3"/>
  <c r="E1044" i="3"/>
  <c r="G1044" i="3"/>
  <c r="I1044" i="3"/>
  <c r="J1044" i="3"/>
  <c r="L1044" i="3"/>
  <c r="N1044" i="3"/>
  <c r="M1044" i="3"/>
  <c r="C1044" i="3"/>
  <c r="H1044" i="3"/>
  <c r="F1044" i="3"/>
  <c r="B1044" i="3"/>
  <c r="D1043" i="3"/>
  <c r="E1043" i="3"/>
  <c r="G1043" i="3"/>
  <c r="I1043" i="3"/>
  <c r="J1043" i="3"/>
  <c r="L1043" i="3"/>
  <c r="N1043" i="3"/>
  <c r="M1043" i="3"/>
  <c r="C1043" i="3"/>
  <c r="H1043" i="3"/>
  <c r="F1043" i="3"/>
  <c r="B1043" i="3"/>
  <c r="D1042" i="3"/>
  <c r="E1042" i="3"/>
  <c r="G1042" i="3"/>
  <c r="I1042" i="3"/>
  <c r="J1042" i="3"/>
  <c r="L1042" i="3"/>
  <c r="N1042" i="3"/>
  <c r="M1042" i="3"/>
  <c r="C1042" i="3"/>
  <c r="H1042" i="3"/>
  <c r="F1042" i="3"/>
  <c r="B1042" i="3"/>
  <c r="D1041" i="3"/>
  <c r="E1041" i="3"/>
  <c r="G1041" i="3"/>
  <c r="I1041" i="3"/>
  <c r="J1041" i="3"/>
  <c r="L1041" i="3"/>
  <c r="N1041" i="3"/>
  <c r="M1041" i="3"/>
  <c r="C1041" i="3"/>
  <c r="H1041" i="3"/>
  <c r="F1041" i="3"/>
  <c r="B1041" i="3"/>
  <c r="D1040" i="3"/>
  <c r="E1040" i="3"/>
  <c r="G1040" i="3"/>
  <c r="I1040" i="3"/>
  <c r="J1040" i="3"/>
  <c r="L1040" i="3"/>
  <c r="N1040" i="3"/>
  <c r="M1040" i="3"/>
  <c r="C1040" i="3"/>
  <c r="H1040" i="3"/>
  <c r="F1040" i="3"/>
  <c r="B1040" i="3"/>
  <c r="D1039" i="3"/>
  <c r="E1039" i="3"/>
  <c r="G1039" i="3"/>
  <c r="I1039" i="3"/>
  <c r="J1039" i="3"/>
  <c r="L1039" i="3"/>
  <c r="N1039" i="3"/>
  <c r="M1039" i="3"/>
  <c r="C1039" i="3"/>
  <c r="H1039" i="3"/>
  <c r="F1039" i="3"/>
  <c r="B1039" i="3"/>
  <c r="D1038" i="3"/>
  <c r="E1038" i="3"/>
  <c r="G1038" i="3"/>
  <c r="I1038" i="3"/>
  <c r="J1038" i="3"/>
  <c r="L1038" i="3"/>
  <c r="N1038" i="3"/>
  <c r="M1038" i="3"/>
  <c r="C1038" i="3"/>
  <c r="H1038" i="3"/>
  <c r="F1038" i="3"/>
  <c r="B1038" i="3"/>
  <c r="D1037" i="3"/>
  <c r="E1037" i="3"/>
  <c r="G1037" i="3"/>
  <c r="I1037" i="3"/>
  <c r="J1037" i="3"/>
  <c r="L1037" i="3"/>
  <c r="N1037" i="3"/>
  <c r="M1037" i="3"/>
  <c r="C1037" i="3"/>
  <c r="H1037" i="3"/>
  <c r="F1037" i="3"/>
  <c r="B1037" i="3"/>
  <c r="D1036" i="3"/>
  <c r="E1036" i="3"/>
  <c r="G1036" i="3"/>
  <c r="I1036" i="3"/>
  <c r="J1036" i="3"/>
  <c r="L1036" i="3"/>
  <c r="N1036" i="3"/>
  <c r="M1036" i="3"/>
  <c r="C1036" i="3"/>
  <c r="H1036" i="3"/>
  <c r="F1036" i="3"/>
  <c r="B1036" i="3"/>
  <c r="D1035" i="3"/>
  <c r="E1035" i="3"/>
  <c r="G1035" i="3"/>
  <c r="I1035" i="3"/>
  <c r="J1035" i="3"/>
  <c r="L1035" i="3"/>
  <c r="N1035" i="3"/>
  <c r="M1035" i="3"/>
  <c r="C1035" i="3"/>
  <c r="H1035" i="3"/>
  <c r="F1035" i="3"/>
  <c r="B1035" i="3"/>
  <c r="D1034" i="3"/>
  <c r="E1034" i="3"/>
  <c r="G1034" i="3"/>
  <c r="I1034" i="3"/>
  <c r="J1034" i="3"/>
  <c r="L1034" i="3"/>
  <c r="N1034" i="3"/>
  <c r="M1034" i="3"/>
  <c r="C1034" i="3"/>
  <c r="H1034" i="3"/>
  <c r="F1034" i="3"/>
  <c r="B1034" i="3"/>
  <c r="D1033" i="3"/>
  <c r="E1033" i="3"/>
  <c r="G1033" i="3"/>
  <c r="I1033" i="3"/>
  <c r="J1033" i="3"/>
  <c r="L1033" i="3"/>
  <c r="N1033" i="3"/>
  <c r="M1033" i="3"/>
  <c r="C1033" i="3"/>
  <c r="H1033" i="3"/>
  <c r="F1033" i="3"/>
  <c r="B1033" i="3"/>
  <c r="D1032" i="3"/>
  <c r="E1032" i="3"/>
  <c r="G1032" i="3"/>
  <c r="I1032" i="3"/>
  <c r="J1032" i="3"/>
  <c r="L1032" i="3"/>
  <c r="N1032" i="3"/>
  <c r="M1032" i="3"/>
  <c r="C1032" i="3"/>
  <c r="H1032" i="3"/>
  <c r="F1032" i="3"/>
  <c r="B1032" i="3"/>
  <c r="D1031" i="3"/>
  <c r="E1031" i="3"/>
  <c r="G1031" i="3"/>
  <c r="I1031" i="3"/>
  <c r="J1031" i="3"/>
  <c r="L1031" i="3"/>
  <c r="N1031" i="3"/>
  <c r="M1031" i="3"/>
  <c r="C1031" i="3"/>
  <c r="H1031" i="3"/>
  <c r="F1031" i="3"/>
  <c r="B1031" i="3"/>
  <c r="D1030" i="3"/>
  <c r="E1030" i="3"/>
  <c r="G1030" i="3"/>
  <c r="I1030" i="3"/>
  <c r="J1030" i="3"/>
  <c r="L1030" i="3"/>
  <c r="N1030" i="3"/>
  <c r="M1030" i="3"/>
  <c r="C1030" i="3"/>
  <c r="H1030" i="3"/>
  <c r="F1030" i="3"/>
  <c r="B1030" i="3"/>
  <c r="D1029" i="3"/>
  <c r="E1029" i="3"/>
  <c r="G1029" i="3"/>
  <c r="I1029" i="3"/>
  <c r="J1029" i="3"/>
  <c r="L1029" i="3"/>
  <c r="N1029" i="3"/>
  <c r="M1029" i="3"/>
  <c r="C1029" i="3"/>
  <c r="H1029" i="3"/>
  <c r="F1029" i="3"/>
  <c r="B1029" i="3"/>
  <c r="D1028" i="3"/>
  <c r="E1028" i="3"/>
  <c r="G1028" i="3"/>
  <c r="I1028" i="3"/>
  <c r="J1028" i="3"/>
  <c r="L1028" i="3"/>
  <c r="N1028" i="3"/>
  <c r="M1028" i="3"/>
  <c r="C1028" i="3"/>
  <c r="H1028" i="3"/>
  <c r="F1028" i="3"/>
  <c r="B1028" i="3"/>
  <c r="D1027" i="3"/>
  <c r="E1027" i="3"/>
  <c r="G1027" i="3"/>
  <c r="I1027" i="3"/>
  <c r="J1027" i="3"/>
  <c r="L1027" i="3"/>
  <c r="N1027" i="3"/>
  <c r="M1027" i="3"/>
  <c r="C1027" i="3"/>
  <c r="H1027" i="3"/>
  <c r="F1027" i="3"/>
  <c r="B1027" i="3"/>
  <c r="D1026" i="3"/>
  <c r="E1026" i="3"/>
  <c r="G1026" i="3"/>
  <c r="I1026" i="3"/>
  <c r="J1026" i="3"/>
  <c r="L1026" i="3"/>
  <c r="N1026" i="3"/>
  <c r="M1026" i="3"/>
  <c r="C1026" i="3"/>
  <c r="H1026" i="3"/>
  <c r="F1026" i="3"/>
  <c r="B1026" i="3"/>
  <c r="D1025" i="3"/>
  <c r="E1025" i="3"/>
  <c r="G1025" i="3"/>
  <c r="I1025" i="3"/>
  <c r="J1025" i="3"/>
  <c r="L1025" i="3"/>
  <c r="N1025" i="3"/>
  <c r="M1025" i="3"/>
  <c r="C1025" i="3"/>
  <c r="H1025" i="3"/>
  <c r="F1025" i="3"/>
  <c r="B1025" i="3"/>
  <c r="D1024" i="3"/>
  <c r="E1024" i="3"/>
  <c r="G1024" i="3"/>
  <c r="I1024" i="3"/>
  <c r="J1024" i="3"/>
  <c r="L1024" i="3"/>
  <c r="N1024" i="3"/>
  <c r="M1024" i="3"/>
  <c r="C1024" i="3"/>
  <c r="H1024" i="3"/>
  <c r="F1024" i="3"/>
  <c r="B1024" i="3"/>
  <c r="D1023" i="3"/>
  <c r="E1023" i="3"/>
  <c r="G1023" i="3"/>
  <c r="I1023" i="3"/>
  <c r="J1023" i="3"/>
  <c r="L1023" i="3"/>
  <c r="N1023" i="3"/>
  <c r="M1023" i="3"/>
  <c r="C1023" i="3"/>
  <c r="H1023" i="3"/>
  <c r="F1023" i="3"/>
  <c r="B1023" i="3"/>
  <c r="D1022" i="3"/>
  <c r="E1022" i="3"/>
  <c r="G1022" i="3"/>
  <c r="I1022" i="3"/>
  <c r="J1022" i="3"/>
  <c r="L1022" i="3"/>
  <c r="N1022" i="3"/>
  <c r="M1022" i="3"/>
  <c r="C1022" i="3"/>
  <c r="H1022" i="3"/>
  <c r="F1022" i="3"/>
  <c r="B1022" i="3"/>
  <c r="D1021" i="3"/>
  <c r="E1021" i="3"/>
  <c r="G1021" i="3"/>
  <c r="I1021" i="3"/>
  <c r="J1021" i="3"/>
  <c r="L1021" i="3"/>
  <c r="N1021" i="3"/>
  <c r="M1021" i="3"/>
  <c r="C1021" i="3"/>
  <c r="H1021" i="3"/>
  <c r="F1021" i="3"/>
  <c r="B1021" i="3"/>
  <c r="D1020" i="3"/>
  <c r="E1020" i="3"/>
  <c r="G1020" i="3"/>
  <c r="I1020" i="3"/>
  <c r="J1020" i="3"/>
  <c r="L1020" i="3"/>
  <c r="N1020" i="3"/>
  <c r="M1020" i="3"/>
  <c r="C1020" i="3"/>
  <c r="H1020" i="3"/>
  <c r="F1020" i="3"/>
  <c r="B1020" i="3"/>
  <c r="D1019" i="3"/>
  <c r="E1019" i="3"/>
  <c r="G1019" i="3"/>
  <c r="I1019" i="3"/>
  <c r="J1019" i="3"/>
  <c r="L1019" i="3"/>
  <c r="N1019" i="3"/>
  <c r="M1019" i="3"/>
  <c r="C1019" i="3"/>
  <c r="H1019" i="3"/>
  <c r="F1019" i="3"/>
  <c r="B1019" i="3"/>
  <c r="D1018" i="3"/>
  <c r="E1018" i="3"/>
  <c r="G1018" i="3"/>
  <c r="I1018" i="3"/>
  <c r="J1018" i="3"/>
  <c r="L1018" i="3"/>
  <c r="N1018" i="3"/>
  <c r="M1018" i="3"/>
  <c r="C1018" i="3"/>
  <c r="H1018" i="3"/>
  <c r="F1018" i="3"/>
  <c r="B1018" i="3"/>
  <c r="D1017" i="3"/>
  <c r="E1017" i="3"/>
  <c r="G1017" i="3"/>
  <c r="I1017" i="3"/>
  <c r="J1017" i="3"/>
  <c r="L1017" i="3"/>
  <c r="N1017" i="3"/>
  <c r="M1017" i="3"/>
  <c r="C1017" i="3"/>
  <c r="H1017" i="3"/>
  <c r="F1017" i="3"/>
  <c r="B1017" i="3"/>
  <c r="D1016" i="3"/>
  <c r="E1016" i="3"/>
  <c r="G1016" i="3"/>
  <c r="I1016" i="3"/>
  <c r="J1016" i="3"/>
  <c r="L1016" i="3"/>
  <c r="N1016" i="3"/>
  <c r="M1016" i="3"/>
  <c r="C1016" i="3"/>
  <c r="H1016" i="3"/>
  <c r="F1016" i="3"/>
  <c r="B1016" i="3"/>
  <c r="D1015" i="3"/>
  <c r="E1015" i="3"/>
  <c r="G1015" i="3"/>
  <c r="I1015" i="3"/>
  <c r="J1015" i="3"/>
  <c r="L1015" i="3"/>
  <c r="N1015" i="3"/>
  <c r="M1015" i="3"/>
  <c r="C1015" i="3"/>
  <c r="H1015" i="3"/>
  <c r="F1015" i="3"/>
  <c r="B1015" i="3"/>
  <c r="D1014" i="3"/>
  <c r="E1014" i="3"/>
  <c r="G1014" i="3"/>
  <c r="I1014" i="3"/>
  <c r="J1014" i="3"/>
  <c r="L1014" i="3"/>
  <c r="N1014" i="3"/>
  <c r="M1014" i="3"/>
  <c r="C1014" i="3"/>
  <c r="H1014" i="3"/>
  <c r="F1014" i="3"/>
  <c r="B1014" i="3"/>
  <c r="D1013" i="3"/>
  <c r="E1013" i="3"/>
  <c r="G1013" i="3"/>
  <c r="I1013" i="3"/>
  <c r="J1013" i="3"/>
  <c r="L1013" i="3"/>
  <c r="N1013" i="3"/>
  <c r="M1013" i="3"/>
  <c r="C1013" i="3"/>
  <c r="H1013" i="3"/>
  <c r="F1013" i="3"/>
  <c r="B1013" i="3"/>
  <c r="D1012" i="3"/>
  <c r="E1012" i="3"/>
  <c r="G1012" i="3"/>
  <c r="I1012" i="3"/>
  <c r="J1012" i="3"/>
  <c r="L1012" i="3"/>
  <c r="N1012" i="3"/>
  <c r="M1012" i="3"/>
  <c r="C1012" i="3"/>
  <c r="H1012" i="3"/>
  <c r="F1012" i="3"/>
  <c r="B1012" i="3"/>
  <c r="D1011" i="3"/>
  <c r="E1011" i="3"/>
  <c r="G1011" i="3"/>
  <c r="I1011" i="3"/>
  <c r="J1011" i="3"/>
  <c r="L1011" i="3"/>
  <c r="N1011" i="3"/>
  <c r="M1011" i="3"/>
  <c r="C1011" i="3"/>
  <c r="H1011" i="3"/>
  <c r="F1011" i="3"/>
  <c r="B1011" i="3"/>
  <c r="D1010" i="3"/>
  <c r="E1010" i="3"/>
  <c r="G1010" i="3"/>
  <c r="I1010" i="3"/>
  <c r="J1010" i="3"/>
  <c r="L1010" i="3"/>
  <c r="N1010" i="3"/>
  <c r="M1010" i="3"/>
  <c r="C1010" i="3"/>
  <c r="H1010" i="3"/>
  <c r="F1010" i="3"/>
  <c r="B1010" i="3"/>
  <c r="D1009" i="3"/>
  <c r="E1009" i="3"/>
  <c r="G1009" i="3"/>
  <c r="I1009" i="3"/>
  <c r="J1009" i="3"/>
  <c r="L1009" i="3"/>
  <c r="N1009" i="3"/>
  <c r="M1009" i="3"/>
  <c r="C1009" i="3"/>
  <c r="H1009" i="3"/>
  <c r="F1009" i="3"/>
  <c r="B1009" i="3"/>
  <c r="D1008" i="3"/>
  <c r="E1008" i="3"/>
  <c r="G1008" i="3"/>
  <c r="I1008" i="3"/>
  <c r="J1008" i="3"/>
  <c r="L1008" i="3"/>
  <c r="N1008" i="3"/>
  <c r="M1008" i="3"/>
  <c r="C1008" i="3"/>
  <c r="H1008" i="3"/>
  <c r="F1008" i="3"/>
  <c r="B1008" i="3"/>
  <c r="D1007" i="3"/>
  <c r="E1007" i="3"/>
  <c r="G1007" i="3"/>
  <c r="I1007" i="3"/>
  <c r="J1007" i="3"/>
  <c r="L1007" i="3"/>
  <c r="N1007" i="3"/>
  <c r="M1007" i="3"/>
  <c r="C1007" i="3"/>
  <c r="H1007" i="3"/>
  <c r="F1007" i="3"/>
  <c r="B1007" i="3"/>
  <c r="D1006" i="3"/>
  <c r="E1006" i="3"/>
  <c r="G1006" i="3"/>
  <c r="I1006" i="3"/>
  <c r="J1006" i="3"/>
  <c r="L1006" i="3"/>
  <c r="N1006" i="3"/>
  <c r="M1006" i="3"/>
  <c r="C1006" i="3"/>
  <c r="H1006" i="3"/>
  <c r="F1006" i="3"/>
  <c r="B1006" i="3"/>
  <c r="D1005" i="3"/>
  <c r="E1005" i="3"/>
  <c r="G1005" i="3"/>
  <c r="I1005" i="3"/>
  <c r="J1005" i="3"/>
  <c r="L1005" i="3"/>
  <c r="N1005" i="3"/>
  <c r="M1005" i="3"/>
  <c r="C1005" i="3"/>
  <c r="H1005" i="3"/>
  <c r="F1005" i="3"/>
  <c r="B1005" i="3"/>
  <c r="D1004" i="3"/>
  <c r="E1004" i="3"/>
  <c r="G1004" i="3"/>
  <c r="I1004" i="3"/>
  <c r="J1004" i="3"/>
  <c r="L1004" i="3"/>
  <c r="N1004" i="3"/>
  <c r="M1004" i="3"/>
  <c r="C1004" i="3"/>
  <c r="H1004" i="3"/>
  <c r="F1004" i="3"/>
  <c r="B1004" i="3"/>
  <c r="D1003" i="3"/>
  <c r="E1003" i="3"/>
  <c r="G1003" i="3"/>
  <c r="I1003" i="3"/>
  <c r="J1003" i="3"/>
  <c r="L1003" i="3"/>
  <c r="N1003" i="3"/>
  <c r="M1003" i="3"/>
  <c r="C1003" i="3"/>
  <c r="H1003" i="3"/>
  <c r="F1003" i="3"/>
  <c r="B1003" i="3"/>
  <c r="D1002" i="3"/>
  <c r="E1002" i="3"/>
  <c r="G1002" i="3"/>
  <c r="I1002" i="3"/>
  <c r="J1002" i="3"/>
  <c r="L1002" i="3"/>
  <c r="N1002" i="3"/>
  <c r="M1002" i="3"/>
  <c r="C1002" i="3"/>
  <c r="H1002" i="3"/>
  <c r="F1002" i="3"/>
  <c r="B1002" i="3"/>
  <c r="D1001" i="3"/>
  <c r="E1001" i="3"/>
  <c r="G1001" i="3"/>
  <c r="I1001" i="3"/>
  <c r="J1001" i="3"/>
  <c r="L1001" i="3"/>
  <c r="N1001" i="3"/>
  <c r="M1001" i="3"/>
  <c r="C1001" i="3"/>
  <c r="H1001" i="3"/>
  <c r="F1001" i="3"/>
  <c r="B1001" i="3"/>
  <c r="D1000" i="3"/>
  <c r="E1000" i="3"/>
  <c r="G1000" i="3"/>
  <c r="I1000" i="3"/>
  <c r="J1000" i="3"/>
  <c r="L1000" i="3"/>
  <c r="N1000" i="3"/>
  <c r="M1000" i="3"/>
  <c r="C1000" i="3"/>
  <c r="H1000" i="3"/>
  <c r="F1000" i="3"/>
  <c r="B1000" i="3"/>
  <c r="D999" i="3"/>
  <c r="E999" i="3"/>
  <c r="G999" i="3"/>
  <c r="I999" i="3"/>
  <c r="J999" i="3"/>
  <c r="L999" i="3"/>
  <c r="N999" i="3"/>
  <c r="M999" i="3"/>
  <c r="C999" i="3"/>
  <c r="H999" i="3"/>
  <c r="F999" i="3"/>
  <c r="B999" i="3"/>
  <c r="D998" i="3"/>
  <c r="E998" i="3"/>
  <c r="G998" i="3"/>
  <c r="I998" i="3"/>
  <c r="J998" i="3"/>
  <c r="L998" i="3"/>
  <c r="N998" i="3"/>
  <c r="M998" i="3"/>
  <c r="C998" i="3"/>
  <c r="H998" i="3"/>
  <c r="F998" i="3"/>
  <c r="B998" i="3"/>
  <c r="D997" i="3"/>
  <c r="E997" i="3"/>
  <c r="G997" i="3"/>
  <c r="I997" i="3"/>
  <c r="J997" i="3"/>
  <c r="L997" i="3"/>
  <c r="N997" i="3"/>
  <c r="M997" i="3"/>
  <c r="C997" i="3"/>
  <c r="H997" i="3"/>
  <c r="F997" i="3"/>
  <c r="B997" i="3"/>
  <c r="D996" i="3"/>
  <c r="E996" i="3"/>
  <c r="G996" i="3"/>
  <c r="I996" i="3"/>
  <c r="J996" i="3"/>
  <c r="L996" i="3"/>
  <c r="N996" i="3"/>
  <c r="M996" i="3"/>
  <c r="C996" i="3"/>
  <c r="H996" i="3"/>
  <c r="F996" i="3"/>
  <c r="B996" i="3"/>
  <c r="D995" i="3"/>
  <c r="E995" i="3"/>
  <c r="G995" i="3"/>
  <c r="I995" i="3"/>
  <c r="J995" i="3"/>
  <c r="L995" i="3"/>
  <c r="N995" i="3"/>
  <c r="M995" i="3"/>
  <c r="C995" i="3"/>
  <c r="H995" i="3"/>
  <c r="F995" i="3"/>
  <c r="B995" i="3"/>
  <c r="D994" i="3"/>
  <c r="E994" i="3"/>
  <c r="G994" i="3"/>
  <c r="I994" i="3"/>
  <c r="J994" i="3"/>
  <c r="L994" i="3"/>
  <c r="N994" i="3"/>
  <c r="M994" i="3"/>
  <c r="C994" i="3"/>
  <c r="H994" i="3"/>
  <c r="F994" i="3"/>
  <c r="B994" i="3"/>
  <c r="D993" i="3"/>
  <c r="E993" i="3"/>
  <c r="G993" i="3"/>
  <c r="I993" i="3"/>
  <c r="J993" i="3"/>
  <c r="L993" i="3"/>
  <c r="N993" i="3"/>
  <c r="M993" i="3"/>
  <c r="C993" i="3"/>
  <c r="H993" i="3"/>
  <c r="F993" i="3"/>
  <c r="B993" i="3"/>
  <c r="D992" i="3"/>
  <c r="E992" i="3"/>
  <c r="G992" i="3"/>
  <c r="I992" i="3"/>
  <c r="J992" i="3"/>
  <c r="L992" i="3"/>
  <c r="N992" i="3"/>
  <c r="M992" i="3"/>
  <c r="C992" i="3"/>
  <c r="H992" i="3"/>
  <c r="F992" i="3"/>
  <c r="B992" i="3"/>
  <c r="D991" i="3"/>
  <c r="E991" i="3"/>
  <c r="G991" i="3"/>
  <c r="I991" i="3"/>
  <c r="J991" i="3"/>
  <c r="L991" i="3"/>
  <c r="N991" i="3"/>
  <c r="M991" i="3"/>
  <c r="C991" i="3"/>
  <c r="H991" i="3"/>
  <c r="F991" i="3"/>
  <c r="B991" i="3"/>
  <c r="D990" i="3"/>
  <c r="E990" i="3"/>
  <c r="G990" i="3"/>
  <c r="I990" i="3"/>
  <c r="J990" i="3"/>
  <c r="L990" i="3"/>
  <c r="N990" i="3"/>
  <c r="M990" i="3"/>
  <c r="C990" i="3"/>
  <c r="H990" i="3"/>
  <c r="F990" i="3"/>
  <c r="B990" i="3"/>
  <c r="D989" i="3"/>
  <c r="E989" i="3"/>
  <c r="G989" i="3"/>
  <c r="I989" i="3"/>
  <c r="J989" i="3"/>
  <c r="L989" i="3"/>
  <c r="N989" i="3"/>
  <c r="M989" i="3"/>
  <c r="C989" i="3"/>
  <c r="H989" i="3"/>
  <c r="F989" i="3"/>
  <c r="B989" i="3"/>
  <c r="D988" i="3"/>
  <c r="E988" i="3"/>
  <c r="G988" i="3"/>
  <c r="I988" i="3"/>
  <c r="J988" i="3"/>
  <c r="L988" i="3"/>
  <c r="N988" i="3"/>
  <c r="M988" i="3"/>
  <c r="C988" i="3"/>
  <c r="H988" i="3"/>
  <c r="F988" i="3"/>
  <c r="B988" i="3"/>
  <c r="D987" i="3"/>
  <c r="E987" i="3"/>
  <c r="G987" i="3"/>
  <c r="I987" i="3"/>
  <c r="J987" i="3"/>
  <c r="L987" i="3"/>
  <c r="N987" i="3"/>
  <c r="M987" i="3"/>
  <c r="C987" i="3"/>
  <c r="H987" i="3"/>
  <c r="F987" i="3"/>
  <c r="B987" i="3"/>
  <c r="D986" i="3"/>
  <c r="E986" i="3"/>
  <c r="G986" i="3"/>
  <c r="I986" i="3"/>
  <c r="J986" i="3"/>
  <c r="L986" i="3"/>
  <c r="N986" i="3"/>
  <c r="M986" i="3"/>
  <c r="C986" i="3"/>
  <c r="H986" i="3"/>
  <c r="F986" i="3"/>
  <c r="B986" i="3"/>
  <c r="D985" i="3"/>
  <c r="E985" i="3"/>
  <c r="G985" i="3"/>
  <c r="I985" i="3"/>
  <c r="J985" i="3"/>
  <c r="L985" i="3"/>
  <c r="N985" i="3"/>
  <c r="M985" i="3"/>
  <c r="C985" i="3"/>
  <c r="H985" i="3"/>
  <c r="F985" i="3"/>
  <c r="B985" i="3"/>
  <c r="D984" i="3"/>
  <c r="E984" i="3"/>
  <c r="G984" i="3"/>
  <c r="I984" i="3"/>
  <c r="J984" i="3"/>
  <c r="L984" i="3"/>
  <c r="N984" i="3"/>
  <c r="M984" i="3"/>
  <c r="C984" i="3"/>
  <c r="H984" i="3"/>
  <c r="F984" i="3"/>
  <c r="B984" i="3"/>
  <c r="D983" i="3"/>
  <c r="E983" i="3"/>
  <c r="G983" i="3"/>
  <c r="I983" i="3"/>
  <c r="J983" i="3"/>
  <c r="L983" i="3"/>
  <c r="N983" i="3"/>
  <c r="M983" i="3"/>
  <c r="C983" i="3"/>
  <c r="H983" i="3"/>
  <c r="F983" i="3"/>
  <c r="B983" i="3"/>
  <c r="D982" i="3"/>
  <c r="E982" i="3"/>
  <c r="G982" i="3"/>
  <c r="I982" i="3"/>
  <c r="J982" i="3"/>
  <c r="L982" i="3"/>
  <c r="N982" i="3"/>
  <c r="M982" i="3"/>
  <c r="C982" i="3"/>
  <c r="H982" i="3"/>
  <c r="F982" i="3"/>
  <c r="B982" i="3"/>
  <c r="D981" i="3"/>
  <c r="E981" i="3"/>
  <c r="G981" i="3"/>
  <c r="I981" i="3"/>
  <c r="J981" i="3"/>
  <c r="L981" i="3"/>
  <c r="N981" i="3"/>
  <c r="M981" i="3"/>
  <c r="C981" i="3"/>
  <c r="H981" i="3"/>
  <c r="F981" i="3"/>
  <c r="B981" i="3"/>
  <c r="D980" i="3"/>
  <c r="E980" i="3"/>
  <c r="G980" i="3"/>
  <c r="I980" i="3"/>
  <c r="J980" i="3"/>
  <c r="L980" i="3"/>
  <c r="N980" i="3"/>
  <c r="M980" i="3"/>
  <c r="C980" i="3"/>
  <c r="H980" i="3"/>
  <c r="F980" i="3"/>
  <c r="B980" i="3"/>
  <c r="D979" i="3"/>
  <c r="E979" i="3"/>
  <c r="G979" i="3"/>
  <c r="I979" i="3"/>
  <c r="J979" i="3"/>
  <c r="L979" i="3"/>
  <c r="N979" i="3"/>
  <c r="M979" i="3"/>
  <c r="C979" i="3"/>
  <c r="H979" i="3"/>
  <c r="F979" i="3"/>
  <c r="B979" i="3"/>
  <c r="D978" i="3"/>
  <c r="E978" i="3"/>
  <c r="G978" i="3"/>
  <c r="I978" i="3"/>
  <c r="J978" i="3"/>
  <c r="L978" i="3"/>
  <c r="N978" i="3"/>
  <c r="M978" i="3"/>
  <c r="C978" i="3"/>
  <c r="H978" i="3"/>
  <c r="F978" i="3"/>
  <c r="B978" i="3"/>
  <c r="D977" i="3"/>
  <c r="E977" i="3"/>
  <c r="G977" i="3"/>
  <c r="I977" i="3"/>
  <c r="J977" i="3"/>
  <c r="L977" i="3"/>
  <c r="N977" i="3"/>
  <c r="M977" i="3"/>
  <c r="C977" i="3"/>
  <c r="H977" i="3"/>
  <c r="F977" i="3"/>
  <c r="B977" i="3"/>
  <c r="D976" i="3"/>
  <c r="E976" i="3"/>
  <c r="G976" i="3"/>
  <c r="I976" i="3"/>
  <c r="J976" i="3"/>
  <c r="L976" i="3"/>
  <c r="N976" i="3"/>
  <c r="M976" i="3"/>
  <c r="C976" i="3"/>
  <c r="H976" i="3"/>
  <c r="F976" i="3"/>
  <c r="B976" i="3"/>
  <c r="D975" i="3"/>
  <c r="E975" i="3"/>
  <c r="G975" i="3"/>
  <c r="I975" i="3"/>
  <c r="J975" i="3"/>
  <c r="L975" i="3"/>
  <c r="N975" i="3"/>
  <c r="M975" i="3"/>
  <c r="C975" i="3"/>
  <c r="H975" i="3"/>
  <c r="F975" i="3"/>
  <c r="B975" i="3"/>
  <c r="D974" i="3"/>
  <c r="E974" i="3"/>
  <c r="G974" i="3"/>
  <c r="I974" i="3"/>
  <c r="J974" i="3"/>
  <c r="L974" i="3"/>
  <c r="N974" i="3"/>
  <c r="M974" i="3"/>
  <c r="C974" i="3"/>
  <c r="H974" i="3"/>
  <c r="F974" i="3"/>
  <c r="B974" i="3"/>
  <c r="D973" i="3"/>
  <c r="E973" i="3"/>
  <c r="G973" i="3"/>
  <c r="I973" i="3"/>
  <c r="J973" i="3"/>
  <c r="L973" i="3"/>
  <c r="N973" i="3"/>
  <c r="M973" i="3"/>
  <c r="C973" i="3"/>
  <c r="H973" i="3"/>
  <c r="F973" i="3"/>
  <c r="B973" i="3"/>
  <c r="D972" i="3"/>
  <c r="E972" i="3"/>
  <c r="G972" i="3"/>
  <c r="I972" i="3"/>
  <c r="J972" i="3"/>
  <c r="L972" i="3"/>
  <c r="N972" i="3"/>
  <c r="M972" i="3"/>
  <c r="C972" i="3"/>
  <c r="H972" i="3"/>
  <c r="F972" i="3"/>
  <c r="B972" i="3"/>
  <c r="D971" i="3"/>
  <c r="E971" i="3"/>
  <c r="G971" i="3"/>
  <c r="I971" i="3"/>
  <c r="J971" i="3"/>
  <c r="L971" i="3"/>
  <c r="N971" i="3"/>
  <c r="M971" i="3"/>
  <c r="C971" i="3"/>
  <c r="H971" i="3"/>
  <c r="F971" i="3"/>
  <c r="B971" i="3"/>
  <c r="D970" i="3"/>
  <c r="E970" i="3"/>
  <c r="G970" i="3"/>
  <c r="I970" i="3"/>
  <c r="J970" i="3"/>
  <c r="L970" i="3"/>
  <c r="N970" i="3"/>
  <c r="M970" i="3"/>
  <c r="C970" i="3"/>
  <c r="H970" i="3"/>
  <c r="F970" i="3"/>
  <c r="B970" i="3"/>
  <c r="D969" i="3"/>
  <c r="E969" i="3"/>
  <c r="G969" i="3"/>
  <c r="I969" i="3"/>
  <c r="J969" i="3"/>
  <c r="L969" i="3"/>
  <c r="N969" i="3"/>
  <c r="M969" i="3"/>
  <c r="C969" i="3"/>
  <c r="H969" i="3"/>
  <c r="F969" i="3"/>
  <c r="B969" i="3"/>
  <c r="D968" i="3"/>
  <c r="E968" i="3"/>
  <c r="G968" i="3"/>
  <c r="I968" i="3"/>
  <c r="J968" i="3"/>
  <c r="L968" i="3"/>
  <c r="N968" i="3"/>
  <c r="M968" i="3"/>
  <c r="C968" i="3"/>
  <c r="H968" i="3"/>
  <c r="F968" i="3"/>
  <c r="B968" i="3"/>
  <c r="D967" i="3"/>
  <c r="E967" i="3"/>
  <c r="G967" i="3"/>
  <c r="I967" i="3"/>
  <c r="J967" i="3"/>
  <c r="L967" i="3"/>
  <c r="N967" i="3"/>
  <c r="M967" i="3"/>
  <c r="C967" i="3"/>
  <c r="H967" i="3"/>
  <c r="F967" i="3"/>
  <c r="B967" i="3"/>
  <c r="D966" i="3"/>
  <c r="E966" i="3"/>
  <c r="G966" i="3"/>
  <c r="I966" i="3"/>
  <c r="J966" i="3"/>
  <c r="L966" i="3"/>
  <c r="N966" i="3"/>
  <c r="M966" i="3"/>
  <c r="C966" i="3"/>
  <c r="H966" i="3"/>
  <c r="F966" i="3"/>
  <c r="B966" i="3"/>
  <c r="D965" i="3"/>
  <c r="E965" i="3"/>
  <c r="G965" i="3"/>
  <c r="I965" i="3"/>
  <c r="J965" i="3"/>
  <c r="L965" i="3"/>
  <c r="N965" i="3"/>
  <c r="M965" i="3"/>
  <c r="C965" i="3"/>
  <c r="H965" i="3"/>
  <c r="F965" i="3"/>
  <c r="B965" i="3"/>
  <c r="D964" i="3"/>
  <c r="E964" i="3"/>
  <c r="G964" i="3"/>
  <c r="I964" i="3"/>
  <c r="J964" i="3"/>
  <c r="L964" i="3"/>
  <c r="N964" i="3"/>
  <c r="M964" i="3"/>
  <c r="C964" i="3"/>
  <c r="H964" i="3"/>
  <c r="F964" i="3"/>
  <c r="B964" i="3"/>
  <c r="D963" i="3"/>
  <c r="E963" i="3"/>
  <c r="G963" i="3"/>
  <c r="I963" i="3"/>
  <c r="J963" i="3"/>
  <c r="L963" i="3"/>
  <c r="N963" i="3"/>
  <c r="M963" i="3"/>
  <c r="C963" i="3"/>
  <c r="H963" i="3"/>
  <c r="F963" i="3"/>
  <c r="B963" i="3"/>
  <c r="D962" i="3"/>
  <c r="E962" i="3"/>
  <c r="G962" i="3"/>
  <c r="I962" i="3"/>
  <c r="J962" i="3"/>
  <c r="L962" i="3"/>
  <c r="N962" i="3"/>
  <c r="M962" i="3"/>
  <c r="C962" i="3"/>
  <c r="H962" i="3"/>
  <c r="F962" i="3"/>
  <c r="B962" i="3"/>
  <c r="D961" i="3"/>
  <c r="E961" i="3"/>
  <c r="G961" i="3"/>
  <c r="I961" i="3"/>
  <c r="J961" i="3"/>
  <c r="L961" i="3"/>
  <c r="N961" i="3"/>
  <c r="M961" i="3"/>
  <c r="C961" i="3"/>
  <c r="H961" i="3"/>
  <c r="F961" i="3"/>
  <c r="B961" i="3"/>
  <c r="D960" i="3"/>
  <c r="E960" i="3"/>
  <c r="G960" i="3"/>
  <c r="I960" i="3"/>
  <c r="J960" i="3"/>
  <c r="L960" i="3"/>
  <c r="N960" i="3"/>
  <c r="M960" i="3"/>
  <c r="C960" i="3"/>
  <c r="H960" i="3"/>
  <c r="F960" i="3"/>
  <c r="B960" i="3"/>
  <c r="D959" i="3"/>
  <c r="E959" i="3"/>
  <c r="G959" i="3"/>
  <c r="I959" i="3"/>
  <c r="J959" i="3"/>
  <c r="L959" i="3"/>
  <c r="N959" i="3"/>
  <c r="M959" i="3"/>
  <c r="C959" i="3"/>
  <c r="H959" i="3"/>
  <c r="F959" i="3"/>
  <c r="B959" i="3"/>
  <c r="D958" i="3"/>
  <c r="E958" i="3"/>
  <c r="G958" i="3"/>
  <c r="I958" i="3"/>
  <c r="J958" i="3"/>
  <c r="L958" i="3"/>
  <c r="N958" i="3"/>
  <c r="M958" i="3"/>
  <c r="C958" i="3"/>
  <c r="H958" i="3"/>
  <c r="F958" i="3"/>
  <c r="B958" i="3"/>
  <c r="D957" i="3"/>
  <c r="E957" i="3"/>
  <c r="G957" i="3"/>
  <c r="I957" i="3"/>
  <c r="J957" i="3"/>
  <c r="L957" i="3"/>
  <c r="N957" i="3"/>
  <c r="M957" i="3"/>
  <c r="C957" i="3"/>
  <c r="H957" i="3"/>
  <c r="F957" i="3"/>
  <c r="B957" i="3"/>
  <c r="D956" i="3"/>
  <c r="E956" i="3"/>
  <c r="G956" i="3"/>
  <c r="I956" i="3"/>
  <c r="J956" i="3"/>
  <c r="L956" i="3"/>
  <c r="N956" i="3"/>
  <c r="M956" i="3"/>
  <c r="C956" i="3"/>
  <c r="H956" i="3"/>
  <c r="F956" i="3"/>
  <c r="B956" i="3"/>
  <c r="D955" i="3"/>
  <c r="E955" i="3"/>
  <c r="G955" i="3"/>
  <c r="I955" i="3"/>
  <c r="J955" i="3"/>
  <c r="L955" i="3"/>
  <c r="N955" i="3"/>
  <c r="M955" i="3"/>
  <c r="C955" i="3"/>
  <c r="H955" i="3"/>
  <c r="F955" i="3"/>
  <c r="B955" i="3"/>
  <c r="D954" i="3"/>
  <c r="E954" i="3"/>
  <c r="G954" i="3"/>
  <c r="I954" i="3"/>
  <c r="J954" i="3"/>
  <c r="L954" i="3"/>
  <c r="N954" i="3"/>
  <c r="M954" i="3"/>
  <c r="C954" i="3"/>
  <c r="H954" i="3"/>
  <c r="F954" i="3"/>
  <c r="B954" i="3"/>
  <c r="D953" i="3"/>
  <c r="E953" i="3"/>
  <c r="G953" i="3"/>
  <c r="I953" i="3"/>
  <c r="J953" i="3"/>
  <c r="L953" i="3"/>
  <c r="N953" i="3"/>
  <c r="M953" i="3"/>
  <c r="C953" i="3"/>
  <c r="H953" i="3"/>
  <c r="F953" i="3"/>
  <c r="B953" i="3"/>
  <c r="D952" i="3"/>
  <c r="E952" i="3"/>
  <c r="G952" i="3"/>
  <c r="I952" i="3"/>
  <c r="J952" i="3"/>
  <c r="L952" i="3"/>
  <c r="N952" i="3"/>
  <c r="M952" i="3"/>
  <c r="C952" i="3"/>
  <c r="H952" i="3"/>
  <c r="F952" i="3"/>
  <c r="B952" i="3"/>
  <c r="D951" i="3"/>
  <c r="E951" i="3"/>
  <c r="G951" i="3"/>
  <c r="I951" i="3"/>
  <c r="J951" i="3"/>
  <c r="L951" i="3"/>
  <c r="N951" i="3"/>
  <c r="M951" i="3"/>
  <c r="C951" i="3"/>
  <c r="H951" i="3"/>
  <c r="F951" i="3"/>
  <c r="B951" i="3"/>
  <c r="D950" i="3"/>
  <c r="E950" i="3"/>
  <c r="G950" i="3"/>
  <c r="I950" i="3"/>
  <c r="J950" i="3"/>
  <c r="L950" i="3"/>
  <c r="N950" i="3"/>
  <c r="M950" i="3"/>
  <c r="C950" i="3"/>
  <c r="H950" i="3"/>
  <c r="F950" i="3"/>
  <c r="B950" i="3"/>
  <c r="D949" i="3"/>
  <c r="E949" i="3"/>
  <c r="G949" i="3"/>
  <c r="I949" i="3"/>
  <c r="J949" i="3"/>
  <c r="L949" i="3"/>
  <c r="N949" i="3"/>
  <c r="M949" i="3"/>
  <c r="C949" i="3"/>
  <c r="H949" i="3"/>
  <c r="F949" i="3"/>
  <c r="B949" i="3"/>
  <c r="D948" i="3"/>
  <c r="E948" i="3"/>
  <c r="G948" i="3"/>
  <c r="I948" i="3"/>
  <c r="J948" i="3"/>
  <c r="L948" i="3"/>
  <c r="N948" i="3"/>
  <c r="M948" i="3"/>
  <c r="C948" i="3"/>
  <c r="H948" i="3"/>
  <c r="F948" i="3"/>
  <c r="B948" i="3"/>
  <c r="D947" i="3"/>
  <c r="E947" i="3"/>
  <c r="G947" i="3"/>
  <c r="I947" i="3"/>
  <c r="J947" i="3"/>
  <c r="L947" i="3"/>
  <c r="N947" i="3"/>
  <c r="M947" i="3"/>
  <c r="C947" i="3"/>
  <c r="H947" i="3"/>
  <c r="F947" i="3"/>
  <c r="B947" i="3"/>
  <c r="D946" i="3"/>
  <c r="E946" i="3"/>
  <c r="G946" i="3"/>
  <c r="I946" i="3"/>
  <c r="J946" i="3"/>
  <c r="L946" i="3"/>
  <c r="N946" i="3"/>
  <c r="M946" i="3"/>
  <c r="C946" i="3"/>
  <c r="H946" i="3"/>
  <c r="F946" i="3"/>
  <c r="B946" i="3"/>
  <c r="D945" i="3"/>
  <c r="E945" i="3"/>
  <c r="G945" i="3"/>
  <c r="I945" i="3"/>
  <c r="J945" i="3"/>
  <c r="L945" i="3"/>
  <c r="N945" i="3"/>
  <c r="M945" i="3"/>
  <c r="C945" i="3"/>
  <c r="H945" i="3"/>
  <c r="F945" i="3"/>
  <c r="B945" i="3"/>
  <c r="D944" i="3"/>
  <c r="E944" i="3"/>
  <c r="G944" i="3"/>
  <c r="I944" i="3"/>
  <c r="J944" i="3"/>
  <c r="L944" i="3"/>
  <c r="N944" i="3"/>
  <c r="M944" i="3"/>
  <c r="C944" i="3"/>
  <c r="H944" i="3"/>
  <c r="F944" i="3"/>
  <c r="B944" i="3"/>
  <c r="D943" i="3"/>
  <c r="E943" i="3"/>
  <c r="G943" i="3"/>
  <c r="I943" i="3"/>
  <c r="J943" i="3"/>
  <c r="L943" i="3"/>
  <c r="N943" i="3"/>
  <c r="M943" i="3"/>
  <c r="C943" i="3"/>
  <c r="H943" i="3"/>
  <c r="F943" i="3"/>
  <c r="B943" i="3"/>
  <c r="D942" i="3"/>
  <c r="E942" i="3"/>
  <c r="G942" i="3"/>
  <c r="I942" i="3"/>
  <c r="J942" i="3"/>
  <c r="L942" i="3"/>
  <c r="N942" i="3"/>
  <c r="M942" i="3"/>
  <c r="C942" i="3"/>
  <c r="H942" i="3"/>
  <c r="F942" i="3"/>
  <c r="B942" i="3"/>
  <c r="D941" i="3"/>
  <c r="E941" i="3"/>
  <c r="G941" i="3"/>
  <c r="I941" i="3"/>
  <c r="J941" i="3"/>
  <c r="L941" i="3"/>
  <c r="N941" i="3"/>
  <c r="M941" i="3"/>
  <c r="C941" i="3"/>
  <c r="H941" i="3"/>
  <c r="F941" i="3"/>
  <c r="B941" i="3"/>
  <c r="D940" i="3"/>
  <c r="E940" i="3"/>
  <c r="G940" i="3"/>
  <c r="I940" i="3"/>
  <c r="J940" i="3"/>
  <c r="L940" i="3"/>
  <c r="N940" i="3"/>
  <c r="M940" i="3"/>
  <c r="C940" i="3"/>
  <c r="H940" i="3"/>
  <c r="F940" i="3"/>
  <c r="B940" i="3"/>
  <c r="D939" i="3"/>
  <c r="E939" i="3"/>
  <c r="G939" i="3"/>
  <c r="I939" i="3"/>
  <c r="J939" i="3"/>
  <c r="L939" i="3"/>
  <c r="N939" i="3"/>
  <c r="M939" i="3"/>
  <c r="C939" i="3"/>
  <c r="H939" i="3"/>
  <c r="F939" i="3"/>
  <c r="B939" i="3"/>
  <c r="D938" i="3"/>
  <c r="E938" i="3"/>
  <c r="G938" i="3"/>
  <c r="I938" i="3"/>
  <c r="J938" i="3"/>
  <c r="L938" i="3"/>
  <c r="N938" i="3"/>
  <c r="M938" i="3"/>
  <c r="C938" i="3"/>
  <c r="H938" i="3"/>
  <c r="F938" i="3"/>
  <c r="B938" i="3"/>
  <c r="D937" i="3"/>
  <c r="E937" i="3"/>
  <c r="G937" i="3"/>
  <c r="I937" i="3"/>
  <c r="J937" i="3"/>
  <c r="L937" i="3"/>
  <c r="N937" i="3"/>
  <c r="M937" i="3"/>
  <c r="C937" i="3"/>
  <c r="H937" i="3"/>
  <c r="F937" i="3"/>
  <c r="B937" i="3"/>
  <c r="D936" i="3"/>
  <c r="E936" i="3"/>
  <c r="G936" i="3"/>
  <c r="I936" i="3"/>
  <c r="J936" i="3"/>
  <c r="L936" i="3"/>
  <c r="N936" i="3"/>
  <c r="M936" i="3"/>
  <c r="C936" i="3"/>
  <c r="H936" i="3"/>
  <c r="F936" i="3"/>
  <c r="B936" i="3"/>
  <c r="D935" i="3"/>
  <c r="E935" i="3"/>
  <c r="G935" i="3"/>
  <c r="I935" i="3"/>
  <c r="J935" i="3"/>
  <c r="L935" i="3"/>
  <c r="N935" i="3"/>
  <c r="M935" i="3"/>
  <c r="C935" i="3"/>
  <c r="H935" i="3"/>
  <c r="F935" i="3"/>
  <c r="B935" i="3"/>
  <c r="D934" i="3"/>
  <c r="E934" i="3"/>
  <c r="G934" i="3"/>
  <c r="I934" i="3"/>
  <c r="J934" i="3"/>
  <c r="L934" i="3"/>
  <c r="N934" i="3"/>
  <c r="M934" i="3"/>
  <c r="C934" i="3"/>
  <c r="H934" i="3"/>
  <c r="F934" i="3"/>
  <c r="B934" i="3"/>
  <c r="D933" i="3"/>
  <c r="E933" i="3"/>
  <c r="G933" i="3"/>
  <c r="I933" i="3"/>
  <c r="J933" i="3"/>
  <c r="L933" i="3"/>
  <c r="N933" i="3"/>
  <c r="M933" i="3"/>
  <c r="C933" i="3"/>
  <c r="H933" i="3"/>
  <c r="F933" i="3"/>
  <c r="B933" i="3"/>
  <c r="D932" i="3"/>
  <c r="E932" i="3"/>
  <c r="G932" i="3"/>
  <c r="I932" i="3"/>
  <c r="J932" i="3"/>
  <c r="L932" i="3"/>
  <c r="N932" i="3"/>
  <c r="M932" i="3"/>
  <c r="C932" i="3"/>
  <c r="H932" i="3"/>
  <c r="F932" i="3"/>
  <c r="B932" i="3"/>
  <c r="D931" i="3"/>
  <c r="E931" i="3"/>
  <c r="G931" i="3"/>
  <c r="I931" i="3"/>
  <c r="J931" i="3"/>
  <c r="L931" i="3"/>
  <c r="N931" i="3"/>
  <c r="M931" i="3"/>
  <c r="C931" i="3"/>
  <c r="H931" i="3"/>
  <c r="F931" i="3"/>
  <c r="B931" i="3"/>
  <c r="D930" i="3"/>
  <c r="E930" i="3"/>
  <c r="G930" i="3"/>
  <c r="I930" i="3"/>
  <c r="J930" i="3"/>
  <c r="L930" i="3"/>
  <c r="N930" i="3"/>
  <c r="M930" i="3"/>
  <c r="C930" i="3"/>
  <c r="H930" i="3"/>
  <c r="F930" i="3"/>
  <c r="B930" i="3"/>
  <c r="D929" i="3"/>
  <c r="E929" i="3"/>
  <c r="G929" i="3"/>
  <c r="I929" i="3"/>
  <c r="J929" i="3"/>
  <c r="L929" i="3"/>
  <c r="N929" i="3"/>
  <c r="M929" i="3"/>
  <c r="C929" i="3"/>
  <c r="H929" i="3"/>
  <c r="F929" i="3"/>
  <c r="B929" i="3"/>
  <c r="D928" i="3"/>
  <c r="E928" i="3"/>
  <c r="G928" i="3"/>
  <c r="I928" i="3"/>
  <c r="J928" i="3"/>
  <c r="L928" i="3"/>
  <c r="N928" i="3"/>
  <c r="M928" i="3"/>
  <c r="C928" i="3"/>
  <c r="H928" i="3"/>
  <c r="F928" i="3"/>
  <c r="B928" i="3"/>
  <c r="D927" i="3"/>
  <c r="E927" i="3"/>
  <c r="G927" i="3"/>
  <c r="I927" i="3"/>
  <c r="J927" i="3"/>
  <c r="L927" i="3"/>
  <c r="N927" i="3"/>
  <c r="M927" i="3"/>
  <c r="C927" i="3"/>
  <c r="H927" i="3"/>
  <c r="F927" i="3"/>
  <c r="B927" i="3"/>
  <c r="D926" i="3"/>
  <c r="E926" i="3"/>
  <c r="G926" i="3"/>
  <c r="I926" i="3"/>
  <c r="J926" i="3"/>
  <c r="L926" i="3"/>
  <c r="N926" i="3"/>
  <c r="M926" i="3"/>
  <c r="C926" i="3"/>
  <c r="H926" i="3"/>
  <c r="F926" i="3"/>
  <c r="B926" i="3"/>
  <c r="D925" i="3"/>
  <c r="E925" i="3"/>
  <c r="G925" i="3"/>
  <c r="I925" i="3"/>
  <c r="J925" i="3"/>
  <c r="L925" i="3"/>
  <c r="N925" i="3"/>
  <c r="M925" i="3"/>
  <c r="C925" i="3"/>
  <c r="H925" i="3"/>
  <c r="F925" i="3"/>
  <c r="B925" i="3"/>
  <c r="D924" i="3"/>
  <c r="E924" i="3"/>
  <c r="G924" i="3"/>
  <c r="I924" i="3"/>
  <c r="J924" i="3"/>
  <c r="L924" i="3"/>
  <c r="N924" i="3"/>
  <c r="M924" i="3"/>
  <c r="C924" i="3"/>
  <c r="H924" i="3"/>
  <c r="F924" i="3"/>
  <c r="B924" i="3"/>
  <c r="D923" i="3"/>
  <c r="E923" i="3"/>
  <c r="G923" i="3"/>
  <c r="I923" i="3"/>
  <c r="J923" i="3"/>
  <c r="L923" i="3"/>
  <c r="N923" i="3"/>
  <c r="M923" i="3"/>
  <c r="C923" i="3"/>
  <c r="H923" i="3"/>
  <c r="F923" i="3"/>
  <c r="B923" i="3"/>
  <c r="D922" i="3"/>
  <c r="E922" i="3"/>
  <c r="G922" i="3"/>
  <c r="I922" i="3"/>
  <c r="J922" i="3"/>
  <c r="L922" i="3"/>
  <c r="N922" i="3"/>
  <c r="M922" i="3"/>
  <c r="C922" i="3"/>
  <c r="H922" i="3"/>
  <c r="F922" i="3"/>
  <c r="B922" i="3"/>
  <c r="D921" i="3"/>
  <c r="E921" i="3"/>
  <c r="G921" i="3"/>
  <c r="I921" i="3"/>
  <c r="J921" i="3"/>
  <c r="L921" i="3"/>
  <c r="N921" i="3"/>
  <c r="M921" i="3"/>
  <c r="C921" i="3"/>
  <c r="H921" i="3"/>
  <c r="F921" i="3"/>
  <c r="B921" i="3"/>
  <c r="D920" i="3"/>
  <c r="E920" i="3"/>
  <c r="G920" i="3"/>
  <c r="I920" i="3"/>
  <c r="J920" i="3"/>
  <c r="L920" i="3"/>
  <c r="N920" i="3"/>
  <c r="M920" i="3"/>
  <c r="C920" i="3"/>
  <c r="H920" i="3"/>
  <c r="F920" i="3"/>
  <c r="B920" i="3"/>
  <c r="D919" i="3"/>
  <c r="E919" i="3"/>
  <c r="G919" i="3"/>
  <c r="I919" i="3"/>
  <c r="J919" i="3"/>
  <c r="L919" i="3"/>
  <c r="N919" i="3"/>
  <c r="M919" i="3"/>
  <c r="C919" i="3"/>
  <c r="H919" i="3"/>
  <c r="F919" i="3"/>
  <c r="B919" i="3"/>
  <c r="D918" i="3"/>
  <c r="E918" i="3"/>
  <c r="G918" i="3"/>
  <c r="I918" i="3"/>
  <c r="J918" i="3"/>
  <c r="L918" i="3"/>
  <c r="N918" i="3"/>
  <c r="M918" i="3"/>
  <c r="C918" i="3"/>
  <c r="H918" i="3"/>
  <c r="F918" i="3"/>
  <c r="B918" i="3"/>
  <c r="D917" i="3"/>
  <c r="E917" i="3"/>
  <c r="G917" i="3"/>
  <c r="I917" i="3"/>
  <c r="J917" i="3"/>
  <c r="L917" i="3"/>
  <c r="N917" i="3"/>
  <c r="M917" i="3"/>
  <c r="C917" i="3"/>
  <c r="H917" i="3"/>
  <c r="F917" i="3"/>
  <c r="B917" i="3"/>
  <c r="D916" i="3"/>
  <c r="E916" i="3"/>
  <c r="G916" i="3"/>
  <c r="I916" i="3"/>
  <c r="J916" i="3"/>
  <c r="L916" i="3"/>
  <c r="N916" i="3"/>
  <c r="M916" i="3"/>
  <c r="C916" i="3"/>
  <c r="H916" i="3"/>
  <c r="F916" i="3"/>
  <c r="B916" i="3"/>
  <c r="D915" i="3"/>
  <c r="E915" i="3"/>
  <c r="G915" i="3"/>
  <c r="I915" i="3"/>
  <c r="J915" i="3"/>
  <c r="L915" i="3"/>
  <c r="N915" i="3"/>
  <c r="M915" i="3"/>
  <c r="C915" i="3"/>
  <c r="H915" i="3"/>
  <c r="F915" i="3"/>
  <c r="B915" i="3"/>
  <c r="D914" i="3"/>
  <c r="E914" i="3"/>
  <c r="G914" i="3"/>
  <c r="I914" i="3"/>
  <c r="J914" i="3"/>
  <c r="L914" i="3"/>
  <c r="N914" i="3"/>
  <c r="M914" i="3"/>
  <c r="C914" i="3"/>
  <c r="H914" i="3"/>
  <c r="F914" i="3"/>
  <c r="B914" i="3"/>
  <c r="D913" i="3"/>
  <c r="E913" i="3"/>
  <c r="G913" i="3"/>
  <c r="I913" i="3"/>
  <c r="J913" i="3"/>
  <c r="L913" i="3"/>
  <c r="N913" i="3"/>
  <c r="M913" i="3"/>
  <c r="C913" i="3"/>
  <c r="H913" i="3"/>
  <c r="F913" i="3"/>
  <c r="B913" i="3"/>
  <c r="D912" i="3"/>
  <c r="E912" i="3"/>
  <c r="G912" i="3"/>
  <c r="I912" i="3"/>
  <c r="J912" i="3"/>
  <c r="L912" i="3"/>
  <c r="N912" i="3"/>
  <c r="M912" i="3"/>
  <c r="C912" i="3"/>
  <c r="H912" i="3"/>
  <c r="F912" i="3"/>
  <c r="B912" i="3"/>
  <c r="D911" i="3"/>
  <c r="E911" i="3"/>
  <c r="G911" i="3"/>
  <c r="I911" i="3"/>
  <c r="J911" i="3"/>
  <c r="L911" i="3"/>
  <c r="N911" i="3"/>
  <c r="M911" i="3"/>
  <c r="C911" i="3"/>
  <c r="H911" i="3"/>
  <c r="F911" i="3"/>
  <c r="B911" i="3"/>
  <c r="D910" i="3"/>
  <c r="E910" i="3"/>
  <c r="G910" i="3"/>
  <c r="I910" i="3"/>
  <c r="J910" i="3"/>
  <c r="L910" i="3"/>
  <c r="N910" i="3"/>
  <c r="M910" i="3"/>
  <c r="C910" i="3"/>
  <c r="H910" i="3"/>
  <c r="F910" i="3"/>
  <c r="B910" i="3"/>
  <c r="D909" i="3"/>
  <c r="E909" i="3"/>
  <c r="G909" i="3"/>
  <c r="I909" i="3"/>
  <c r="J909" i="3"/>
  <c r="L909" i="3"/>
  <c r="N909" i="3"/>
  <c r="M909" i="3"/>
  <c r="C909" i="3"/>
  <c r="H909" i="3"/>
  <c r="F909" i="3"/>
  <c r="B909" i="3"/>
  <c r="D908" i="3"/>
  <c r="E908" i="3"/>
  <c r="G908" i="3"/>
  <c r="I908" i="3"/>
  <c r="J908" i="3"/>
  <c r="L908" i="3"/>
  <c r="N908" i="3"/>
  <c r="M908" i="3"/>
  <c r="C908" i="3"/>
  <c r="H908" i="3"/>
  <c r="F908" i="3"/>
  <c r="B908" i="3"/>
  <c r="D907" i="3"/>
  <c r="E907" i="3"/>
  <c r="G907" i="3"/>
  <c r="I907" i="3"/>
  <c r="J907" i="3"/>
  <c r="L907" i="3"/>
  <c r="N907" i="3"/>
  <c r="M907" i="3"/>
  <c r="C907" i="3"/>
  <c r="H907" i="3"/>
  <c r="F907" i="3"/>
  <c r="B907" i="3"/>
  <c r="D906" i="3"/>
  <c r="E906" i="3"/>
  <c r="G906" i="3"/>
  <c r="I906" i="3"/>
  <c r="J906" i="3"/>
  <c r="L906" i="3"/>
  <c r="N906" i="3"/>
  <c r="M906" i="3"/>
  <c r="C906" i="3"/>
  <c r="H906" i="3"/>
  <c r="F906" i="3"/>
  <c r="B906" i="3"/>
  <c r="D905" i="3"/>
  <c r="E905" i="3"/>
  <c r="G905" i="3"/>
  <c r="I905" i="3"/>
  <c r="J905" i="3"/>
  <c r="L905" i="3"/>
  <c r="N905" i="3"/>
  <c r="M905" i="3"/>
  <c r="C905" i="3"/>
  <c r="H905" i="3"/>
  <c r="F905" i="3"/>
  <c r="B905" i="3"/>
  <c r="D904" i="3"/>
  <c r="E904" i="3"/>
  <c r="G904" i="3"/>
  <c r="I904" i="3"/>
  <c r="J904" i="3"/>
  <c r="L904" i="3"/>
  <c r="N904" i="3"/>
  <c r="M904" i="3"/>
  <c r="C904" i="3"/>
  <c r="H904" i="3"/>
  <c r="F904" i="3"/>
  <c r="B904" i="3"/>
  <c r="D903" i="3"/>
  <c r="E903" i="3"/>
  <c r="G903" i="3"/>
  <c r="I903" i="3"/>
  <c r="J903" i="3"/>
  <c r="L903" i="3"/>
  <c r="N903" i="3"/>
  <c r="M903" i="3"/>
  <c r="C903" i="3"/>
  <c r="H903" i="3"/>
  <c r="F903" i="3"/>
  <c r="B903" i="3"/>
  <c r="D902" i="3"/>
  <c r="E902" i="3"/>
  <c r="G902" i="3"/>
  <c r="I902" i="3"/>
  <c r="J902" i="3"/>
  <c r="L902" i="3"/>
  <c r="N902" i="3"/>
  <c r="M902" i="3"/>
  <c r="C902" i="3"/>
  <c r="H902" i="3"/>
  <c r="F902" i="3"/>
  <c r="B902" i="3"/>
  <c r="D901" i="3"/>
  <c r="E901" i="3"/>
  <c r="G901" i="3"/>
  <c r="I901" i="3"/>
  <c r="J901" i="3"/>
  <c r="L901" i="3"/>
  <c r="N901" i="3"/>
  <c r="M901" i="3"/>
  <c r="C901" i="3"/>
  <c r="H901" i="3"/>
  <c r="F901" i="3"/>
  <c r="B901" i="3"/>
  <c r="D900" i="3"/>
  <c r="E900" i="3"/>
  <c r="G900" i="3"/>
  <c r="I900" i="3"/>
  <c r="J900" i="3"/>
  <c r="L900" i="3"/>
  <c r="N900" i="3"/>
  <c r="M900" i="3"/>
  <c r="C900" i="3"/>
  <c r="H900" i="3"/>
  <c r="F900" i="3"/>
  <c r="B900" i="3"/>
  <c r="D899" i="3"/>
  <c r="E899" i="3"/>
  <c r="G899" i="3"/>
  <c r="I899" i="3"/>
  <c r="J899" i="3"/>
  <c r="L899" i="3"/>
  <c r="N899" i="3"/>
  <c r="M899" i="3"/>
  <c r="C899" i="3"/>
  <c r="H899" i="3"/>
  <c r="F899" i="3"/>
  <c r="B899" i="3"/>
  <c r="D898" i="3"/>
  <c r="E898" i="3"/>
  <c r="G898" i="3"/>
  <c r="I898" i="3"/>
  <c r="J898" i="3"/>
  <c r="L898" i="3"/>
  <c r="N898" i="3"/>
  <c r="M898" i="3"/>
  <c r="C898" i="3"/>
  <c r="H898" i="3"/>
  <c r="F898" i="3"/>
  <c r="B898" i="3"/>
  <c r="D897" i="3"/>
  <c r="E897" i="3"/>
  <c r="G897" i="3"/>
  <c r="I897" i="3"/>
  <c r="J897" i="3"/>
  <c r="L897" i="3"/>
  <c r="N897" i="3"/>
  <c r="M897" i="3"/>
  <c r="C897" i="3"/>
  <c r="H897" i="3"/>
  <c r="F897" i="3"/>
  <c r="B897" i="3"/>
  <c r="D896" i="3"/>
  <c r="E896" i="3"/>
  <c r="G896" i="3"/>
  <c r="I896" i="3"/>
  <c r="J896" i="3"/>
  <c r="L896" i="3"/>
  <c r="N896" i="3"/>
  <c r="M896" i="3"/>
  <c r="C896" i="3"/>
  <c r="H896" i="3"/>
  <c r="F896" i="3"/>
  <c r="B896" i="3"/>
  <c r="D895" i="3"/>
  <c r="E895" i="3"/>
  <c r="G895" i="3"/>
  <c r="I895" i="3"/>
  <c r="J895" i="3"/>
  <c r="L895" i="3"/>
  <c r="N895" i="3"/>
  <c r="M895" i="3"/>
  <c r="C895" i="3"/>
  <c r="H895" i="3"/>
  <c r="F895" i="3"/>
  <c r="B895" i="3"/>
  <c r="D894" i="3"/>
  <c r="E894" i="3"/>
  <c r="G894" i="3"/>
  <c r="I894" i="3"/>
  <c r="J894" i="3"/>
  <c r="L894" i="3"/>
  <c r="N894" i="3"/>
  <c r="M894" i="3"/>
  <c r="C894" i="3"/>
  <c r="H894" i="3"/>
  <c r="F894" i="3"/>
  <c r="B894" i="3"/>
  <c r="D893" i="3"/>
  <c r="E893" i="3"/>
  <c r="G893" i="3"/>
  <c r="I893" i="3"/>
  <c r="J893" i="3"/>
  <c r="L893" i="3"/>
  <c r="N893" i="3"/>
  <c r="M893" i="3"/>
  <c r="C893" i="3"/>
  <c r="H893" i="3"/>
  <c r="F893" i="3"/>
  <c r="B893" i="3"/>
  <c r="D892" i="3"/>
  <c r="E892" i="3"/>
  <c r="G892" i="3"/>
  <c r="I892" i="3"/>
  <c r="J892" i="3"/>
  <c r="L892" i="3"/>
  <c r="N892" i="3"/>
  <c r="M892" i="3"/>
  <c r="C892" i="3"/>
  <c r="H892" i="3"/>
  <c r="F892" i="3"/>
  <c r="B892" i="3"/>
  <c r="D891" i="3"/>
  <c r="E891" i="3"/>
  <c r="G891" i="3"/>
  <c r="I891" i="3"/>
  <c r="J891" i="3"/>
  <c r="L891" i="3"/>
  <c r="N891" i="3"/>
  <c r="M891" i="3"/>
  <c r="C891" i="3"/>
  <c r="H891" i="3"/>
  <c r="F891" i="3"/>
  <c r="B891" i="3"/>
  <c r="D890" i="3"/>
  <c r="E890" i="3"/>
  <c r="G890" i="3"/>
  <c r="I890" i="3"/>
  <c r="J890" i="3"/>
  <c r="L890" i="3"/>
  <c r="N890" i="3"/>
  <c r="M890" i="3"/>
  <c r="C890" i="3"/>
  <c r="H890" i="3"/>
  <c r="F890" i="3"/>
  <c r="B890" i="3"/>
  <c r="D889" i="3"/>
  <c r="E889" i="3"/>
  <c r="G889" i="3"/>
  <c r="I889" i="3"/>
  <c r="J889" i="3"/>
  <c r="L889" i="3"/>
  <c r="N889" i="3"/>
  <c r="M889" i="3"/>
  <c r="C889" i="3"/>
  <c r="H889" i="3"/>
  <c r="F889" i="3"/>
  <c r="B889" i="3"/>
  <c r="D888" i="3"/>
  <c r="E888" i="3"/>
  <c r="G888" i="3"/>
  <c r="I888" i="3"/>
  <c r="J888" i="3"/>
  <c r="L888" i="3"/>
  <c r="N888" i="3"/>
  <c r="M888" i="3"/>
  <c r="C888" i="3"/>
  <c r="H888" i="3"/>
  <c r="F888" i="3"/>
  <c r="B888" i="3"/>
  <c r="D887" i="3"/>
  <c r="E887" i="3"/>
  <c r="G887" i="3"/>
  <c r="I887" i="3"/>
  <c r="J887" i="3"/>
  <c r="L887" i="3"/>
  <c r="N887" i="3"/>
  <c r="M887" i="3"/>
  <c r="C887" i="3"/>
  <c r="H887" i="3"/>
  <c r="F887" i="3"/>
  <c r="B887" i="3"/>
  <c r="D886" i="3"/>
  <c r="E886" i="3"/>
  <c r="G886" i="3"/>
  <c r="I886" i="3"/>
  <c r="J886" i="3"/>
  <c r="L886" i="3"/>
  <c r="N886" i="3"/>
  <c r="M886" i="3"/>
  <c r="C886" i="3"/>
  <c r="H886" i="3"/>
  <c r="F886" i="3"/>
  <c r="B886" i="3"/>
  <c r="D885" i="3"/>
  <c r="E885" i="3"/>
  <c r="G885" i="3"/>
  <c r="I885" i="3"/>
  <c r="J885" i="3"/>
  <c r="L885" i="3"/>
  <c r="N885" i="3"/>
  <c r="M885" i="3"/>
  <c r="C885" i="3"/>
  <c r="H885" i="3"/>
  <c r="F885" i="3"/>
  <c r="B885" i="3"/>
  <c r="D884" i="3"/>
  <c r="E884" i="3"/>
  <c r="G884" i="3"/>
  <c r="I884" i="3"/>
  <c r="J884" i="3"/>
  <c r="L884" i="3"/>
  <c r="N884" i="3"/>
  <c r="M884" i="3"/>
  <c r="C884" i="3"/>
  <c r="H884" i="3"/>
  <c r="F884" i="3"/>
  <c r="B884" i="3"/>
  <c r="D883" i="3"/>
  <c r="E883" i="3"/>
  <c r="G883" i="3"/>
  <c r="I883" i="3"/>
  <c r="J883" i="3"/>
  <c r="L883" i="3"/>
  <c r="N883" i="3"/>
  <c r="M883" i="3"/>
  <c r="C883" i="3"/>
  <c r="H883" i="3"/>
  <c r="F883" i="3"/>
  <c r="B883" i="3"/>
  <c r="D882" i="3"/>
  <c r="E882" i="3"/>
  <c r="G882" i="3"/>
  <c r="I882" i="3"/>
  <c r="J882" i="3"/>
  <c r="L882" i="3"/>
  <c r="N882" i="3"/>
  <c r="M882" i="3"/>
  <c r="C882" i="3"/>
  <c r="H882" i="3"/>
  <c r="F882" i="3"/>
  <c r="B882" i="3"/>
  <c r="D881" i="3"/>
  <c r="E881" i="3"/>
  <c r="G881" i="3"/>
  <c r="I881" i="3"/>
  <c r="J881" i="3"/>
  <c r="L881" i="3"/>
  <c r="N881" i="3"/>
  <c r="M881" i="3"/>
  <c r="C881" i="3"/>
  <c r="H881" i="3"/>
  <c r="F881" i="3"/>
  <c r="B881" i="3"/>
  <c r="D880" i="3"/>
  <c r="E880" i="3"/>
  <c r="G880" i="3"/>
  <c r="I880" i="3"/>
  <c r="J880" i="3"/>
  <c r="L880" i="3"/>
  <c r="N880" i="3"/>
  <c r="M880" i="3"/>
  <c r="C880" i="3"/>
  <c r="H880" i="3"/>
  <c r="F880" i="3"/>
  <c r="B880" i="3"/>
  <c r="D879" i="3"/>
  <c r="E879" i="3"/>
  <c r="G879" i="3"/>
  <c r="I879" i="3"/>
  <c r="J879" i="3"/>
  <c r="L879" i="3"/>
  <c r="N879" i="3"/>
  <c r="M879" i="3"/>
  <c r="C879" i="3"/>
  <c r="H879" i="3"/>
  <c r="F879" i="3"/>
  <c r="B879" i="3"/>
  <c r="D878" i="3"/>
  <c r="E878" i="3"/>
  <c r="G878" i="3"/>
  <c r="I878" i="3"/>
  <c r="J878" i="3"/>
  <c r="L878" i="3"/>
  <c r="N878" i="3"/>
  <c r="M878" i="3"/>
  <c r="C878" i="3"/>
  <c r="H878" i="3"/>
  <c r="F878" i="3"/>
  <c r="B878" i="3"/>
  <c r="D877" i="3"/>
  <c r="E877" i="3"/>
  <c r="G877" i="3"/>
  <c r="I877" i="3"/>
  <c r="J877" i="3"/>
  <c r="L877" i="3"/>
  <c r="N877" i="3"/>
  <c r="M877" i="3"/>
  <c r="C877" i="3"/>
  <c r="H877" i="3"/>
  <c r="F877" i="3"/>
  <c r="B877" i="3"/>
  <c r="D876" i="3"/>
  <c r="E876" i="3"/>
  <c r="G876" i="3"/>
  <c r="I876" i="3"/>
  <c r="J876" i="3"/>
  <c r="L876" i="3"/>
  <c r="N876" i="3"/>
  <c r="M876" i="3"/>
  <c r="C876" i="3"/>
  <c r="H876" i="3"/>
  <c r="F876" i="3"/>
  <c r="B876" i="3"/>
  <c r="D875" i="3"/>
  <c r="E875" i="3"/>
  <c r="G875" i="3"/>
  <c r="I875" i="3"/>
  <c r="J875" i="3"/>
  <c r="L875" i="3"/>
  <c r="N875" i="3"/>
  <c r="M875" i="3"/>
  <c r="C875" i="3"/>
  <c r="H875" i="3"/>
  <c r="F875" i="3"/>
  <c r="B875" i="3"/>
  <c r="D874" i="3"/>
  <c r="E874" i="3"/>
  <c r="G874" i="3"/>
  <c r="I874" i="3"/>
  <c r="J874" i="3"/>
  <c r="L874" i="3"/>
  <c r="N874" i="3"/>
  <c r="M874" i="3"/>
  <c r="C874" i="3"/>
  <c r="H874" i="3"/>
  <c r="F874" i="3"/>
  <c r="B874" i="3"/>
  <c r="D873" i="3"/>
  <c r="E873" i="3"/>
  <c r="G873" i="3"/>
  <c r="I873" i="3"/>
  <c r="J873" i="3"/>
  <c r="L873" i="3"/>
  <c r="N873" i="3"/>
  <c r="M873" i="3"/>
  <c r="C873" i="3"/>
  <c r="H873" i="3"/>
  <c r="F873" i="3"/>
  <c r="B873" i="3"/>
  <c r="D872" i="3"/>
  <c r="E872" i="3"/>
  <c r="G872" i="3"/>
  <c r="I872" i="3"/>
  <c r="J872" i="3"/>
  <c r="L872" i="3"/>
  <c r="N872" i="3"/>
  <c r="M872" i="3"/>
  <c r="C872" i="3"/>
  <c r="H872" i="3"/>
  <c r="F872" i="3"/>
  <c r="B872" i="3"/>
  <c r="D871" i="3"/>
  <c r="E871" i="3"/>
  <c r="G871" i="3"/>
  <c r="I871" i="3"/>
  <c r="J871" i="3"/>
  <c r="L871" i="3"/>
  <c r="N871" i="3"/>
  <c r="M871" i="3"/>
  <c r="C871" i="3"/>
  <c r="H871" i="3"/>
  <c r="F871" i="3"/>
  <c r="B871" i="3"/>
  <c r="D870" i="3"/>
  <c r="E870" i="3"/>
  <c r="G870" i="3"/>
  <c r="I870" i="3"/>
  <c r="J870" i="3"/>
  <c r="L870" i="3"/>
  <c r="N870" i="3"/>
  <c r="M870" i="3"/>
  <c r="C870" i="3"/>
  <c r="H870" i="3"/>
  <c r="F870" i="3"/>
  <c r="B870" i="3"/>
  <c r="D869" i="3"/>
  <c r="E869" i="3"/>
  <c r="G869" i="3"/>
  <c r="I869" i="3"/>
  <c r="J869" i="3"/>
  <c r="L869" i="3"/>
  <c r="N869" i="3"/>
  <c r="M869" i="3"/>
  <c r="C869" i="3"/>
  <c r="H869" i="3"/>
  <c r="F869" i="3"/>
  <c r="B869" i="3"/>
  <c r="D868" i="3"/>
  <c r="E868" i="3"/>
  <c r="G868" i="3"/>
  <c r="I868" i="3"/>
  <c r="J868" i="3"/>
  <c r="L868" i="3"/>
  <c r="N868" i="3"/>
  <c r="M868" i="3"/>
  <c r="C868" i="3"/>
  <c r="H868" i="3"/>
  <c r="F868" i="3"/>
  <c r="B868" i="3"/>
  <c r="D867" i="3"/>
  <c r="E867" i="3"/>
  <c r="G867" i="3"/>
  <c r="I867" i="3"/>
  <c r="J867" i="3"/>
  <c r="L867" i="3"/>
  <c r="N867" i="3"/>
  <c r="M867" i="3"/>
  <c r="C867" i="3"/>
  <c r="H867" i="3"/>
  <c r="F867" i="3"/>
  <c r="B867" i="3"/>
  <c r="D866" i="3"/>
  <c r="E866" i="3"/>
  <c r="G866" i="3"/>
  <c r="I866" i="3"/>
  <c r="J866" i="3"/>
  <c r="L866" i="3"/>
  <c r="N866" i="3"/>
  <c r="M866" i="3"/>
  <c r="C866" i="3"/>
  <c r="H866" i="3"/>
  <c r="F866" i="3"/>
  <c r="B866" i="3"/>
  <c r="D865" i="3"/>
  <c r="E865" i="3"/>
  <c r="G865" i="3"/>
  <c r="I865" i="3"/>
  <c r="J865" i="3"/>
  <c r="L865" i="3"/>
  <c r="N865" i="3"/>
  <c r="M865" i="3"/>
  <c r="C865" i="3"/>
  <c r="H865" i="3"/>
  <c r="F865" i="3"/>
  <c r="B865" i="3"/>
  <c r="D864" i="3"/>
  <c r="E864" i="3"/>
  <c r="G864" i="3"/>
  <c r="I864" i="3"/>
  <c r="J864" i="3"/>
  <c r="L864" i="3"/>
  <c r="N864" i="3"/>
  <c r="M864" i="3"/>
  <c r="C864" i="3"/>
  <c r="H864" i="3"/>
  <c r="F864" i="3"/>
  <c r="B864" i="3"/>
  <c r="D863" i="3"/>
  <c r="E863" i="3"/>
  <c r="G863" i="3"/>
  <c r="I863" i="3"/>
  <c r="J863" i="3"/>
  <c r="L863" i="3"/>
  <c r="N863" i="3"/>
  <c r="M863" i="3"/>
  <c r="C863" i="3"/>
  <c r="H863" i="3"/>
  <c r="F863" i="3"/>
  <c r="B863" i="3"/>
  <c r="D862" i="3"/>
  <c r="E862" i="3"/>
  <c r="G862" i="3"/>
  <c r="I862" i="3"/>
  <c r="J862" i="3"/>
  <c r="L862" i="3"/>
  <c r="N862" i="3"/>
  <c r="M862" i="3"/>
  <c r="C862" i="3"/>
  <c r="H862" i="3"/>
  <c r="F862" i="3"/>
  <c r="B862" i="3"/>
  <c r="D861" i="3"/>
  <c r="E861" i="3"/>
  <c r="G861" i="3"/>
  <c r="I861" i="3"/>
  <c r="J861" i="3"/>
  <c r="L861" i="3"/>
  <c r="N861" i="3"/>
  <c r="M861" i="3"/>
  <c r="C861" i="3"/>
  <c r="H861" i="3"/>
  <c r="F861" i="3"/>
  <c r="B861" i="3"/>
  <c r="D860" i="3"/>
  <c r="E860" i="3"/>
  <c r="G860" i="3"/>
  <c r="I860" i="3"/>
  <c r="J860" i="3"/>
  <c r="L860" i="3"/>
  <c r="N860" i="3"/>
  <c r="M860" i="3"/>
  <c r="C860" i="3"/>
  <c r="H860" i="3"/>
  <c r="F860" i="3"/>
  <c r="B860" i="3"/>
  <c r="D859" i="3"/>
  <c r="E859" i="3"/>
  <c r="G859" i="3"/>
  <c r="I859" i="3"/>
  <c r="J859" i="3"/>
  <c r="L859" i="3"/>
  <c r="N859" i="3"/>
  <c r="M859" i="3"/>
  <c r="C859" i="3"/>
  <c r="H859" i="3"/>
  <c r="F859" i="3"/>
  <c r="B859" i="3"/>
  <c r="D858" i="3"/>
  <c r="E858" i="3"/>
  <c r="G858" i="3"/>
  <c r="I858" i="3"/>
  <c r="J858" i="3"/>
  <c r="L858" i="3"/>
  <c r="N858" i="3"/>
  <c r="M858" i="3"/>
  <c r="C858" i="3"/>
  <c r="H858" i="3"/>
  <c r="F858" i="3"/>
  <c r="B858" i="3"/>
  <c r="D857" i="3"/>
  <c r="E857" i="3"/>
  <c r="G857" i="3"/>
  <c r="I857" i="3"/>
  <c r="J857" i="3"/>
  <c r="L857" i="3"/>
  <c r="N857" i="3"/>
  <c r="M857" i="3"/>
  <c r="C857" i="3"/>
  <c r="H857" i="3"/>
  <c r="F857" i="3"/>
  <c r="B857" i="3"/>
  <c r="D856" i="3"/>
  <c r="E856" i="3"/>
  <c r="G856" i="3"/>
  <c r="I856" i="3"/>
  <c r="J856" i="3"/>
  <c r="L856" i="3"/>
  <c r="N856" i="3"/>
  <c r="M856" i="3"/>
  <c r="C856" i="3"/>
  <c r="H856" i="3"/>
  <c r="F856" i="3"/>
  <c r="B856" i="3"/>
  <c r="D855" i="3"/>
  <c r="E855" i="3"/>
  <c r="G855" i="3"/>
  <c r="I855" i="3"/>
  <c r="J855" i="3"/>
  <c r="L855" i="3"/>
  <c r="N855" i="3"/>
  <c r="M855" i="3"/>
  <c r="C855" i="3"/>
  <c r="H855" i="3"/>
  <c r="F855" i="3"/>
  <c r="B855" i="3"/>
  <c r="D854" i="3"/>
  <c r="E854" i="3"/>
  <c r="G854" i="3"/>
  <c r="I854" i="3"/>
  <c r="J854" i="3"/>
  <c r="L854" i="3"/>
  <c r="N854" i="3"/>
  <c r="M854" i="3"/>
  <c r="C854" i="3"/>
  <c r="H854" i="3"/>
  <c r="F854" i="3"/>
  <c r="B854" i="3"/>
  <c r="D853" i="3"/>
  <c r="E853" i="3"/>
  <c r="G853" i="3"/>
  <c r="I853" i="3"/>
  <c r="J853" i="3"/>
  <c r="L853" i="3"/>
  <c r="N853" i="3"/>
  <c r="M853" i="3"/>
  <c r="C853" i="3"/>
  <c r="H853" i="3"/>
  <c r="F853" i="3"/>
  <c r="B853" i="3"/>
  <c r="D852" i="3"/>
  <c r="E852" i="3"/>
  <c r="G852" i="3"/>
  <c r="I852" i="3"/>
  <c r="J852" i="3"/>
  <c r="L852" i="3"/>
  <c r="N852" i="3"/>
  <c r="M852" i="3"/>
  <c r="C852" i="3"/>
  <c r="H852" i="3"/>
  <c r="F852" i="3"/>
  <c r="B852" i="3"/>
  <c r="D851" i="3"/>
  <c r="E851" i="3"/>
  <c r="G851" i="3"/>
  <c r="I851" i="3"/>
  <c r="J851" i="3"/>
  <c r="L851" i="3"/>
  <c r="N851" i="3"/>
  <c r="M851" i="3"/>
  <c r="C851" i="3"/>
  <c r="H851" i="3"/>
  <c r="F851" i="3"/>
  <c r="B851" i="3"/>
  <c r="D850" i="3"/>
  <c r="E850" i="3"/>
  <c r="G850" i="3"/>
  <c r="I850" i="3"/>
  <c r="J850" i="3"/>
  <c r="L850" i="3"/>
  <c r="N850" i="3"/>
  <c r="M850" i="3"/>
  <c r="C850" i="3"/>
  <c r="H850" i="3"/>
  <c r="F850" i="3"/>
  <c r="B850" i="3"/>
  <c r="D849" i="3"/>
  <c r="E849" i="3"/>
  <c r="G849" i="3"/>
  <c r="I849" i="3"/>
  <c r="J849" i="3"/>
  <c r="L849" i="3"/>
  <c r="N849" i="3"/>
  <c r="M849" i="3"/>
  <c r="C849" i="3"/>
  <c r="H849" i="3"/>
  <c r="F849" i="3"/>
  <c r="B849" i="3"/>
  <c r="D848" i="3"/>
  <c r="E848" i="3"/>
  <c r="G848" i="3"/>
  <c r="I848" i="3"/>
  <c r="J848" i="3"/>
  <c r="L848" i="3"/>
  <c r="N848" i="3"/>
  <c r="M848" i="3"/>
  <c r="C848" i="3"/>
  <c r="H848" i="3"/>
  <c r="F848" i="3"/>
  <c r="B848" i="3"/>
  <c r="D847" i="3"/>
  <c r="E847" i="3"/>
  <c r="G847" i="3"/>
  <c r="I847" i="3"/>
  <c r="J847" i="3"/>
  <c r="L847" i="3"/>
  <c r="N847" i="3"/>
  <c r="M847" i="3"/>
  <c r="C847" i="3"/>
  <c r="H847" i="3"/>
  <c r="F847" i="3"/>
  <c r="B847" i="3"/>
  <c r="D846" i="3"/>
  <c r="E846" i="3"/>
  <c r="G846" i="3"/>
  <c r="I846" i="3"/>
  <c r="J846" i="3"/>
  <c r="L846" i="3"/>
  <c r="N846" i="3"/>
  <c r="M846" i="3"/>
  <c r="C846" i="3"/>
  <c r="H846" i="3"/>
  <c r="F846" i="3"/>
  <c r="B846" i="3"/>
  <c r="D845" i="3"/>
  <c r="E845" i="3"/>
  <c r="G845" i="3"/>
  <c r="I845" i="3"/>
  <c r="J845" i="3"/>
  <c r="L845" i="3"/>
  <c r="N845" i="3"/>
  <c r="M845" i="3"/>
  <c r="C845" i="3"/>
  <c r="H845" i="3"/>
  <c r="F845" i="3"/>
  <c r="B845" i="3"/>
  <c r="D844" i="3"/>
  <c r="E844" i="3"/>
  <c r="G844" i="3"/>
  <c r="I844" i="3"/>
  <c r="J844" i="3"/>
  <c r="L844" i="3"/>
  <c r="N844" i="3"/>
  <c r="M844" i="3"/>
  <c r="C844" i="3"/>
  <c r="H844" i="3"/>
  <c r="F844" i="3"/>
  <c r="B844" i="3"/>
  <c r="D843" i="3"/>
  <c r="E843" i="3"/>
  <c r="G843" i="3"/>
  <c r="I843" i="3"/>
  <c r="J843" i="3"/>
  <c r="L843" i="3"/>
  <c r="N843" i="3"/>
  <c r="M843" i="3"/>
  <c r="C843" i="3"/>
  <c r="H843" i="3"/>
  <c r="F843" i="3"/>
  <c r="B843" i="3"/>
  <c r="D842" i="3"/>
  <c r="E842" i="3"/>
  <c r="G842" i="3"/>
  <c r="I842" i="3"/>
  <c r="J842" i="3"/>
  <c r="L842" i="3"/>
  <c r="N842" i="3"/>
  <c r="M842" i="3"/>
  <c r="C842" i="3"/>
  <c r="H842" i="3"/>
  <c r="F842" i="3"/>
  <c r="B842" i="3"/>
  <c r="D841" i="3"/>
  <c r="E841" i="3"/>
  <c r="G841" i="3"/>
  <c r="I841" i="3"/>
  <c r="J841" i="3"/>
  <c r="L841" i="3"/>
  <c r="N841" i="3"/>
  <c r="M841" i="3"/>
  <c r="C841" i="3"/>
  <c r="H841" i="3"/>
  <c r="F841" i="3"/>
  <c r="B841" i="3"/>
  <c r="D840" i="3"/>
  <c r="E840" i="3"/>
  <c r="G840" i="3"/>
  <c r="I840" i="3"/>
  <c r="J840" i="3"/>
  <c r="L840" i="3"/>
  <c r="N840" i="3"/>
  <c r="M840" i="3"/>
  <c r="C840" i="3"/>
  <c r="H840" i="3"/>
  <c r="F840" i="3"/>
  <c r="B840" i="3"/>
  <c r="D839" i="3"/>
  <c r="E839" i="3"/>
  <c r="G839" i="3"/>
  <c r="I839" i="3"/>
  <c r="J839" i="3"/>
  <c r="L839" i="3"/>
  <c r="N839" i="3"/>
  <c r="M839" i="3"/>
  <c r="C839" i="3"/>
  <c r="H839" i="3"/>
  <c r="F839" i="3"/>
  <c r="B839" i="3"/>
  <c r="D838" i="3"/>
  <c r="E838" i="3"/>
  <c r="G838" i="3"/>
  <c r="I838" i="3"/>
  <c r="J838" i="3"/>
  <c r="L838" i="3"/>
  <c r="N838" i="3"/>
  <c r="M838" i="3"/>
  <c r="C838" i="3"/>
  <c r="H838" i="3"/>
  <c r="F838" i="3"/>
  <c r="B838" i="3"/>
  <c r="D837" i="3"/>
  <c r="E837" i="3"/>
  <c r="G837" i="3"/>
  <c r="I837" i="3"/>
  <c r="J837" i="3"/>
  <c r="L837" i="3"/>
  <c r="N837" i="3"/>
  <c r="M837" i="3"/>
  <c r="C837" i="3"/>
  <c r="H837" i="3"/>
  <c r="F837" i="3"/>
  <c r="B837" i="3"/>
  <c r="D836" i="3"/>
  <c r="E836" i="3"/>
  <c r="G836" i="3"/>
  <c r="I836" i="3"/>
  <c r="J836" i="3"/>
  <c r="L836" i="3"/>
  <c r="N836" i="3"/>
  <c r="M836" i="3"/>
  <c r="C836" i="3"/>
  <c r="H836" i="3"/>
  <c r="F836" i="3"/>
  <c r="B836" i="3"/>
  <c r="D835" i="3"/>
  <c r="E835" i="3"/>
  <c r="G835" i="3"/>
  <c r="I835" i="3"/>
  <c r="J835" i="3"/>
  <c r="L835" i="3"/>
  <c r="N835" i="3"/>
  <c r="M835" i="3"/>
  <c r="C835" i="3"/>
  <c r="H835" i="3"/>
  <c r="F835" i="3"/>
  <c r="B835" i="3"/>
  <c r="D834" i="3"/>
  <c r="E834" i="3"/>
  <c r="G834" i="3"/>
  <c r="I834" i="3"/>
  <c r="J834" i="3"/>
  <c r="L834" i="3"/>
  <c r="N834" i="3"/>
  <c r="M834" i="3"/>
  <c r="C834" i="3"/>
  <c r="H834" i="3"/>
  <c r="F834" i="3"/>
  <c r="B834" i="3"/>
  <c r="D833" i="3"/>
  <c r="E833" i="3"/>
  <c r="G833" i="3"/>
  <c r="I833" i="3"/>
  <c r="J833" i="3"/>
  <c r="L833" i="3"/>
  <c r="N833" i="3"/>
  <c r="M833" i="3"/>
  <c r="C833" i="3"/>
  <c r="H833" i="3"/>
  <c r="F833" i="3"/>
  <c r="B833" i="3"/>
  <c r="D832" i="3"/>
  <c r="E832" i="3"/>
  <c r="G832" i="3"/>
  <c r="I832" i="3"/>
  <c r="J832" i="3"/>
  <c r="L832" i="3"/>
  <c r="N832" i="3"/>
  <c r="M832" i="3"/>
  <c r="C832" i="3"/>
  <c r="H832" i="3"/>
  <c r="F832" i="3"/>
  <c r="B832" i="3"/>
  <c r="D831" i="3"/>
  <c r="E831" i="3"/>
  <c r="G831" i="3"/>
  <c r="I831" i="3"/>
  <c r="J831" i="3"/>
  <c r="L831" i="3"/>
  <c r="N831" i="3"/>
  <c r="M831" i="3"/>
  <c r="C831" i="3"/>
  <c r="H831" i="3"/>
  <c r="F831" i="3"/>
  <c r="B831" i="3"/>
  <c r="D830" i="3"/>
  <c r="E830" i="3"/>
  <c r="G830" i="3"/>
  <c r="I830" i="3"/>
  <c r="J830" i="3"/>
  <c r="L830" i="3"/>
  <c r="N830" i="3"/>
  <c r="M830" i="3"/>
  <c r="C830" i="3"/>
  <c r="H830" i="3"/>
  <c r="F830" i="3"/>
  <c r="B830" i="3"/>
  <c r="D829" i="3"/>
  <c r="E829" i="3"/>
  <c r="G829" i="3"/>
  <c r="I829" i="3"/>
  <c r="J829" i="3"/>
  <c r="L829" i="3"/>
  <c r="N829" i="3"/>
  <c r="M829" i="3"/>
  <c r="C829" i="3"/>
  <c r="H829" i="3"/>
  <c r="F829" i="3"/>
  <c r="B829" i="3"/>
  <c r="D828" i="3"/>
  <c r="E828" i="3"/>
  <c r="G828" i="3"/>
  <c r="I828" i="3"/>
  <c r="J828" i="3"/>
  <c r="L828" i="3"/>
  <c r="N828" i="3"/>
  <c r="M828" i="3"/>
  <c r="C828" i="3"/>
  <c r="H828" i="3"/>
  <c r="F828" i="3"/>
  <c r="B828" i="3"/>
  <c r="D827" i="3"/>
  <c r="E827" i="3"/>
  <c r="G827" i="3"/>
  <c r="I827" i="3"/>
  <c r="J827" i="3"/>
  <c r="L827" i="3"/>
  <c r="N827" i="3"/>
  <c r="M827" i="3"/>
  <c r="C827" i="3"/>
  <c r="H827" i="3"/>
  <c r="F827" i="3"/>
  <c r="B827" i="3"/>
  <c r="D826" i="3"/>
  <c r="E826" i="3"/>
  <c r="G826" i="3"/>
  <c r="I826" i="3"/>
  <c r="J826" i="3"/>
  <c r="L826" i="3"/>
  <c r="N826" i="3"/>
  <c r="M826" i="3"/>
  <c r="C826" i="3"/>
  <c r="H826" i="3"/>
  <c r="F826" i="3"/>
  <c r="B826" i="3"/>
  <c r="D825" i="3"/>
  <c r="E825" i="3"/>
  <c r="G825" i="3"/>
  <c r="I825" i="3"/>
  <c r="J825" i="3"/>
  <c r="L825" i="3"/>
  <c r="N825" i="3"/>
  <c r="M825" i="3"/>
  <c r="C825" i="3"/>
  <c r="H825" i="3"/>
  <c r="F825" i="3"/>
  <c r="B825" i="3"/>
  <c r="D824" i="3"/>
  <c r="E824" i="3"/>
  <c r="G824" i="3"/>
  <c r="I824" i="3"/>
  <c r="J824" i="3"/>
  <c r="L824" i="3"/>
  <c r="N824" i="3"/>
  <c r="M824" i="3"/>
  <c r="C824" i="3"/>
  <c r="H824" i="3"/>
  <c r="F824" i="3"/>
  <c r="B824" i="3"/>
  <c r="D823" i="3"/>
  <c r="E823" i="3"/>
  <c r="G823" i="3"/>
  <c r="I823" i="3"/>
  <c r="J823" i="3"/>
  <c r="L823" i="3"/>
  <c r="N823" i="3"/>
  <c r="M823" i="3"/>
  <c r="C823" i="3"/>
  <c r="H823" i="3"/>
  <c r="F823" i="3"/>
  <c r="B823" i="3"/>
  <c r="D822" i="3"/>
  <c r="E822" i="3"/>
  <c r="G822" i="3"/>
  <c r="I822" i="3"/>
  <c r="J822" i="3"/>
  <c r="L822" i="3"/>
  <c r="N822" i="3"/>
  <c r="M822" i="3"/>
  <c r="C822" i="3"/>
  <c r="H822" i="3"/>
  <c r="F822" i="3"/>
  <c r="B822" i="3"/>
  <c r="D821" i="3"/>
  <c r="E821" i="3"/>
  <c r="G821" i="3"/>
  <c r="I821" i="3"/>
  <c r="J821" i="3"/>
  <c r="L821" i="3"/>
  <c r="N821" i="3"/>
  <c r="M821" i="3"/>
  <c r="C821" i="3"/>
  <c r="H821" i="3"/>
  <c r="F821" i="3"/>
  <c r="B821" i="3"/>
  <c r="D820" i="3"/>
  <c r="E820" i="3"/>
  <c r="G820" i="3"/>
  <c r="I820" i="3"/>
  <c r="J820" i="3"/>
  <c r="L820" i="3"/>
  <c r="N820" i="3"/>
  <c r="M820" i="3"/>
  <c r="C820" i="3"/>
  <c r="H820" i="3"/>
  <c r="F820" i="3"/>
  <c r="B820" i="3"/>
  <c r="D819" i="3"/>
  <c r="E819" i="3"/>
  <c r="G819" i="3"/>
  <c r="I819" i="3"/>
  <c r="J819" i="3"/>
  <c r="L819" i="3"/>
  <c r="N819" i="3"/>
  <c r="M819" i="3"/>
  <c r="C819" i="3"/>
  <c r="H819" i="3"/>
  <c r="F819" i="3"/>
  <c r="B819" i="3"/>
  <c r="D818" i="3"/>
  <c r="E818" i="3"/>
  <c r="G818" i="3"/>
  <c r="I818" i="3"/>
  <c r="J818" i="3"/>
  <c r="L818" i="3"/>
  <c r="N818" i="3"/>
  <c r="M818" i="3"/>
  <c r="C818" i="3"/>
  <c r="H818" i="3"/>
  <c r="F818" i="3"/>
  <c r="B818" i="3"/>
  <c r="D817" i="3"/>
  <c r="E817" i="3"/>
  <c r="G817" i="3"/>
  <c r="I817" i="3"/>
  <c r="J817" i="3"/>
  <c r="L817" i="3"/>
  <c r="N817" i="3"/>
  <c r="M817" i="3"/>
  <c r="C817" i="3"/>
  <c r="H817" i="3"/>
  <c r="F817" i="3"/>
  <c r="B817" i="3"/>
  <c r="D816" i="3"/>
  <c r="E816" i="3"/>
  <c r="G816" i="3"/>
  <c r="I816" i="3"/>
  <c r="J816" i="3"/>
  <c r="L816" i="3"/>
  <c r="N816" i="3"/>
  <c r="M816" i="3"/>
  <c r="C816" i="3"/>
  <c r="H816" i="3"/>
  <c r="F816" i="3"/>
  <c r="B816" i="3"/>
  <c r="D815" i="3"/>
  <c r="E815" i="3"/>
  <c r="G815" i="3"/>
  <c r="I815" i="3"/>
  <c r="J815" i="3"/>
  <c r="L815" i="3"/>
  <c r="N815" i="3"/>
  <c r="M815" i="3"/>
  <c r="C815" i="3"/>
  <c r="H815" i="3"/>
  <c r="F815" i="3"/>
  <c r="B815" i="3"/>
  <c r="D814" i="3"/>
  <c r="E814" i="3"/>
  <c r="G814" i="3"/>
  <c r="I814" i="3"/>
  <c r="J814" i="3"/>
  <c r="L814" i="3"/>
  <c r="N814" i="3"/>
  <c r="M814" i="3"/>
  <c r="C814" i="3"/>
  <c r="H814" i="3"/>
  <c r="F814" i="3"/>
  <c r="B814" i="3"/>
  <c r="D813" i="3"/>
  <c r="E813" i="3"/>
  <c r="G813" i="3"/>
  <c r="I813" i="3"/>
  <c r="J813" i="3"/>
  <c r="L813" i="3"/>
  <c r="N813" i="3"/>
  <c r="M813" i="3"/>
  <c r="C813" i="3"/>
  <c r="H813" i="3"/>
  <c r="F813" i="3"/>
  <c r="B813" i="3"/>
  <c r="D812" i="3"/>
  <c r="E812" i="3"/>
  <c r="G812" i="3"/>
  <c r="I812" i="3"/>
  <c r="J812" i="3"/>
  <c r="L812" i="3"/>
  <c r="N812" i="3"/>
  <c r="M812" i="3"/>
  <c r="C812" i="3"/>
  <c r="H812" i="3"/>
  <c r="F812" i="3"/>
  <c r="B812" i="3"/>
  <c r="D811" i="3"/>
  <c r="E811" i="3"/>
  <c r="G811" i="3"/>
  <c r="I811" i="3"/>
  <c r="J811" i="3"/>
  <c r="L811" i="3"/>
  <c r="N811" i="3"/>
  <c r="M811" i="3"/>
  <c r="C811" i="3"/>
  <c r="H811" i="3"/>
  <c r="F811" i="3"/>
  <c r="B811" i="3"/>
  <c r="D810" i="3"/>
  <c r="E810" i="3"/>
  <c r="G810" i="3"/>
  <c r="I810" i="3"/>
  <c r="J810" i="3"/>
  <c r="L810" i="3"/>
  <c r="N810" i="3"/>
  <c r="M810" i="3"/>
  <c r="C810" i="3"/>
  <c r="H810" i="3"/>
  <c r="F810" i="3"/>
  <c r="B810" i="3"/>
  <c r="D809" i="3"/>
  <c r="E809" i="3"/>
  <c r="G809" i="3"/>
  <c r="I809" i="3"/>
  <c r="J809" i="3"/>
  <c r="L809" i="3"/>
  <c r="N809" i="3"/>
  <c r="M809" i="3"/>
  <c r="C809" i="3"/>
  <c r="H809" i="3"/>
  <c r="F809" i="3"/>
  <c r="B809" i="3"/>
  <c r="D808" i="3"/>
  <c r="E808" i="3"/>
  <c r="G808" i="3"/>
  <c r="I808" i="3"/>
  <c r="J808" i="3"/>
  <c r="L808" i="3"/>
  <c r="N808" i="3"/>
  <c r="M808" i="3"/>
  <c r="C808" i="3"/>
  <c r="H808" i="3"/>
  <c r="F808" i="3"/>
  <c r="B808" i="3"/>
  <c r="D807" i="3"/>
  <c r="E807" i="3"/>
  <c r="G807" i="3"/>
  <c r="I807" i="3"/>
  <c r="J807" i="3"/>
  <c r="L807" i="3"/>
  <c r="N807" i="3"/>
  <c r="M807" i="3"/>
  <c r="C807" i="3"/>
  <c r="H807" i="3"/>
  <c r="F807" i="3"/>
  <c r="B807" i="3"/>
  <c r="D806" i="3"/>
  <c r="E806" i="3"/>
  <c r="G806" i="3"/>
  <c r="I806" i="3"/>
  <c r="J806" i="3"/>
  <c r="L806" i="3"/>
  <c r="N806" i="3"/>
  <c r="M806" i="3"/>
  <c r="C806" i="3"/>
  <c r="H806" i="3"/>
  <c r="F806" i="3"/>
  <c r="B806" i="3"/>
  <c r="D805" i="3"/>
  <c r="E805" i="3"/>
  <c r="G805" i="3"/>
  <c r="I805" i="3"/>
  <c r="J805" i="3"/>
  <c r="L805" i="3"/>
  <c r="N805" i="3"/>
  <c r="M805" i="3"/>
  <c r="C805" i="3"/>
  <c r="H805" i="3"/>
  <c r="F805" i="3"/>
  <c r="B805" i="3"/>
  <c r="D804" i="3"/>
  <c r="E804" i="3"/>
  <c r="G804" i="3"/>
  <c r="I804" i="3"/>
  <c r="J804" i="3"/>
  <c r="L804" i="3"/>
  <c r="N804" i="3"/>
  <c r="M804" i="3"/>
  <c r="C804" i="3"/>
  <c r="H804" i="3"/>
  <c r="F804" i="3"/>
  <c r="B804" i="3"/>
  <c r="D803" i="3"/>
  <c r="E803" i="3"/>
  <c r="G803" i="3"/>
  <c r="I803" i="3"/>
  <c r="J803" i="3"/>
  <c r="L803" i="3"/>
  <c r="N803" i="3"/>
  <c r="M803" i="3"/>
  <c r="C803" i="3"/>
  <c r="H803" i="3"/>
  <c r="F803" i="3"/>
  <c r="B803" i="3"/>
  <c r="D802" i="3"/>
  <c r="E802" i="3"/>
  <c r="G802" i="3"/>
  <c r="I802" i="3"/>
  <c r="J802" i="3"/>
  <c r="L802" i="3"/>
  <c r="N802" i="3"/>
  <c r="M802" i="3"/>
  <c r="C802" i="3"/>
  <c r="H802" i="3"/>
  <c r="F802" i="3"/>
  <c r="B802" i="3"/>
  <c r="D801" i="3"/>
  <c r="E801" i="3"/>
  <c r="G801" i="3"/>
  <c r="I801" i="3"/>
  <c r="J801" i="3"/>
  <c r="L801" i="3"/>
  <c r="N801" i="3"/>
  <c r="M801" i="3"/>
  <c r="C801" i="3"/>
  <c r="H801" i="3"/>
  <c r="F801" i="3"/>
  <c r="B801" i="3"/>
  <c r="D800" i="3"/>
  <c r="E800" i="3"/>
  <c r="G800" i="3"/>
  <c r="I800" i="3"/>
  <c r="J800" i="3"/>
  <c r="L800" i="3"/>
  <c r="N800" i="3"/>
  <c r="M800" i="3"/>
  <c r="C800" i="3"/>
  <c r="H800" i="3"/>
  <c r="F800" i="3"/>
  <c r="B800" i="3"/>
  <c r="D799" i="3"/>
  <c r="E799" i="3"/>
  <c r="G799" i="3"/>
  <c r="I799" i="3"/>
  <c r="J799" i="3"/>
  <c r="L799" i="3"/>
  <c r="N799" i="3"/>
  <c r="M799" i="3"/>
  <c r="C799" i="3"/>
  <c r="H799" i="3"/>
  <c r="F799" i="3"/>
  <c r="B799" i="3"/>
  <c r="D798" i="3"/>
  <c r="E798" i="3"/>
  <c r="G798" i="3"/>
  <c r="I798" i="3"/>
  <c r="J798" i="3"/>
  <c r="L798" i="3"/>
  <c r="N798" i="3"/>
  <c r="M798" i="3"/>
  <c r="C798" i="3"/>
  <c r="H798" i="3"/>
  <c r="F798" i="3"/>
  <c r="B798" i="3"/>
  <c r="D797" i="3"/>
  <c r="E797" i="3"/>
  <c r="G797" i="3"/>
  <c r="I797" i="3"/>
  <c r="J797" i="3"/>
  <c r="L797" i="3"/>
  <c r="N797" i="3"/>
  <c r="M797" i="3"/>
  <c r="C797" i="3"/>
  <c r="H797" i="3"/>
  <c r="F797" i="3"/>
  <c r="B797" i="3"/>
  <c r="D796" i="3"/>
  <c r="E796" i="3"/>
  <c r="G796" i="3"/>
  <c r="I796" i="3"/>
  <c r="J796" i="3"/>
  <c r="L796" i="3"/>
  <c r="N796" i="3"/>
  <c r="M796" i="3"/>
  <c r="C796" i="3"/>
  <c r="H796" i="3"/>
  <c r="F796" i="3"/>
  <c r="B796" i="3"/>
  <c r="D795" i="3"/>
  <c r="E795" i="3"/>
  <c r="G795" i="3"/>
  <c r="I795" i="3"/>
  <c r="J795" i="3"/>
  <c r="L795" i="3"/>
  <c r="N795" i="3"/>
  <c r="M795" i="3"/>
  <c r="C795" i="3"/>
  <c r="H795" i="3"/>
  <c r="F795" i="3"/>
  <c r="B795" i="3"/>
  <c r="D794" i="3"/>
  <c r="E794" i="3"/>
  <c r="G794" i="3"/>
  <c r="I794" i="3"/>
  <c r="J794" i="3"/>
  <c r="L794" i="3"/>
  <c r="N794" i="3"/>
  <c r="M794" i="3"/>
  <c r="C794" i="3"/>
  <c r="H794" i="3"/>
  <c r="F794" i="3"/>
  <c r="B794" i="3"/>
  <c r="D793" i="3"/>
  <c r="E793" i="3"/>
  <c r="G793" i="3"/>
  <c r="I793" i="3"/>
  <c r="J793" i="3"/>
  <c r="L793" i="3"/>
  <c r="N793" i="3"/>
  <c r="M793" i="3"/>
  <c r="C793" i="3"/>
  <c r="H793" i="3"/>
  <c r="F793" i="3"/>
  <c r="B793" i="3"/>
  <c r="D792" i="3"/>
  <c r="E792" i="3"/>
  <c r="G792" i="3"/>
  <c r="I792" i="3"/>
  <c r="J792" i="3"/>
  <c r="L792" i="3"/>
  <c r="N792" i="3"/>
  <c r="M792" i="3"/>
  <c r="C792" i="3"/>
  <c r="H792" i="3"/>
  <c r="F792" i="3"/>
  <c r="B792" i="3"/>
  <c r="D791" i="3"/>
  <c r="E791" i="3"/>
  <c r="G791" i="3"/>
  <c r="I791" i="3"/>
  <c r="J791" i="3"/>
  <c r="L791" i="3"/>
  <c r="N791" i="3"/>
  <c r="M791" i="3"/>
  <c r="C791" i="3"/>
  <c r="H791" i="3"/>
  <c r="F791" i="3"/>
  <c r="B791" i="3"/>
  <c r="D790" i="3"/>
  <c r="E790" i="3"/>
  <c r="G790" i="3"/>
  <c r="I790" i="3"/>
  <c r="J790" i="3"/>
  <c r="L790" i="3"/>
  <c r="N790" i="3"/>
  <c r="M790" i="3"/>
  <c r="C790" i="3"/>
  <c r="H790" i="3"/>
  <c r="F790" i="3"/>
  <c r="B790" i="3"/>
  <c r="D789" i="3"/>
  <c r="E789" i="3"/>
  <c r="G789" i="3"/>
  <c r="I789" i="3"/>
  <c r="J789" i="3"/>
  <c r="L789" i="3"/>
  <c r="N789" i="3"/>
  <c r="M789" i="3"/>
  <c r="C789" i="3"/>
  <c r="H789" i="3"/>
  <c r="F789" i="3"/>
  <c r="B789" i="3"/>
  <c r="D788" i="3"/>
  <c r="E788" i="3"/>
  <c r="G788" i="3"/>
  <c r="I788" i="3"/>
  <c r="J788" i="3"/>
  <c r="L788" i="3"/>
  <c r="N788" i="3"/>
  <c r="M788" i="3"/>
  <c r="C788" i="3"/>
  <c r="H788" i="3"/>
  <c r="F788" i="3"/>
  <c r="B788" i="3"/>
  <c r="D787" i="3"/>
  <c r="E787" i="3"/>
  <c r="G787" i="3"/>
  <c r="I787" i="3"/>
  <c r="J787" i="3"/>
  <c r="L787" i="3"/>
  <c r="N787" i="3"/>
  <c r="M787" i="3"/>
  <c r="C787" i="3"/>
  <c r="H787" i="3"/>
  <c r="F787" i="3"/>
  <c r="B787" i="3"/>
  <c r="D786" i="3"/>
  <c r="E786" i="3"/>
  <c r="G786" i="3"/>
  <c r="I786" i="3"/>
  <c r="J786" i="3"/>
  <c r="L786" i="3"/>
  <c r="N786" i="3"/>
  <c r="M786" i="3"/>
  <c r="C786" i="3"/>
  <c r="H786" i="3"/>
  <c r="F786" i="3"/>
  <c r="B786" i="3"/>
  <c r="D785" i="3"/>
  <c r="E785" i="3"/>
  <c r="G785" i="3"/>
  <c r="I785" i="3"/>
  <c r="J785" i="3"/>
  <c r="L785" i="3"/>
  <c r="N785" i="3"/>
  <c r="M785" i="3"/>
  <c r="C785" i="3"/>
  <c r="H785" i="3"/>
  <c r="F785" i="3"/>
  <c r="B785" i="3"/>
  <c r="D784" i="3"/>
  <c r="E784" i="3"/>
  <c r="G784" i="3"/>
  <c r="I784" i="3"/>
  <c r="J784" i="3"/>
  <c r="L784" i="3"/>
  <c r="N784" i="3"/>
  <c r="M784" i="3"/>
  <c r="C784" i="3"/>
  <c r="H784" i="3"/>
  <c r="F784" i="3"/>
  <c r="B784" i="3"/>
  <c r="D783" i="3"/>
  <c r="E783" i="3"/>
  <c r="G783" i="3"/>
  <c r="I783" i="3"/>
  <c r="J783" i="3"/>
  <c r="L783" i="3"/>
  <c r="N783" i="3"/>
  <c r="M783" i="3"/>
  <c r="C783" i="3"/>
  <c r="H783" i="3"/>
  <c r="F783" i="3"/>
  <c r="B783" i="3"/>
  <c r="D782" i="3"/>
  <c r="E782" i="3"/>
  <c r="G782" i="3"/>
  <c r="I782" i="3"/>
  <c r="J782" i="3"/>
  <c r="L782" i="3"/>
  <c r="N782" i="3"/>
  <c r="M782" i="3"/>
  <c r="C782" i="3"/>
  <c r="H782" i="3"/>
  <c r="F782" i="3"/>
  <c r="B782" i="3"/>
  <c r="D781" i="3"/>
  <c r="E781" i="3"/>
  <c r="G781" i="3"/>
  <c r="I781" i="3"/>
  <c r="J781" i="3"/>
  <c r="L781" i="3"/>
  <c r="N781" i="3"/>
  <c r="M781" i="3"/>
  <c r="C781" i="3"/>
  <c r="H781" i="3"/>
  <c r="F781" i="3"/>
  <c r="B781" i="3"/>
  <c r="D780" i="3"/>
  <c r="E780" i="3"/>
  <c r="G780" i="3"/>
  <c r="I780" i="3"/>
  <c r="J780" i="3"/>
  <c r="L780" i="3"/>
  <c r="N780" i="3"/>
  <c r="M780" i="3"/>
  <c r="C780" i="3"/>
  <c r="H780" i="3"/>
  <c r="F780" i="3"/>
  <c r="B780" i="3"/>
  <c r="D779" i="3"/>
  <c r="E779" i="3"/>
  <c r="G779" i="3"/>
  <c r="I779" i="3"/>
  <c r="J779" i="3"/>
  <c r="L779" i="3"/>
  <c r="N779" i="3"/>
  <c r="M779" i="3"/>
  <c r="C779" i="3"/>
  <c r="H779" i="3"/>
  <c r="F779" i="3"/>
  <c r="B779" i="3"/>
  <c r="D778" i="3"/>
  <c r="E778" i="3"/>
  <c r="G778" i="3"/>
  <c r="I778" i="3"/>
  <c r="J778" i="3"/>
  <c r="L778" i="3"/>
  <c r="N778" i="3"/>
  <c r="M778" i="3"/>
  <c r="C778" i="3"/>
  <c r="H778" i="3"/>
  <c r="F778" i="3"/>
  <c r="B778" i="3"/>
  <c r="D777" i="3"/>
  <c r="E777" i="3"/>
  <c r="G777" i="3"/>
  <c r="I777" i="3"/>
  <c r="J777" i="3"/>
  <c r="L777" i="3"/>
  <c r="N777" i="3"/>
  <c r="M777" i="3"/>
  <c r="C777" i="3"/>
  <c r="H777" i="3"/>
  <c r="F777" i="3"/>
  <c r="B777" i="3"/>
  <c r="D776" i="3"/>
  <c r="E776" i="3"/>
  <c r="G776" i="3"/>
  <c r="I776" i="3"/>
  <c r="J776" i="3"/>
  <c r="L776" i="3"/>
  <c r="N776" i="3"/>
  <c r="M776" i="3"/>
  <c r="C776" i="3"/>
  <c r="H776" i="3"/>
  <c r="F776" i="3"/>
  <c r="B776" i="3"/>
  <c r="D775" i="3"/>
  <c r="E775" i="3"/>
  <c r="G775" i="3"/>
  <c r="I775" i="3"/>
  <c r="J775" i="3"/>
  <c r="L775" i="3"/>
  <c r="N775" i="3"/>
  <c r="M775" i="3"/>
  <c r="C775" i="3"/>
  <c r="H775" i="3"/>
  <c r="F775" i="3"/>
  <c r="B775" i="3"/>
  <c r="D774" i="3"/>
  <c r="E774" i="3"/>
  <c r="G774" i="3"/>
  <c r="I774" i="3"/>
  <c r="J774" i="3"/>
  <c r="L774" i="3"/>
  <c r="N774" i="3"/>
  <c r="M774" i="3"/>
  <c r="C774" i="3"/>
  <c r="H774" i="3"/>
  <c r="F774" i="3"/>
  <c r="B774" i="3"/>
  <c r="D773" i="3"/>
  <c r="E773" i="3"/>
  <c r="G773" i="3"/>
  <c r="I773" i="3"/>
  <c r="J773" i="3"/>
  <c r="L773" i="3"/>
  <c r="N773" i="3"/>
  <c r="M773" i="3"/>
  <c r="C773" i="3"/>
  <c r="H773" i="3"/>
  <c r="F773" i="3"/>
  <c r="B773" i="3"/>
  <c r="D772" i="3"/>
  <c r="E772" i="3"/>
  <c r="G772" i="3"/>
  <c r="I772" i="3"/>
  <c r="J772" i="3"/>
  <c r="L772" i="3"/>
  <c r="N772" i="3"/>
  <c r="M772" i="3"/>
  <c r="C772" i="3"/>
  <c r="H772" i="3"/>
  <c r="F772" i="3"/>
  <c r="B772" i="3"/>
  <c r="D771" i="3"/>
  <c r="E771" i="3"/>
  <c r="G771" i="3"/>
  <c r="I771" i="3"/>
  <c r="J771" i="3"/>
  <c r="L771" i="3"/>
  <c r="N771" i="3"/>
  <c r="M771" i="3"/>
  <c r="C771" i="3"/>
  <c r="H771" i="3"/>
  <c r="F771" i="3"/>
  <c r="B771" i="3"/>
  <c r="D770" i="3"/>
  <c r="E770" i="3"/>
  <c r="G770" i="3"/>
  <c r="I770" i="3"/>
  <c r="J770" i="3"/>
  <c r="L770" i="3"/>
  <c r="N770" i="3"/>
  <c r="M770" i="3"/>
  <c r="C770" i="3"/>
  <c r="H770" i="3"/>
  <c r="F770" i="3"/>
  <c r="B770" i="3"/>
  <c r="D769" i="3"/>
  <c r="E769" i="3"/>
  <c r="G769" i="3"/>
  <c r="I769" i="3"/>
  <c r="J769" i="3"/>
  <c r="L769" i="3"/>
  <c r="N769" i="3"/>
  <c r="M769" i="3"/>
  <c r="C769" i="3"/>
  <c r="H769" i="3"/>
  <c r="F769" i="3"/>
  <c r="B769" i="3"/>
  <c r="D768" i="3"/>
  <c r="E768" i="3"/>
  <c r="G768" i="3"/>
  <c r="I768" i="3"/>
  <c r="J768" i="3"/>
  <c r="L768" i="3"/>
  <c r="N768" i="3"/>
  <c r="M768" i="3"/>
  <c r="C768" i="3"/>
  <c r="H768" i="3"/>
  <c r="F768" i="3"/>
  <c r="B768" i="3"/>
  <c r="D767" i="3"/>
  <c r="E767" i="3"/>
  <c r="G767" i="3"/>
  <c r="I767" i="3"/>
  <c r="J767" i="3"/>
  <c r="L767" i="3"/>
  <c r="N767" i="3"/>
  <c r="M767" i="3"/>
  <c r="C767" i="3"/>
  <c r="H767" i="3"/>
  <c r="F767" i="3"/>
  <c r="B767" i="3"/>
  <c r="D766" i="3"/>
  <c r="E766" i="3"/>
  <c r="G766" i="3"/>
  <c r="I766" i="3"/>
  <c r="J766" i="3"/>
  <c r="L766" i="3"/>
  <c r="N766" i="3"/>
  <c r="M766" i="3"/>
  <c r="C766" i="3"/>
  <c r="H766" i="3"/>
  <c r="F766" i="3"/>
  <c r="B766" i="3"/>
  <c r="D765" i="3"/>
  <c r="E765" i="3"/>
  <c r="G765" i="3"/>
  <c r="I765" i="3"/>
  <c r="J765" i="3"/>
  <c r="L765" i="3"/>
  <c r="N765" i="3"/>
  <c r="M765" i="3"/>
  <c r="C765" i="3"/>
  <c r="H765" i="3"/>
  <c r="F765" i="3"/>
  <c r="B765" i="3"/>
  <c r="D764" i="3"/>
  <c r="E764" i="3"/>
  <c r="G764" i="3"/>
  <c r="I764" i="3"/>
  <c r="J764" i="3"/>
  <c r="L764" i="3"/>
  <c r="N764" i="3"/>
  <c r="M764" i="3"/>
  <c r="C764" i="3"/>
  <c r="H764" i="3"/>
  <c r="F764" i="3"/>
  <c r="B764" i="3"/>
  <c r="D763" i="3"/>
  <c r="E763" i="3"/>
  <c r="G763" i="3"/>
  <c r="I763" i="3"/>
  <c r="J763" i="3"/>
  <c r="L763" i="3"/>
  <c r="N763" i="3"/>
  <c r="M763" i="3"/>
  <c r="C763" i="3"/>
  <c r="H763" i="3"/>
  <c r="F763" i="3"/>
  <c r="B763" i="3"/>
  <c r="D762" i="3"/>
  <c r="E762" i="3"/>
  <c r="G762" i="3"/>
  <c r="I762" i="3"/>
  <c r="J762" i="3"/>
  <c r="L762" i="3"/>
  <c r="N762" i="3"/>
  <c r="M762" i="3"/>
  <c r="C762" i="3"/>
  <c r="H762" i="3"/>
  <c r="F762" i="3"/>
  <c r="B762" i="3"/>
  <c r="D761" i="3"/>
  <c r="E761" i="3"/>
  <c r="G761" i="3"/>
  <c r="I761" i="3"/>
  <c r="J761" i="3"/>
  <c r="L761" i="3"/>
  <c r="N761" i="3"/>
  <c r="M761" i="3"/>
  <c r="C761" i="3"/>
  <c r="H761" i="3"/>
  <c r="F761" i="3"/>
  <c r="B761" i="3"/>
  <c r="D760" i="3"/>
  <c r="E760" i="3"/>
  <c r="G760" i="3"/>
  <c r="I760" i="3"/>
  <c r="J760" i="3"/>
  <c r="L760" i="3"/>
  <c r="N760" i="3"/>
  <c r="M760" i="3"/>
  <c r="C760" i="3"/>
  <c r="H760" i="3"/>
  <c r="F760" i="3"/>
  <c r="B760" i="3"/>
  <c r="D759" i="3"/>
  <c r="E759" i="3"/>
  <c r="G759" i="3"/>
  <c r="I759" i="3"/>
  <c r="J759" i="3"/>
  <c r="L759" i="3"/>
  <c r="N759" i="3"/>
  <c r="M759" i="3"/>
  <c r="C759" i="3"/>
  <c r="H759" i="3"/>
  <c r="F759" i="3"/>
  <c r="B759" i="3"/>
  <c r="D758" i="3"/>
  <c r="E758" i="3"/>
  <c r="G758" i="3"/>
  <c r="I758" i="3"/>
  <c r="J758" i="3"/>
  <c r="L758" i="3"/>
  <c r="N758" i="3"/>
  <c r="M758" i="3"/>
  <c r="C758" i="3"/>
  <c r="H758" i="3"/>
  <c r="F758" i="3"/>
  <c r="B758" i="3"/>
  <c r="D757" i="3"/>
  <c r="E757" i="3"/>
  <c r="G757" i="3"/>
  <c r="I757" i="3"/>
  <c r="J757" i="3"/>
  <c r="L757" i="3"/>
  <c r="N757" i="3"/>
  <c r="M757" i="3"/>
  <c r="C757" i="3"/>
  <c r="H757" i="3"/>
  <c r="F757" i="3"/>
  <c r="B757" i="3"/>
  <c r="D756" i="3"/>
  <c r="E756" i="3"/>
  <c r="G756" i="3"/>
  <c r="I756" i="3"/>
  <c r="J756" i="3"/>
  <c r="L756" i="3"/>
  <c r="N756" i="3"/>
  <c r="M756" i="3"/>
  <c r="C756" i="3"/>
  <c r="H756" i="3"/>
  <c r="F756" i="3"/>
  <c r="B756" i="3"/>
  <c r="D755" i="3"/>
  <c r="E755" i="3"/>
  <c r="G755" i="3"/>
  <c r="I755" i="3"/>
  <c r="J755" i="3"/>
  <c r="L755" i="3"/>
  <c r="N755" i="3"/>
  <c r="M755" i="3"/>
  <c r="C755" i="3"/>
  <c r="H755" i="3"/>
  <c r="F755" i="3"/>
  <c r="B755" i="3"/>
  <c r="D754" i="3"/>
  <c r="E754" i="3"/>
  <c r="G754" i="3"/>
  <c r="I754" i="3"/>
  <c r="J754" i="3"/>
  <c r="L754" i="3"/>
  <c r="N754" i="3"/>
  <c r="M754" i="3"/>
  <c r="C754" i="3"/>
  <c r="H754" i="3"/>
  <c r="F754" i="3"/>
  <c r="B754" i="3"/>
  <c r="D753" i="3"/>
  <c r="E753" i="3"/>
  <c r="G753" i="3"/>
  <c r="I753" i="3"/>
  <c r="J753" i="3"/>
  <c r="L753" i="3"/>
  <c r="N753" i="3"/>
  <c r="M753" i="3"/>
  <c r="C753" i="3"/>
  <c r="H753" i="3"/>
  <c r="F753" i="3"/>
  <c r="B753" i="3"/>
  <c r="D752" i="3"/>
  <c r="E752" i="3"/>
  <c r="G752" i="3"/>
  <c r="I752" i="3"/>
  <c r="J752" i="3"/>
  <c r="L752" i="3"/>
  <c r="N752" i="3"/>
  <c r="M752" i="3"/>
  <c r="C752" i="3"/>
  <c r="H752" i="3"/>
  <c r="F752" i="3"/>
  <c r="B752" i="3"/>
  <c r="D751" i="3"/>
  <c r="E751" i="3"/>
  <c r="G751" i="3"/>
  <c r="I751" i="3"/>
  <c r="J751" i="3"/>
  <c r="L751" i="3"/>
  <c r="N751" i="3"/>
  <c r="M751" i="3"/>
  <c r="C751" i="3"/>
  <c r="H751" i="3"/>
  <c r="F751" i="3"/>
  <c r="B751" i="3"/>
  <c r="D750" i="3"/>
  <c r="E750" i="3"/>
  <c r="G750" i="3"/>
  <c r="I750" i="3"/>
  <c r="J750" i="3"/>
  <c r="L750" i="3"/>
  <c r="N750" i="3"/>
  <c r="M750" i="3"/>
  <c r="C750" i="3"/>
  <c r="H750" i="3"/>
  <c r="F750" i="3"/>
  <c r="B750" i="3"/>
  <c r="D749" i="3"/>
  <c r="E749" i="3"/>
  <c r="G749" i="3"/>
  <c r="I749" i="3"/>
  <c r="J749" i="3"/>
  <c r="L749" i="3"/>
  <c r="N749" i="3"/>
  <c r="M749" i="3"/>
  <c r="C749" i="3"/>
  <c r="H749" i="3"/>
  <c r="F749" i="3"/>
  <c r="B749" i="3"/>
  <c r="D748" i="3"/>
  <c r="E748" i="3"/>
  <c r="G748" i="3"/>
  <c r="I748" i="3"/>
  <c r="J748" i="3"/>
  <c r="L748" i="3"/>
  <c r="N748" i="3"/>
  <c r="M748" i="3"/>
  <c r="C748" i="3"/>
  <c r="H748" i="3"/>
  <c r="F748" i="3"/>
  <c r="B748" i="3"/>
  <c r="D747" i="3"/>
  <c r="E747" i="3"/>
  <c r="G747" i="3"/>
  <c r="I747" i="3"/>
  <c r="J747" i="3"/>
  <c r="L747" i="3"/>
  <c r="N747" i="3"/>
  <c r="M747" i="3"/>
  <c r="C747" i="3"/>
  <c r="H747" i="3"/>
  <c r="F747" i="3"/>
  <c r="B747" i="3"/>
  <c r="D746" i="3"/>
  <c r="E746" i="3"/>
  <c r="G746" i="3"/>
  <c r="I746" i="3"/>
  <c r="J746" i="3"/>
  <c r="L746" i="3"/>
  <c r="N746" i="3"/>
  <c r="M746" i="3"/>
  <c r="C746" i="3"/>
  <c r="H746" i="3"/>
  <c r="F746" i="3"/>
  <c r="B746" i="3"/>
  <c r="D745" i="3"/>
  <c r="E745" i="3"/>
  <c r="G745" i="3"/>
  <c r="I745" i="3"/>
  <c r="J745" i="3"/>
  <c r="L745" i="3"/>
  <c r="N745" i="3"/>
  <c r="M745" i="3"/>
  <c r="C745" i="3"/>
  <c r="H745" i="3"/>
  <c r="F745" i="3"/>
  <c r="B745" i="3"/>
  <c r="D744" i="3"/>
  <c r="E744" i="3"/>
  <c r="G744" i="3"/>
  <c r="I744" i="3"/>
  <c r="J744" i="3"/>
  <c r="L744" i="3"/>
  <c r="N744" i="3"/>
  <c r="M744" i="3"/>
  <c r="C744" i="3"/>
  <c r="H744" i="3"/>
  <c r="F744" i="3"/>
  <c r="B744" i="3"/>
  <c r="D743" i="3"/>
  <c r="E743" i="3"/>
  <c r="G743" i="3"/>
  <c r="I743" i="3"/>
  <c r="J743" i="3"/>
  <c r="L743" i="3"/>
  <c r="N743" i="3"/>
  <c r="M743" i="3"/>
  <c r="C743" i="3"/>
  <c r="H743" i="3"/>
  <c r="F743" i="3"/>
  <c r="B743" i="3"/>
  <c r="D742" i="3"/>
  <c r="E742" i="3"/>
  <c r="G742" i="3"/>
  <c r="I742" i="3"/>
  <c r="J742" i="3"/>
  <c r="L742" i="3"/>
  <c r="N742" i="3"/>
  <c r="M742" i="3"/>
  <c r="C742" i="3"/>
  <c r="H742" i="3"/>
  <c r="F742" i="3"/>
  <c r="B742" i="3"/>
  <c r="D741" i="3"/>
  <c r="E741" i="3"/>
  <c r="G741" i="3"/>
  <c r="I741" i="3"/>
  <c r="J741" i="3"/>
  <c r="L741" i="3"/>
  <c r="N741" i="3"/>
  <c r="M741" i="3"/>
  <c r="C741" i="3"/>
  <c r="H741" i="3"/>
  <c r="F741" i="3"/>
  <c r="B741" i="3"/>
  <c r="D740" i="3"/>
  <c r="E740" i="3"/>
  <c r="G740" i="3"/>
  <c r="I740" i="3"/>
  <c r="J740" i="3"/>
  <c r="L740" i="3"/>
  <c r="N740" i="3"/>
  <c r="M740" i="3"/>
  <c r="C740" i="3"/>
  <c r="H740" i="3"/>
  <c r="F740" i="3"/>
  <c r="B740" i="3"/>
  <c r="D739" i="3"/>
  <c r="E739" i="3"/>
  <c r="G739" i="3"/>
  <c r="I739" i="3"/>
  <c r="J739" i="3"/>
  <c r="L739" i="3"/>
  <c r="N739" i="3"/>
  <c r="M739" i="3"/>
  <c r="C739" i="3"/>
  <c r="H739" i="3"/>
  <c r="F739" i="3"/>
  <c r="B739" i="3"/>
  <c r="D738" i="3"/>
  <c r="E738" i="3"/>
  <c r="G738" i="3"/>
  <c r="I738" i="3"/>
  <c r="J738" i="3"/>
  <c r="L738" i="3"/>
  <c r="N738" i="3"/>
  <c r="M738" i="3"/>
  <c r="C738" i="3"/>
  <c r="H738" i="3"/>
  <c r="F738" i="3"/>
  <c r="B738" i="3"/>
  <c r="D737" i="3"/>
  <c r="E737" i="3"/>
  <c r="G737" i="3"/>
  <c r="I737" i="3"/>
  <c r="J737" i="3"/>
  <c r="L737" i="3"/>
  <c r="N737" i="3"/>
  <c r="M737" i="3"/>
  <c r="C737" i="3"/>
  <c r="H737" i="3"/>
  <c r="F737" i="3"/>
  <c r="B737" i="3"/>
  <c r="D736" i="3"/>
  <c r="E736" i="3"/>
  <c r="G736" i="3"/>
  <c r="I736" i="3"/>
  <c r="J736" i="3"/>
  <c r="L736" i="3"/>
  <c r="N736" i="3"/>
  <c r="M736" i="3"/>
  <c r="C736" i="3"/>
  <c r="H736" i="3"/>
  <c r="F736" i="3"/>
  <c r="B736" i="3"/>
  <c r="D735" i="3"/>
  <c r="E735" i="3"/>
  <c r="G735" i="3"/>
  <c r="I735" i="3"/>
  <c r="J735" i="3"/>
  <c r="L735" i="3"/>
  <c r="N735" i="3"/>
  <c r="M735" i="3"/>
  <c r="C735" i="3"/>
  <c r="H735" i="3"/>
  <c r="F735" i="3"/>
  <c r="B735" i="3"/>
  <c r="D734" i="3"/>
  <c r="E734" i="3"/>
  <c r="G734" i="3"/>
  <c r="I734" i="3"/>
  <c r="J734" i="3"/>
  <c r="L734" i="3"/>
  <c r="N734" i="3"/>
  <c r="M734" i="3"/>
  <c r="C734" i="3"/>
  <c r="H734" i="3"/>
  <c r="F734" i="3"/>
  <c r="B734" i="3"/>
  <c r="D733" i="3"/>
  <c r="E733" i="3"/>
  <c r="G733" i="3"/>
  <c r="I733" i="3"/>
  <c r="J733" i="3"/>
  <c r="L733" i="3"/>
  <c r="N733" i="3"/>
  <c r="M733" i="3"/>
  <c r="C733" i="3"/>
  <c r="H733" i="3"/>
  <c r="F733" i="3"/>
  <c r="B733" i="3"/>
  <c r="D732" i="3"/>
  <c r="E732" i="3"/>
  <c r="G732" i="3"/>
  <c r="I732" i="3"/>
  <c r="J732" i="3"/>
  <c r="L732" i="3"/>
  <c r="N732" i="3"/>
  <c r="M732" i="3"/>
  <c r="C732" i="3"/>
  <c r="H732" i="3"/>
  <c r="F732" i="3"/>
  <c r="B732" i="3"/>
  <c r="D731" i="3"/>
  <c r="E731" i="3"/>
  <c r="G731" i="3"/>
  <c r="I731" i="3"/>
  <c r="J731" i="3"/>
  <c r="L731" i="3"/>
  <c r="N731" i="3"/>
  <c r="M731" i="3"/>
  <c r="C731" i="3"/>
  <c r="H731" i="3"/>
  <c r="F731" i="3"/>
  <c r="B731" i="3"/>
  <c r="D730" i="3"/>
  <c r="E730" i="3"/>
  <c r="G730" i="3"/>
  <c r="I730" i="3"/>
  <c r="J730" i="3"/>
  <c r="L730" i="3"/>
  <c r="N730" i="3"/>
  <c r="M730" i="3"/>
  <c r="C730" i="3"/>
  <c r="H730" i="3"/>
  <c r="F730" i="3"/>
  <c r="B730" i="3"/>
  <c r="D729" i="3"/>
  <c r="E729" i="3"/>
  <c r="G729" i="3"/>
  <c r="I729" i="3"/>
  <c r="J729" i="3"/>
  <c r="L729" i="3"/>
  <c r="N729" i="3"/>
  <c r="M729" i="3"/>
  <c r="C729" i="3"/>
  <c r="H729" i="3"/>
  <c r="F729" i="3"/>
  <c r="B729" i="3"/>
  <c r="D728" i="3"/>
  <c r="E728" i="3"/>
  <c r="G728" i="3"/>
  <c r="I728" i="3"/>
  <c r="J728" i="3"/>
  <c r="L728" i="3"/>
  <c r="N728" i="3"/>
  <c r="M728" i="3"/>
  <c r="C728" i="3"/>
  <c r="H728" i="3"/>
  <c r="F728" i="3"/>
  <c r="B728" i="3"/>
  <c r="D727" i="3"/>
  <c r="E727" i="3"/>
  <c r="G727" i="3"/>
  <c r="I727" i="3"/>
  <c r="J727" i="3"/>
  <c r="L727" i="3"/>
  <c r="N727" i="3"/>
  <c r="M727" i="3"/>
  <c r="C727" i="3"/>
  <c r="H727" i="3"/>
  <c r="F727" i="3"/>
  <c r="B727" i="3"/>
  <c r="D726" i="3"/>
  <c r="E726" i="3"/>
  <c r="G726" i="3"/>
  <c r="I726" i="3"/>
  <c r="J726" i="3"/>
  <c r="L726" i="3"/>
  <c r="N726" i="3"/>
  <c r="M726" i="3"/>
  <c r="C726" i="3"/>
  <c r="H726" i="3"/>
  <c r="F726" i="3"/>
  <c r="B726" i="3"/>
  <c r="D725" i="3"/>
  <c r="E725" i="3"/>
  <c r="G725" i="3"/>
  <c r="I725" i="3"/>
  <c r="J725" i="3"/>
  <c r="L725" i="3"/>
  <c r="N725" i="3"/>
  <c r="M725" i="3"/>
  <c r="C725" i="3"/>
  <c r="H725" i="3"/>
  <c r="F725" i="3"/>
  <c r="B725" i="3"/>
  <c r="D724" i="3"/>
  <c r="E724" i="3"/>
  <c r="G724" i="3"/>
  <c r="I724" i="3"/>
  <c r="J724" i="3"/>
  <c r="L724" i="3"/>
  <c r="N724" i="3"/>
  <c r="M724" i="3"/>
  <c r="C724" i="3"/>
  <c r="H724" i="3"/>
  <c r="F724" i="3"/>
  <c r="B724" i="3"/>
  <c r="D723" i="3"/>
  <c r="E723" i="3"/>
  <c r="G723" i="3"/>
  <c r="I723" i="3"/>
  <c r="J723" i="3"/>
  <c r="L723" i="3"/>
  <c r="N723" i="3"/>
  <c r="M723" i="3"/>
  <c r="C723" i="3"/>
  <c r="H723" i="3"/>
  <c r="F723" i="3"/>
  <c r="B723" i="3"/>
  <c r="D722" i="3"/>
  <c r="E722" i="3"/>
  <c r="G722" i="3"/>
  <c r="I722" i="3"/>
  <c r="J722" i="3"/>
  <c r="L722" i="3"/>
  <c r="N722" i="3"/>
  <c r="M722" i="3"/>
  <c r="C722" i="3"/>
  <c r="H722" i="3"/>
  <c r="F722" i="3"/>
  <c r="B722" i="3"/>
  <c r="D721" i="3"/>
  <c r="E721" i="3"/>
  <c r="G721" i="3"/>
  <c r="I721" i="3"/>
  <c r="J721" i="3"/>
  <c r="L721" i="3"/>
  <c r="N721" i="3"/>
  <c r="M721" i="3"/>
  <c r="C721" i="3"/>
  <c r="H721" i="3"/>
  <c r="F721" i="3"/>
  <c r="B721" i="3"/>
  <c r="D720" i="3"/>
  <c r="E720" i="3"/>
  <c r="G720" i="3"/>
  <c r="I720" i="3"/>
  <c r="J720" i="3"/>
  <c r="L720" i="3"/>
  <c r="N720" i="3"/>
  <c r="M720" i="3"/>
  <c r="C720" i="3"/>
  <c r="H720" i="3"/>
  <c r="F720" i="3"/>
  <c r="B720" i="3"/>
  <c r="D719" i="3"/>
  <c r="E719" i="3"/>
  <c r="G719" i="3"/>
  <c r="I719" i="3"/>
  <c r="J719" i="3"/>
  <c r="L719" i="3"/>
  <c r="N719" i="3"/>
  <c r="M719" i="3"/>
  <c r="C719" i="3"/>
  <c r="H719" i="3"/>
  <c r="F719" i="3"/>
  <c r="B719" i="3"/>
  <c r="D718" i="3"/>
  <c r="E718" i="3"/>
  <c r="G718" i="3"/>
  <c r="I718" i="3"/>
  <c r="J718" i="3"/>
  <c r="L718" i="3"/>
  <c r="N718" i="3"/>
  <c r="M718" i="3"/>
  <c r="C718" i="3"/>
  <c r="H718" i="3"/>
  <c r="F718" i="3"/>
  <c r="B718" i="3"/>
  <c r="D717" i="3"/>
  <c r="E717" i="3"/>
  <c r="G717" i="3"/>
  <c r="I717" i="3"/>
  <c r="J717" i="3"/>
  <c r="L717" i="3"/>
  <c r="N717" i="3"/>
  <c r="M717" i="3"/>
  <c r="C717" i="3"/>
  <c r="H717" i="3"/>
  <c r="F717" i="3"/>
  <c r="B717" i="3"/>
  <c r="D716" i="3"/>
  <c r="E716" i="3"/>
  <c r="G716" i="3"/>
  <c r="I716" i="3"/>
  <c r="J716" i="3"/>
  <c r="L716" i="3"/>
  <c r="N716" i="3"/>
  <c r="M716" i="3"/>
  <c r="C716" i="3"/>
  <c r="H716" i="3"/>
  <c r="F716" i="3"/>
  <c r="B716" i="3"/>
  <c r="D715" i="3"/>
  <c r="E715" i="3"/>
  <c r="G715" i="3"/>
  <c r="I715" i="3"/>
  <c r="J715" i="3"/>
  <c r="L715" i="3"/>
  <c r="N715" i="3"/>
  <c r="M715" i="3"/>
  <c r="C715" i="3"/>
  <c r="H715" i="3"/>
  <c r="F715" i="3"/>
  <c r="B715" i="3"/>
  <c r="D714" i="3"/>
  <c r="E714" i="3"/>
  <c r="G714" i="3"/>
  <c r="I714" i="3"/>
  <c r="J714" i="3"/>
  <c r="L714" i="3"/>
  <c r="N714" i="3"/>
  <c r="M714" i="3"/>
  <c r="C714" i="3"/>
  <c r="H714" i="3"/>
  <c r="F714" i="3"/>
  <c r="B714" i="3"/>
  <c r="D713" i="3"/>
  <c r="E713" i="3"/>
  <c r="G713" i="3"/>
  <c r="I713" i="3"/>
  <c r="J713" i="3"/>
  <c r="L713" i="3"/>
  <c r="N713" i="3"/>
  <c r="M713" i="3"/>
  <c r="C713" i="3"/>
  <c r="H713" i="3"/>
  <c r="F713" i="3"/>
  <c r="B713" i="3"/>
  <c r="D712" i="3"/>
  <c r="E712" i="3"/>
  <c r="G712" i="3"/>
  <c r="I712" i="3"/>
  <c r="J712" i="3"/>
  <c r="L712" i="3"/>
  <c r="N712" i="3"/>
  <c r="M712" i="3"/>
  <c r="C712" i="3"/>
  <c r="H712" i="3"/>
  <c r="F712" i="3"/>
  <c r="B712" i="3"/>
  <c r="D711" i="3"/>
  <c r="E711" i="3"/>
  <c r="G711" i="3"/>
  <c r="I711" i="3"/>
  <c r="J711" i="3"/>
  <c r="L711" i="3"/>
  <c r="N711" i="3"/>
  <c r="M711" i="3"/>
  <c r="C711" i="3"/>
  <c r="H711" i="3"/>
  <c r="F711" i="3"/>
  <c r="B711" i="3"/>
  <c r="D710" i="3"/>
  <c r="E710" i="3"/>
  <c r="G710" i="3"/>
  <c r="I710" i="3"/>
  <c r="J710" i="3"/>
  <c r="L710" i="3"/>
  <c r="N710" i="3"/>
  <c r="M710" i="3"/>
  <c r="C710" i="3"/>
  <c r="H710" i="3"/>
  <c r="F710" i="3"/>
  <c r="B710" i="3"/>
  <c r="D709" i="3"/>
  <c r="E709" i="3"/>
  <c r="G709" i="3"/>
  <c r="I709" i="3"/>
  <c r="J709" i="3"/>
  <c r="L709" i="3"/>
  <c r="N709" i="3"/>
  <c r="M709" i="3"/>
  <c r="C709" i="3"/>
  <c r="H709" i="3"/>
  <c r="F709" i="3"/>
  <c r="B709" i="3"/>
  <c r="D708" i="3"/>
  <c r="E708" i="3"/>
  <c r="G708" i="3"/>
  <c r="I708" i="3"/>
  <c r="J708" i="3"/>
  <c r="L708" i="3"/>
  <c r="N708" i="3"/>
  <c r="M708" i="3"/>
  <c r="C708" i="3"/>
  <c r="H708" i="3"/>
  <c r="F708" i="3"/>
  <c r="B708" i="3"/>
  <c r="D707" i="3"/>
  <c r="E707" i="3"/>
  <c r="G707" i="3"/>
  <c r="I707" i="3"/>
  <c r="J707" i="3"/>
  <c r="L707" i="3"/>
  <c r="N707" i="3"/>
  <c r="M707" i="3"/>
  <c r="C707" i="3"/>
  <c r="H707" i="3"/>
  <c r="F707" i="3"/>
  <c r="B707" i="3"/>
  <c r="D706" i="3"/>
  <c r="E706" i="3"/>
  <c r="G706" i="3"/>
  <c r="I706" i="3"/>
  <c r="J706" i="3"/>
  <c r="L706" i="3"/>
  <c r="N706" i="3"/>
  <c r="M706" i="3"/>
  <c r="C706" i="3"/>
  <c r="H706" i="3"/>
  <c r="F706" i="3"/>
  <c r="B706" i="3"/>
  <c r="D705" i="3"/>
  <c r="E705" i="3"/>
  <c r="G705" i="3"/>
  <c r="I705" i="3"/>
  <c r="J705" i="3"/>
  <c r="L705" i="3"/>
  <c r="N705" i="3"/>
  <c r="M705" i="3"/>
  <c r="C705" i="3"/>
  <c r="H705" i="3"/>
  <c r="F705" i="3"/>
  <c r="B705" i="3"/>
  <c r="D704" i="3"/>
  <c r="E704" i="3"/>
  <c r="G704" i="3"/>
  <c r="I704" i="3"/>
  <c r="J704" i="3"/>
  <c r="L704" i="3"/>
  <c r="N704" i="3"/>
  <c r="M704" i="3"/>
  <c r="C704" i="3"/>
  <c r="H704" i="3"/>
  <c r="F704" i="3"/>
  <c r="B704" i="3"/>
  <c r="D703" i="3"/>
  <c r="E703" i="3"/>
  <c r="G703" i="3"/>
  <c r="I703" i="3"/>
  <c r="J703" i="3"/>
  <c r="L703" i="3"/>
  <c r="N703" i="3"/>
  <c r="M703" i="3"/>
  <c r="C703" i="3"/>
  <c r="H703" i="3"/>
  <c r="F703" i="3"/>
  <c r="B703" i="3"/>
  <c r="D702" i="3"/>
  <c r="E702" i="3"/>
  <c r="G702" i="3"/>
  <c r="I702" i="3"/>
  <c r="J702" i="3"/>
  <c r="L702" i="3"/>
  <c r="N702" i="3"/>
  <c r="M702" i="3"/>
  <c r="C702" i="3"/>
  <c r="H702" i="3"/>
  <c r="F702" i="3"/>
  <c r="B702" i="3"/>
  <c r="D701" i="3"/>
  <c r="E701" i="3"/>
  <c r="G701" i="3"/>
  <c r="I701" i="3"/>
  <c r="J701" i="3"/>
  <c r="L701" i="3"/>
  <c r="N701" i="3"/>
  <c r="M701" i="3"/>
  <c r="C701" i="3"/>
  <c r="H701" i="3"/>
  <c r="F701" i="3"/>
  <c r="B701" i="3"/>
  <c r="D700" i="3"/>
  <c r="E700" i="3"/>
  <c r="G700" i="3"/>
  <c r="I700" i="3"/>
  <c r="J700" i="3"/>
  <c r="L700" i="3"/>
  <c r="N700" i="3"/>
  <c r="M700" i="3"/>
  <c r="C700" i="3"/>
  <c r="H700" i="3"/>
  <c r="F700" i="3"/>
  <c r="B700" i="3"/>
  <c r="D699" i="3"/>
  <c r="E699" i="3"/>
  <c r="G699" i="3"/>
  <c r="I699" i="3"/>
  <c r="J699" i="3"/>
  <c r="L699" i="3"/>
  <c r="N699" i="3"/>
  <c r="M699" i="3"/>
  <c r="C699" i="3"/>
  <c r="H699" i="3"/>
  <c r="F699" i="3"/>
  <c r="B699" i="3"/>
  <c r="D698" i="3"/>
  <c r="E698" i="3"/>
  <c r="G698" i="3"/>
  <c r="I698" i="3"/>
  <c r="J698" i="3"/>
  <c r="L698" i="3"/>
  <c r="N698" i="3"/>
  <c r="M698" i="3"/>
  <c r="C698" i="3"/>
  <c r="H698" i="3"/>
  <c r="F698" i="3"/>
  <c r="B698" i="3"/>
  <c r="D697" i="3"/>
  <c r="E697" i="3"/>
  <c r="G697" i="3"/>
  <c r="I697" i="3"/>
  <c r="J697" i="3"/>
  <c r="L697" i="3"/>
  <c r="N697" i="3"/>
  <c r="M697" i="3"/>
  <c r="C697" i="3"/>
  <c r="H697" i="3"/>
  <c r="F697" i="3"/>
  <c r="B697" i="3"/>
  <c r="D696" i="3"/>
  <c r="E696" i="3"/>
  <c r="G696" i="3"/>
  <c r="I696" i="3"/>
  <c r="J696" i="3"/>
  <c r="L696" i="3"/>
  <c r="N696" i="3"/>
  <c r="M696" i="3"/>
  <c r="C696" i="3"/>
  <c r="H696" i="3"/>
  <c r="F696" i="3"/>
  <c r="B696" i="3"/>
  <c r="D695" i="3"/>
  <c r="E695" i="3"/>
  <c r="G695" i="3"/>
  <c r="I695" i="3"/>
  <c r="J695" i="3"/>
  <c r="L695" i="3"/>
  <c r="N695" i="3"/>
  <c r="M695" i="3"/>
  <c r="C695" i="3"/>
  <c r="H695" i="3"/>
  <c r="F695" i="3"/>
  <c r="B695" i="3"/>
  <c r="D694" i="3"/>
  <c r="E694" i="3"/>
  <c r="G694" i="3"/>
  <c r="I694" i="3"/>
  <c r="J694" i="3"/>
  <c r="L694" i="3"/>
  <c r="N694" i="3"/>
  <c r="M694" i="3"/>
  <c r="C694" i="3"/>
  <c r="H694" i="3"/>
  <c r="F694" i="3"/>
  <c r="B694" i="3"/>
  <c r="D693" i="3"/>
  <c r="E693" i="3"/>
  <c r="G693" i="3"/>
  <c r="I693" i="3"/>
  <c r="J693" i="3"/>
  <c r="L693" i="3"/>
  <c r="N693" i="3"/>
  <c r="M693" i="3"/>
  <c r="C693" i="3"/>
  <c r="H693" i="3"/>
  <c r="F693" i="3"/>
  <c r="B693" i="3"/>
  <c r="D692" i="3"/>
  <c r="E692" i="3"/>
  <c r="G692" i="3"/>
  <c r="I692" i="3"/>
  <c r="J692" i="3"/>
  <c r="L692" i="3"/>
  <c r="N692" i="3"/>
  <c r="M692" i="3"/>
  <c r="C692" i="3"/>
  <c r="H692" i="3"/>
  <c r="F692" i="3"/>
  <c r="B692" i="3"/>
  <c r="D691" i="3"/>
  <c r="E691" i="3"/>
  <c r="G691" i="3"/>
  <c r="I691" i="3"/>
  <c r="J691" i="3"/>
  <c r="L691" i="3"/>
  <c r="N691" i="3"/>
  <c r="M691" i="3"/>
  <c r="C691" i="3"/>
  <c r="H691" i="3"/>
  <c r="F691" i="3"/>
  <c r="B691" i="3"/>
  <c r="D690" i="3"/>
  <c r="E690" i="3"/>
  <c r="G690" i="3"/>
  <c r="I690" i="3"/>
  <c r="J690" i="3"/>
  <c r="L690" i="3"/>
  <c r="N690" i="3"/>
  <c r="M690" i="3"/>
  <c r="C690" i="3"/>
  <c r="H690" i="3"/>
  <c r="F690" i="3"/>
  <c r="B690" i="3"/>
  <c r="D689" i="3"/>
  <c r="E689" i="3"/>
  <c r="G689" i="3"/>
  <c r="I689" i="3"/>
  <c r="J689" i="3"/>
  <c r="L689" i="3"/>
  <c r="N689" i="3"/>
  <c r="M689" i="3"/>
  <c r="C689" i="3"/>
  <c r="H689" i="3"/>
  <c r="F689" i="3"/>
  <c r="B689" i="3"/>
  <c r="D688" i="3"/>
  <c r="E688" i="3"/>
  <c r="G688" i="3"/>
  <c r="I688" i="3"/>
  <c r="J688" i="3"/>
  <c r="L688" i="3"/>
  <c r="N688" i="3"/>
  <c r="M688" i="3"/>
  <c r="C688" i="3"/>
  <c r="H688" i="3"/>
  <c r="F688" i="3"/>
  <c r="B688" i="3"/>
  <c r="D687" i="3"/>
  <c r="E687" i="3"/>
  <c r="G687" i="3"/>
  <c r="I687" i="3"/>
  <c r="J687" i="3"/>
  <c r="L687" i="3"/>
  <c r="N687" i="3"/>
  <c r="M687" i="3"/>
  <c r="C687" i="3"/>
  <c r="H687" i="3"/>
  <c r="F687" i="3"/>
  <c r="B687" i="3"/>
  <c r="D686" i="3"/>
  <c r="E686" i="3"/>
  <c r="G686" i="3"/>
  <c r="I686" i="3"/>
  <c r="J686" i="3"/>
  <c r="L686" i="3"/>
  <c r="N686" i="3"/>
  <c r="M686" i="3"/>
  <c r="C686" i="3"/>
  <c r="H686" i="3"/>
  <c r="F686" i="3"/>
  <c r="B686" i="3"/>
  <c r="D685" i="3"/>
  <c r="E685" i="3"/>
  <c r="G685" i="3"/>
  <c r="I685" i="3"/>
  <c r="J685" i="3"/>
  <c r="L685" i="3"/>
  <c r="N685" i="3"/>
  <c r="M685" i="3"/>
  <c r="C685" i="3"/>
  <c r="H685" i="3"/>
  <c r="F685" i="3"/>
  <c r="B685" i="3"/>
  <c r="D684" i="3"/>
  <c r="E684" i="3"/>
  <c r="G684" i="3"/>
  <c r="I684" i="3"/>
  <c r="J684" i="3"/>
  <c r="L684" i="3"/>
  <c r="N684" i="3"/>
  <c r="M684" i="3"/>
  <c r="C684" i="3"/>
  <c r="H684" i="3"/>
  <c r="F684" i="3"/>
  <c r="B684" i="3"/>
  <c r="D683" i="3"/>
  <c r="E683" i="3"/>
  <c r="G683" i="3"/>
  <c r="I683" i="3"/>
  <c r="J683" i="3"/>
  <c r="L683" i="3"/>
  <c r="N683" i="3"/>
  <c r="M683" i="3"/>
  <c r="C683" i="3"/>
  <c r="H683" i="3"/>
  <c r="F683" i="3"/>
  <c r="B683" i="3"/>
  <c r="D682" i="3"/>
  <c r="E682" i="3"/>
  <c r="G682" i="3"/>
  <c r="I682" i="3"/>
  <c r="J682" i="3"/>
  <c r="L682" i="3"/>
  <c r="N682" i="3"/>
  <c r="M682" i="3"/>
  <c r="C682" i="3"/>
  <c r="H682" i="3"/>
  <c r="F682" i="3"/>
  <c r="B682" i="3"/>
  <c r="D681" i="3"/>
  <c r="E681" i="3"/>
  <c r="G681" i="3"/>
  <c r="I681" i="3"/>
  <c r="J681" i="3"/>
  <c r="L681" i="3"/>
  <c r="N681" i="3"/>
  <c r="M681" i="3"/>
  <c r="C681" i="3"/>
  <c r="H681" i="3"/>
  <c r="F681" i="3"/>
  <c r="B681" i="3"/>
  <c r="D680" i="3"/>
  <c r="E680" i="3"/>
  <c r="G680" i="3"/>
  <c r="I680" i="3"/>
  <c r="J680" i="3"/>
  <c r="L680" i="3"/>
  <c r="N680" i="3"/>
  <c r="M680" i="3"/>
  <c r="C680" i="3"/>
  <c r="H680" i="3"/>
  <c r="F680" i="3"/>
  <c r="B680" i="3"/>
  <c r="D679" i="3"/>
  <c r="E679" i="3"/>
  <c r="G679" i="3"/>
  <c r="I679" i="3"/>
  <c r="J679" i="3"/>
  <c r="L679" i="3"/>
  <c r="N679" i="3"/>
  <c r="M679" i="3"/>
  <c r="C679" i="3"/>
  <c r="H679" i="3"/>
  <c r="F679" i="3"/>
  <c r="B679" i="3"/>
  <c r="D678" i="3"/>
  <c r="E678" i="3"/>
  <c r="G678" i="3"/>
  <c r="I678" i="3"/>
  <c r="J678" i="3"/>
  <c r="L678" i="3"/>
  <c r="N678" i="3"/>
  <c r="M678" i="3"/>
  <c r="C678" i="3"/>
  <c r="H678" i="3"/>
  <c r="F678" i="3"/>
  <c r="B678" i="3"/>
  <c r="D677" i="3"/>
  <c r="E677" i="3"/>
  <c r="G677" i="3"/>
  <c r="I677" i="3"/>
  <c r="J677" i="3"/>
  <c r="L677" i="3"/>
  <c r="N677" i="3"/>
  <c r="M677" i="3"/>
  <c r="C677" i="3"/>
  <c r="H677" i="3"/>
  <c r="F677" i="3"/>
  <c r="B677" i="3"/>
  <c r="D676" i="3"/>
  <c r="E676" i="3"/>
  <c r="G676" i="3"/>
  <c r="I676" i="3"/>
  <c r="J676" i="3"/>
  <c r="L676" i="3"/>
  <c r="N676" i="3"/>
  <c r="M676" i="3"/>
  <c r="C676" i="3"/>
  <c r="H676" i="3"/>
  <c r="F676" i="3"/>
  <c r="B676" i="3"/>
  <c r="D675" i="3"/>
  <c r="E675" i="3"/>
  <c r="G675" i="3"/>
  <c r="I675" i="3"/>
  <c r="J675" i="3"/>
  <c r="L675" i="3"/>
  <c r="N675" i="3"/>
  <c r="M675" i="3"/>
  <c r="C675" i="3"/>
  <c r="H675" i="3"/>
  <c r="F675" i="3"/>
  <c r="B675" i="3"/>
  <c r="D674" i="3"/>
  <c r="E674" i="3"/>
  <c r="G674" i="3"/>
  <c r="I674" i="3"/>
  <c r="J674" i="3"/>
  <c r="L674" i="3"/>
  <c r="N674" i="3"/>
  <c r="M674" i="3"/>
  <c r="C674" i="3"/>
  <c r="H674" i="3"/>
  <c r="F674" i="3"/>
  <c r="B674" i="3"/>
  <c r="D673" i="3"/>
  <c r="E673" i="3"/>
  <c r="G673" i="3"/>
  <c r="I673" i="3"/>
  <c r="J673" i="3"/>
  <c r="L673" i="3"/>
  <c r="N673" i="3"/>
  <c r="M673" i="3"/>
  <c r="C673" i="3"/>
  <c r="H673" i="3"/>
  <c r="F673" i="3"/>
  <c r="B673" i="3"/>
  <c r="D672" i="3"/>
  <c r="E672" i="3"/>
  <c r="G672" i="3"/>
  <c r="I672" i="3"/>
  <c r="J672" i="3"/>
  <c r="L672" i="3"/>
  <c r="N672" i="3"/>
  <c r="M672" i="3"/>
  <c r="C672" i="3"/>
  <c r="H672" i="3"/>
  <c r="F672" i="3"/>
  <c r="B672" i="3"/>
  <c r="D671" i="3"/>
  <c r="E671" i="3"/>
  <c r="G671" i="3"/>
  <c r="I671" i="3"/>
  <c r="J671" i="3"/>
  <c r="L671" i="3"/>
  <c r="N671" i="3"/>
  <c r="M671" i="3"/>
  <c r="C671" i="3"/>
  <c r="H671" i="3"/>
  <c r="F671" i="3"/>
  <c r="B671" i="3"/>
  <c r="D670" i="3"/>
  <c r="E670" i="3"/>
  <c r="G670" i="3"/>
  <c r="I670" i="3"/>
  <c r="J670" i="3"/>
  <c r="L670" i="3"/>
  <c r="N670" i="3"/>
  <c r="M670" i="3"/>
  <c r="C670" i="3"/>
  <c r="H670" i="3"/>
  <c r="F670" i="3"/>
  <c r="B670" i="3"/>
  <c r="D669" i="3"/>
  <c r="E669" i="3"/>
  <c r="G669" i="3"/>
  <c r="I669" i="3"/>
  <c r="J669" i="3"/>
  <c r="L669" i="3"/>
  <c r="N669" i="3"/>
  <c r="M669" i="3"/>
  <c r="C669" i="3"/>
  <c r="H669" i="3"/>
  <c r="F669" i="3"/>
  <c r="B669" i="3"/>
  <c r="D668" i="3"/>
  <c r="E668" i="3"/>
  <c r="G668" i="3"/>
  <c r="I668" i="3"/>
  <c r="J668" i="3"/>
  <c r="L668" i="3"/>
  <c r="N668" i="3"/>
  <c r="M668" i="3"/>
  <c r="C668" i="3"/>
  <c r="H668" i="3"/>
  <c r="F668" i="3"/>
  <c r="B668" i="3"/>
  <c r="D667" i="3"/>
  <c r="E667" i="3"/>
  <c r="G667" i="3"/>
  <c r="I667" i="3"/>
  <c r="J667" i="3"/>
  <c r="L667" i="3"/>
  <c r="N667" i="3"/>
  <c r="M667" i="3"/>
  <c r="C667" i="3"/>
  <c r="H667" i="3"/>
  <c r="F667" i="3"/>
  <c r="B667" i="3"/>
  <c r="D666" i="3"/>
  <c r="E666" i="3"/>
  <c r="G666" i="3"/>
  <c r="I666" i="3"/>
  <c r="J666" i="3"/>
  <c r="L666" i="3"/>
  <c r="N666" i="3"/>
  <c r="M666" i="3"/>
  <c r="C666" i="3"/>
  <c r="H666" i="3"/>
  <c r="F666" i="3"/>
  <c r="B666" i="3"/>
  <c r="D665" i="3"/>
  <c r="E665" i="3"/>
  <c r="G665" i="3"/>
  <c r="I665" i="3"/>
  <c r="J665" i="3"/>
  <c r="L665" i="3"/>
  <c r="N665" i="3"/>
  <c r="M665" i="3"/>
  <c r="C665" i="3"/>
  <c r="H665" i="3"/>
  <c r="F665" i="3"/>
  <c r="B665" i="3"/>
  <c r="D664" i="3"/>
  <c r="E664" i="3"/>
  <c r="G664" i="3"/>
  <c r="I664" i="3"/>
  <c r="J664" i="3"/>
  <c r="L664" i="3"/>
  <c r="N664" i="3"/>
  <c r="M664" i="3"/>
  <c r="C664" i="3"/>
  <c r="H664" i="3"/>
  <c r="F664" i="3"/>
  <c r="B664" i="3"/>
  <c r="D663" i="3"/>
  <c r="E663" i="3"/>
  <c r="G663" i="3"/>
  <c r="I663" i="3"/>
  <c r="J663" i="3"/>
  <c r="L663" i="3"/>
  <c r="N663" i="3"/>
  <c r="M663" i="3"/>
  <c r="C663" i="3"/>
  <c r="H663" i="3"/>
  <c r="F663" i="3"/>
  <c r="B663" i="3"/>
  <c r="D662" i="3"/>
  <c r="E662" i="3"/>
  <c r="G662" i="3"/>
  <c r="I662" i="3"/>
  <c r="J662" i="3"/>
  <c r="L662" i="3"/>
  <c r="N662" i="3"/>
  <c r="M662" i="3"/>
  <c r="C662" i="3"/>
  <c r="H662" i="3"/>
  <c r="F662" i="3"/>
  <c r="B662" i="3"/>
  <c r="D661" i="3"/>
  <c r="E661" i="3"/>
  <c r="G661" i="3"/>
  <c r="I661" i="3"/>
  <c r="J661" i="3"/>
  <c r="L661" i="3"/>
  <c r="N661" i="3"/>
  <c r="M661" i="3"/>
  <c r="C661" i="3"/>
  <c r="H661" i="3"/>
  <c r="F661" i="3"/>
  <c r="B661" i="3"/>
  <c r="D660" i="3"/>
  <c r="E660" i="3"/>
  <c r="G660" i="3"/>
  <c r="I660" i="3"/>
  <c r="J660" i="3"/>
  <c r="L660" i="3"/>
  <c r="N660" i="3"/>
  <c r="M660" i="3"/>
  <c r="C660" i="3"/>
  <c r="H660" i="3"/>
  <c r="F660" i="3"/>
  <c r="B660" i="3"/>
  <c r="D659" i="3"/>
  <c r="E659" i="3"/>
  <c r="G659" i="3"/>
  <c r="I659" i="3"/>
  <c r="J659" i="3"/>
  <c r="L659" i="3"/>
  <c r="N659" i="3"/>
  <c r="M659" i="3"/>
  <c r="C659" i="3"/>
  <c r="H659" i="3"/>
  <c r="F659" i="3"/>
  <c r="B659" i="3"/>
  <c r="D658" i="3"/>
  <c r="E658" i="3"/>
  <c r="G658" i="3"/>
  <c r="I658" i="3"/>
  <c r="J658" i="3"/>
  <c r="L658" i="3"/>
  <c r="N658" i="3"/>
  <c r="M658" i="3"/>
  <c r="C658" i="3"/>
  <c r="H658" i="3"/>
  <c r="F658" i="3"/>
  <c r="B658" i="3"/>
  <c r="D657" i="3"/>
  <c r="E657" i="3"/>
  <c r="G657" i="3"/>
  <c r="I657" i="3"/>
  <c r="J657" i="3"/>
  <c r="L657" i="3"/>
  <c r="N657" i="3"/>
  <c r="M657" i="3"/>
  <c r="C657" i="3"/>
  <c r="H657" i="3"/>
  <c r="F657" i="3"/>
  <c r="B657" i="3"/>
  <c r="D656" i="3"/>
  <c r="E656" i="3"/>
  <c r="G656" i="3"/>
  <c r="I656" i="3"/>
  <c r="J656" i="3"/>
  <c r="L656" i="3"/>
  <c r="N656" i="3"/>
  <c r="M656" i="3"/>
  <c r="C656" i="3"/>
  <c r="H656" i="3"/>
  <c r="F656" i="3"/>
  <c r="B656" i="3"/>
  <c r="D655" i="3"/>
  <c r="E655" i="3"/>
  <c r="G655" i="3"/>
  <c r="I655" i="3"/>
  <c r="J655" i="3"/>
  <c r="L655" i="3"/>
  <c r="N655" i="3"/>
  <c r="M655" i="3"/>
  <c r="C655" i="3"/>
  <c r="H655" i="3"/>
  <c r="F655" i="3"/>
  <c r="B655" i="3"/>
  <c r="D654" i="3"/>
  <c r="E654" i="3"/>
  <c r="G654" i="3"/>
  <c r="I654" i="3"/>
  <c r="J654" i="3"/>
  <c r="L654" i="3"/>
  <c r="N654" i="3"/>
  <c r="M654" i="3"/>
  <c r="C654" i="3"/>
  <c r="H654" i="3"/>
  <c r="F654" i="3"/>
  <c r="B654" i="3"/>
  <c r="D653" i="3"/>
  <c r="E653" i="3"/>
  <c r="G653" i="3"/>
  <c r="I653" i="3"/>
  <c r="J653" i="3"/>
  <c r="L653" i="3"/>
  <c r="N653" i="3"/>
  <c r="M653" i="3"/>
  <c r="C653" i="3"/>
  <c r="H653" i="3"/>
  <c r="F653" i="3"/>
  <c r="B653" i="3"/>
  <c r="D652" i="3"/>
  <c r="E652" i="3"/>
  <c r="G652" i="3"/>
  <c r="I652" i="3"/>
  <c r="J652" i="3"/>
  <c r="L652" i="3"/>
  <c r="N652" i="3"/>
  <c r="M652" i="3"/>
  <c r="C652" i="3"/>
  <c r="H652" i="3"/>
  <c r="F652" i="3"/>
  <c r="B652" i="3"/>
  <c r="D651" i="3"/>
  <c r="E651" i="3"/>
  <c r="G651" i="3"/>
  <c r="I651" i="3"/>
  <c r="J651" i="3"/>
  <c r="L651" i="3"/>
  <c r="N651" i="3"/>
  <c r="M651" i="3"/>
  <c r="C651" i="3"/>
  <c r="H651" i="3"/>
  <c r="F651" i="3"/>
  <c r="B651" i="3"/>
  <c r="D650" i="3"/>
  <c r="E650" i="3"/>
  <c r="G650" i="3"/>
  <c r="I650" i="3"/>
  <c r="J650" i="3"/>
  <c r="L650" i="3"/>
  <c r="N650" i="3"/>
  <c r="M650" i="3"/>
  <c r="C650" i="3"/>
  <c r="H650" i="3"/>
  <c r="F650" i="3"/>
  <c r="B650" i="3"/>
  <c r="D649" i="3"/>
  <c r="E649" i="3"/>
  <c r="G649" i="3"/>
  <c r="I649" i="3"/>
  <c r="J649" i="3"/>
  <c r="L649" i="3"/>
  <c r="N649" i="3"/>
  <c r="M649" i="3"/>
  <c r="C649" i="3"/>
  <c r="H649" i="3"/>
  <c r="F649" i="3"/>
  <c r="B649" i="3"/>
  <c r="D648" i="3"/>
  <c r="E648" i="3"/>
  <c r="G648" i="3"/>
  <c r="I648" i="3"/>
  <c r="J648" i="3"/>
  <c r="L648" i="3"/>
  <c r="N648" i="3"/>
  <c r="M648" i="3"/>
  <c r="C648" i="3"/>
  <c r="H648" i="3"/>
  <c r="F648" i="3"/>
  <c r="B648" i="3"/>
  <c r="D647" i="3"/>
  <c r="E647" i="3"/>
  <c r="G647" i="3"/>
  <c r="I647" i="3"/>
  <c r="J647" i="3"/>
  <c r="L647" i="3"/>
  <c r="N647" i="3"/>
  <c r="M647" i="3"/>
  <c r="C647" i="3"/>
  <c r="H647" i="3"/>
  <c r="F647" i="3"/>
  <c r="B647" i="3"/>
  <c r="D646" i="3"/>
  <c r="E646" i="3"/>
  <c r="G646" i="3"/>
  <c r="I646" i="3"/>
  <c r="J646" i="3"/>
  <c r="L646" i="3"/>
  <c r="N646" i="3"/>
  <c r="M646" i="3"/>
  <c r="C646" i="3"/>
  <c r="H646" i="3"/>
  <c r="F646" i="3"/>
  <c r="B646" i="3"/>
  <c r="D645" i="3"/>
  <c r="E645" i="3"/>
  <c r="G645" i="3"/>
  <c r="I645" i="3"/>
  <c r="J645" i="3"/>
  <c r="L645" i="3"/>
  <c r="N645" i="3"/>
  <c r="M645" i="3"/>
  <c r="C645" i="3"/>
  <c r="H645" i="3"/>
  <c r="F645" i="3"/>
  <c r="B645" i="3"/>
  <c r="D644" i="3"/>
  <c r="E644" i="3"/>
  <c r="G644" i="3"/>
  <c r="I644" i="3"/>
  <c r="J644" i="3"/>
  <c r="L644" i="3"/>
  <c r="N644" i="3"/>
  <c r="M644" i="3"/>
  <c r="C644" i="3"/>
  <c r="H644" i="3"/>
  <c r="F644" i="3"/>
  <c r="B644" i="3"/>
  <c r="D643" i="3"/>
  <c r="E643" i="3"/>
  <c r="G643" i="3"/>
  <c r="I643" i="3"/>
  <c r="J643" i="3"/>
  <c r="L643" i="3"/>
  <c r="N643" i="3"/>
  <c r="M643" i="3"/>
  <c r="C643" i="3"/>
  <c r="H643" i="3"/>
  <c r="F643" i="3"/>
  <c r="B643" i="3"/>
  <c r="D642" i="3"/>
  <c r="E642" i="3"/>
  <c r="G642" i="3"/>
  <c r="I642" i="3"/>
  <c r="J642" i="3"/>
  <c r="L642" i="3"/>
  <c r="N642" i="3"/>
  <c r="M642" i="3"/>
  <c r="C642" i="3"/>
  <c r="H642" i="3"/>
  <c r="F642" i="3"/>
  <c r="B642" i="3"/>
  <c r="D641" i="3"/>
  <c r="E641" i="3"/>
  <c r="G641" i="3"/>
  <c r="I641" i="3"/>
  <c r="J641" i="3"/>
  <c r="L641" i="3"/>
  <c r="N641" i="3"/>
  <c r="M641" i="3"/>
  <c r="C641" i="3"/>
  <c r="H641" i="3"/>
  <c r="F641" i="3"/>
  <c r="B641" i="3"/>
  <c r="D640" i="3"/>
  <c r="E640" i="3"/>
  <c r="G640" i="3"/>
  <c r="I640" i="3"/>
  <c r="J640" i="3"/>
  <c r="L640" i="3"/>
  <c r="N640" i="3"/>
  <c r="M640" i="3"/>
  <c r="C640" i="3"/>
  <c r="H640" i="3"/>
  <c r="F640" i="3"/>
  <c r="B640" i="3"/>
  <c r="D639" i="3"/>
  <c r="E639" i="3"/>
  <c r="G639" i="3"/>
  <c r="I639" i="3"/>
  <c r="J639" i="3"/>
  <c r="L639" i="3"/>
  <c r="N639" i="3"/>
  <c r="M639" i="3"/>
  <c r="C639" i="3"/>
  <c r="H639" i="3"/>
  <c r="F639" i="3"/>
  <c r="B639" i="3"/>
  <c r="D638" i="3"/>
  <c r="E638" i="3"/>
  <c r="G638" i="3"/>
  <c r="I638" i="3"/>
  <c r="J638" i="3"/>
  <c r="L638" i="3"/>
  <c r="N638" i="3"/>
  <c r="M638" i="3"/>
  <c r="C638" i="3"/>
  <c r="H638" i="3"/>
  <c r="F638" i="3"/>
  <c r="B638" i="3"/>
  <c r="D637" i="3"/>
  <c r="E637" i="3"/>
  <c r="G637" i="3"/>
  <c r="I637" i="3"/>
  <c r="J637" i="3"/>
  <c r="L637" i="3"/>
  <c r="N637" i="3"/>
  <c r="M637" i="3"/>
  <c r="C637" i="3"/>
  <c r="H637" i="3"/>
  <c r="F637" i="3"/>
  <c r="B637" i="3"/>
  <c r="D636" i="3"/>
  <c r="E636" i="3"/>
  <c r="G636" i="3"/>
  <c r="I636" i="3"/>
  <c r="J636" i="3"/>
  <c r="L636" i="3"/>
  <c r="N636" i="3"/>
  <c r="M636" i="3"/>
  <c r="C636" i="3"/>
  <c r="H636" i="3"/>
  <c r="F636" i="3"/>
  <c r="B636" i="3"/>
  <c r="D635" i="3"/>
  <c r="E635" i="3"/>
  <c r="G635" i="3"/>
  <c r="I635" i="3"/>
  <c r="J635" i="3"/>
  <c r="L635" i="3"/>
  <c r="N635" i="3"/>
  <c r="M635" i="3"/>
  <c r="C635" i="3"/>
  <c r="H635" i="3"/>
  <c r="F635" i="3"/>
  <c r="B635" i="3"/>
  <c r="D634" i="3"/>
  <c r="E634" i="3"/>
  <c r="G634" i="3"/>
  <c r="I634" i="3"/>
  <c r="J634" i="3"/>
  <c r="L634" i="3"/>
  <c r="N634" i="3"/>
  <c r="M634" i="3"/>
  <c r="C634" i="3"/>
  <c r="H634" i="3"/>
  <c r="F634" i="3"/>
  <c r="B634" i="3"/>
  <c r="D633" i="3"/>
  <c r="E633" i="3"/>
  <c r="G633" i="3"/>
  <c r="I633" i="3"/>
  <c r="J633" i="3"/>
  <c r="L633" i="3"/>
  <c r="N633" i="3"/>
  <c r="M633" i="3"/>
  <c r="C633" i="3"/>
  <c r="H633" i="3"/>
  <c r="F633" i="3"/>
  <c r="B633" i="3"/>
  <c r="D632" i="3"/>
  <c r="E632" i="3"/>
  <c r="G632" i="3"/>
  <c r="I632" i="3"/>
  <c r="J632" i="3"/>
  <c r="L632" i="3"/>
  <c r="N632" i="3"/>
  <c r="M632" i="3"/>
  <c r="C632" i="3"/>
  <c r="H632" i="3"/>
  <c r="F632" i="3"/>
  <c r="B632" i="3"/>
  <c r="D631" i="3"/>
  <c r="E631" i="3"/>
  <c r="G631" i="3"/>
  <c r="I631" i="3"/>
  <c r="J631" i="3"/>
  <c r="L631" i="3"/>
  <c r="N631" i="3"/>
  <c r="M631" i="3"/>
  <c r="C631" i="3"/>
  <c r="H631" i="3"/>
  <c r="F631" i="3"/>
  <c r="B631" i="3"/>
  <c r="D630" i="3"/>
  <c r="E630" i="3"/>
  <c r="G630" i="3"/>
  <c r="I630" i="3"/>
  <c r="J630" i="3"/>
  <c r="L630" i="3"/>
  <c r="N630" i="3"/>
  <c r="M630" i="3"/>
  <c r="C630" i="3"/>
  <c r="H630" i="3"/>
  <c r="F630" i="3"/>
  <c r="B630" i="3"/>
  <c r="D629" i="3"/>
  <c r="E629" i="3"/>
  <c r="G629" i="3"/>
  <c r="I629" i="3"/>
  <c r="J629" i="3"/>
  <c r="L629" i="3"/>
  <c r="N629" i="3"/>
  <c r="M629" i="3"/>
  <c r="C629" i="3"/>
  <c r="H629" i="3"/>
  <c r="F629" i="3"/>
  <c r="B629" i="3"/>
  <c r="D628" i="3"/>
  <c r="E628" i="3"/>
  <c r="G628" i="3"/>
  <c r="I628" i="3"/>
  <c r="J628" i="3"/>
  <c r="L628" i="3"/>
  <c r="N628" i="3"/>
  <c r="M628" i="3"/>
  <c r="C628" i="3"/>
  <c r="H628" i="3"/>
  <c r="F628" i="3"/>
  <c r="B628" i="3"/>
  <c r="D627" i="3"/>
  <c r="E627" i="3"/>
  <c r="G627" i="3"/>
  <c r="I627" i="3"/>
  <c r="J627" i="3"/>
  <c r="L627" i="3"/>
  <c r="N627" i="3"/>
  <c r="M627" i="3"/>
  <c r="C627" i="3"/>
  <c r="H627" i="3"/>
  <c r="F627" i="3"/>
  <c r="B627" i="3"/>
  <c r="D626" i="3"/>
  <c r="E626" i="3"/>
  <c r="G626" i="3"/>
  <c r="I626" i="3"/>
  <c r="J626" i="3"/>
  <c r="L626" i="3"/>
  <c r="N626" i="3"/>
  <c r="M626" i="3"/>
  <c r="C626" i="3"/>
  <c r="H626" i="3"/>
  <c r="F626" i="3"/>
  <c r="B626" i="3"/>
  <c r="D625" i="3"/>
  <c r="E625" i="3"/>
  <c r="G625" i="3"/>
  <c r="I625" i="3"/>
  <c r="J625" i="3"/>
  <c r="L625" i="3"/>
  <c r="N625" i="3"/>
  <c r="M625" i="3"/>
  <c r="C625" i="3"/>
  <c r="H625" i="3"/>
  <c r="F625" i="3"/>
  <c r="B625" i="3"/>
  <c r="D624" i="3"/>
  <c r="E624" i="3"/>
  <c r="G624" i="3"/>
  <c r="I624" i="3"/>
  <c r="J624" i="3"/>
  <c r="L624" i="3"/>
  <c r="N624" i="3"/>
  <c r="M624" i="3"/>
  <c r="C624" i="3"/>
  <c r="H624" i="3"/>
  <c r="F624" i="3"/>
  <c r="B624" i="3"/>
  <c r="D623" i="3"/>
  <c r="E623" i="3"/>
  <c r="G623" i="3"/>
  <c r="I623" i="3"/>
  <c r="J623" i="3"/>
  <c r="L623" i="3"/>
  <c r="N623" i="3"/>
  <c r="M623" i="3"/>
  <c r="C623" i="3"/>
  <c r="H623" i="3"/>
  <c r="F623" i="3"/>
  <c r="B623" i="3"/>
  <c r="D622" i="3"/>
  <c r="E622" i="3"/>
  <c r="G622" i="3"/>
  <c r="I622" i="3"/>
  <c r="J622" i="3"/>
  <c r="L622" i="3"/>
  <c r="N622" i="3"/>
  <c r="M622" i="3"/>
  <c r="C622" i="3"/>
  <c r="H622" i="3"/>
  <c r="F622" i="3"/>
  <c r="B622" i="3"/>
  <c r="D621" i="3"/>
  <c r="E621" i="3"/>
  <c r="G621" i="3"/>
  <c r="I621" i="3"/>
  <c r="J621" i="3"/>
  <c r="L621" i="3"/>
  <c r="N621" i="3"/>
  <c r="M621" i="3"/>
  <c r="C621" i="3"/>
  <c r="H621" i="3"/>
  <c r="F621" i="3"/>
  <c r="B621" i="3"/>
  <c r="D620" i="3"/>
  <c r="E620" i="3"/>
  <c r="G620" i="3"/>
  <c r="I620" i="3"/>
  <c r="J620" i="3"/>
  <c r="L620" i="3"/>
  <c r="N620" i="3"/>
  <c r="M620" i="3"/>
  <c r="C620" i="3"/>
  <c r="H620" i="3"/>
  <c r="F620" i="3"/>
  <c r="B620" i="3"/>
  <c r="D619" i="3"/>
  <c r="E619" i="3"/>
  <c r="G619" i="3"/>
  <c r="I619" i="3"/>
  <c r="J619" i="3"/>
  <c r="L619" i="3"/>
  <c r="N619" i="3"/>
  <c r="M619" i="3"/>
  <c r="C619" i="3"/>
  <c r="H619" i="3"/>
  <c r="F619" i="3"/>
  <c r="B619" i="3"/>
  <c r="D618" i="3"/>
  <c r="E618" i="3"/>
  <c r="G618" i="3"/>
  <c r="I618" i="3"/>
  <c r="J618" i="3"/>
  <c r="L618" i="3"/>
  <c r="N618" i="3"/>
  <c r="M618" i="3"/>
  <c r="C618" i="3"/>
  <c r="H618" i="3"/>
  <c r="F618" i="3"/>
  <c r="B618" i="3"/>
  <c r="D617" i="3"/>
  <c r="E617" i="3"/>
  <c r="G617" i="3"/>
  <c r="I617" i="3"/>
  <c r="J617" i="3"/>
  <c r="L617" i="3"/>
  <c r="N617" i="3"/>
  <c r="M617" i="3"/>
  <c r="C617" i="3"/>
  <c r="H617" i="3"/>
  <c r="F617" i="3"/>
  <c r="B617" i="3"/>
  <c r="D616" i="3"/>
  <c r="E616" i="3"/>
  <c r="G616" i="3"/>
  <c r="I616" i="3"/>
  <c r="J616" i="3"/>
  <c r="L616" i="3"/>
  <c r="N616" i="3"/>
  <c r="M616" i="3"/>
  <c r="C616" i="3"/>
  <c r="H616" i="3"/>
  <c r="F616" i="3"/>
  <c r="B616" i="3"/>
  <c r="D615" i="3"/>
  <c r="E615" i="3"/>
  <c r="G615" i="3"/>
  <c r="I615" i="3"/>
  <c r="J615" i="3"/>
  <c r="L615" i="3"/>
  <c r="N615" i="3"/>
  <c r="M615" i="3"/>
  <c r="C615" i="3"/>
  <c r="H615" i="3"/>
  <c r="F615" i="3"/>
  <c r="B615" i="3"/>
  <c r="D614" i="3"/>
  <c r="E614" i="3"/>
  <c r="G614" i="3"/>
  <c r="I614" i="3"/>
  <c r="J614" i="3"/>
  <c r="L614" i="3"/>
  <c r="N614" i="3"/>
  <c r="M614" i="3"/>
  <c r="C614" i="3"/>
  <c r="H614" i="3"/>
  <c r="F614" i="3"/>
  <c r="B614" i="3"/>
  <c r="D613" i="3"/>
  <c r="E613" i="3"/>
  <c r="G613" i="3"/>
  <c r="I613" i="3"/>
  <c r="J613" i="3"/>
  <c r="L613" i="3"/>
  <c r="N613" i="3"/>
  <c r="M613" i="3"/>
  <c r="C613" i="3"/>
  <c r="H613" i="3"/>
  <c r="F613" i="3"/>
  <c r="B613" i="3"/>
  <c r="D612" i="3"/>
  <c r="E612" i="3"/>
  <c r="G612" i="3"/>
  <c r="I612" i="3"/>
  <c r="J612" i="3"/>
  <c r="L612" i="3"/>
  <c r="N612" i="3"/>
  <c r="M612" i="3"/>
  <c r="C612" i="3"/>
  <c r="H612" i="3"/>
  <c r="F612" i="3"/>
  <c r="B612" i="3"/>
  <c r="D611" i="3"/>
  <c r="E611" i="3"/>
  <c r="G611" i="3"/>
  <c r="I611" i="3"/>
  <c r="J611" i="3"/>
  <c r="L611" i="3"/>
  <c r="N611" i="3"/>
  <c r="M611" i="3"/>
  <c r="C611" i="3"/>
  <c r="H611" i="3"/>
  <c r="F611" i="3"/>
  <c r="B611" i="3"/>
  <c r="D610" i="3"/>
  <c r="E610" i="3"/>
  <c r="G610" i="3"/>
  <c r="I610" i="3"/>
  <c r="J610" i="3"/>
  <c r="L610" i="3"/>
  <c r="N610" i="3"/>
  <c r="M610" i="3"/>
  <c r="C610" i="3"/>
  <c r="H610" i="3"/>
  <c r="F610" i="3"/>
  <c r="B610" i="3"/>
  <c r="D609" i="3"/>
  <c r="E609" i="3"/>
  <c r="G609" i="3"/>
  <c r="I609" i="3"/>
  <c r="J609" i="3"/>
  <c r="L609" i="3"/>
  <c r="N609" i="3"/>
  <c r="M609" i="3"/>
  <c r="C609" i="3"/>
  <c r="H609" i="3"/>
  <c r="F609" i="3"/>
  <c r="B609" i="3"/>
  <c r="D608" i="3"/>
  <c r="E608" i="3"/>
  <c r="G608" i="3"/>
  <c r="I608" i="3"/>
  <c r="J608" i="3"/>
  <c r="L608" i="3"/>
  <c r="N608" i="3"/>
  <c r="M608" i="3"/>
  <c r="C608" i="3"/>
  <c r="H608" i="3"/>
  <c r="F608" i="3"/>
  <c r="B608" i="3"/>
  <c r="D607" i="3"/>
  <c r="E607" i="3"/>
  <c r="G607" i="3"/>
  <c r="I607" i="3"/>
  <c r="J607" i="3"/>
  <c r="L607" i="3"/>
  <c r="N607" i="3"/>
  <c r="M607" i="3"/>
  <c r="C607" i="3"/>
  <c r="H607" i="3"/>
  <c r="F607" i="3"/>
  <c r="B607" i="3"/>
  <c r="D606" i="3"/>
  <c r="E606" i="3"/>
  <c r="G606" i="3"/>
  <c r="I606" i="3"/>
  <c r="J606" i="3"/>
  <c r="L606" i="3"/>
  <c r="N606" i="3"/>
  <c r="M606" i="3"/>
  <c r="C606" i="3"/>
  <c r="H606" i="3"/>
  <c r="F606" i="3"/>
  <c r="B606" i="3"/>
  <c r="D605" i="3"/>
  <c r="E605" i="3"/>
  <c r="G605" i="3"/>
  <c r="I605" i="3"/>
  <c r="J605" i="3"/>
  <c r="L605" i="3"/>
  <c r="N605" i="3"/>
  <c r="M605" i="3"/>
  <c r="C605" i="3"/>
  <c r="H605" i="3"/>
  <c r="F605" i="3"/>
  <c r="B605" i="3"/>
  <c r="D604" i="3"/>
  <c r="E604" i="3"/>
  <c r="G604" i="3"/>
  <c r="I604" i="3"/>
  <c r="J604" i="3"/>
  <c r="L604" i="3"/>
  <c r="N604" i="3"/>
  <c r="M604" i="3"/>
  <c r="C604" i="3"/>
  <c r="H604" i="3"/>
  <c r="F604" i="3"/>
  <c r="B604" i="3"/>
  <c r="D603" i="3"/>
  <c r="E603" i="3"/>
  <c r="G603" i="3"/>
  <c r="I603" i="3"/>
  <c r="J603" i="3"/>
  <c r="L603" i="3"/>
  <c r="N603" i="3"/>
  <c r="M603" i="3"/>
  <c r="C603" i="3"/>
  <c r="H603" i="3"/>
  <c r="F603" i="3"/>
  <c r="B603" i="3"/>
  <c r="D602" i="3"/>
  <c r="E602" i="3"/>
  <c r="G602" i="3"/>
  <c r="I602" i="3"/>
  <c r="J602" i="3"/>
  <c r="L602" i="3"/>
  <c r="N602" i="3"/>
  <c r="M602" i="3"/>
  <c r="C602" i="3"/>
  <c r="H602" i="3"/>
  <c r="F602" i="3"/>
  <c r="B602" i="3"/>
  <c r="D601" i="3"/>
  <c r="E601" i="3"/>
  <c r="G601" i="3"/>
  <c r="I601" i="3"/>
  <c r="J601" i="3"/>
  <c r="L601" i="3"/>
  <c r="N601" i="3"/>
  <c r="M601" i="3"/>
  <c r="C601" i="3"/>
  <c r="H601" i="3"/>
  <c r="F601" i="3"/>
  <c r="B601" i="3"/>
  <c r="D600" i="3"/>
  <c r="E600" i="3"/>
  <c r="G600" i="3"/>
  <c r="I600" i="3"/>
  <c r="J600" i="3"/>
  <c r="L600" i="3"/>
  <c r="N600" i="3"/>
  <c r="M600" i="3"/>
  <c r="C600" i="3"/>
  <c r="H600" i="3"/>
  <c r="F600" i="3"/>
  <c r="B600" i="3"/>
  <c r="D599" i="3"/>
  <c r="E599" i="3"/>
  <c r="G599" i="3"/>
  <c r="I599" i="3"/>
  <c r="J599" i="3"/>
  <c r="L599" i="3"/>
  <c r="N599" i="3"/>
  <c r="M599" i="3"/>
  <c r="C599" i="3"/>
  <c r="H599" i="3"/>
  <c r="F599" i="3"/>
  <c r="B599" i="3"/>
  <c r="D598" i="3"/>
  <c r="E598" i="3"/>
  <c r="G598" i="3"/>
  <c r="I598" i="3"/>
  <c r="J598" i="3"/>
  <c r="L598" i="3"/>
  <c r="N598" i="3"/>
  <c r="M598" i="3"/>
  <c r="C598" i="3"/>
  <c r="H598" i="3"/>
  <c r="F598" i="3"/>
  <c r="B598" i="3"/>
  <c r="D597" i="3"/>
  <c r="E597" i="3"/>
  <c r="G597" i="3"/>
  <c r="I597" i="3"/>
  <c r="J597" i="3"/>
  <c r="L597" i="3"/>
  <c r="N597" i="3"/>
  <c r="M597" i="3"/>
  <c r="C597" i="3"/>
  <c r="H597" i="3"/>
  <c r="F597" i="3"/>
  <c r="B597" i="3"/>
  <c r="D596" i="3"/>
  <c r="E596" i="3"/>
  <c r="G596" i="3"/>
  <c r="I596" i="3"/>
  <c r="J596" i="3"/>
  <c r="L596" i="3"/>
  <c r="N596" i="3"/>
  <c r="M596" i="3"/>
  <c r="C596" i="3"/>
  <c r="H596" i="3"/>
  <c r="F596" i="3"/>
  <c r="B596" i="3"/>
  <c r="D595" i="3"/>
  <c r="E595" i="3"/>
  <c r="G595" i="3"/>
  <c r="I595" i="3"/>
  <c r="J595" i="3"/>
  <c r="L595" i="3"/>
  <c r="N595" i="3"/>
  <c r="M595" i="3"/>
  <c r="C595" i="3"/>
  <c r="H595" i="3"/>
  <c r="F595" i="3"/>
  <c r="B595" i="3"/>
  <c r="D594" i="3"/>
  <c r="E594" i="3"/>
  <c r="G594" i="3"/>
  <c r="I594" i="3"/>
  <c r="J594" i="3"/>
  <c r="L594" i="3"/>
  <c r="N594" i="3"/>
  <c r="M594" i="3"/>
  <c r="C594" i="3"/>
  <c r="H594" i="3"/>
  <c r="F594" i="3"/>
  <c r="B594" i="3"/>
  <c r="D593" i="3"/>
  <c r="E593" i="3"/>
  <c r="G593" i="3"/>
  <c r="I593" i="3"/>
  <c r="J593" i="3"/>
  <c r="L593" i="3"/>
  <c r="N593" i="3"/>
  <c r="M593" i="3"/>
  <c r="C593" i="3"/>
  <c r="H593" i="3"/>
  <c r="F593" i="3"/>
  <c r="B593" i="3"/>
  <c r="D592" i="3"/>
  <c r="E592" i="3"/>
  <c r="G592" i="3"/>
  <c r="I592" i="3"/>
  <c r="J592" i="3"/>
  <c r="L592" i="3"/>
  <c r="N592" i="3"/>
  <c r="M592" i="3"/>
  <c r="C592" i="3"/>
  <c r="H592" i="3"/>
  <c r="F592" i="3"/>
  <c r="B592" i="3"/>
  <c r="D591" i="3"/>
  <c r="E591" i="3"/>
  <c r="G591" i="3"/>
  <c r="I591" i="3"/>
  <c r="J591" i="3"/>
  <c r="L591" i="3"/>
  <c r="N591" i="3"/>
  <c r="M591" i="3"/>
  <c r="C591" i="3"/>
  <c r="H591" i="3"/>
  <c r="F591" i="3"/>
  <c r="B591" i="3"/>
  <c r="D590" i="3"/>
  <c r="E590" i="3"/>
  <c r="G590" i="3"/>
  <c r="I590" i="3"/>
  <c r="J590" i="3"/>
  <c r="L590" i="3"/>
  <c r="N590" i="3"/>
  <c r="M590" i="3"/>
  <c r="C590" i="3"/>
  <c r="H590" i="3"/>
  <c r="F590" i="3"/>
  <c r="B590" i="3"/>
  <c r="D589" i="3"/>
  <c r="E589" i="3"/>
  <c r="G589" i="3"/>
  <c r="I589" i="3"/>
  <c r="J589" i="3"/>
  <c r="L589" i="3"/>
  <c r="N589" i="3"/>
  <c r="M589" i="3"/>
  <c r="C589" i="3"/>
  <c r="H589" i="3"/>
  <c r="F589" i="3"/>
  <c r="B589" i="3"/>
  <c r="D588" i="3"/>
  <c r="E588" i="3"/>
  <c r="G588" i="3"/>
  <c r="I588" i="3"/>
  <c r="J588" i="3"/>
  <c r="L588" i="3"/>
  <c r="N588" i="3"/>
  <c r="M588" i="3"/>
  <c r="C588" i="3"/>
  <c r="H588" i="3"/>
  <c r="F588" i="3"/>
  <c r="B588" i="3"/>
  <c r="D587" i="3"/>
  <c r="E587" i="3"/>
  <c r="G587" i="3"/>
  <c r="I587" i="3"/>
  <c r="J587" i="3"/>
  <c r="L587" i="3"/>
  <c r="N587" i="3"/>
  <c r="M587" i="3"/>
  <c r="C587" i="3"/>
  <c r="H587" i="3"/>
  <c r="F587" i="3"/>
  <c r="B587" i="3"/>
  <c r="D586" i="3"/>
  <c r="E586" i="3"/>
  <c r="G586" i="3"/>
  <c r="I586" i="3"/>
  <c r="J586" i="3"/>
  <c r="L586" i="3"/>
  <c r="N586" i="3"/>
  <c r="M586" i="3"/>
  <c r="C586" i="3"/>
  <c r="H586" i="3"/>
  <c r="F586" i="3"/>
  <c r="B586" i="3"/>
  <c r="D585" i="3"/>
  <c r="E585" i="3"/>
  <c r="G585" i="3"/>
  <c r="I585" i="3"/>
  <c r="J585" i="3"/>
  <c r="L585" i="3"/>
  <c r="N585" i="3"/>
  <c r="M585" i="3"/>
  <c r="C585" i="3"/>
  <c r="H585" i="3"/>
  <c r="F585" i="3"/>
  <c r="B585" i="3"/>
  <c r="D584" i="3"/>
  <c r="E584" i="3"/>
  <c r="G584" i="3"/>
  <c r="I584" i="3"/>
  <c r="J584" i="3"/>
  <c r="L584" i="3"/>
  <c r="N584" i="3"/>
  <c r="M584" i="3"/>
  <c r="C584" i="3"/>
  <c r="H584" i="3"/>
  <c r="F584" i="3"/>
  <c r="B584" i="3"/>
  <c r="D583" i="3"/>
  <c r="E583" i="3"/>
  <c r="G583" i="3"/>
  <c r="I583" i="3"/>
  <c r="J583" i="3"/>
  <c r="L583" i="3"/>
  <c r="N583" i="3"/>
  <c r="M583" i="3"/>
  <c r="C583" i="3"/>
  <c r="H583" i="3"/>
  <c r="F583" i="3"/>
  <c r="B583" i="3"/>
  <c r="D582" i="3"/>
  <c r="E582" i="3"/>
  <c r="G582" i="3"/>
  <c r="I582" i="3"/>
  <c r="J582" i="3"/>
  <c r="L582" i="3"/>
  <c r="N582" i="3"/>
  <c r="M582" i="3"/>
  <c r="C582" i="3"/>
  <c r="H582" i="3"/>
  <c r="F582" i="3"/>
  <c r="B582" i="3"/>
  <c r="D581" i="3"/>
  <c r="E581" i="3"/>
  <c r="G581" i="3"/>
  <c r="I581" i="3"/>
  <c r="J581" i="3"/>
  <c r="L581" i="3"/>
  <c r="N581" i="3"/>
  <c r="M581" i="3"/>
  <c r="C581" i="3"/>
  <c r="H581" i="3"/>
  <c r="F581" i="3"/>
  <c r="B581" i="3"/>
  <c r="D580" i="3"/>
  <c r="E580" i="3"/>
  <c r="G580" i="3"/>
  <c r="I580" i="3"/>
  <c r="J580" i="3"/>
  <c r="L580" i="3"/>
  <c r="N580" i="3"/>
  <c r="M580" i="3"/>
  <c r="C580" i="3"/>
  <c r="H580" i="3"/>
  <c r="F580" i="3"/>
  <c r="B580" i="3"/>
  <c r="D579" i="3"/>
  <c r="E579" i="3"/>
  <c r="G579" i="3"/>
  <c r="I579" i="3"/>
  <c r="J579" i="3"/>
  <c r="L579" i="3"/>
  <c r="N579" i="3"/>
  <c r="M579" i="3"/>
  <c r="C579" i="3"/>
  <c r="H579" i="3"/>
  <c r="F579" i="3"/>
  <c r="B579" i="3"/>
  <c r="D578" i="3"/>
  <c r="E578" i="3"/>
  <c r="G578" i="3"/>
  <c r="I578" i="3"/>
  <c r="J578" i="3"/>
  <c r="L578" i="3"/>
  <c r="N578" i="3"/>
  <c r="M578" i="3"/>
  <c r="C578" i="3"/>
  <c r="H578" i="3"/>
  <c r="F578" i="3"/>
  <c r="B578" i="3"/>
  <c r="D577" i="3"/>
  <c r="E577" i="3"/>
  <c r="G577" i="3"/>
  <c r="I577" i="3"/>
  <c r="J577" i="3"/>
  <c r="L577" i="3"/>
  <c r="N577" i="3"/>
  <c r="M577" i="3"/>
  <c r="C577" i="3"/>
  <c r="H577" i="3"/>
  <c r="F577" i="3"/>
  <c r="B577" i="3"/>
  <c r="D576" i="3"/>
  <c r="E576" i="3"/>
  <c r="G576" i="3"/>
  <c r="I576" i="3"/>
  <c r="J576" i="3"/>
  <c r="L576" i="3"/>
  <c r="N576" i="3"/>
  <c r="M576" i="3"/>
  <c r="C576" i="3"/>
  <c r="H576" i="3"/>
  <c r="F576" i="3"/>
  <c r="B576" i="3"/>
  <c r="D575" i="3"/>
  <c r="E575" i="3"/>
  <c r="G575" i="3"/>
  <c r="I575" i="3"/>
  <c r="J575" i="3"/>
  <c r="L575" i="3"/>
  <c r="N575" i="3"/>
  <c r="M575" i="3"/>
  <c r="C575" i="3"/>
  <c r="H575" i="3"/>
  <c r="F575" i="3"/>
  <c r="B575" i="3"/>
  <c r="D574" i="3"/>
  <c r="E574" i="3"/>
  <c r="G574" i="3"/>
  <c r="I574" i="3"/>
  <c r="J574" i="3"/>
  <c r="L574" i="3"/>
  <c r="N574" i="3"/>
  <c r="M574" i="3"/>
  <c r="C574" i="3"/>
  <c r="H574" i="3"/>
  <c r="F574" i="3"/>
  <c r="B574" i="3"/>
  <c r="D573" i="3"/>
  <c r="E573" i="3"/>
  <c r="G573" i="3"/>
  <c r="I573" i="3"/>
  <c r="J573" i="3"/>
  <c r="L573" i="3"/>
  <c r="N573" i="3"/>
  <c r="M573" i="3"/>
  <c r="C573" i="3"/>
  <c r="H573" i="3"/>
  <c r="F573" i="3"/>
  <c r="B573" i="3"/>
  <c r="D572" i="3"/>
  <c r="E572" i="3"/>
  <c r="G572" i="3"/>
  <c r="I572" i="3"/>
  <c r="J572" i="3"/>
  <c r="L572" i="3"/>
  <c r="N572" i="3"/>
  <c r="M572" i="3"/>
  <c r="C572" i="3"/>
  <c r="H572" i="3"/>
  <c r="F572" i="3"/>
  <c r="B572" i="3"/>
  <c r="D571" i="3"/>
  <c r="E571" i="3"/>
  <c r="G571" i="3"/>
  <c r="I571" i="3"/>
  <c r="J571" i="3"/>
  <c r="L571" i="3"/>
  <c r="N571" i="3"/>
  <c r="M571" i="3"/>
  <c r="C571" i="3"/>
  <c r="H571" i="3"/>
  <c r="F571" i="3"/>
  <c r="B571" i="3"/>
  <c r="D570" i="3"/>
  <c r="E570" i="3"/>
  <c r="G570" i="3"/>
  <c r="I570" i="3"/>
  <c r="J570" i="3"/>
  <c r="L570" i="3"/>
  <c r="N570" i="3"/>
  <c r="M570" i="3"/>
  <c r="C570" i="3"/>
  <c r="H570" i="3"/>
  <c r="F570" i="3"/>
  <c r="B570" i="3"/>
  <c r="D569" i="3"/>
  <c r="E569" i="3"/>
  <c r="G569" i="3"/>
  <c r="I569" i="3"/>
  <c r="J569" i="3"/>
  <c r="L569" i="3"/>
  <c r="N569" i="3"/>
  <c r="M569" i="3"/>
  <c r="C569" i="3"/>
  <c r="H569" i="3"/>
  <c r="F569" i="3"/>
  <c r="B569" i="3"/>
  <c r="D568" i="3"/>
  <c r="E568" i="3"/>
  <c r="G568" i="3"/>
  <c r="I568" i="3"/>
  <c r="J568" i="3"/>
  <c r="L568" i="3"/>
  <c r="N568" i="3"/>
  <c r="M568" i="3"/>
  <c r="C568" i="3"/>
  <c r="H568" i="3"/>
  <c r="F568" i="3"/>
  <c r="B568" i="3"/>
  <c r="D567" i="3"/>
  <c r="E567" i="3"/>
  <c r="G567" i="3"/>
  <c r="I567" i="3"/>
  <c r="J567" i="3"/>
  <c r="L567" i="3"/>
  <c r="N567" i="3"/>
  <c r="M567" i="3"/>
  <c r="C567" i="3"/>
  <c r="H567" i="3"/>
  <c r="F567" i="3"/>
  <c r="B567" i="3"/>
  <c r="D566" i="3"/>
  <c r="E566" i="3"/>
  <c r="G566" i="3"/>
  <c r="I566" i="3"/>
  <c r="J566" i="3"/>
  <c r="L566" i="3"/>
  <c r="N566" i="3"/>
  <c r="M566" i="3"/>
  <c r="C566" i="3"/>
  <c r="H566" i="3"/>
  <c r="F566" i="3"/>
  <c r="B566" i="3"/>
  <c r="D565" i="3"/>
  <c r="E565" i="3"/>
  <c r="G565" i="3"/>
  <c r="I565" i="3"/>
  <c r="J565" i="3"/>
  <c r="L565" i="3"/>
  <c r="N565" i="3"/>
  <c r="M565" i="3"/>
  <c r="C565" i="3"/>
  <c r="H565" i="3"/>
  <c r="F565" i="3"/>
  <c r="B565" i="3"/>
  <c r="D564" i="3"/>
  <c r="E564" i="3"/>
  <c r="G564" i="3"/>
  <c r="I564" i="3"/>
  <c r="J564" i="3"/>
  <c r="L564" i="3"/>
  <c r="N564" i="3"/>
  <c r="M564" i="3"/>
  <c r="C564" i="3"/>
  <c r="H564" i="3"/>
  <c r="F564" i="3"/>
  <c r="B564" i="3"/>
  <c r="D563" i="3"/>
  <c r="E563" i="3"/>
  <c r="G563" i="3"/>
  <c r="I563" i="3"/>
  <c r="J563" i="3"/>
  <c r="L563" i="3"/>
  <c r="N563" i="3"/>
  <c r="M563" i="3"/>
  <c r="C563" i="3"/>
  <c r="H563" i="3"/>
  <c r="F563" i="3"/>
  <c r="B563" i="3"/>
  <c r="D562" i="3"/>
  <c r="E562" i="3"/>
  <c r="G562" i="3"/>
  <c r="I562" i="3"/>
  <c r="J562" i="3"/>
  <c r="L562" i="3"/>
  <c r="N562" i="3"/>
  <c r="M562" i="3"/>
  <c r="C562" i="3"/>
  <c r="H562" i="3"/>
  <c r="F562" i="3"/>
  <c r="B562" i="3"/>
  <c r="D561" i="3"/>
  <c r="E561" i="3"/>
  <c r="G561" i="3"/>
  <c r="I561" i="3"/>
  <c r="J561" i="3"/>
  <c r="L561" i="3"/>
  <c r="N561" i="3"/>
  <c r="M561" i="3"/>
  <c r="C561" i="3"/>
  <c r="H561" i="3"/>
  <c r="F561" i="3"/>
  <c r="B561" i="3"/>
  <c r="D560" i="3"/>
  <c r="E560" i="3"/>
  <c r="G560" i="3"/>
  <c r="I560" i="3"/>
  <c r="J560" i="3"/>
  <c r="L560" i="3"/>
  <c r="N560" i="3"/>
  <c r="M560" i="3"/>
  <c r="C560" i="3"/>
  <c r="H560" i="3"/>
  <c r="F560" i="3"/>
  <c r="B560" i="3"/>
  <c r="D559" i="3"/>
  <c r="E559" i="3"/>
  <c r="G559" i="3"/>
  <c r="I559" i="3"/>
  <c r="J559" i="3"/>
  <c r="L559" i="3"/>
  <c r="N559" i="3"/>
  <c r="M559" i="3"/>
  <c r="C559" i="3"/>
  <c r="H559" i="3"/>
  <c r="F559" i="3"/>
  <c r="B559" i="3"/>
  <c r="D558" i="3"/>
  <c r="E558" i="3"/>
  <c r="G558" i="3"/>
  <c r="I558" i="3"/>
  <c r="J558" i="3"/>
  <c r="L558" i="3"/>
  <c r="N558" i="3"/>
  <c r="M558" i="3"/>
  <c r="C558" i="3"/>
  <c r="H558" i="3"/>
  <c r="F558" i="3"/>
  <c r="B558" i="3"/>
  <c r="D557" i="3"/>
  <c r="E557" i="3"/>
  <c r="G557" i="3"/>
  <c r="I557" i="3"/>
  <c r="J557" i="3"/>
  <c r="L557" i="3"/>
  <c r="N557" i="3"/>
  <c r="M557" i="3"/>
  <c r="C557" i="3"/>
  <c r="H557" i="3"/>
  <c r="F557" i="3"/>
  <c r="B557" i="3"/>
  <c r="D556" i="3"/>
  <c r="E556" i="3"/>
  <c r="G556" i="3"/>
  <c r="I556" i="3"/>
  <c r="J556" i="3"/>
  <c r="L556" i="3"/>
  <c r="N556" i="3"/>
  <c r="M556" i="3"/>
  <c r="C556" i="3"/>
  <c r="H556" i="3"/>
  <c r="F556" i="3"/>
  <c r="B556" i="3"/>
  <c r="D555" i="3"/>
  <c r="E555" i="3"/>
  <c r="G555" i="3"/>
  <c r="I555" i="3"/>
  <c r="J555" i="3"/>
  <c r="L555" i="3"/>
  <c r="N555" i="3"/>
  <c r="M555" i="3"/>
  <c r="C555" i="3"/>
  <c r="H555" i="3"/>
  <c r="F555" i="3"/>
  <c r="B555" i="3"/>
  <c r="D554" i="3"/>
  <c r="E554" i="3"/>
  <c r="G554" i="3"/>
  <c r="I554" i="3"/>
  <c r="J554" i="3"/>
  <c r="L554" i="3"/>
  <c r="N554" i="3"/>
  <c r="M554" i="3"/>
  <c r="C554" i="3"/>
  <c r="H554" i="3"/>
  <c r="F554" i="3"/>
  <c r="B554" i="3"/>
  <c r="D553" i="3"/>
  <c r="E553" i="3"/>
  <c r="G553" i="3"/>
  <c r="I553" i="3"/>
  <c r="J553" i="3"/>
  <c r="L553" i="3"/>
  <c r="N553" i="3"/>
  <c r="M553" i="3"/>
  <c r="C553" i="3"/>
  <c r="H553" i="3"/>
  <c r="F553" i="3"/>
  <c r="B553" i="3"/>
  <c r="D552" i="3"/>
  <c r="E552" i="3"/>
  <c r="G552" i="3"/>
  <c r="I552" i="3"/>
  <c r="J552" i="3"/>
  <c r="L552" i="3"/>
  <c r="N552" i="3"/>
  <c r="M552" i="3"/>
  <c r="C552" i="3"/>
  <c r="H552" i="3"/>
  <c r="F552" i="3"/>
  <c r="B552" i="3"/>
  <c r="D551" i="3"/>
  <c r="E551" i="3"/>
  <c r="G551" i="3"/>
  <c r="I551" i="3"/>
  <c r="J551" i="3"/>
  <c r="L551" i="3"/>
  <c r="N551" i="3"/>
  <c r="M551" i="3"/>
  <c r="C551" i="3"/>
  <c r="H551" i="3"/>
  <c r="F551" i="3"/>
  <c r="B551" i="3"/>
  <c r="D550" i="3"/>
  <c r="E550" i="3"/>
  <c r="G550" i="3"/>
  <c r="I550" i="3"/>
  <c r="J550" i="3"/>
  <c r="L550" i="3"/>
  <c r="N550" i="3"/>
  <c r="M550" i="3"/>
  <c r="C550" i="3"/>
  <c r="H550" i="3"/>
  <c r="F550" i="3"/>
  <c r="B550" i="3"/>
  <c r="D549" i="3"/>
  <c r="E549" i="3"/>
  <c r="G549" i="3"/>
  <c r="I549" i="3"/>
  <c r="J549" i="3"/>
  <c r="L549" i="3"/>
  <c r="N549" i="3"/>
  <c r="M549" i="3"/>
  <c r="C549" i="3"/>
  <c r="H549" i="3"/>
  <c r="F549" i="3"/>
  <c r="B549" i="3"/>
  <c r="D548" i="3"/>
  <c r="E548" i="3"/>
  <c r="G548" i="3"/>
  <c r="I548" i="3"/>
  <c r="J548" i="3"/>
  <c r="L548" i="3"/>
  <c r="N548" i="3"/>
  <c r="M548" i="3"/>
  <c r="C548" i="3"/>
  <c r="H548" i="3"/>
  <c r="F548" i="3"/>
  <c r="B548" i="3"/>
  <c r="D547" i="3"/>
  <c r="E547" i="3"/>
  <c r="G547" i="3"/>
  <c r="I547" i="3"/>
  <c r="J547" i="3"/>
  <c r="L547" i="3"/>
  <c r="N547" i="3"/>
  <c r="M547" i="3"/>
  <c r="C547" i="3"/>
  <c r="H547" i="3"/>
  <c r="F547" i="3"/>
  <c r="B547" i="3"/>
  <c r="D546" i="3"/>
  <c r="E546" i="3"/>
  <c r="G546" i="3"/>
  <c r="I546" i="3"/>
  <c r="J546" i="3"/>
  <c r="L546" i="3"/>
  <c r="N546" i="3"/>
  <c r="M546" i="3"/>
  <c r="C546" i="3"/>
  <c r="H546" i="3"/>
  <c r="F546" i="3"/>
  <c r="B546" i="3"/>
  <c r="D545" i="3"/>
  <c r="E545" i="3"/>
  <c r="G545" i="3"/>
  <c r="I545" i="3"/>
  <c r="J545" i="3"/>
  <c r="L545" i="3"/>
  <c r="N545" i="3"/>
  <c r="M545" i="3"/>
  <c r="C545" i="3"/>
  <c r="H545" i="3"/>
  <c r="F545" i="3"/>
  <c r="B545" i="3"/>
  <c r="D544" i="3"/>
  <c r="E544" i="3"/>
  <c r="G544" i="3"/>
  <c r="I544" i="3"/>
  <c r="J544" i="3"/>
  <c r="L544" i="3"/>
  <c r="N544" i="3"/>
  <c r="M544" i="3"/>
  <c r="C544" i="3"/>
  <c r="H544" i="3"/>
  <c r="F544" i="3"/>
  <c r="B544" i="3"/>
  <c r="D543" i="3"/>
  <c r="E543" i="3"/>
  <c r="G543" i="3"/>
  <c r="I543" i="3"/>
  <c r="J543" i="3"/>
  <c r="L543" i="3"/>
  <c r="N543" i="3"/>
  <c r="M543" i="3"/>
  <c r="C543" i="3"/>
  <c r="H543" i="3"/>
  <c r="F543" i="3"/>
  <c r="B543" i="3"/>
  <c r="D542" i="3"/>
  <c r="E542" i="3"/>
  <c r="G542" i="3"/>
  <c r="I542" i="3"/>
  <c r="J542" i="3"/>
  <c r="L542" i="3"/>
  <c r="N542" i="3"/>
  <c r="M542" i="3"/>
  <c r="C542" i="3"/>
  <c r="H542" i="3"/>
  <c r="F542" i="3"/>
  <c r="B542" i="3"/>
  <c r="D541" i="3"/>
  <c r="E541" i="3"/>
  <c r="G541" i="3"/>
  <c r="I541" i="3"/>
  <c r="J541" i="3"/>
  <c r="L541" i="3"/>
  <c r="N541" i="3"/>
  <c r="M541" i="3"/>
  <c r="C541" i="3"/>
  <c r="H541" i="3"/>
  <c r="F541" i="3"/>
  <c r="B541" i="3"/>
  <c r="D540" i="3"/>
  <c r="E540" i="3"/>
  <c r="G540" i="3"/>
  <c r="I540" i="3"/>
  <c r="J540" i="3"/>
  <c r="L540" i="3"/>
  <c r="N540" i="3"/>
  <c r="M540" i="3"/>
  <c r="C540" i="3"/>
  <c r="H540" i="3"/>
  <c r="F540" i="3"/>
  <c r="B540" i="3"/>
  <c r="D539" i="3"/>
  <c r="E539" i="3"/>
  <c r="G539" i="3"/>
  <c r="I539" i="3"/>
  <c r="J539" i="3"/>
  <c r="L539" i="3"/>
  <c r="N539" i="3"/>
  <c r="M539" i="3"/>
  <c r="C539" i="3"/>
  <c r="H539" i="3"/>
  <c r="F539" i="3"/>
  <c r="B539" i="3"/>
  <c r="D538" i="3"/>
  <c r="E538" i="3"/>
  <c r="G538" i="3"/>
  <c r="I538" i="3"/>
  <c r="J538" i="3"/>
  <c r="L538" i="3"/>
  <c r="N538" i="3"/>
  <c r="M538" i="3"/>
  <c r="C538" i="3"/>
  <c r="H538" i="3"/>
  <c r="F538" i="3"/>
  <c r="B538" i="3"/>
  <c r="D537" i="3"/>
  <c r="E537" i="3"/>
  <c r="G537" i="3"/>
  <c r="I537" i="3"/>
  <c r="J537" i="3"/>
  <c r="L537" i="3"/>
  <c r="N537" i="3"/>
  <c r="M537" i="3"/>
  <c r="C537" i="3"/>
  <c r="H537" i="3"/>
  <c r="F537" i="3"/>
  <c r="B537" i="3"/>
  <c r="D536" i="3"/>
  <c r="E536" i="3"/>
  <c r="G536" i="3"/>
  <c r="I536" i="3"/>
  <c r="J536" i="3"/>
  <c r="L536" i="3"/>
  <c r="N536" i="3"/>
  <c r="M536" i="3"/>
  <c r="C536" i="3"/>
  <c r="H536" i="3"/>
  <c r="F536" i="3"/>
  <c r="B536" i="3"/>
  <c r="D535" i="3"/>
  <c r="E535" i="3"/>
  <c r="G535" i="3"/>
  <c r="I535" i="3"/>
  <c r="J535" i="3"/>
  <c r="L535" i="3"/>
  <c r="N535" i="3"/>
  <c r="M535" i="3"/>
  <c r="C535" i="3"/>
  <c r="H535" i="3"/>
  <c r="F535" i="3"/>
  <c r="B535" i="3"/>
  <c r="D534" i="3"/>
  <c r="E534" i="3"/>
  <c r="G534" i="3"/>
  <c r="I534" i="3"/>
  <c r="J534" i="3"/>
  <c r="L534" i="3"/>
  <c r="N534" i="3"/>
  <c r="M534" i="3"/>
  <c r="C534" i="3"/>
  <c r="H534" i="3"/>
  <c r="F534" i="3"/>
  <c r="B534" i="3"/>
  <c r="D533" i="3"/>
  <c r="E533" i="3"/>
  <c r="G533" i="3"/>
  <c r="I533" i="3"/>
  <c r="J533" i="3"/>
  <c r="L533" i="3"/>
  <c r="N533" i="3"/>
  <c r="M533" i="3"/>
  <c r="C533" i="3"/>
  <c r="H533" i="3"/>
  <c r="F533" i="3"/>
  <c r="B533" i="3"/>
  <c r="D532" i="3"/>
  <c r="E532" i="3"/>
  <c r="G532" i="3"/>
  <c r="I532" i="3"/>
  <c r="J532" i="3"/>
  <c r="L532" i="3"/>
  <c r="N532" i="3"/>
  <c r="M532" i="3"/>
  <c r="C532" i="3"/>
  <c r="H532" i="3"/>
  <c r="F532" i="3"/>
  <c r="B532" i="3"/>
  <c r="D531" i="3"/>
  <c r="E531" i="3"/>
  <c r="G531" i="3"/>
  <c r="I531" i="3"/>
  <c r="J531" i="3"/>
  <c r="L531" i="3"/>
  <c r="N531" i="3"/>
  <c r="M531" i="3"/>
  <c r="C531" i="3"/>
  <c r="H531" i="3"/>
  <c r="F531" i="3"/>
  <c r="B531" i="3"/>
  <c r="D530" i="3"/>
  <c r="E530" i="3"/>
  <c r="G530" i="3"/>
  <c r="I530" i="3"/>
  <c r="J530" i="3"/>
  <c r="L530" i="3"/>
  <c r="N530" i="3"/>
  <c r="M530" i="3"/>
  <c r="C530" i="3"/>
  <c r="H530" i="3"/>
  <c r="F530" i="3"/>
  <c r="B530" i="3"/>
  <c r="D529" i="3"/>
  <c r="E529" i="3"/>
  <c r="G529" i="3"/>
  <c r="I529" i="3"/>
  <c r="J529" i="3"/>
  <c r="L529" i="3"/>
  <c r="N529" i="3"/>
  <c r="M529" i="3"/>
  <c r="C529" i="3"/>
  <c r="H529" i="3"/>
  <c r="F529" i="3"/>
  <c r="B529" i="3"/>
  <c r="D528" i="3"/>
  <c r="E528" i="3"/>
  <c r="G528" i="3"/>
  <c r="I528" i="3"/>
  <c r="J528" i="3"/>
  <c r="L528" i="3"/>
  <c r="N528" i="3"/>
  <c r="M528" i="3"/>
  <c r="C528" i="3"/>
  <c r="H528" i="3"/>
  <c r="F528" i="3"/>
  <c r="B528" i="3"/>
  <c r="D527" i="3"/>
  <c r="E527" i="3"/>
  <c r="G527" i="3"/>
  <c r="I527" i="3"/>
  <c r="J527" i="3"/>
  <c r="L527" i="3"/>
  <c r="N527" i="3"/>
  <c r="M527" i="3"/>
  <c r="C527" i="3"/>
  <c r="H527" i="3"/>
  <c r="F527" i="3"/>
  <c r="B527" i="3"/>
  <c r="D526" i="3"/>
  <c r="E526" i="3"/>
  <c r="G526" i="3"/>
  <c r="I526" i="3"/>
  <c r="J526" i="3"/>
  <c r="L526" i="3"/>
  <c r="N526" i="3"/>
  <c r="M526" i="3"/>
  <c r="C526" i="3"/>
  <c r="H526" i="3"/>
  <c r="F526" i="3"/>
  <c r="B526" i="3"/>
  <c r="D525" i="3"/>
  <c r="E525" i="3"/>
  <c r="G525" i="3"/>
  <c r="I525" i="3"/>
  <c r="J525" i="3"/>
  <c r="L525" i="3"/>
  <c r="N525" i="3"/>
  <c r="M525" i="3"/>
  <c r="C525" i="3"/>
  <c r="H525" i="3"/>
  <c r="F525" i="3"/>
  <c r="B525" i="3"/>
  <c r="D524" i="3"/>
  <c r="E524" i="3"/>
  <c r="G524" i="3"/>
  <c r="I524" i="3"/>
  <c r="J524" i="3"/>
  <c r="L524" i="3"/>
  <c r="N524" i="3"/>
  <c r="M524" i="3"/>
  <c r="C524" i="3"/>
  <c r="H524" i="3"/>
  <c r="F524" i="3"/>
  <c r="B524" i="3"/>
  <c r="D523" i="3"/>
  <c r="E523" i="3"/>
  <c r="G523" i="3"/>
  <c r="I523" i="3"/>
  <c r="J523" i="3"/>
  <c r="L523" i="3"/>
  <c r="N523" i="3"/>
  <c r="M523" i="3"/>
  <c r="C523" i="3"/>
  <c r="H523" i="3"/>
  <c r="F523" i="3"/>
  <c r="B523" i="3"/>
  <c r="D522" i="3"/>
  <c r="E522" i="3"/>
  <c r="G522" i="3"/>
  <c r="I522" i="3"/>
  <c r="J522" i="3"/>
  <c r="L522" i="3"/>
  <c r="N522" i="3"/>
  <c r="M522" i="3"/>
  <c r="C522" i="3"/>
  <c r="H522" i="3"/>
  <c r="F522" i="3"/>
  <c r="B522" i="3"/>
  <c r="D521" i="3"/>
  <c r="E521" i="3"/>
  <c r="G521" i="3"/>
  <c r="I521" i="3"/>
  <c r="J521" i="3"/>
  <c r="L521" i="3"/>
  <c r="N521" i="3"/>
  <c r="M521" i="3"/>
  <c r="C521" i="3"/>
  <c r="H521" i="3"/>
  <c r="F521" i="3"/>
  <c r="B521" i="3"/>
  <c r="D520" i="3"/>
  <c r="E520" i="3"/>
  <c r="G520" i="3"/>
  <c r="I520" i="3"/>
  <c r="J520" i="3"/>
  <c r="L520" i="3"/>
  <c r="N520" i="3"/>
  <c r="M520" i="3"/>
  <c r="C520" i="3"/>
  <c r="H520" i="3"/>
  <c r="F520" i="3"/>
  <c r="B520" i="3"/>
  <c r="D519" i="3"/>
  <c r="E519" i="3"/>
  <c r="G519" i="3"/>
  <c r="I519" i="3"/>
  <c r="J519" i="3"/>
  <c r="L519" i="3"/>
  <c r="N519" i="3"/>
  <c r="M519" i="3"/>
  <c r="C519" i="3"/>
  <c r="H519" i="3"/>
  <c r="F519" i="3"/>
  <c r="B519" i="3"/>
  <c r="D518" i="3"/>
  <c r="E518" i="3"/>
  <c r="G518" i="3"/>
  <c r="I518" i="3"/>
  <c r="J518" i="3"/>
  <c r="L518" i="3"/>
  <c r="N518" i="3"/>
  <c r="M518" i="3"/>
  <c r="C518" i="3"/>
  <c r="H518" i="3"/>
  <c r="F518" i="3"/>
  <c r="B518" i="3"/>
  <c r="D517" i="3"/>
  <c r="E517" i="3"/>
  <c r="G517" i="3"/>
  <c r="I517" i="3"/>
  <c r="J517" i="3"/>
  <c r="L517" i="3"/>
  <c r="N517" i="3"/>
  <c r="M517" i="3"/>
  <c r="C517" i="3"/>
  <c r="H517" i="3"/>
  <c r="F517" i="3"/>
  <c r="B517" i="3"/>
  <c r="D516" i="3"/>
  <c r="E516" i="3"/>
  <c r="G516" i="3"/>
  <c r="I516" i="3"/>
  <c r="J516" i="3"/>
  <c r="L516" i="3"/>
  <c r="N516" i="3"/>
  <c r="M516" i="3"/>
  <c r="C516" i="3"/>
  <c r="H516" i="3"/>
  <c r="F516" i="3"/>
  <c r="B516" i="3"/>
  <c r="D515" i="3"/>
  <c r="E515" i="3"/>
  <c r="G515" i="3"/>
  <c r="I515" i="3"/>
  <c r="J515" i="3"/>
  <c r="L515" i="3"/>
  <c r="N515" i="3"/>
  <c r="M515" i="3"/>
  <c r="C515" i="3"/>
  <c r="H515" i="3"/>
  <c r="F515" i="3"/>
  <c r="B515" i="3"/>
  <c r="D514" i="3"/>
  <c r="E514" i="3"/>
  <c r="G514" i="3"/>
  <c r="I514" i="3"/>
  <c r="J514" i="3"/>
  <c r="L514" i="3"/>
  <c r="N514" i="3"/>
  <c r="M514" i="3"/>
  <c r="C514" i="3"/>
  <c r="H514" i="3"/>
  <c r="F514" i="3"/>
  <c r="B514" i="3"/>
  <c r="D513" i="3"/>
  <c r="E513" i="3"/>
  <c r="G513" i="3"/>
  <c r="I513" i="3"/>
  <c r="J513" i="3"/>
  <c r="L513" i="3"/>
  <c r="N513" i="3"/>
  <c r="M513" i="3"/>
  <c r="C513" i="3"/>
  <c r="H513" i="3"/>
  <c r="F513" i="3"/>
  <c r="B513" i="3"/>
  <c r="D512" i="3"/>
  <c r="E512" i="3"/>
  <c r="G512" i="3"/>
  <c r="I512" i="3"/>
  <c r="J512" i="3"/>
  <c r="L512" i="3"/>
  <c r="N512" i="3"/>
  <c r="M512" i="3"/>
  <c r="C512" i="3"/>
  <c r="H512" i="3"/>
  <c r="F512" i="3"/>
  <c r="B512" i="3"/>
  <c r="D511" i="3"/>
  <c r="E511" i="3"/>
  <c r="G511" i="3"/>
  <c r="I511" i="3"/>
  <c r="J511" i="3"/>
  <c r="L511" i="3"/>
  <c r="N511" i="3"/>
  <c r="M511" i="3"/>
  <c r="C511" i="3"/>
  <c r="H511" i="3"/>
  <c r="F511" i="3"/>
  <c r="B511" i="3"/>
  <c r="D510" i="3"/>
  <c r="E510" i="3"/>
  <c r="G510" i="3"/>
  <c r="I510" i="3"/>
  <c r="J510" i="3"/>
  <c r="L510" i="3"/>
  <c r="N510" i="3"/>
  <c r="M510" i="3"/>
  <c r="C510" i="3"/>
  <c r="H510" i="3"/>
  <c r="F510" i="3"/>
  <c r="B510" i="3"/>
  <c r="D509" i="3"/>
  <c r="E509" i="3"/>
  <c r="G509" i="3"/>
  <c r="I509" i="3"/>
  <c r="J509" i="3"/>
  <c r="L509" i="3"/>
  <c r="N509" i="3"/>
  <c r="M509" i="3"/>
  <c r="C509" i="3"/>
  <c r="H509" i="3"/>
  <c r="F509" i="3"/>
  <c r="B509" i="3"/>
  <c r="D508" i="3"/>
  <c r="E508" i="3"/>
  <c r="G508" i="3"/>
  <c r="I508" i="3"/>
  <c r="J508" i="3"/>
  <c r="L508" i="3"/>
  <c r="N508" i="3"/>
  <c r="M508" i="3"/>
  <c r="C508" i="3"/>
  <c r="H508" i="3"/>
  <c r="F508" i="3"/>
  <c r="B508" i="3"/>
  <c r="D507" i="3"/>
  <c r="E507" i="3"/>
  <c r="G507" i="3"/>
  <c r="I507" i="3"/>
  <c r="J507" i="3"/>
  <c r="L507" i="3"/>
  <c r="N507" i="3"/>
  <c r="M507" i="3"/>
  <c r="C507" i="3"/>
  <c r="H507" i="3"/>
  <c r="F507" i="3"/>
  <c r="B507" i="3"/>
  <c r="D506" i="3"/>
  <c r="E506" i="3"/>
  <c r="G506" i="3"/>
  <c r="I506" i="3"/>
  <c r="J506" i="3"/>
  <c r="L506" i="3"/>
  <c r="N506" i="3"/>
  <c r="M506" i="3"/>
  <c r="C506" i="3"/>
  <c r="H506" i="3"/>
  <c r="F506" i="3"/>
  <c r="B506" i="3"/>
  <c r="D505" i="3"/>
  <c r="E505" i="3"/>
  <c r="G505" i="3"/>
  <c r="I505" i="3"/>
  <c r="J505" i="3"/>
  <c r="L505" i="3"/>
  <c r="N505" i="3"/>
  <c r="M505" i="3"/>
  <c r="C505" i="3"/>
  <c r="H505" i="3"/>
  <c r="F505" i="3"/>
  <c r="B505" i="3"/>
  <c r="D504" i="3"/>
  <c r="E504" i="3"/>
  <c r="G504" i="3"/>
  <c r="I504" i="3"/>
  <c r="J504" i="3"/>
  <c r="L504" i="3"/>
  <c r="N504" i="3"/>
  <c r="M504" i="3"/>
  <c r="C504" i="3"/>
  <c r="H504" i="3"/>
  <c r="F504" i="3"/>
  <c r="B504" i="3"/>
  <c r="D503" i="3"/>
  <c r="E503" i="3"/>
  <c r="G503" i="3"/>
  <c r="I503" i="3"/>
  <c r="J503" i="3"/>
  <c r="L503" i="3"/>
  <c r="N503" i="3"/>
  <c r="M503" i="3"/>
  <c r="C503" i="3"/>
  <c r="H503" i="3"/>
  <c r="F503" i="3"/>
  <c r="B503" i="3"/>
  <c r="D502" i="3"/>
  <c r="E502" i="3"/>
  <c r="G502" i="3"/>
  <c r="I502" i="3"/>
  <c r="J502" i="3"/>
  <c r="L502" i="3"/>
  <c r="N502" i="3"/>
  <c r="M502" i="3"/>
  <c r="C502" i="3"/>
  <c r="H502" i="3"/>
  <c r="F502" i="3"/>
  <c r="B502" i="3"/>
  <c r="D501" i="3"/>
  <c r="E501" i="3"/>
  <c r="G501" i="3"/>
  <c r="I501" i="3"/>
  <c r="J501" i="3"/>
  <c r="L501" i="3"/>
  <c r="N501" i="3"/>
  <c r="M501" i="3"/>
  <c r="C501" i="3"/>
  <c r="H501" i="3"/>
  <c r="F501" i="3"/>
  <c r="B501" i="3"/>
  <c r="D500" i="3"/>
  <c r="E500" i="3"/>
  <c r="G500" i="3"/>
  <c r="I500" i="3"/>
  <c r="J500" i="3"/>
  <c r="L500" i="3"/>
  <c r="N500" i="3"/>
  <c r="M500" i="3"/>
  <c r="C500" i="3"/>
  <c r="H500" i="3"/>
  <c r="F500" i="3"/>
  <c r="B500" i="3"/>
  <c r="D499" i="3"/>
  <c r="E499" i="3"/>
  <c r="G499" i="3"/>
  <c r="I499" i="3"/>
  <c r="J499" i="3"/>
  <c r="L499" i="3"/>
  <c r="N499" i="3"/>
  <c r="M499" i="3"/>
  <c r="C499" i="3"/>
  <c r="H499" i="3"/>
  <c r="F499" i="3"/>
  <c r="B499" i="3"/>
  <c r="D498" i="3"/>
  <c r="E498" i="3"/>
  <c r="G498" i="3"/>
  <c r="I498" i="3"/>
  <c r="J498" i="3"/>
  <c r="L498" i="3"/>
  <c r="N498" i="3"/>
  <c r="M498" i="3"/>
  <c r="C498" i="3"/>
  <c r="H498" i="3"/>
  <c r="F498" i="3"/>
  <c r="B498" i="3"/>
  <c r="D497" i="3"/>
  <c r="E497" i="3"/>
  <c r="G497" i="3"/>
  <c r="I497" i="3"/>
  <c r="J497" i="3"/>
  <c r="L497" i="3"/>
  <c r="N497" i="3"/>
  <c r="M497" i="3"/>
  <c r="C497" i="3"/>
  <c r="H497" i="3"/>
  <c r="F497" i="3"/>
  <c r="B497" i="3"/>
  <c r="D496" i="3"/>
  <c r="E496" i="3"/>
  <c r="G496" i="3"/>
  <c r="I496" i="3"/>
  <c r="J496" i="3"/>
  <c r="L496" i="3"/>
  <c r="N496" i="3"/>
  <c r="M496" i="3"/>
  <c r="C496" i="3"/>
  <c r="H496" i="3"/>
  <c r="F496" i="3"/>
  <c r="B496" i="3"/>
  <c r="D495" i="3"/>
  <c r="E495" i="3"/>
  <c r="G495" i="3"/>
  <c r="I495" i="3"/>
  <c r="J495" i="3"/>
  <c r="L495" i="3"/>
  <c r="N495" i="3"/>
  <c r="M495" i="3"/>
  <c r="C495" i="3"/>
  <c r="H495" i="3"/>
  <c r="F495" i="3"/>
  <c r="B495" i="3"/>
  <c r="D494" i="3"/>
  <c r="E494" i="3"/>
  <c r="G494" i="3"/>
  <c r="I494" i="3"/>
  <c r="J494" i="3"/>
  <c r="L494" i="3"/>
  <c r="N494" i="3"/>
  <c r="M494" i="3"/>
  <c r="C494" i="3"/>
  <c r="H494" i="3"/>
  <c r="F494" i="3"/>
  <c r="B494" i="3"/>
  <c r="D493" i="3"/>
  <c r="E493" i="3"/>
  <c r="G493" i="3"/>
  <c r="I493" i="3"/>
  <c r="J493" i="3"/>
  <c r="L493" i="3"/>
  <c r="N493" i="3"/>
  <c r="M493" i="3"/>
  <c r="C493" i="3"/>
  <c r="H493" i="3"/>
  <c r="F493" i="3"/>
  <c r="B493" i="3"/>
  <c r="D492" i="3"/>
  <c r="E492" i="3"/>
  <c r="G492" i="3"/>
  <c r="I492" i="3"/>
  <c r="J492" i="3"/>
  <c r="L492" i="3"/>
  <c r="N492" i="3"/>
  <c r="M492" i="3"/>
  <c r="C492" i="3"/>
  <c r="H492" i="3"/>
  <c r="F492" i="3"/>
  <c r="B492" i="3"/>
  <c r="D491" i="3"/>
  <c r="E491" i="3"/>
  <c r="G491" i="3"/>
  <c r="I491" i="3"/>
  <c r="J491" i="3"/>
  <c r="L491" i="3"/>
  <c r="N491" i="3"/>
  <c r="M491" i="3"/>
  <c r="C491" i="3"/>
  <c r="H491" i="3"/>
  <c r="F491" i="3"/>
  <c r="B491" i="3"/>
  <c r="D490" i="3"/>
  <c r="E490" i="3"/>
  <c r="G490" i="3"/>
  <c r="I490" i="3"/>
  <c r="J490" i="3"/>
  <c r="L490" i="3"/>
  <c r="N490" i="3"/>
  <c r="M490" i="3"/>
  <c r="C490" i="3"/>
  <c r="H490" i="3"/>
  <c r="F490" i="3"/>
  <c r="B490" i="3"/>
  <c r="D489" i="3"/>
  <c r="E489" i="3"/>
  <c r="G489" i="3"/>
  <c r="I489" i="3"/>
  <c r="J489" i="3"/>
  <c r="L489" i="3"/>
  <c r="N489" i="3"/>
  <c r="M489" i="3"/>
  <c r="C489" i="3"/>
  <c r="H489" i="3"/>
  <c r="F489" i="3"/>
  <c r="B489" i="3"/>
  <c r="D488" i="3"/>
  <c r="E488" i="3"/>
  <c r="G488" i="3"/>
  <c r="I488" i="3"/>
  <c r="J488" i="3"/>
  <c r="L488" i="3"/>
  <c r="N488" i="3"/>
  <c r="M488" i="3"/>
  <c r="C488" i="3"/>
  <c r="H488" i="3"/>
  <c r="F488" i="3"/>
  <c r="B488" i="3"/>
  <c r="D487" i="3"/>
  <c r="E487" i="3"/>
  <c r="G487" i="3"/>
  <c r="I487" i="3"/>
  <c r="J487" i="3"/>
  <c r="L487" i="3"/>
  <c r="N487" i="3"/>
  <c r="M487" i="3"/>
  <c r="C487" i="3"/>
  <c r="H487" i="3"/>
  <c r="F487" i="3"/>
  <c r="B487" i="3"/>
  <c r="D486" i="3"/>
  <c r="E486" i="3"/>
  <c r="G486" i="3"/>
  <c r="I486" i="3"/>
  <c r="J486" i="3"/>
  <c r="L486" i="3"/>
  <c r="N486" i="3"/>
  <c r="M486" i="3"/>
  <c r="C486" i="3"/>
  <c r="H486" i="3"/>
  <c r="F486" i="3"/>
  <c r="B486" i="3"/>
  <c r="D485" i="3"/>
  <c r="E485" i="3"/>
  <c r="G485" i="3"/>
  <c r="I485" i="3"/>
  <c r="J485" i="3"/>
  <c r="L485" i="3"/>
  <c r="N485" i="3"/>
  <c r="M485" i="3"/>
  <c r="C485" i="3"/>
  <c r="H485" i="3"/>
  <c r="F485" i="3"/>
  <c r="B485" i="3"/>
  <c r="D484" i="3"/>
  <c r="E484" i="3"/>
  <c r="G484" i="3"/>
  <c r="I484" i="3"/>
  <c r="J484" i="3"/>
  <c r="L484" i="3"/>
  <c r="N484" i="3"/>
  <c r="M484" i="3"/>
  <c r="C484" i="3"/>
  <c r="H484" i="3"/>
  <c r="F484" i="3"/>
  <c r="B484" i="3"/>
  <c r="D483" i="3"/>
  <c r="E483" i="3"/>
  <c r="G483" i="3"/>
  <c r="I483" i="3"/>
  <c r="J483" i="3"/>
  <c r="L483" i="3"/>
  <c r="N483" i="3"/>
  <c r="M483" i="3"/>
  <c r="C483" i="3"/>
  <c r="H483" i="3"/>
  <c r="F483" i="3"/>
  <c r="B483" i="3"/>
  <c r="D482" i="3"/>
  <c r="E482" i="3"/>
  <c r="G482" i="3"/>
  <c r="I482" i="3"/>
  <c r="J482" i="3"/>
  <c r="L482" i="3"/>
  <c r="N482" i="3"/>
  <c r="M482" i="3"/>
  <c r="C482" i="3"/>
  <c r="H482" i="3"/>
  <c r="F482" i="3"/>
  <c r="B482" i="3"/>
  <c r="D481" i="3"/>
  <c r="E481" i="3"/>
  <c r="G481" i="3"/>
  <c r="I481" i="3"/>
  <c r="J481" i="3"/>
  <c r="L481" i="3"/>
  <c r="N481" i="3"/>
  <c r="M481" i="3"/>
  <c r="C481" i="3"/>
  <c r="H481" i="3"/>
  <c r="F481" i="3"/>
  <c r="B481" i="3"/>
  <c r="D480" i="3"/>
  <c r="E480" i="3"/>
  <c r="G480" i="3"/>
  <c r="I480" i="3"/>
  <c r="J480" i="3"/>
  <c r="L480" i="3"/>
  <c r="N480" i="3"/>
  <c r="M480" i="3"/>
  <c r="C480" i="3"/>
  <c r="H480" i="3"/>
  <c r="F480" i="3"/>
  <c r="B480" i="3"/>
  <c r="D479" i="3"/>
  <c r="E479" i="3"/>
  <c r="G479" i="3"/>
  <c r="I479" i="3"/>
  <c r="J479" i="3"/>
  <c r="L479" i="3"/>
  <c r="N479" i="3"/>
  <c r="M479" i="3"/>
  <c r="C479" i="3"/>
  <c r="H479" i="3"/>
  <c r="F479" i="3"/>
  <c r="B479" i="3"/>
  <c r="D478" i="3"/>
  <c r="E478" i="3"/>
  <c r="G478" i="3"/>
  <c r="I478" i="3"/>
  <c r="J478" i="3"/>
  <c r="L478" i="3"/>
  <c r="N478" i="3"/>
  <c r="M478" i="3"/>
  <c r="C478" i="3"/>
  <c r="H478" i="3"/>
  <c r="F478" i="3"/>
  <c r="B478" i="3"/>
  <c r="D477" i="3"/>
  <c r="E477" i="3"/>
  <c r="G477" i="3"/>
  <c r="I477" i="3"/>
  <c r="J477" i="3"/>
  <c r="L477" i="3"/>
  <c r="N477" i="3"/>
  <c r="M477" i="3"/>
  <c r="C477" i="3"/>
  <c r="H477" i="3"/>
  <c r="F477" i="3"/>
  <c r="B477" i="3"/>
  <c r="D476" i="3"/>
  <c r="E476" i="3"/>
  <c r="G476" i="3"/>
  <c r="I476" i="3"/>
  <c r="J476" i="3"/>
  <c r="L476" i="3"/>
  <c r="N476" i="3"/>
  <c r="M476" i="3"/>
  <c r="C476" i="3"/>
  <c r="H476" i="3"/>
  <c r="F476" i="3"/>
  <c r="B476" i="3"/>
  <c r="D475" i="3"/>
  <c r="E475" i="3"/>
  <c r="G475" i="3"/>
  <c r="I475" i="3"/>
  <c r="J475" i="3"/>
  <c r="L475" i="3"/>
  <c r="N475" i="3"/>
  <c r="M475" i="3"/>
  <c r="C475" i="3"/>
  <c r="H475" i="3"/>
  <c r="F475" i="3"/>
  <c r="B475" i="3"/>
  <c r="D474" i="3"/>
  <c r="E474" i="3"/>
  <c r="G474" i="3"/>
  <c r="I474" i="3"/>
  <c r="J474" i="3"/>
  <c r="L474" i="3"/>
  <c r="N474" i="3"/>
  <c r="M474" i="3"/>
  <c r="C474" i="3"/>
  <c r="H474" i="3"/>
  <c r="F474" i="3"/>
  <c r="B474" i="3"/>
  <c r="D473" i="3"/>
  <c r="E473" i="3"/>
  <c r="G473" i="3"/>
  <c r="I473" i="3"/>
  <c r="J473" i="3"/>
  <c r="L473" i="3"/>
  <c r="N473" i="3"/>
  <c r="M473" i="3"/>
  <c r="C473" i="3"/>
  <c r="H473" i="3"/>
  <c r="F473" i="3"/>
  <c r="B473" i="3"/>
  <c r="D472" i="3"/>
  <c r="E472" i="3"/>
  <c r="G472" i="3"/>
  <c r="I472" i="3"/>
  <c r="J472" i="3"/>
  <c r="L472" i="3"/>
  <c r="N472" i="3"/>
  <c r="M472" i="3"/>
  <c r="C472" i="3"/>
  <c r="H472" i="3"/>
  <c r="F472" i="3"/>
  <c r="B472" i="3"/>
  <c r="D471" i="3"/>
  <c r="E471" i="3"/>
  <c r="G471" i="3"/>
  <c r="I471" i="3"/>
  <c r="J471" i="3"/>
  <c r="L471" i="3"/>
  <c r="N471" i="3"/>
  <c r="M471" i="3"/>
  <c r="C471" i="3"/>
  <c r="H471" i="3"/>
  <c r="F471" i="3"/>
  <c r="B471" i="3"/>
  <c r="D470" i="3"/>
  <c r="E470" i="3"/>
  <c r="G470" i="3"/>
  <c r="I470" i="3"/>
  <c r="J470" i="3"/>
  <c r="L470" i="3"/>
  <c r="N470" i="3"/>
  <c r="M470" i="3"/>
  <c r="C470" i="3"/>
  <c r="H470" i="3"/>
  <c r="F470" i="3"/>
  <c r="B470" i="3"/>
  <c r="D469" i="3"/>
  <c r="E469" i="3"/>
  <c r="G469" i="3"/>
  <c r="I469" i="3"/>
  <c r="J469" i="3"/>
  <c r="L469" i="3"/>
  <c r="N469" i="3"/>
  <c r="M469" i="3"/>
  <c r="C469" i="3"/>
  <c r="H469" i="3"/>
  <c r="F469" i="3"/>
  <c r="B469" i="3"/>
  <c r="D468" i="3"/>
  <c r="E468" i="3"/>
  <c r="G468" i="3"/>
  <c r="I468" i="3"/>
  <c r="J468" i="3"/>
  <c r="L468" i="3"/>
  <c r="N468" i="3"/>
  <c r="M468" i="3"/>
  <c r="C468" i="3"/>
  <c r="H468" i="3"/>
  <c r="F468" i="3"/>
  <c r="B468" i="3"/>
  <c r="D467" i="3"/>
  <c r="E467" i="3"/>
  <c r="G467" i="3"/>
  <c r="I467" i="3"/>
  <c r="J467" i="3"/>
  <c r="L467" i="3"/>
  <c r="N467" i="3"/>
  <c r="M467" i="3"/>
  <c r="C467" i="3"/>
  <c r="H467" i="3"/>
  <c r="F467" i="3"/>
  <c r="B467" i="3"/>
  <c r="D466" i="3"/>
  <c r="E466" i="3"/>
  <c r="G466" i="3"/>
  <c r="I466" i="3"/>
  <c r="J466" i="3"/>
  <c r="L466" i="3"/>
  <c r="N466" i="3"/>
  <c r="M466" i="3"/>
  <c r="C466" i="3"/>
  <c r="H466" i="3"/>
  <c r="F466" i="3"/>
  <c r="B466" i="3"/>
  <c r="D465" i="3"/>
  <c r="E465" i="3"/>
  <c r="G465" i="3"/>
  <c r="I465" i="3"/>
  <c r="J465" i="3"/>
  <c r="L465" i="3"/>
  <c r="N465" i="3"/>
  <c r="M465" i="3"/>
  <c r="C465" i="3"/>
  <c r="H465" i="3"/>
  <c r="F465" i="3"/>
  <c r="B465" i="3"/>
  <c r="D464" i="3"/>
  <c r="E464" i="3"/>
  <c r="G464" i="3"/>
  <c r="I464" i="3"/>
  <c r="J464" i="3"/>
  <c r="L464" i="3"/>
  <c r="N464" i="3"/>
  <c r="M464" i="3"/>
  <c r="C464" i="3"/>
  <c r="H464" i="3"/>
  <c r="F464" i="3"/>
  <c r="B464" i="3"/>
  <c r="D463" i="3"/>
  <c r="E463" i="3"/>
  <c r="G463" i="3"/>
  <c r="I463" i="3"/>
  <c r="J463" i="3"/>
  <c r="L463" i="3"/>
  <c r="N463" i="3"/>
  <c r="M463" i="3"/>
  <c r="C463" i="3"/>
  <c r="H463" i="3"/>
  <c r="F463" i="3"/>
  <c r="B463" i="3"/>
  <c r="D462" i="3"/>
  <c r="E462" i="3"/>
  <c r="G462" i="3"/>
  <c r="I462" i="3"/>
  <c r="J462" i="3"/>
  <c r="L462" i="3"/>
  <c r="N462" i="3"/>
  <c r="M462" i="3"/>
  <c r="C462" i="3"/>
  <c r="H462" i="3"/>
  <c r="F462" i="3"/>
  <c r="B462" i="3"/>
  <c r="D461" i="3"/>
  <c r="E461" i="3"/>
  <c r="G461" i="3"/>
  <c r="I461" i="3"/>
  <c r="J461" i="3"/>
  <c r="L461" i="3"/>
  <c r="N461" i="3"/>
  <c r="M461" i="3"/>
  <c r="C461" i="3"/>
  <c r="H461" i="3"/>
  <c r="F461" i="3"/>
  <c r="B461" i="3"/>
  <c r="D460" i="3"/>
  <c r="E460" i="3"/>
  <c r="G460" i="3"/>
  <c r="I460" i="3"/>
  <c r="J460" i="3"/>
  <c r="L460" i="3"/>
  <c r="N460" i="3"/>
  <c r="M460" i="3"/>
  <c r="C460" i="3"/>
  <c r="H460" i="3"/>
  <c r="F460" i="3"/>
  <c r="B460" i="3"/>
  <c r="D459" i="3"/>
  <c r="E459" i="3"/>
  <c r="G459" i="3"/>
  <c r="I459" i="3"/>
  <c r="J459" i="3"/>
  <c r="L459" i="3"/>
  <c r="N459" i="3"/>
  <c r="M459" i="3"/>
  <c r="C459" i="3"/>
  <c r="H459" i="3"/>
  <c r="F459" i="3"/>
  <c r="B459" i="3"/>
  <c r="D458" i="3"/>
  <c r="E458" i="3"/>
  <c r="G458" i="3"/>
  <c r="I458" i="3"/>
  <c r="J458" i="3"/>
  <c r="L458" i="3"/>
  <c r="N458" i="3"/>
  <c r="M458" i="3"/>
  <c r="C458" i="3"/>
  <c r="H458" i="3"/>
  <c r="F458" i="3"/>
  <c r="B458" i="3"/>
  <c r="D457" i="3"/>
  <c r="E457" i="3"/>
  <c r="G457" i="3"/>
  <c r="I457" i="3"/>
  <c r="J457" i="3"/>
  <c r="L457" i="3"/>
  <c r="N457" i="3"/>
  <c r="M457" i="3"/>
  <c r="C457" i="3"/>
  <c r="H457" i="3"/>
  <c r="F457" i="3"/>
  <c r="B457" i="3"/>
  <c r="D456" i="3"/>
  <c r="E456" i="3"/>
  <c r="G456" i="3"/>
  <c r="I456" i="3"/>
  <c r="J456" i="3"/>
  <c r="L456" i="3"/>
  <c r="N456" i="3"/>
  <c r="M456" i="3"/>
  <c r="C456" i="3"/>
  <c r="H456" i="3"/>
  <c r="F456" i="3"/>
  <c r="B456" i="3"/>
  <c r="D455" i="3"/>
  <c r="E455" i="3"/>
  <c r="G455" i="3"/>
  <c r="I455" i="3"/>
  <c r="J455" i="3"/>
  <c r="L455" i="3"/>
  <c r="N455" i="3"/>
  <c r="M455" i="3"/>
  <c r="C455" i="3"/>
  <c r="H455" i="3"/>
  <c r="F455" i="3"/>
  <c r="B455" i="3"/>
  <c r="D454" i="3"/>
  <c r="E454" i="3"/>
  <c r="G454" i="3"/>
  <c r="I454" i="3"/>
  <c r="J454" i="3"/>
  <c r="L454" i="3"/>
  <c r="N454" i="3"/>
  <c r="M454" i="3"/>
  <c r="C454" i="3"/>
  <c r="H454" i="3"/>
  <c r="F454" i="3"/>
  <c r="B454" i="3"/>
  <c r="D453" i="3"/>
  <c r="E453" i="3"/>
  <c r="G453" i="3"/>
  <c r="I453" i="3"/>
  <c r="J453" i="3"/>
  <c r="L453" i="3"/>
  <c r="N453" i="3"/>
  <c r="M453" i="3"/>
  <c r="C453" i="3"/>
  <c r="H453" i="3"/>
  <c r="F453" i="3"/>
  <c r="B453" i="3"/>
  <c r="D452" i="3"/>
  <c r="E452" i="3"/>
  <c r="G452" i="3"/>
  <c r="I452" i="3"/>
  <c r="J452" i="3"/>
  <c r="L452" i="3"/>
  <c r="N452" i="3"/>
  <c r="M452" i="3"/>
  <c r="C452" i="3"/>
  <c r="H452" i="3"/>
  <c r="F452" i="3"/>
  <c r="B452" i="3"/>
  <c r="D451" i="3"/>
  <c r="E451" i="3"/>
  <c r="G451" i="3"/>
  <c r="I451" i="3"/>
  <c r="J451" i="3"/>
  <c r="L451" i="3"/>
  <c r="N451" i="3"/>
  <c r="M451" i="3"/>
  <c r="C451" i="3"/>
  <c r="H451" i="3"/>
  <c r="F451" i="3"/>
  <c r="B451" i="3"/>
  <c r="D450" i="3"/>
  <c r="E450" i="3"/>
  <c r="G450" i="3"/>
  <c r="I450" i="3"/>
  <c r="J450" i="3"/>
  <c r="L450" i="3"/>
  <c r="N450" i="3"/>
  <c r="M450" i="3"/>
  <c r="C450" i="3"/>
  <c r="H450" i="3"/>
  <c r="F450" i="3"/>
  <c r="B450" i="3"/>
  <c r="D449" i="3"/>
  <c r="E449" i="3"/>
  <c r="G449" i="3"/>
  <c r="I449" i="3"/>
  <c r="J449" i="3"/>
  <c r="L449" i="3"/>
  <c r="N449" i="3"/>
  <c r="M449" i="3"/>
  <c r="C449" i="3"/>
  <c r="H449" i="3"/>
  <c r="F449" i="3"/>
  <c r="B449" i="3"/>
  <c r="D448" i="3"/>
  <c r="E448" i="3"/>
  <c r="G448" i="3"/>
  <c r="I448" i="3"/>
  <c r="J448" i="3"/>
  <c r="L448" i="3"/>
  <c r="N448" i="3"/>
  <c r="M448" i="3"/>
  <c r="C448" i="3"/>
  <c r="H448" i="3"/>
  <c r="F448" i="3"/>
  <c r="B448" i="3"/>
  <c r="D447" i="3"/>
  <c r="E447" i="3"/>
  <c r="G447" i="3"/>
  <c r="I447" i="3"/>
  <c r="J447" i="3"/>
  <c r="L447" i="3"/>
  <c r="N447" i="3"/>
  <c r="M447" i="3"/>
  <c r="C447" i="3"/>
  <c r="H447" i="3"/>
  <c r="F447" i="3"/>
  <c r="B447" i="3"/>
  <c r="D446" i="3"/>
  <c r="E446" i="3"/>
  <c r="G446" i="3"/>
  <c r="I446" i="3"/>
  <c r="J446" i="3"/>
  <c r="L446" i="3"/>
  <c r="N446" i="3"/>
  <c r="M446" i="3"/>
  <c r="C446" i="3"/>
  <c r="H446" i="3"/>
  <c r="F446" i="3"/>
  <c r="B446" i="3"/>
  <c r="D445" i="3"/>
  <c r="E445" i="3"/>
  <c r="G445" i="3"/>
  <c r="I445" i="3"/>
  <c r="J445" i="3"/>
  <c r="L445" i="3"/>
  <c r="N445" i="3"/>
  <c r="M445" i="3"/>
  <c r="C445" i="3"/>
  <c r="H445" i="3"/>
  <c r="F445" i="3"/>
  <c r="B445" i="3"/>
  <c r="D444" i="3"/>
  <c r="E444" i="3"/>
  <c r="G444" i="3"/>
  <c r="I444" i="3"/>
  <c r="J444" i="3"/>
  <c r="L444" i="3"/>
  <c r="N444" i="3"/>
  <c r="M444" i="3"/>
  <c r="C444" i="3"/>
  <c r="H444" i="3"/>
  <c r="F444" i="3"/>
  <c r="B444" i="3"/>
  <c r="D443" i="3"/>
  <c r="E443" i="3"/>
  <c r="G443" i="3"/>
  <c r="I443" i="3"/>
  <c r="J443" i="3"/>
  <c r="L443" i="3"/>
  <c r="N443" i="3"/>
  <c r="M443" i="3"/>
  <c r="C443" i="3"/>
  <c r="H443" i="3"/>
  <c r="F443" i="3"/>
  <c r="B443" i="3"/>
  <c r="D442" i="3"/>
  <c r="E442" i="3"/>
  <c r="G442" i="3"/>
  <c r="I442" i="3"/>
  <c r="J442" i="3"/>
  <c r="L442" i="3"/>
  <c r="N442" i="3"/>
  <c r="M442" i="3"/>
  <c r="C442" i="3"/>
  <c r="H442" i="3"/>
  <c r="F442" i="3"/>
  <c r="B442" i="3"/>
  <c r="D441" i="3"/>
  <c r="E441" i="3"/>
  <c r="G441" i="3"/>
  <c r="I441" i="3"/>
  <c r="J441" i="3"/>
  <c r="L441" i="3"/>
  <c r="N441" i="3"/>
  <c r="M441" i="3"/>
  <c r="C441" i="3"/>
  <c r="H441" i="3"/>
  <c r="F441" i="3"/>
  <c r="B441" i="3"/>
  <c r="D440" i="3"/>
  <c r="E440" i="3"/>
  <c r="G440" i="3"/>
  <c r="I440" i="3"/>
  <c r="J440" i="3"/>
  <c r="L440" i="3"/>
  <c r="N440" i="3"/>
  <c r="M440" i="3"/>
  <c r="C440" i="3"/>
  <c r="H440" i="3"/>
  <c r="F440" i="3"/>
  <c r="B440" i="3"/>
  <c r="D439" i="3"/>
  <c r="E439" i="3"/>
  <c r="G439" i="3"/>
  <c r="I439" i="3"/>
  <c r="J439" i="3"/>
  <c r="L439" i="3"/>
  <c r="N439" i="3"/>
  <c r="M439" i="3"/>
  <c r="C439" i="3"/>
  <c r="H439" i="3"/>
  <c r="F439" i="3"/>
  <c r="B439" i="3"/>
  <c r="D438" i="3"/>
  <c r="E438" i="3"/>
  <c r="G438" i="3"/>
  <c r="I438" i="3"/>
  <c r="J438" i="3"/>
  <c r="L438" i="3"/>
  <c r="N438" i="3"/>
  <c r="M438" i="3"/>
  <c r="C438" i="3"/>
  <c r="H438" i="3"/>
  <c r="F438" i="3"/>
  <c r="B438" i="3"/>
  <c r="D437" i="3"/>
  <c r="E437" i="3"/>
  <c r="G437" i="3"/>
  <c r="I437" i="3"/>
  <c r="J437" i="3"/>
  <c r="L437" i="3"/>
  <c r="N437" i="3"/>
  <c r="M437" i="3"/>
  <c r="C437" i="3"/>
  <c r="H437" i="3"/>
  <c r="F437" i="3"/>
  <c r="B437" i="3"/>
  <c r="D436" i="3"/>
  <c r="E436" i="3"/>
  <c r="G436" i="3"/>
  <c r="I436" i="3"/>
  <c r="J436" i="3"/>
  <c r="L436" i="3"/>
  <c r="N436" i="3"/>
  <c r="M436" i="3"/>
  <c r="C436" i="3"/>
  <c r="H436" i="3"/>
  <c r="F436" i="3"/>
  <c r="B436" i="3"/>
  <c r="D435" i="3"/>
  <c r="E435" i="3"/>
  <c r="G435" i="3"/>
  <c r="I435" i="3"/>
  <c r="J435" i="3"/>
  <c r="L435" i="3"/>
  <c r="N435" i="3"/>
  <c r="M435" i="3"/>
  <c r="C435" i="3"/>
  <c r="H435" i="3"/>
  <c r="F435" i="3"/>
  <c r="B435" i="3"/>
  <c r="D434" i="3"/>
  <c r="E434" i="3"/>
  <c r="G434" i="3"/>
  <c r="I434" i="3"/>
  <c r="J434" i="3"/>
  <c r="L434" i="3"/>
  <c r="N434" i="3"/>
  <c r="M434" i="3"/>
  <c r="C434" i="3"/>
  <c r="H434" i="3"/>
  <c r="F434" i="3"/>
  <c r="B434" i="3"/>
  <c r="D433" i="3"/>
  <c r="E433" i="3"/>
  <c r="G433" i="3"/>
  <c r="I433" i="3"/>
  <c r="J433" i="3"/>
  <c r="L433" i="3"/>
  <c r="N433" i="3"/>
  <c r="M433" i="3"/>
  <c r="C433" i="3"/>
  <c r="H433" i="3"/>
  <c r="F433" i="3"/>
  <c r="B433" i="3"/>
  <c r="D432" i="3"/>
  <c r="E432" i="3"/>
  <c r="G432" i="3"/>
  <c r="I432" i="3"/>
  <c r="J432" i="3"/>
  <c r="L432" i="3"/>
  <c r="N432" i="3"/>
  <c r="M432" i="3"/>
  <c r="C432" i="3"/>
  <c r="H432" i="3"/>
  <c r="F432" i="3"/>
  <c r="B432" i="3"/>
  <c r="D431" i="3"/>
  <c r="E431" i="3"/>
  <c r="G431" i="3"/>
  <c r="I431" i="3"/>
  <c r="J431" i="3"/>
  <c r="L431" i="3"/>
  <c r="N431" i="3"/>
  <c r="M431" i="3"/>
  <c r="C431" i="3"/>
  <c r="H431" i="3"/>
  <c r="F431" i="3"/>
  <c r="B431" i="3"/>
  <c r="D430" i="3"/>
  <c r="E430" i="3"/>
  <c r="G430" i="3"/>
  <c r="I430" i="3"/>
  <c r="J430" i="3"/>
  <c r="L430" i="3"/>
  <c r="N430" i="3"/>
  <c r="M430" i="3"/>
  <c r="C430" i="3"/>
  <c r="H430" i="3"/>
  <c r="F430" i="3"/>
  <c r="B430" i="3"/>
  <c r="D429" i="3"/>
  <c r="E429" i="3"/>
  <c r="G429" i="3"/>
  <c r="I429" i="3"/>
  <c r="J429" i="3"/>
  <c r="L429" i="3"/>
  <c r="N429" i="3"/>
  <c r="M429" i="3"/>
  <c r="C429" i="3"/>
  <c r="H429" i="3"/>
  <c r="F429" i="3"/>
  <c r="B429" i="3"/>
  <c r="D428" i="3"/>
  <c r="E428" i="3"/>
  <c r="G428" i="3"/>
  <c r="I428" i="3"/>
  <c r="J428" i="3"/>
  <c r="L428" i="3"/>
  <c r="N428" i="3"/>
  <c r="M428" i="3"/>
  <c r="C428" i="3"/>
  <c r="H428" i="3"/>
  <c r="F428" i="3"/>
  <c r="B428" i="3"/>
  <c r="D427" i="3"/>
  <c r="E427" i="3"/>
  <c r="G427" i="3"/>
  <c r="I427" i="3"/>
  <c r="J427" i="3"/>
  <c r="L427" i="3"/>
  <c r="N427" i="3"/>
  <c r="M427" i="3"/>
  <c r="C427" i="3"/>
  <c r="H427" i="3"/>
  <c r="F427" i="3"/>
  <c r="B427" i="3"/>
  <c r="D426" i="3"/>
  <c r="E426" i="3"/>
  <c r="G426" i="3"/>
  <c r="I426" i="3"/>
  <c r="J426" i="3"/>
  <c r="L426" i="3"/>
  <c r="N426" i="3"/>
  <c r="M426" i="3"/>
  <c r="C426" i="3"/>
  <c r="H426" i="3"/>
  <c r="F426" i="3"/>
  <c r="B426" i="3"/>
  <c r="D425" i="3"/>
  <c r="E425" i="3"/>
  <c r="G425" i="3"/>
  <c r="I425" i="3"/>
  <c r="J425" i="3"/>
  <c r="L425" i="3"/>
  <c r="N425" i="3"/>
  <c r="M425" i="3"/>
  <c r="C425" i="3"/>
  <c r="H425" i="3"/>
  <c r="F425" i="3"/>
  <c r="B425" i="3"/>
  <c r="D424" i="3"/>
  <c r="E424" i="3"/>
  <c r="G424" i="3"/>
  <c r="I424" i="3"/>
  <c r="J424" i="3"/>
  <c r="L424" i="3"/>
  <c r="N424" i="3"/>
  <c r="M424" i="3"/>
  <c r="C424" i="3"/>
  <c r="H424" i="3"/>
  <c r="F424" i="3"/>
  <c r="B424" i="3"/>
  <c r="D423" i="3"/>
  <c r="E423" i="3"/>
  <c r="G423" i="3"/>
  <c r="I423" i="3"/>
  <c r="J423" i="3"/>
  <c r="L423" i="3"/>
  <c r="N423" i="3"/>
  <c r="M423" i="3"/>
  <c r="C423" i="3"/>
  <c r="H423" i="3"/>
  <c r="F423" i="3"/>
  <c r="B423" i="3"/>
  <c r="D422" i="3"/>
  <c r="E422" i="3"/>
  <c r="G422" i="3"/>
  <c r="I422" i="3"/>
  <c r="J422" i="3"/>
  <c r="L422" i="3"/>
  <c r="N422" i="3"/>
  <c r="M422" i="3"/>
  <c r="C422" i="3"/>
  <c r="H422" i="3"/>
  <c r="F422" i="3"/>
  <c r="B422" i="3"/>
  <c r="D421" i="3"/>
  <c r="E421" i="3"/>
  <c r="G421" i="3"/>
  <c r="I421" i="3"/>
  <c r="J421" i="3"/>
  <c r="L421" i="3"/>
  <c r="N421" i="3"/>
  <c r="M421" i="3"/>
  <c r="C421" i="3"/>
  <c r="H421" i="3"/>
  <c r="F421" i="3"/>
  <c r="B421" i="3"/>
  <c r="D420" i="3"/>
  <c r="E420" i="3"/>
  <c r="G420" i="3"/>
  <c r="I420" i="3"/>
  <c r="J420" i="3"/>
  <c r="L420" i="3"/>
  <c r="N420" i="3"/>
  <c r="M420" i="3"/>
  <c r="C420" i="3"/>
  <c r="H420" i="3"/>
  <c r="F420" i="3"/>
  <c r="B420" i="3"/>
  <c r="D419" i="3"/>
  <c r="E419" i="3"/>
  <c r="G419" i="3"/>
  <c r="I419" i="3"/>
  <c r="J419" i="3"/>
  <c r="L419" i="3"/>
  <c r="N419" i="3"/>
  <c r="M419" i="3"/>
  <c r="C419" i="3"/>
  <c r="H419" i="3"/>
  <c r="F419" i="3"/>
  <c r="B419" i="3"/>
  <c r="D418" i="3"/>
  <c r="E418" i="3"/>
  <c r="G418" i="3"/>
  <c r="I418" i="3"/>
  <c r="J418" i="3"/>
  <c r="L418" i="3"/>
  <c r="N418" i="3"/>
  <c r="M418" i="3"/>
  <c r="C418" i="3"/>
  <c r="H418" i="3"/>
  <c r="F418" i="3"/>
  <c r="B418" i="3"/>
  <c r="D417" i="3"/>
  <c r="E417" i="3"/>
  <c r="G417" i="3"/>
  <c r="I417" i="3"/>
  <c r="J417" i="3"/>
  <c r="L417" i="3"/>
  <c r="N417" i="3"/>
  <c r="M417" i="3"/>
  <c r="C417" i="3"/>
  <c r="H417" i="3"/>
  <c r="F417" i="3"/>
  <c r="B417" i="3"/>
  <c r="D416" i="3"/>
  <c r="E416" i="3"/>
  <c r="G416" i="3"/>
  <c r="I416" i="3"/>
  <c r="J416" i="3"/>
  <c r="L416" i="3"/>
  <c r="N416" i="3"/>
  <c r="M416" i="3"/>
  <c r="C416" i="3"/>
  <c r="H416" i="3"/>
  <c r="F416" i="3"/>
  <c r="B416" i="3"/>
  <c r="D415" i="3"/>
  <c r="E415" i="3"/>
  <c r="G415" i="3"/>
  <c r="I415" i="3"/>
  <c r="J415" i="3"/>
  <c r="L415" i="3"/>
  <c r="N415" i="3"/>
  <c r="M415" i="3"/>
  <c r="C415" i="3"/>
  <c r="H415" i="3"/>
  <c r="F415" i="3"/>
  <c r="B415" i="3"/>
  <c r="D414" i="3"/>
  <c r="E414" i="3"/>
  <c r="G414" i="3"/>
  <c r="I414" i="3"/>
  <c r="J414" i="3"/>
  <c r="L414" i="3"/>
  <c r="N414" i="3"/>
  <c r="M414" i="3"/>
  <c r="C414" i="3"/>
  <c r="H414" i="3"/>
  <c r="F414" i="3"/>
  <c r="B414" i="3"/>
  <c r="D413" i="3"/>
  <c r="E413" i="3"/>
  <c r="G413" i="3"/>
  <c r="I413" i="3"/>
  <c r="J413" i="3"/>
  <c r="L413" i="3"/>
  <c r="N413" i="3"/>
  <c r="M413" i="3"/>
  <c r="C413" i="3"/>
  <c r="H413" i="3"/>
  <c r="F413" i="3"/>
  <c r="B413" i="3"/>
  <c r="D412" i="3"/>
  <c r="E412" i="3"/>
  <c r="G412" i="3"/>
  <c r="I412" i="3"/>
  <c r="J412" i="3"/>
  <c r="L412" i="3"/>
  <c r="N412" i="3"/>
  <c r="M412" i="3"/>
  <c r="C412" i="3"/>
  <c r="H412" i="3"/>
  <c r="F412" i="3"/>
  <c r="B412" i="3"/>
  <c r="D411" i="3"/>
  <c r="E411" i="3"/>
  <c r="G411" i="3"/>
  <c r="I411" i="3"/>
  <c r="J411" i="3"/>
  <c r="L411" i="3"/>
  <c r="N411" i="3"/>
  <c r="M411" i="3"/>
  <c r="C411" i="3"/>
  <c r="H411" i="3"/>
  <c r="F411" i="3"/>
  <c r="B411" i="3"/>
  <c r="D410" i="3"/>
  <c r="E410" i="3"/>
  <c r="G410" i="3"/>
  <c r="I410" i="3"/>
  <c r="J410" i="3"/>
  <c r="L410" i="3"/>
  <c r="N410" i="3"/>
  <c r="M410" i="3"/>
  <c r="C410" i="3"/>
  <c r="H410" i="3"/>
  <c r="F410" i="3"/>
  <c r="B410" i="3"/>
  <c r="D409" i="3"/>
  <c r="E409" i="3"/>
  <c r="G409" i="3"/>
  <c r="I409" i="3"/>
  <c r="J409" i="3"/>
  <c r="L409" i="3"/>
  <c r="N409" i="3"/>
  <c r="M409" i="3"/>
  <c r="C409" i="3"/>
  <c r="H409" i="3"/>
  <c r="F409" i="3"/>
  <c r="B409" i="3"/>
  <c r="D408" i="3"/>
  <c r="E408" i="3"/>
  <c r="G408" i="3"/>
  <c r="I408" i="3"/>
  <c r="J408" i="3"/>
  <c r="L408" i="3"/>
  <c r="N408" i="3"/>
  <c r="M408" i="3"/>
  <c r="C408" i="3"/>
  <c r="H408" i="3"/>
  <c r="F408" i="3"/>
  <c r="B408" i="3"/>
  <c r="D407" i="3"/>
  <c r="E407" i="3"/>
  <c r="G407" i="3"/>
  <c r="I407" i="3"/>
  <c r="J407" i="3"/>
  <c r="L407" i="3"/>
  <c r="N407" i="3"/>
  <c r="M407" i="3"/>
  <c r="C407" i="3"/>
  <c r="H407" i="3"/>
  <c r="F407" i="3"/>
  <c r="B407" i="3"/>
  <c r="D406" i="3"/>
  <c r="E406" i="3"/>
  <c r="G406" i="3"/>
  <c r="I406" i="3"/>
  <c r="J406" i="3"/>
  <c r="L406" i="3"/>
  <c r="N406" i="3"/>
  <c r="M406" i="3"/>
  <c r="C406" i="3"/>
  <c r="H406" i="3"/>
  <c r="F406" i="3"/>
  <c r="B406" i="3"/>
  <c r="D405" i="3"/>
  <c r="E405" i="3"/>
  <c r="G405" i="3"/>
  <c r="I405" i="3"/>
  <c r="J405" i="3"/>
  <c r="L405" i="3"/>
  <c r="N405" i="3"/>
  <c r="M405" i="3"/>
  <c r="C405" i="3"/>
  <c r="H405" i="3"/>
  <c r="F405" i="3"/>
  <c r="B405" i="3"/>
  <c r="D404" i="3"/>
  <c r="E404" i="3"/>
  <c r="G404" i="3"/>
  <c r="I404" i="3"/>
  <c r="J404" i="3"/>
  <c r="L404" i="3"/>
  <c r="N404" i="3"/>
  <c r="M404" i="3"/>
  <c r="C404" i="3"/>
  <c r="H404" i="3"/>
  <c r="F404" i="3"/>
  <c r="B404" i="3"/>
  <c r="D403" i="3"/>
  <c r="E403" i="3"/>
  <c r="G403" i="3"/>
  <c r="I403" i="3"/>
  <c r="J403" i="3"/>
  <c r="L403" i="3"/>
  <c r="N403" i="3"/>
  <c r="M403" i="3"/>
  <c r="C403" i="3"/>
  <c r="H403" i="3"/>
  <c r="F403" i="3"/>
  <c r="B403" i="3"/>
  <c r="D402" i="3"/>
  <c r="E402" i="3"/>
  <c r="G402" i="3"/>
  <c r="I402" i="3"/>
  <c r="J402" i="3"/>
  <c r="L402" i="3"/>
  <c r="N402" i="3"/>
  <c r="M402" i="3"/>
  <c r="C402" i="3"/>
  <c r="H402" i="3"/>
  <c r="F402" i="3"/>
  <c r="B402" i="3"/>
  <c r="D401" i="3"/>
  <c r="E401" i="3"/>
  <c r="G401" i="3"/>
  <c r="I401" i="3"/>
  <c r="J401" i="3"/>
  <c r="L401" i="3"/>
  <c r="N401" i="3"/>
  <c r="M401" i="3"/>
  <c r="C401" i="3"/>
  <c r="H401" i="3"/>
  <c r="F401" i="3"/>
  <c r="B401" i="3"/>
  <c r="D400" i="3"/>
  <c r="E400" i="3"/>
  <c r="G400" i="3"/>
  <c r="I400" i="3"/>
  <c r="J400" i="3"/>
  <c r="L400" i="3"/>
  <c r="N400" i="3"/>
  <c r="M400" i="3"/>
  <c r="C400" i="3"/>
  <c r="H400" i="3"/>
  <c r="F400" i="3"/>
  <c r="B400" i="3"/>
  <c r="D399" i="3"/>
  <c r="E399" i="3"/>
  <c r="G399" i="3"/>
  <c r="I399" i="3"/>
  <c r="J399" i="3"/>
  <c r="L399" i="3"/>
  <c r="N399" i="3"/>
  <c r="M399" i="3"/>
  <c r="C399" i="3"/>
  <c r="H399" i="3"/>
  <c r="F399" i="3"/>
  <c r="B399" i="3"/>
  <c r="D398" i="3"/>
  <c r="E398" i="3"/>
  <c r="G398" i="3"/>
  <c r="I398" i="3"/>
  <c r="J398" i="3"/>
  <c r="L398" i="3"/>
  <c r="N398" i="3"/>
  <c r="M398" i="3"/>
  <c r="C398" i="3"/>
  <c r="H398" i="3"/>
  <c r="F398" i="3"/>
  <c r="B398" i="3"/>
  <c r="D397" i="3"/>
  <c r="E397" i="3"/>
  <c r="G397" i="3"/>
  <c r="I397" i="3"/>
  <c r="J397" i="3"/>
  <c r="L397" i="3"/>
  <c r="N397" i="3"/>
  <c r="M397" i="3"/>
  <c r="C397" i="3"/>
  <c r="H397" i="3"/>
  <c r="F397" i="3"/>
  <c r="B397" i="3"/>
  <c r="D396" i="3"/>
  <c r="E396" i="3"/>
  <c r="G396" i="3"/>
  <c r="I396" i="3"/>
  <c r="J396" i="3"/>
  <c r="L396" i="3"/>
  <c r="N396" i="3"/>
  <c r="M396" i="3"/>
  <c r="C396" i="3"/>
  <c r="H396" i="3"/>
  <c r="F396" i="3"/>
  <c r="B396" i="3"/>
  <c r="D395" i="3"/>
  <c r="E395" i="3"/>
  <c r="G395" i="3"/>
  <c r="I395" i="3"/>
  <c r="J395" i="3"/>
  <c r="L395" i="3"/>
  <c r="N395" i="3"/>
  <c r="M395" i="3"/>
  <c r="C395" i="3"/>
  <c r="H395" i="3"/>
  <c r="F395" i="3"/>
  <c r="B395" i="3"/>
  <c r="D394" i="3"/>
  <c r="E394" i="3"/>
  <c r="G394" i="3"/>
  <c r="I394" i="3"/>
  <c r="J394" i="3"/>
  <c r="L394" i="3"/>
  <c r="N394" i="3"/>
  <c r="M394" i="3"/>
  <c r="C394" i="3"/>
  <c r="H394" i="3"/>
  <c r="F394" i="3"/>
  <c r="B394" i="3"/>
  <c r="D393" i="3"/>
  <c r="E393" i="3"/>
  <c r="G393" i="3"/>
  <c r="I393" i="3"/>
  <c r="J393" i="3"/>
  <c r="L393" i="3"/>
  <c r="N393" i="3"/>
  <c r="M393" i="3"/>
  <c r="C393" i="3"/>
  <c r="H393" i="3"/>
  <c r="F393" i="3"/>
  <c r="B393" i="3"/>
  <c r="D392" i="3"/>
  <c r="E392" i="3"/>
  <c r="G392" i="3"/>
  <c r="I392" i="3"/>
  <c r="J392" i="3"/>
  <c r="L392" i="3"/>
  <c r="N392" i="3"/>
  <c r="M392" i="3"/>
  <c r="C392" i="3"/>
  <c r="H392" i="3"/>
  <c r="F392" i="3"/>
  <c r="B392" i="3"/>
  <c r="D391" i="3"/>
  <c r="E391" i="3"/>
  <c r="G391" i="3"/>
  <c r="I391" i="3"/>
  <c r="J391" i="3"/>
  <c r="L391" i="3"/>
  <c r="N391" i="3"/>
  <c r="M391" i="3"/>
  <c r="C391" i="3"/>
  <c r="H391" i="3"/>
  <c r="F391" i="3"/>
  <c r="B391" i="3"/>
  <c r="D390" i="3"/>
  <c r="E390" i="3"/>
  <c r="G390" i="3"/>
  <c r="I390" i="3"/>
  <c r="J390" i="3"/>
  <c r="L390" i="3"/>
  <c r="N390" i="3"/>
  <c r="M390" i="3"/>
  <c r="C390" i="3"/>
  <c r="H390" i="3"/>
  <c r="F390" i="3"/>
  <c r="B390" i="3"/>
  <c r="D389" i="3"/>
  <c r="E389" i="3"/>
  <c r="G389" i="3"/>
  <c r="I389" i="3"/>
  <c r="J389" i="3"/>
  <c r="L389" i="3"/>
  <c r="N389" i="3"/>
  <c r="M389" i="3"/>
  <c r="C389" i="3"/>
  <c r="H389" i="3"/>
  <c r="F389" i="3"/>
  <c r="B389" i="3"/>
  <c r="D388" i="3"/>
  <c r="E388" i="3"/>
  <c r="G388" i="3"/>
  <c r="I388" i="3"/>
  <c r="J388" i="3"/>
  <c r="L388" i="3"/>
  <c r="N388" i="3"/>
  <c r="M388" i="3"/>
  <c r="C388" i="3"/>
  <c r="H388" i="3"/>
  <c r="F388" i="3"/>
  <c r="B388" i="3"/>
  <c r="D387" i="3"/>
  <c r="E387" i="3"/>
  <c r="G387" i="3"/>
  <c r="I387" i="3"/>
  <c r="J387" i="3"/>
  <c r="L387" i="3"/>
  <c r="N387" i="3"/>
  <c r="M387" i="3"/>
  <c r="C387" i="3"/>
  <c r="H387" i="3"/>
  <c r="F387" i="3"/>
  <c r="B387" i="3"/>
  <c r="D386" i="3"/>
  <c r="E386" i="3"/>
  <c r="G386" i="3"/>
  <c r="I386" i="3"/>
  <c r="J386" i="3"/>
  <c r="L386" i="3"/>
  <c r="N386" i="3"/>
  <c r="M386" i="3"/>
  <c r="C386" i="3"/>
  <c r="H386" i="3"/>
  <c r="F386" i="3"/>
  <c r="B386" i="3"/>
  <c r="D385" i="3"/>
  <c r="E385" i="3"/>
  <c r="G385" i="3"/>
  <c r="I385" i="3"/>
  <c r="J385" i="3"/>
  <c r="L385" i="3"/>
  <c r="N385" i="3"/>
  <c r="M385" i="3"/>
  <c r="C385" i="3"/>
  <c r="H385" i="3"/>
  <c r="F385" i="3"/>
  <c r="B385" i="3"/>
  <c r="D384" i="3"/>
  <c r="E384" i="3"/>
  <c r="G384" i="3"/>
  <c r="I384" i="3"/>
  <c r="J384" i="3"/>
  <c r="L384" i="3"/>
  <c r="N384" i="3"/>
  <c r="M384" i="3"/>
  <c r="C384" i="3"/>
  <c r="H384" i="3"/>
  <c r="F384" i="3"/>
  <c r="B384" i="3"/>
  <c r="D383" i="3"/>
  <c r="E383" i="3"/>
  <c r="G383" i="3"/>
  <c r="I383" i="3"/>
  <c r="J383" i="3"/>
  <c r="L383" i="3"/>
  <c r="N383" i="3"/>
  <c r="M383" i="3"/>
  <c r="C383" i="3"/>
  <c r="H383" i="3"/>
  <c r="F383" i="3"/>
  <c r="B383" i="3"/>
  <c r="D382" i="3"/>
  <c r="E382" i="3"/>
  <c r="G382" i="3"/>
  <c r="I382" i="3"/>
  <c r="J382" i="3"/>
  <c r="L382" i="3"/>
  <c r="N382" i="3"/>
  <c r="M382" i="3"/>
  <c r="C382" i="3"/>
  <c r="H382" i="3"/>
  <c r="F382" i="3"/>
  <c r="B382" i="3"/>
  <c r="D381" i="3"/>
  <c r="E381" i="3"/>
  <c r="G381" i="3"/>
  <c r="I381" i="3"/>
  <c r="J381" i="3"/>
  <c r="L381" i="3"/>
  <c r="N381" i="3"/>
  <c r="M381" i="3"/>
  <c r="C381" i="3"/>
  <c r="H381" i="3"/>
  <c r="F381" i="3"/>
  <c r="B381" i="3"/>
  <c r="D380" i="3"/>
  <c r="E380" i="3"/>
  <c r="G380" i="3"/>
  <c r="I380" i="3"/>
  <c r="J380" i="3"/>
  <c r="L380" i="3"/>
  <c r="N380" i="3"/>
  <c r="M380" i="3"/>
  <c r="C380" i="3"/>
  <c r="H380" i="3"/>
  <c r="F380" i="3"/>
  <c r="B380" i="3"/>
  <c r="D379" i="3"/>
  <c r="E379" i="3"/>
  <c r="G379" i="3"/>
  <c r="I379" i="3"/>
  <c r="J379" i="3"/>
  <c r="L379" i="3"/>
  <c r="N379" i="3"/>
  <c r="M379" i="3"/>
  <c r="C379" i="3"/>
  <c r="H379" i="3"/>
  <c r="F379" i="3"/>
  <c r="B379" i="3"/>
  <c r="D378" i="3"/>
  <c r="E378" i="3"/>
  <c r="G378" i="3"/>
  <c r="I378" i="3"/>
  <c r="J378" i="3"/>
  <c r="L378" i="3"/>
  <c r="N378" i="3"/>
  <c r="M378" i="3"/>
  <c r="C378" i="3"/>
  <c r="H378" i="3"/>
  <c r="F378" i="3"/>
  <c r="B378" i="3"/>
  <c r="D377" i="3"/>
  <c r="E377" i="3"/>
  <c r="G377" i="3"/>
  <c r="I377" i="3"/>
  <c r="J377" i="3"/>
  <c r="L377" i="3"/>
  <c r="N377" i="3"/>
  <c r="M377" i="3"/>
  <c r="C377" i="3"/>
  <c r="H377" i="3"/>
  <c r="F377" i="3"/>
  <c r="B377" i="3"/>
  <c r="D376" i="3"/>
  <c r="E376" i="3"/>
  <c r="G376" i="3"/>
  <c r="I376" i="3"/>
  <c r="J376" i="3"/>
  <c r="L376" i="3"/>
  <c r="N376" i="3"/>
  <c r="M376" i="3"/>
  <c r="C376" i="3"/>
  <c r="H376" i="3"/>
  <c r="F376" i="3"/>
  <c r="B376" i="3"/>
  <c r="D375" i="3"/>
  <c r="E375" i="3"/>
  <c r="G375" i="3"/>
  <c r="I375" i="3"/>
  <c r="J375" i="3"/>
  <c r="L375" i="3"/>
  <c r="N375" i="3"/>
  <c r="M375" i="3"/>
  <c r="C375" i="3"/>
  <c r="H375" i="3"/>
  <c r="F375" i="3"/>
  <c r="B375" i="3"/>
  <c r="D374" i="3"/>
  <c r="E374" i="3"/>
  <c r="G374" i="3"/>
  <c r="I374" i="3"/>
  <c r="J374" i="3"/>
  <c r="L374" i="3"/>
  <c r="N374" i="3"/>
  <c r="M374" i="3"/>
  <c r="C374" i="3"/>
  <c r="H374" i="3"/>
  <c r="F374" i="3"/>
  <c r="B374" i="3"/>
  <c r="D373" i="3"/>
  <c r="E373" i="3"/>
  <c r="G373" i="3"/>
  <c r="I373" i="3"/>
  <c r="J373" i="3"/>
  <c r="L373" i="3"/>
  <c r="N373" i="3"/>
  <c r="M373" i="3"/>
  <c r="C373" i="3"/>
  <c r="H373" i="3"/>
  <c r="F373" i="3"/>
  <c r="B373" i="3"/>
  <c r="D372" i="3"/>
  <c r="E372" i="3"/>
  <c r="G372" i="3"/>
  <c r="I372" i="3"/>
  <c r="J372" i="3"/>
  <c r="L372" i="3"/>
  <c r="N372" i="3"/>
  <c r="M372" i="3"/>
  <c r="C372" i="3"/>
  <c r="H372" i="3"/>
  <c r="F372" i="3"/>
  <c r="B372" i="3"/>
  <c r="D371" i="3"/>
  <c r="E371" i="3"/>
  <c r="G371" i="3"/>
  <c r="I371" i="3"/>
  <c r="J371" i="3"/>
  <c r="L371" i="3"/>
  <c r="N371" i="3"/>
  <c r="M371" i="3"/>
  <c r="C371" i="3"/>
  <c r="H371" i="3"/>
  <c r="F371" i="3"/>
  <c r="B371" i="3"/>
  <c r="D370" i="3"/>
  <c r="E370" i="3"/>
  <c r="G370" i="3"/>
  <c r="I370" i="3"/>
  <c r="J370" i="3"/>
  <c r="L370" i="3"/>
  <c r="N370" i="3"/>
  <c r="M370" i="3"/>
  <c r="C370" i="3"/>
  <c r="H370" i="3"/>
  <c r="F370" i="3"/>
  <c r="B370" i="3"/>
  <c r="D369" i="3"/>
  <c r="E369" i="3"/>
  <c r="G369" i="3"/>
  <c r="I369" i="3"/>
  <c r="J369" i="3"/>
  <c r="L369" i="3"/>
  <c r="N369" i="3"/>
  <c r="M369" i="3"/>
  <c r="C369" i="3"/>
  <c r="H369" i="3"/>
  <c r="F369" i="3"/>
  <c r="B369" i="3"/>
  <c r="D368" i="3"/>
  <c r="E368" i="3"/>
  <c r="G368" i="3"/>
  <c r="I368" i="3"/>
  <c r="J368" i="3"/>
  <c r="L368" i="3"/>
  <c r="N368" i="3"/>
  <c r="M368" i="3"/>
  <c r="C368" i="3"/>
  <c r="H368" i="3"/>
  <c r="F368" i="3"/>
  <c r="B368" i="3"/>
  <c r="D367" i="3"/>
  <c r="E367" i="3"/>
  <c r="G367" i="3"/>
  <c r="I367" i="3"/>
  <c r="J367" i="3"/>
  <c r="L367" i="3"/>
  <c r="N367" i="3"/>
  <c r="M367" i="3"/>
  <c r="C367" i="3"/>
  <c r="H367" i="3"/>
  <c r="F367" i="3"/>
  <c r="B367" i="3"/>
  <c r="D366" i="3"/>
  <c r="E366" i="3"/>
  <c r="G366" i="3"/>
  <c r="I366" i="3"/>
  <c r="J366" i="3"/>
  <c r="L366" i="3"/>
  <c r="N366" i="3"/>
  <c r="M366" i="3"/>
  <c r="C366" i="3"/>
  <c r="H366" i="3"/>
  <c r="F366" i="3"/>
  <c r="B366" i="3"/>
  <c r="D365" i="3"/>
  <c r="E365" i="3"/>
  <c r="G365" i="3"/>
  <c r="I365" i="3"/>
  <c r="J365" i="3"/>
  <c r="L365" i="3"/>
  <c r="N365" i="3"/>
  <c r="M365" i="3"/>
  <c r="C365" i="3"/>
  <c r="H365" i="3"/>
  <c r="F365" i="3"/>
  <c r="B365" i="3"/>
  <c r="D364" i="3"/>
  <c r="E364" i="3"/>
  <c r="G364" i="3"/>
  <c r="I364" i="3"/>
  <c r="J364" i="3"/>
  <c r="L364" i="3"/>
  <c r="N364" i="3"/>
  <c r="M364" i="3"/>
  <c r="C364" i="3"/>
  <c r="H364" i="3"/>
  <c r="F364" i="3"/>
  <c r="B364" i="3"/>
  <c r="D363" i="3"/>
  <c r="E363" i="3"/>
  <c r="G363" i="3"/>
  <c r="I363" i="3"/>
  <c r="J363" i="3"/>
  <c r="L363" i="3"/>
  <c r="N363" i="3"/>
  <c r="M363" i="3"/>
  <c r="C363" i="3"/>
  <c r="H363" i="3"/>
  <c r="F363" i="3"/>
  <c r="B363" i="3"/>
  <c r="D362" i="3"/>
  <c r="E362" i="3"/>
  <c r="G362" i="3"/>
  <c r="I362" i="3"/>
  <c r="J362" i="3"/>
  <c r="L362" i="3"/>
  <c r="N362" i="3"/>
  <c r="M362" i="3"/>
  <c r="C362" i="3"/>
  <c r="H362" i="3"/>
  <c r="F362" i="3"/>
  <c r="B362" i="3"/>
  <c r="D361" i="3"/>
  <c r="E361" i="3"/>
  <c r="G361" i="3"/>
  <c r="I361" i="3"/>
  <c r="J361" i="3"/>
  <c r="L361" i="3"/>
  <c r="N361" i="3"/>
  <c r="M361" i="3"/>
  <c r="C361" i="3"/>
  <c r="H361" i="3"/>
  <c r="F361" i="3"/>
  <c r="B361" i="3"/>
  <c r="D360" i="3"/>
  <c r="E360" i="3"/>
  <c r="G360" i="3"/>
  <c r="I360" i="3"/>
  <c r="J360" i="3"/>
  <c r="L360" i="3"/>
  <c r="N360" i="3"/>
  <c r="M360" i="3"/>
  <c r="C360" i="3"/>
  <c r="H360" i="3"/>
  <c r="F360" i="3"/>
  <c r="B360" i="3"/>
  <c r="D359" i="3"/>
  <c r="E359" i="3"/>
  <c r="G359" i="3"/>
  <c r="I359" i="3"/>
  <c r="J359" i="3"/>
  <c r="L359" i="3"/>
  <c r="N359" i="3"/>
  <c r="M359" i="3"/>
  <c r="C359" i="3"/>
  <c r="H359" i="3"/>
  <c r="F359" i="3"/>
  <c r="B359" i="3"/>
  <c r="D358" i="3"/>
  <c r="E358" i="3"/>
  <c r="G358" i="3"/>
  <c r="I358" i="3"/>
  <c r="J358" i="3"/>
  <c r="L358" i="3"/>
  <c r="N358" i="3"/>
  <c r="M358" i="3"/>
  <c r="C358" i="3"/>
  <c r="H358" i="3"/>
  <c r="F358" i="3"/>
  <c r="B358" i="3"/>
  <c r="D357" i="3"/>
  <c r="E357" i="3"/>
  <c r="G357" i="3"/>
  <c r="I357" i="3"/>
  <c r="J357" i="3"/>
  <c r="L357" i="3"/>
  <c r="N357" i="3"/>
  <c r="M357" i="3"/>
  <c r="C357" i="3"/>
  <c r="H357" i="3"/>
  <c r="F357" i="3"/>
  <c r="B357" i="3"/>
  <c r="D356" i="3"/>
  <c r="E356" i="3"/>
  <c r="G356" i="3"/>
  <c r="I356" i="3"/>
  <c r="J356" i="3"/>
  <c r="L356" i="3"/>
  <c r="N356" i="3"/>
  <c r="M356" i="3"/>
  <c r="C356" i="3"/>
  <c r="H356" i="3"/>
  <c r="F356" i="3"/>
  <c r="B356" i="3"/>
  <c r="D355" i="3"/>
  <c r="E355" i="3"/>
  <c r="G355" i="3"/>
  <c r="I355" i="3"/>
  <c r="J355" i="3"/>
  <c r="L355" i="3"/>
  <c r="N355" i="3"/>
  <c r="M355" i="3"/>
  <c r="C355" i="3"/>
  <c r="H355" i="3"/>
  <c r="F355" i="3"/>
  <c r="B355" i="3"/>
  <c r="D354" i="3"/>
  <c r="E354" i="3"/>
  <c r="G354" i="3"/>
  <c r="I354" i="3"/>
  <c r="J354" i="3"/>
  <c r="L354" i="3"/>
  <c r="N354" i="3"/>
  <c r="M354" i="3"/>
  <c r="C354" i="3"/>
  <c r="H354" i="3"/>
  <c r="F354" i="3"/>
  <c r="B354" i="3"/>
  <c r="D353" i="3"/>
  <c r="E353" i="3"/>
  <c r="G353" i="3"/>
  <c r="I353" i="3"/>
  <c r="J353" i="3"/>
  <c r="L353" i="3"/>
  <c r="N353" i="3"/>
  <c r="M353" i="3"/>
  <c r="C353" i="3"/>
  <c r="H353" i="3"/>
  <c r="F353" i="3"/>
  <c r="B353" i="3"/>
  <c r="D352" i="3"/>
  <c r="E352" i="3"/>
  <c r="G352" i="3"/>
  <c r="I352" i="3"/>
  <c r="J352" i="3"/>
  <c r="L352" i="3"/>
  <c r="N352" i="3"/>
  <c r="M352" i="3"/>
  <c r="C352" i="3"/>
  <c r="H352" i="3"/>
  <c r="F352" i="3"/>
  <c r="B352" i="3"/>
  <c r="D351" i="3"/>
  <c r="E351" i="3"/>
  <c r="G351" i="3"/>
  <c r="I351" i="3"/>
  <c r="J351" i="3"/>
  <c r="L351" i="3"/>
  <c r="N351" i="3"/>
  <c r="M351" i="3"/>
  <c r="C351" i="3"/>
  <c r="H351" i="3"/>
  <c r="F351" i="3"/>
  <c r="B351" i="3"/>
  <c r="D350" i="3"/>
  <c r="E350" i="3"/>
  <c r="G350" i="3"/>
  <c r="I350" i="3"/>
  <c r="J350" i="3"/>
  <c r="L350" i="3"/>
  <c r="N350" i="3"/>
  <c r="M350" i="3"/>
  <c r="C350" i="3"/>
  <c r="H350" i="3"/>
  <c r="F350" i="3"/>
  <c r="B350" i="3"/>
  <c r="D349" i="3"/>
  <c r="E349" i="3"/>
  <c r="G349" i="3"/>
  <c r="I349" i="3"/>
  <c r="J349" i="3"/>
  <c r="L349" i="3"/>
  <c r="N349" i="3"/>
  <c r="M349" i="3"/>
  <c r="C349" i="3"/>
  <c r="H349" i="3"/>
  <c r="F349" i="3"/>
  <c r="B349" i="3"/>
  <c r="D348" i="3"/>
  <c r="E348" i="3"/>
  <c r="G348" i="3"/>
  <c r="I348" i="3"/>
  <c r="J348" i="3"/>
  <c r="L348" i="3"/>
  <c r="N348" i="3"/>
  <c r="M348" i="3"/>
  <c r="C348" i="3"/>
  <c r="H348" i="3"/>
  <c r="F348" i="3"/>
  <c r="B348" i="3"/>
  <c r="D347" i="3"/>
  <c r="E347" i="3"/>
  <c r="G347" i="3"/>
  <c r="I347" i="3"/>
  <c r="J347" i="3"/>
  <c r="L347" i="3"/>
  <c r="N347" i="3"/>
  <c r="M347" i="3"/>
  <c r="C347" i="3"/>
  <c r="H347" i="3"/>
  <c r="F347" i="3"/>
  <c r="B347" i="3"/>
  <c r="D346" i="3"/>
  <c r="E346" i="3"/>
  <c r="G346" i="3"/>
  <c r="I346" i="3"/>
  <c r="J346" i="3"/>
  <c r="L346" i="3"/>
  <c r="N346" i="3"/>
  <c r="M346" i="3"/>
  <c r="C346" i="3"/>
  <c r="H346" i="3"/>
  <c r="F346" i="3"/>
  <c r="B346" i="3"/>
  <c r="D345" i="3"/>
  <c r="E345" i="3"/>
  <c r="G345" i="3"/>
  <c r="I345" i="3"/>
  <c r="J345" i="3"/>
  <c r="L345" i="3"/>
  <c r="N345" i="3"/>
  <c r="M345" i="3"/>
  <c r="C345" i="3"/>
  <c r="H345" i="3"/>
  <c r="F345" i="3"/>
  <c r="B345" i="3"/>
  <c r="D344" i="3"/>
  <c r="E344" i="3"/>
  <c r="G344" i="3"/>
  <c r="I344" i="3"/>
  <c r="J344" i="3"/>
  <c r="L344" i="3"/>
  <c r="N344" i="3"/>
  <c r="M344" i="3"/>
  <c r="C344" i="3"/>
  <c r="H344" i="3"/>
  <c r="F344" i="3"/>
  <c r="B344" i="3"/>
  <c r="D343" i="3"/>
  <c r="E343" i="3"/>
  <c r="G343" i="3"/>
  <c r="I343" i="3"/>
  <c r="J343" i="3"/>
  <c r="L343" i="3"/>
  <c r="N343" i="3"/>
  <c r="M343" i="3"/>
  <c r="C343" i="3"/>
  <c r="H343" i="3"/>
  <c r="F343" i="3"/>
  <c r="B343" i="3"/>
  <c r="D342" i="3"/>
  <c r="E342" i="3"/>
  <c r="G342" i="3"/>
  <c r="I342" i="3"/>
  <c r="J342" i="3"/>
  <c r="L342" i="3"/>
  <c r="N342" i="3"/>
  <c r="M342" i="3"/>
  <c r="C342" i="3"/>
  <c r="H342" i="3"/>
  <c r="F342" i="3"/>
  <c r="B342" i="3"/>
  <c r="D341" i="3"/>
  <c r="E341" i="3"/>
  <c r="G341" i="3"/>
  <c r="I341" i="3"/>
  <c r="J341" i="3"/>
  <c r="L341" i="3"/>
  <c r="N341" i="3"/>
  <c r="M341" i="3"/>
  <c r="C341" i="3"/>
  <c r="H341" i="3"/>
  <c r="F341" i="3"/>
  <c r="B341" i="3"/>
  <c r="D340" i="3"/>
  <c r="E340" i="3"/>
  <c r="G340" i="3"/>
  <c r="I340" i="3"/>
  <c r="J340" i="3"/>
  <c r="L340" i="3"/>
  <c r="N340" i="3"/>
  <c r="M340" i="3"/>
  <c r="C340" i="3"/>
  <c r="H340" i="3"/>
  <c r="F340" i="3"/>
  <c r="B340" i="3"/>
  <c r="D339" i="3"/>
  <c r="E339" i="3"/>
  <c r="G339" i="3"/>
  <c r="I339" i="3"/>
  <c r="J339" i="3"/>
  <c r="L339" i="3"/>
  <c r="N339" i="3"/>
  <c r="M339" i="3"/>
  <c r="C339" i="3"/>
  <c r="H339" i="3"/>
  <c r="F339" i="3"/>
  <c r="B339" i="3"/>
  <c r="D338" i="3"/>
  <c r="E338" i="3"/>
  <c r="G338" i="3"/>
  <c r="I338" i="3"/>
  <c r="J338" i="3"/>
  <c r="L338" i="3"/>
  <c r="N338" i="3"/>
  <c r="M338" i="3"/>
  <c r="C338" i="3"/>
  <c r="H338" i="3"/>
  <c r="F338" i="3"/>
  <c r="B338" i="3"/>
  <c r="D337" i="3"/>
  <c r="E337" i="3"/>
  <c r="G337" i="3"/>
  <c r="I337" i="3"/>
  <c r="J337" i="3"/>
  <c r="L337" i="3"/>
  <c r="N337" i="3"/>
  <c r="M337" i="3"/>
  <c r="C337" i="3"/>
  <c r="H337" i="3"/>
  <c r="F337" i="3"/>
  <c r="B337" i="3"/>
  <c r="D336" i="3"/>
  <c r="E336" i="3"/>
  <c r="G336" i="3"/>
  <c r="I336" i="3"/>
  <c r="J336" i="3"/>
  <c r="L336" i="3"/>
  <c r="N336" i="3"/>
  <c r="M336" i="3"/>
  <c r="C336" i="3"/>
  <c r="H336" i="3"/>
  <c r="F336" i="3"/>
  <c r="B336" i="3"/>
  <c r="D335" i="3"/>
  <c r="E335" i="3"/>
  <c r="G335" i="3"/>
  <c r="I335" i="3"/>
  <c r="J335" i="3"/>
  <c r="L335" i="3"/>
  <c r="N335" i="3"/>
  <c r="M335" i="3"/>
  <c r="C335" i="3"/>
  <c r="H335" i="3"/>
  <c r="F335" i="3"/>
  <c r="B335" i="3"/>
  <c r="D334" i="3"/>
  <c r="E334" i="3"/>
  <c r="G334" i="3"/>
  <c r="I334" i="3"/>
  <c r="J334" i="3"/>
  <c r="L334" i="3"/>
  <c r="N334" i="3"/>
  <c r="M334" i="3"/>
  <c r="C334" i="3"/>
  <c r="H334" i="3"/>
  <c r="F334" i="3"/>
  <c r="B334" i="3"/>
  <c r="D333" i="3"/>
  <c r="E333" i="3"/>
  <c r="G333" i="3"/>
  <c r="I333" i="3"/>
  <c r="J333" i="3"/>
  <c r="L333" i="3"/>
  <c r="N333" i="3"/>
  <c r="M333" i="3"/>
  <c r="C333" i="3"/>
  <c r="H333" i="3"/>
  <c r="F333" i="3"/>
  <c r="B333" i="3"/>
  <c r="D332" i="3"/>
  <c r="E332" i="3"/>
  <c r="G332" i="3"/>
  <c r="I332" i="3"/>
  <c r="J332" i="3"/>
  <c r="L332" i="3"/>
  <c r="N332" i="3"/>
  <c r="M332" i="3"/>
  <c r="C332" i="3"/>
  <c r="H332" i="3"/>
  <c r="F332" i="3"/>
  <c r="B332" i="3"/>
  <c r="D331" i="3"/>
  <c r="E331" i="3"/>
  <c r="G331" i="3"/>
  <c r="I331" i="3"/>
  <c r="J331" i="3"/>
  <c r="L331" i="3"/>
  <c r="N331" i="3"/>
  <c r="M331" i="3"/>
  <c r="C331" i="3"/>
  <c r="H331" i="3"/>
  <c r="F331" i="3"/>
  <c r="B331" i="3"/>
  <c r="D330" i="3"/>
  <c r="E330" i="3"/>
  <c r="G330" i="3"/>
  <c r="I330" i="3"/>
  <c r="J330" i="3"/>
  <c r="L330" i="3"/>
  <c r="N330" i="3"/>
  <c r="M330" i="3"/>
  <c r="C330" i="3"/>
  <c r="H330" i="3"/>
  <c r="F330" i="3"/>
  <c r="B330" i="3"/>
  <c r="D329" i="3"/>
  <c r="E329" i="3"/>
  <c r="G329" i="3"/>
  <c r="I329" i="3"/>
  <c r="J329" i="3"/>
  <c r="L329" i="3"/>
  <c r="N329" i="3"/>
  <c r="M329" i="3"/>
  <c r="C329" i="3"/>
  <c r="H329" i="3"/>
  <c r="F329" i="3"/>
  <c r="B329" i="3"/>
  <c r="D328" i="3"/>
  <c r="E328" i="3"/>
  <c r="G328" i="3"/>
  <c r="I328" i="3"/>
  <c r="J328" i="3"/>
  <c r="L328" i="3"/>
  <c r="N328" i="3"/>
  <c r="M328" i="3"/>
  <c r="C328" i="3"/>
  <c r="H328" i="3"/>
  <c r="F328" i="3"/>
  <c r="B328" i="3"/>
  <c r="D327" i="3"/>
  <c r="E327" i="3"/>
  <c r="G327" i="3"/>
  <c r="I327" i="3"/>
  <c r="J327" i="3"/>
  <c r="L327" i="3"/>
  <c r="N327" i="3"/>
  <c r="M327" i="3"/>
  <c r="C327" i="3"/>
  <c r="H327" i="3"/>
  <c r="F327" i="3"/>
  <c r="B327" i="3"/>
  <c r="D326" i="3"/>
  <c r="E326" i="3"/>
  <c r="G326" i="3"/>
  <c r="I326" i="3"/>
  <c r="J326" i="3"/>
  <c r="L326" i="3"/>
  <c r="N326" i="3"/>
  <c r="M326" i="3"/>
  <c r="C326" i="3"/>
  <c r="H326" i="3"/>
  <c r="F326" i="3"/>
  <c r="B326" i="3"/>
  <c r="D325" i="3"/>
  <c r="E325" i="3"/>
  <c r="G325" i="3"/>
  <c r="I325" i="3"/>
  <c r="J325" i="3"/>
  <c r="L325" i="3"/>
  <c r="N325" i="3"/>
  <c r="M325" i="3"/>
  <c r="C325" i="3"/>
  <c r="H325" i="3"/>
  <c r="F325" i="3"/>
  <c r="B325" i="3"/>
  <c r="D324" i="3"/>
  <c r="E324" i="3"/>
  <c r="G324" i="3"/>
  <c r="I324" i="3"/>
  <c r="J324" i="3"/>
  <c r="L324" i="3"/>
  <c r="N324" i="3"/>
  <c r="M324" i="3"/>
  <c r="C324" i="3"/>
  <c r="H324" i="3"/>
  <c r="F324" i="3"/>
  <c r="B324" i="3"/>
  <c r="D323" i="3"/>
  <c r="E323" i="3"/>
  <c r="G323" i="3"/>
  <c r="I323" i="3"/>
  <c r="J323" i="3"/>
  <c r="L323" i="3"/>
  <c r="N323" i="3"/>
  <c r="M323" i="3"/>
  <c r="C323" i="3"/>
  <c r="H323" i="3"/>
  <c r="F323" i="3"/>
  <c r="B323" i="3"/>
  <c r="D322" i="3"/>
  <c r="E322" i="3"/>
  <c r="G322" i="3"/>
  <c r="I322" i="3"/>
  <c r="J322" i="3"/>
  <c r="L322" i="3"/>
  <c r="N322" i="3"/>
  <c r="M322" i="3"/>
  <c r="C322" i="3"/>
  <c r="H322" i="3"/>
  <c r="F322" i="3"/>
  <c r="B322" i="3"/>
  <c r="D321" i="3"/>
  <c r="E321" i="3"/>
  <c r="G321" i="3"/>
  <c r="I321" i="3"/>
  <c r="J321" i="3"/>
  <c r="L321" i="3"/>
  <c r="N321" i="3"/>
  <c r="M321" i="3"/>
  <c r="C321" i="3"/>
  <c r="H321" i="3"/>
  <c r="F321" i="3"/>
  <c r="B321" i="3"/>
  <c r="D320" i="3"/>
  <c r="E320" i="3"/>
  <c r="G320" i="3"/>
  <c r="I320" i="3"/>
  <c r="J320" i="3"/>
  <c r="L320" i="3"/>
  <c r="N320" i="3"/>
  <c r="M320" i="3"/>
  <c r="C320" i="3"/>
  <c r="H320" i="3"/>
  <c r="F320" i="3"/>
  <c r="B320" i="3"/>
  <c r="D319" i="3"/>
  <c r="E319" i="3"/>
  <c r="G319" i="3"/>
  <c r="I319" i="3"/>
  <c r="J319" i="3"/>
  <c r="L319" i="3"/>
  <c r="N319" i="3"/>
  <c r="M319" i="3"/>
  <c r="C319" i="3"/>
  <c r="H319" i="3"/>
  <c r="F319" i="3"/>
  <c r="B319" i="3"/>
  <c r="D318" i="3"/>
  <c r="E318" i="3"/>
  <c r="G318" i="3"/>
  <c r="I318" i="3"/>
  <c r="J318" i="3"/>
  <c r="L318" i="3"/>
  <c r="N318" i="3"/>
  <c r="M318" i="3"/>
  <c r="C318" i="3"/>
  <c r="H318" i="3"/>
  <c r="F318" i="3"/>
  <c r="B318" i="3"/>
  <c r="D317" i="3"/>
  <c r="E317" i="3"/>
  <c r="G317" i="3"/>
  <c r="I317" i="3"/>
  <c r="J317" i="3"/>
  <c r="L317" i="3"/>
  <c r="N317" i="3"/>
  <c r="M317" i="3"/>
  <c r="C317" i="3"/>
  <c r="H317" i="3"/>
  <c r="F317" i="3"/>
  <c r="B317" i="3"/>
  <c r="D316" i="3"/>
  <c r="E316" i="3"/>
  <c r="G316" i="3"/>
  <c r="I316" i="3"/>
  <c r="J316" i="3"/>
  <c r="L316" i="3"/>
  <c r="N316" i="3"/>
  <c r="M316" i="3"/>
  <c r="C316" i="3"/>
  <c r="H316" i="3"/>
  <c r="F316" i="3"/>
  <c r="B316" i="3"/>
  <c r="D315" i="3"/>
  <c r="E315" i="3"/>
  <c r="G315" i="3"/>
  <c r="I315" i="3"/>
  <c r="J315" i="3"/>
  <c r="L315" i="3"/>
  <c r="N315" i="3"/>
  <c r="M315" i="3"/>
  <c r="C315" i="3"/>
  <c r="H315" i="3"/>
  <c r="F315" i="3"/>
  <c r="B315" i="3"/>
  <c r="D314" i="3"/>
  <c r="E314" i="3"/>
  <c r="G314" i="3"/>
  <c r="I314" i="3"/>
  <c r="J314" i="3"/>
  <c r="L314" i="3"/>
  <c r="N314" i="3"/>
  <c r="M314" i="3"/>
  <c r="C314" i="3"/>
  <c r="H314" i="3"/>
  <c r="F314" i="3"/>
  <c r="B314" i="3"/>
  <c r="D313" i="3"/>
  <c r="E313" i="3"/>
  <c r="G313" i="3"/>
  <c r="I313" i="3"/>
  <c r="J313" i="3"/>
  <c r="L313" i="3"/>
  <c r="N313" i="3"/>
  <c r="M313" i="3"/>
  <c r="C313" i="3"/>
  <c r="H313" i="3"/>
  <c r="F313" i="3"/>
  <c r="B313" i="3"/>
  <c r="D312" i="3"/>
  <c r="E312" i="3"/>
  <c r="G312" i="3"/>
  <c r="I312" i="3"/>
  <c r="J312" i="3"/>
  <c r="L312" i="3"/>
  <c r="N312" i="3"/>
  <c r="M312" i="3"/>
  <c r="C312" i="3"/>
  <c r="H312" i="3"/>
  <c r="F312" i="3"/>
  <c r="B312" i="3"/>
  <c r="D311" i="3"/>
  <c r="E311" i="3"/>
  <c r="G311" i="3"/>
  <c r="I311" i="3"/>
  <c r="J311" i="3"/>
  <c r="L311" i="3"/>
  <c r="N311" i="3"/>
  <c r="M311" i="3"/>
  <c r="C311" i="3"/>
  <c r="H311" i="3"/>
  <c r="F311" i="3"/>
  <c r="B311" i="3"/>
  <c r="D310" i="3"/>
  <c r="E310" i="3"/>
  <c r="G310" i="3"/>
  <c r="I310" i="3"/>
  <c r="J310" i="3"/>
  <c r="L310" i="3"/>
  <c r="N310" i="3"/>
  <c r="M310" i="3"/>
  <c r="C310" i="3"/>
  <c r="H310" i="3"/>
  <c r="F310" i="3"/>
  <c r="B310" i="3"/>
  <c r="D309" i="3"/>
  <c r="E309" i="3"/>
  <c r="G309" i="3"/>
  <c r="I309" i="3"/>
  <c r="J309" i="3"/>
  <c r="L309" i="3"/>
  <c r="N309" i="3"/>
  <c r="M309" i="3"/>
  <c r="C309" i="3"/>
  <c r="H309" i="3"/>
  <c r="F309" i="3"/>
  <c r="B309" i="3"/>
  <c r="D308" i="3"/>
  <c r="E308" i="3"/>
  <c r="G308" i="3"/>
  <c r="I308" i="3"/>
  <c r="J308" i="3"/>
  <c r="L308" i="3"/>
  <c r="N308" i="3"/>
  <c r="M308" i="3"/>
  <c r="C308" i="3"/>
  <c r="H308" i="3"/>
  <c r="F308" i="3"/>
  <c r="B308" i="3"/>
  <c r="D307" i="3"/>
  <c r="E307" i="3"/>
  <c r="G307" i="3"/>
  <c r="I307" i="3"/>
  <c r="J307" i="3"/>
  <c r="L307" i="3"/>
  <c r="N307" i="3"/>
  <c r="M307" i="3"/>
  <c r="C307" i="3"/>
  <c r="H307" i="3"/>
  <c r="F307" i="3"/>
  <c r="B307" i="3"/>
  <c r="D306" i="3"/>
  <c r="E306" i="3"/>
  <c r="G306" i="3"/>
  <c r="I306" i="3"/>
  <c r="J306" i="3"/>
  <c r="L306" i="3"/>
  <c r="N306" i="3"/>
  <c r="M306" i="3"/>
  <c r="C306" i="3"/>
  <c r="H306" i="3"/>
  <c r="F306" i="3"/>
  <c r="B306" i="3"/>
  <c r="D305" i="3"/>
  <c r="E305" i="3"/>
  <c r="G305" i="3"/>
  <c r="I305" i="3"/>
  <c r="J305" i="3"/>
  <c r="L305" i="3"/>
  <c r="N305" i="3"/>
  <c r="M305" i="3"/>
  <c r="C305" i="3"/>
  <c r="H305" i="3"/>
  <c r="F305" i="3"/>
  <c r="B305" i="3"/>
  <c r="D304" i="3"/>
  <c r="E304" i="3"/>
  <c r="G304" i="3"/>
  <c r="I304" i="3"/>
  <c r="J304" i="3"/>
  <c r="L304" i="3"/>
  <c r="N304" i="3"/>
  <c r="M304" i="3"/>
  <c r="C304" i="3"/>
  <c r="H304" i="3"/>
  <c r="F304" i="3"/>
  <c r="B304" i="3"/>
  <c r="D303" i="3"/>
  <c r="E303" i="3"/>
  <c r="G303" i="3"/>
  <c r="I303" i="3"/>
  <c r="J303" i="3"/>
  <c r="L303" i="3"/>
  <c r="N303" i="3"/>
  <c r="M303" i="3"/>
  <c r="C303" i="3"/>
  <c r="H303" i="3"/>
  <c r="F303" i="3"/>
  <c r="B303" i="3"/>
  <c r="D302" i="3"/>
  <c r="E302" i="3"/>
  <c r="G302" i="3"/>
  <c r="I302" i="3"/>
  <c r="J302" i="3"/>
  <c r="L302" i="3"/>
  <c r="N302" i="3"/>
  <c r="M302" i="3"/>
  <c r="C302" i="3"/>
  <c r="H302" i="3"/>
  <c r="F302" i="3"/>
  <c r="B302" i="3"/>
  <c r="D301" i="3"/>
  <c r="E301" i="3"/>
  <c r="G301" i="3"/>
  <c r="I301" i="3"/>
  <c r="J301" i="3"/>
  <c r="L301" i="3"/>
  <c r="N301" i="3"/>
  <c r="M301" i="3"/>
  <c r="C301" i="3"/>
  <c r="H301" i="3"/>
  <c r="F301" i="3"/>
  <c r="B301" i="3"/>
  <c r="D300" i="3"/>
  <c r="E300" i="3"/>
  <c r="G300" i="3"/>
  <c r="I300" i="3"/>
  <c r="J300" i="3"/>
  <c r="L300" i="3"/>
  <c r="N300" i="3"/>
  <c r="M300" i="3"/>
  <c r="C300" i="3"/>
  <c r="H300" i="3"/>
  <c r="F300" i="3"/>
  <c r="B300" i="3"/>
  <c r="D299" i="3"/>
  <c r="E299" i="3"/>
  <c r="G299" i="3"/>
  <c r="I299" i="3"/>
  <c r="J299" i="3"/>
  <c r="L299" i="3"/>
  <c r="N299" i="3"/>
  <c r="M299" i="3"/>
  <c r="C299" i="3"/>
  <c r="H299" i="3"/>
  <c r="F299" i="3"/>
  <c r="B299" i="3"/>
  <c r="D298" i="3"/>
  <c r="E298" i="3"/>
  <c r="G298" i="3"/>
  <c r="I298" i="3"/>
  <c r="J298" i="3"/>
  <c r="L298" i="3"/>
  <c r="N298" i="3"/>
  <c r="M298" i="3"/>
  <c r="C298" i="3"/>
  <c r="H298" i="3"/>
  <c r="F298" i="3"/>
  <c r="B298" i="3"/>
  <c r="D297" i="3"/>
  <c r="E297" i="3"/>
  <c r="G297" i="3"/>
  <c r="I297" i="3"/>
  <c r="J297" i="3"/>
  <c r="L297" i="3"/>
  <c r="N297" i="3"/>
  <c r="M297" i="3"/>
  <c r="C297" i="3"/>
  <c r="H297" i="3"/>
  <c r="F297" i="3"/>
  <c r="B297" i="3"/>
  <c r="D296" i="3"/>
  <c r="E296" i="3"/>
  <c r="G296" i="3"/>
  <c r="I296" i="3"/>
  <c r="J296" i="3"/>
  <c r="L296" i="3"/>
  <c r="N296" i="3"/>
  <c r="M296" i="3"/>
  <c r="C296" i="3"/>
  <c r="H296" i="3"/>
  <c r="F296" i="3"/>
  <c r="B296" i="3"/>
  <c r="D295" i="3"/>
  <c r="E295" i="3"/>
  <c r="G295" i="3"/>
  <c r="I295" i="3"/>
  <c r="J295" i="3"/>
  <c r="L295" i="3"/>
  <c r="N295" i="3"/>
  <c r="M295" i="3"/>
  <c r="C295" i="3"/>
  <c r="H295" i="3"/>
  <c r="F295" i="3"/>
  <c r="B295" i="3"/>
  <c r="D294" i="3"/>
  <c r="E294" i="3"/>
  <c r="G294" i="3"/>
  <c r="I294" i="3"/>
  <c r="J294" i="3"/>
  <c r="L294" i="3"/>
  <c r="N294" i="3"/>
  <c r="M294" i="3"/>
  <c r="C294" i="3"/>
  <c r="H294" i="3"/>
  <c r="F294" i="3"/>
  <c r="B294" i="3"/>
  <c r="D293" i="3"/>
  <c r="E293" i="3"/>
  <c r="G293" i="3"/>
  <c r="I293" i="3"/>
  <c r="J293" i="3"/>
  <c r="L293" i="3"/>
  <c r="N293" i="3"/>
  <c r="M293" i="3"/>
  <c r="C293" i="3"/>
  <c r="H293" i="3"/>
  <c r="F293" i="3"/>
  <c r="B293" i="3"/>
  <c r="D292" i="3"/>
  <c r="E292" i="3"/>
  <c r="G292" i="3"/>
  <c r="I292" i="3"/>
  <c r="J292" i="3"/>
  <c r="L292" i="3"/>
  <c r="N292" i="3"/>
  <c r="M292" i="3"/>
  <c r="C292" i="3"/>
  <c r="H292" i="3"/>
  <c r="F292" i="3"/>
  <c r="B292" i="3"/>
  <c r="D291" i="3"/>
  <c r="E291" i="3"/>
  <c r="G291" i="3"/>
  <c r="I291" i="3"/>
  <c r="J291" i="3"/>
  <c r="L291" i="3"/>
  <c r="N291" i="3"/>
  <c r="M291" i="3"/>
  <c r="C291" i="3"/>
  <c r="H291" i="3"/>
  <c r="F291" i="3"/>
  <c r="B291" i="3"/>
  <c r="D290" i="3"/>
  <c r="E290" i="3"/>
  <c r="G290" i="3"/>
  <c r="I290" i="3"/>
  <c r="J290" i="3"/>
  <c r="L290" i="3"/>
  <c r="N290" i="3"/>
  <c r="M290" i="3"/>
  <c r="C290" i="3"/>
  <c r="H290" i="3"/>
  <c r="F290" i="3"/>
  <c r="B290" i="3"/>
  <c r="D289" i="3"/>
  <c r="E289" i="3"/>
  <c r="G289" i="3"/>
  <c r="I289" i="3"/>
  <c r="J289" i="3"/>
  <c r="L289" i="3"/>
  <c r="N289" i="3"/>
  <c r="M289" i="3"/>
  <c r="C289" i="3"/>
  <c r="H289" i="3"/>
  <c r="F289" i="3"/>
  <c r="B289" i="3"/>
  <c r="D288" i="3"/>
  <c r="E288" i="3"/>
  <c r="G288" i="3"/>
  <c r="I288" i="3"/>
  <c r="J288" i="3"/>
  <c r="L288" i="3"/>
  <c r="N288" i="3"/>
  <c r="M288" i="3"/>
  <c r="C288" i="3"/>
  <c r="H288" i="3"/>
  <c r="F288" i="3"/>
  <c r="B288" i="3"/>
  <c r="D287" i="3"/>
  <c r="E287" i="3"/>
  <c r="G287" i="3"/>
  <c r="I287" i="3"/>
  <c r="J287" i="3"/>
  <c r="L287" i="3"/>
  <c r="N287" i="3"/>
  <c r="M287" i="3"/>
  <c r="C287" i="3"/>
  <c r="H287" i="3"/>
  <c r="F287" i="3"/>
  <c r="B287" i="3"/>
  <c r="D286" i="3"/>
  <c r="E286" i="3"/>
  <c r="G286" i="3"/>
  <c r="I286" i="3"/>
  <c r="J286" i="3"/>
  <c r="L286" i="3"/>
  <c r="N286" i="3"/>
  <c r="M286" i="3"/>
  <c r="C286" i="3"/>
  <c r="H286" i="3"/>
  <c r="F286" i="3"/>
  <c r="B286" i="3"/>
  <c r="D285" i="3"/>
  <c r="E285" i="3"/>
  <c r="G285" i="3"/>
  <c r="I285" i="3"/>
  <c r="J285" i="3"/>
  <c r="L285" i="3"/>
  <c r="N285" i="3"/>
  <c r="M285" i="3"/>
  <c r="C285" i="3"/>
  <c r="H285" i="3"/>
  <c r="F285" i="3"/>
  <c r="B285" i="3"/>
  <c r="D284" i="3"/>
  <c r="E284" i="3"/>
  <c r="G284" i="3"/>
  <c r="I284" i="3"/>
  <c r="J284" i="3"/>
  <c r="L284" i="3"/>
  <c r="N284" i="3"/>
  <c r="M284" i="3"/>
  <c r="C284" i="3"/>
  <c r="H284" i="3"/>
  <c r="F284" i="3"/>
  <c r="B284" i="3"/>
  <c r="D283" i="3"/>
  <c r="E283" i="3"/>
  <c r="G283" i="3"/>
  <c r="I283" i="3"/>
  <c r="J283" i="3"/>
  <c r="L283" i="3"/>
  <c r="N283" i="3"/>
  <c r="M283" i="3"/>
  <c r="C283" i="3"/>
  <c r="H283" i="3"/>
  <c r="F283" i="3"/>
  <c r="B283" i="3"/>
  <c r="D282" i="3"/>
  <c r="E282" i="3"/>
  <c r="G282" i="3"/>
  <c r="I282" i="3"/>
  <c r="J282" i="3"/>
  <c r="L282" i="3"/>
  <c r="N282" i="3"/>
  <c r="M282" i="3"/>
  <c r="C282" i="3"/>
  <c r="H282" i="3"/>
  <c r="F282" i="3"/>
  <c r="B282" i="3"/>
  <c r="D281" i="3"/>
  <c r="E281" i="3"/>
  <c r="G281" i="3"/>
  <c r="I281" i="3"/>
  <c r="J281" i="3"/>
  <c r="L281" i="3"/>
  <c r="N281" i="3"/>
  <c r="M281" i="3"/>
  <c r="C281" i="3"/>
  <c r="H281" i="3"/>
  <c r="F281" i="3"/>
  <c r="B281" i="3"/>
  <c r="D280" i="3"/>
  <c r="E280" i="3"/>
  <c r="G280" i="3"/>
  <c r="I280" i="3"/>
  <c r="J280" i="3"/>
  <c r="L280" i="3"/>
  <c r="N280" i="3"/>
  <c r="M280" i="3"/>
  <c r="C280" i="3"/>
  <c r="H280" i="3"/>
  <c r="F280" i="3"/>
  <c r="B280" i="3"/>
  <c r="D279" i="3"/>
  <c r="E279" i="3"/>
  <c r="G279" i="3"/>
  <c r="I279" i="3"/>
  <c r="J279" i="3"/>
  <c r="L279" i="3"/>
  <c r="N279" i="3"/>
  <c r="M279" i="3"/>
  <c r="C279" i="3"/>
  <c r="H279" i="3"/>
  <c r="F279" i="3"/>
  <c r="B279" i="3"/>
  <c r="D278" i="3"/>
  <c r="E278" i="3"/>
  <c r="G278" i="3"/>
  <c r="I278" i="3"/>
  <c r="J278" i="3"/>
  <c r="L278" i="3"/>
  <c r="N278" i="3"/>
  <c r="M278" i="3"/>
  <c r="C278" i="3"/>
  <c r="H278" i="3"/>
  <c r="F278" i="3"/>
  <c r="B278" i="3"/>
  <c r="D277" i="3"/>
  <c r="E277" i="3"/>
  <c r="G277" i="3"/>
  <c r="I277" i="3"/>
  <c r="J277" i="3"/>
  <c r="L277" i="3"/>
  <c r="N277" i="3"/>
  <c r="M277" i="3"/>
  <c r="C277" i="3"/>
  <c r="H277" i="3"/>
  <c r="F277" i="3"/>
  <c r="B277" i="3"/>
  <c r="D276" i="3"/>
  <c r="E276" i="3"/>
  <c r="G276" i="3"/>
  <c r="I276" i="3"/>
  <c r="J276" i="3"/>
  <c r="L276" i="3"/>
  <c r="N276" i="3"/>
  <c r="M276" i="3"/>
  <c r="C276" i="3"/>
  <c r="H276" i="3"/>
  <c r="F276" i="3"/>
  <c r="B276" i="3"/>
  <c r="D275" i="3"/>
  <c r="E275" i="3"/>
  <c r="G275" i="3"/>
  <c r="I275" i="3"/>
  <c r="J275" i="3"/>
  <c r="L275" i="3"/>
  <c r="N275" i="3"/>
  <c r="M275" i="3"/>
  <c r="C275" i="3"/>
  <c r="H275" i="3"/>
  <c r="F275" i="3"/>
  <c r="B275" i="3"/>
  <c r="D274" i="3"/>
  <c r="E274" i="3"/>
  <c r="G274" i="3"/>
  <c r="I274" i="3"/>
  <c r="J274" i="3"/>
  <c r="L274" i="3"/>
  <c r="N274" i="3"/>
  <c r="M274" i="3"/>
  <c r="C274" i="3"/>
  <c r="H274" i="3"/>
  <c r="F274" i="3"/>
  <c r="B274" i="3"/>
  <c r="D273" i="3"/>
  <c r="E273" i="3"/>
  <c r="G273" i="3"/>
  <c r="I273" i="3"/>
  <c r="J273" i="3"/>
  <c r="L273" i="3"/>
  <c r="N273" i="3"/>
  <c r="M273" i="3"/>
  <c r="C273" i="3"/>
  <c r="H273" i="3"/>
  <c r="F273" i="3"/>
  <c r="B273" i="3"/>
  <c r="D272" i="3"/>
  <c r="E272" i="3"/>
  <c r="G272" i="3"/>
  <c r="I272" i="3"/>
  <c r="J272" i="3"/>
  <c r="L272" i="3"/>
  <c r="N272" i="3"/>
  <c r="M272" i="3"/>
  <c r="C272" i="3"/>
  <c r="H272" i="3"/>
  <c r="F272" i="3"/>
  <c r="B272" i="3"/>
  <c r="D271" i="3"/>
  <c r="E271" i="3"/>
  <c r="G271" i="3"/>
  <c r="I271" i="3"/>
  <c r="J271" i="3"/>
  <c r="L271" i="3"/>
  <c r="N271" i="3"/>
  <c r="M271" i="3"/>
  <c r="C271" i="3"/>
  <c r="H271" i="3"/>
  <c r="F271" i="3"/>
  <c r="B271" i="3"/>
  <c r="D270" i="3"/>
  <c r="E270" i="3"/>
  <c r="G270" i="3"/>
  <c r="I270" i="3"/>
  <c r="J270" i="3"/>
  <c r="L270" i="3"/>
  <c r="N270" i="3"/>
  <c r="M270" i="3"/>
  <c r="C270" i="3"/>
  <c r="H270" i="3"/>
  <c r="F270" i="3"/>
  <c r="B270" i="3"/>
  <c r="D269" i="3"/>
  <c r="E269" i="3"/>
  <c r="G269" i="3"/>
  <c r="I269" i="3"/>
  <c r="J269" i="3"/>
  <c r="L269" i="3"/>
  <c r="N269" i="3"/>
  <c r="M269" i="3"/>
  <c r="C269" i="3"/>
  <c r="H269" i="3"/>
  <c r="F269" i="3"/>
  <c r="B269" i="3"/>
  <c r="D268" i="3"/>
  <c r="E268" i="3"/>
  <c r="G268" i="3"/>
  <c r="I268" i="3"/>
  <c r="J268" i="3"/>
  <c r="L268" i="3"/>
  <c r="N268" i="3"/>
  <c r="M268" i="3"/>
  <c r="C268" i="3"/>
  <c r="H268" i="3"/>
  <c r="F268" i="3"/>
  <c r="B268" i="3"/>
  <c r="D267" i="3"/>
  <c r="E267" i="3"/>
  <c r="G267" i="3"/>
  <c r="I267" i="3"/>
  <c r="J267" i="3"/>
  <c r="L267" i="3"/>
  <c r="N267" i="3"/>
  <c r="M267" i="3"/>
  <c r="C267" i="3"/>
  <c r="H267" i="3"/>
  <c r="F267" i="3"/>
  <c r="B267" i="3"/>
  <c r="D266" i="3"/>
  <c r="E266" i="3"/>
  <c r="G266" i="3"/>
  <c r="I266" i="3"/>
  <c r="J266" i="3"/>
  <c r="L266" i="3"/>
  <c r="N266" i="3"/>
  <c r="M266" i="3"/>
  <c r="C266" i="3"/>
  <c r="H266" i="3"/>
  <c r="F266" i="3"/>
  <c r="B266" i="3"/>
  <c r="D265" i="3"/>
  <c r="E265" i="3"/>
  <c r="G265" i="3"/>
  <c r="I265" i="3"/>
  <c r="J265" i="3"/>
  <c r="L265" i="3"/>
  <c r="N265" i="3"/>
  <c r="M265" i="3"/>
  <c r="C265" i="3"/>
  <c r="H265" i="3"/>
  <c r="F265" i="3"/>
  <c r="B265" i="3"/>
  <c r="D264" i="3"/>
  <c r="E264" i="3"/>
  <c r="G264" i="3"/>
  <c r="I264" i="3"/>
  <c r="J264" i="3"/>
  <c r="L264" i="3"/>
  <c r="N264" i="3"/>
  <c r="M264" i="3"/>
  <c r="C264" i="3"/>
  <c r="H264" i="3"/>
  <c r="F264" i="3"/>
  <c r="B264" i="3"/>
  <c r="D263" i="3"/>
  <c r="E263" i="3"/>
  <c r="G263" i="3"/>
  <c r="I263" i="3"/>
  <c r="J263" i="3"/>
  <c r="L263" i="3"/>
  <c r="N263" i="3"/>
  <c r="M263" i="3"/>
  <c r="C263" i="3"/>
  <c r="H263" i="3"/>
  <c r="F263" i="3"/>
  <c r="B263" i="3"/>
  <c r="D262" i="3"/>
  <c r="E262" i="3"/>
  <c r="G262" i="3"/>
  <c r="I262" i="3"/>
  <c r="J262" i="3"/>
  <c r="L262" i="3"/>
  <c r="N262" i="3"/>
  <c r="M262" i="3"/>
  <c r="C262" i="3"/>
  <c r="H262" i="3"/>
  <c r="F262" i="3"/>
  <c r="B262" i="3"/>
  <c r="D261" i="3"/>
  <c r="E261" i="3"/>
  <c r="G261" i="3"/>
  <c r="I261" i="3"/>
  <c r="J261" i="3"/>
  <c r="L261" i="3"/>
  <c r="N261" i="3"/>
  <c r="M261" i="3"/>
  <c r="C261" i="3"/>
  <c r="H261" i="3"/>
  <c r="F261" i="3"/>
  <c r="B261" i="3"/>
  <c r="D260" i="3"/>
  <c r="E260" i="3"/>
  <c r="G260" i="3"/>
  <c r="I260" i="3"/>
  <c r="J260" i="3"/>
  <c r="L260" i="3"/>
  <c r="N260" i="3"/>
  <c r="M260" i="3"/>
  <c r="C260" i="3"/>
  <c r="H260" i="3"/>
  <c r="F260" i="3"/>
  <c r="B260" i="3"/>
  <c r="D259" i="3"/>
  <c r="E259" i="3"/>
  <c r="G259" i="3"/>
  <c r="I259" i="3"/>
  <c r="J259" i="3"/>
  <c r="L259" i="3"/>
  <c r="N259" i="3"/>
  <c r="M259" i="3"/>
  <c r="C259" i="3"/>
  <c r="H259" i="3"/>
  <c r="F259" i="3"/>
  <c r="B259" i="3"/>
  <c r="D258" i="3"/>
  <c r="E258" i="3"/>
  <c r="G258" i="3"/>
  <c r="I258" i="3"/>
  <c r="J258" i="3"/>
  <c r="L258" i="3"/>
  <c r="N258" i="3"/>
  <c r="M258" i="3"/>
  <c r="C258" i="3"/>
  <c r="H258" i="3"/>
  <c r="F258" i="3"/>
  <c r="B258" i="3"/>
  <c r="D257" i="3"/>
  <c r="E257" i="3"/>
  <c r="G257" i="3"/>
  <c r="I257" i="3"/>
  <c r="J257" i="3"/>
  <c r="L257" i="3"/>
  <c r="N257" i="3"/>
  <c r="M257" i="3"/>
  <c r="C257" i="3"/>
  <c r="H257" i="3"/>
  <c r="F257" i="3"/>
  <c r="B257" i="3"/>
  <c r="D256" i="3"/>
  <c r="E256" i="3"/>
  <c r="G256" i="3"/>
  <c r="I256" i="3"/>
  <c r="J256" i="3"/>
  <c r="L256" i="3"/>
  <c r="N256" i="3"/>
  <c r="M256" i="3"/>
  <c r="C256" i="3"/>
  <c r="H256" i="3"/>
  <c r="F256" i="3"/>
  <c r="B256" i="3"/>
  <c r="D255" i="3"/>
  <c r="E255" i="3"/>
  <c r="G255" i="3"/>
  <c r="I255" i="3"/>
  <c r="J255" i="3"/>
  <c r="L255" i="3"/>
  <c r="N255" i="3"/>
  <c r="M255" i="3"/>
  <c r="C255" i="3"/>
  <c r="H255" i="3"/>
  <c r="F255" i="3"/>
  <c r="B255" i="3"/>
  <c r="D254" i="3"/>
  <c r="E254" i="3"/>
  <c r="G254" i="3"/>
  <c r="I254" i="3"/>
  <c r="J254" i="3"/>
  <c r="L254" i="3"/>
  <c r="N254" i="3"/>
  <c r="M254" i="3"/>
  <c r="C254" i="3"/>
  <c r="H254" i="3"/>
  <c r="F254" i="3"/>
  <c r="B254" i="3"/>
  <c r="D253" i="3"/>
  <c r="E253" i="3"/>
  <c r="G253" i="3"/>
  <c r="I253" i="3"/>
  <c r="J253" i="3"/>
  <c r="L253" i="3"/>
  <c r="N253" i="3"/>
  <c r="M253" i="3"/>
  <c r="C253" i="3"/>
  <c r="H253" i="3"/>
  <c r="F253" i="3"/>
  <c r="B253" i="3"/>
  <c r="D252" i="3"/>
  <c r="E252" i="3"/>
  <c r="G252" i="3"/>
  <c r="I252" i="3"/>
  <c r="J252" i="3"/>
  <c r="L252" i="3"/>
  <c r="N252" i="3"/>
  <c r="M252" i="3"/>
  <c r="C252" i="3"/>
  <c r="H252" i="3"/>
  <c r="F252" i="3"/>
  <c r="B252" i="3"/>
  <c r="D251" i="3"/>
  <c r="E251" i="3"/>
  <c r="G251" i="3"/>
  <c r="I251" i="3"/>
  <c r="J251" i="3"/>
  <c r="L251" i="3"/>
  <c r="N251" i="3"/>
  <c r="M251" i="3"/>
  <c r="C251" i="3"/>
  <c r="H251" i="3"/>
  <c r="F251" i="3"/>
  <c r="B251" i="3"/>
  <c r="D250" i="3"/>
  <c r="E250" i="3"/>
  <c r="G250" i="3"/>
  <c r="I250" i="3"/>
  <c r="J250" i="3"/>
  <c r="L250" i="3"/>
  <c r="N250" i="3"/>
  <c r="M250" i="3"/>
  <c r="C250" i="3"/>
  <c r="H250" i="3"/>
  <c r="F250" i="3"/>
  <c r="B250" i="3"/>
  <c r="D249" i="3"/>
  <c r="E249" i="3"/>
  <c r="G249" i="3"/>
  <c r="I249" i="3"/>
  <c r="J249" i="3"/>
  <c r="L249" i="3"/>
  <c r="N249" i="3"/>
  <c r="M249" i="3"/>
  <c r="C249" i="3"/>
  <c r="H249" i="3"/>
  <c r="F249" i="3"/>
  <c r="B249" i="3"/>
  <c r="D248" i="3"/>
  <c r="E248" i="3"/>
  <c r="G248" i="3"/>
  <c r="I248" i="3"/>
  <c r="J248" i="3"/>
  <c r="L248" i="3"/>
  <c r="N248" i="3"/>
  <c r="M248" i="3"/>
  <c r="C248" i="3"/>
  <c r="H248" i="3"/>
  <c r="F248" i="3"/>
  <c r="B248" i="3"/>
  <c r="D247" i="3"/>
  <c r="E247" i="3"/>
  <c r="G247" i="3"/>
  <c r="I247" i="3"/>
  <c r="J247" i="3"/>
  <c r="L247" i="3"/>
  <c r="N247" i="3"/>
  <c r="M247" i="3"/>
  <c r="C247" i="3"/>
  <c r="H247" i="3"/>
  <c r="F247" i="3"/>
  <c r="B247" i="3"/>
  <c r="D246" i="3"/>
  <c r="E246" i="3"/>
  <c r="G246" i="3"/>
  <c r="I246" i="3"/>
  <c r="J246" i="3"/>
  <c r="L246" i="3"/>
  <c r="N246" i="3"/>
  <c r="M246" i="3"/>
  <c r="C246" i="3"/>
  <c r="H246" i="3"/>
  <c r="F246" i="3"/>
  <c r="B246" i="3"/>
  <c r="D245" i="3"/>
  <c r="E245" i="3"/>
  <c r="G245" i="3"/>
  <c r="I245" i="3"/>
  <c r="J245" i="3"/>
  <c r="L245" i="3"/>
  <c r="N245" i="3"/>
  <c r="M245" i="3"/>
  <c r="C245" i="3"/>
  <c r="H245" i="3"/>
  <c r="F245" i="3"/>
  <c r="B245" i="3"/>
  <c r="D244" i="3"/>
  <c r="E244" i="3"/>
  <c r="G244" i="3"/>
  <c r="I244" i="3"/>
  <c r="J244" i="3"/>
  <c r="L244" i="3"/>
  <c r="N244" i="3"/>
  <c r="M244" i="3"/>
  <c r="C244" i="3"/>
  <c r="H244" i="3"/>
  <c r="F244" i="3"/>
  <c r="B244" i="3"/>
  <c r="D243" i="3"/>
  <c r="E243" i="3"/>
  <c r="G243" i="3"/>
  <c r="I243" i="3"/>
  <c r="J243" i="3"/>
  <c r="L243" i="3"/>
  <c r="N243" i="3"/>
  <c r="M243" i="3"/>
  <c r="C243" i="3"/>
  <c r="H243" i="3"/>
  <c r="F243" i="3"/>
  <c r="B243" i="3"/>
  <c r="D242" i="3"/>
  <c r="E242" i="3"/>
  <c r="G242" i="3"/>
  <c r="I242" i="3"/>
  <c r="J242" i="3"/>
  <c r="L242" i="3"/>
  <c r="N242" i="3"/>
  <c r="M242" i="3"/>
  <c r="C242" i="3"/>
  <c r="H242" i="3"/>
  <c r="F242" i="3"/>
  <c r="B242" i="3"/>
  <c r="D241" i="3"/>
  <c r="E241" i="3"/>
  <c r="G241" i="3"/>
  <c r="I241" i="3"/>
  <c r="J241" i="3"/>
  <c r="L241" i="3"/>
  <c r="N241" i="3"/>
  <c r="M241" i="3"/>
  <c r="C241" i="3"/>
  <c r="H241" i="3"/>
  <c r="F241" i="3"/>
  <c r="B241" i="3"/>
  <c r="D240" i="3"/>
  <c r="E240" i="3"/>
  <c r="G240" i="3"/>
  <c r="I240" i="3"/>
  <c r="J240" i="3"/>
  <c r="L240" i="3"/>
  <c r="N240" i="3"/>
  <c r="M240" i="3"/>
  <c r="C240" i="3"/>
  <c r="H240" i="3"/>
  <c r="F240" i="3"/>
  <c r="B240" i="3"/>
  <c r="D239" i="3"/>
  <c r="E239" i="3"/>
  <c r="G239" i="3"/>
  <c r="I239" i="3"/>
  <c r="J239" i="3"/>
  <c r="L239" i="3"/>
  <c r="N239" i="3"/>
  <c r="M239" i="3"/>
  <c r="C239" i="3"/>
  <c r="H239" i="3"/>
  <c r="F239" i="3"/>
  <c r="B239" i="3"/>
  <c r="D238" i="3"/>
  <c r="E238" i="3"/>
  <c r="G238" i="3"/>
  <c r="I238" i="3"/>
  <c r="J238" i="3"/>
  <c r="L238" i="3"/>
  <c r="N238" i="3"/>
  <c r="M238" i="3"/>
  <c r="C238" i="3"/>
  <c r="H238" i="3"/>
  <c r="F238" i="3"/>
  <c r="B238" i="3"/>
  <c r="D237" i="3"/>
  <c r="E237" i="3"/>
  <c r="G237" i="3"/>
  <c r="I237" i="3"/>
  <c r="J237" i="3"/>
  <c r="L237" i="3"/>
  <c r="N237" i="3"/>
  <c r="M237" i="3"/>
  <c r="C237" i="3"/>
  <c r="H237" i="3"/>
  <c r="F237" i="3"/>
  <c r="B237" i="3"/>
  <c r="D236" i="3"/>
  <c r="E236" i="3"/>
  <c r="G236" i="3"/>
  <c r="I236" i="3"/>
  <c r="J236" i="3"/>
  <c r="L236" i="3"/>
  <c r="N236" i="3"/>
  <c r="M236" i="3"/>
  <c r="C236" i="3"/>
  <c r="H236" i="3"/>
  <c r="F236" i="3"/>
  <c r="B236" i="3"/>
  <c r="D235" i="3"/>
  <c r="E235" i="3"/>
  <c r="G235" i="3"/>
  <c r="I235" i="3"/>
  <c r="J235" i="3"/>
  <c r="L235" i="3"/>
  <c r="N235" i="3"/>
  <c r="M235" i="3"/>
  <c r="C235" i="3"/>
  <c r="H235" i="3"/>
  <c r="F235" i="3"/>
  <c r="B235" i="3"/>
  <c r="D234" i="3"/>
  <c r="E234" i="3"/>
  <c r="G234" i="3"/>
  <c r="I234" i="3"/>
  <c r="J234" i="3"/>
  <c r="L234" i="3"/>
  <c r="N234" i="3"/>
  <c r="M234" i="3"/>
  <c r="C234" i="3"/>
  <c r="H234" i="3"/>
  <c r="F234" i="3"/>
  <c r="B234" i="3"/>
  <c r="D233" i="3"/>
  <c r="E233" i="3"/>
  <c r="G233" i="3"/>
  <c r="I233" i="3"/>
  <c r="J233" i="3"/>
  <c r="L233" i="3"/>
  <c r="N233" i="3"/>
  <c r="M233" i="3"/>
  <c r="C233" i="3"/>
  <c r="H233" i="3"/>
  <c r="F233" i="3"/>
  <c r="B233" i="3"/>
  <c r="D232" i="3"/>
  <c r="E232" i="3"/>
  <c r="G232" i="3"/>
  <c r="I232" i="3"/>
  <c r="J232" i="3"/>
  <c r="L232" i="3"/>
  <c r="N232" i="3"/>
  <c r="M232" i="3"/>
  <c r="C232" i="3"/>
  <c r="H232" i="3"/>
  <c r="F232" i="3"/>
  <c r="B232" i="3"/>
  <c r="D231" i="3"/>
  <c r="E231" i="3"/>
  <c r="G231" i="3"/>
  <c r="I231" i="3"/>
  <c r="J231" i="3"/>
  <c r="L231" i="3"/>
  <c r="N231" i="3"/>
  <c r="M231" i="3"/>
  <c r="C231" i="3"/>
  <c r="H231" i="3"/>
  <c r="F231" i="3"/>
  <c r="B231" i="3"/>
  <c r="D230" i="3"/>
  <c r="E230" i="3"/>
  <c r="G230" i="3"/>
  <c r="I230" i="3"/>
  <c r="J230" i="3"/>
  <c r="L230" i="3"/>
  <c r="N230" i="3"/>
  <c r="M230" i="3"/>
  <c r="C230" i="3"/>
  <c r="H230" i="3"/>
  <c r="F230" i="3"/>
  <c r="B230" i="3"/>
  <c r="D229" i="3"/>
  <c r="E229" i="3"/>
  <c r="G229" i="3"/>
  <c r="I229" i="3"/>
  <c r="J229" i="3"/>
  <c r="L229" i="3"/>
  <c r="N229" i="3"/>
  <c r="M229" i="3"/>
  <c r="C229" i="3"/>
  <c r="H229" i="3"/>
  <c r="F229" i="3"/>
  <c r="B229" i="3"/>
  <c r="D228" i="3"/>
  <c r="E228" i="3"/>
  <c r="G228" i="3"/>
  <c r="I228" i="3"/>
  <c r="J228" i="3"/>
  <c r="L228" i="3"/>
  <c r="N228" i="3"/>
  <c r="M228" i="3"/>
  <c r="C228" i="3"/>
  <c r="H228" i="3"/>
  <c r="F228" i="3"/>
  <c r="B228" i="3"/>
  <c r="D227" i="3"/>
  <c r="E227" i="3"/>
  <c r="G227" i="3"/>
  <c r="I227" i="3"/>
  <c r="J227" i="3"/>
  <c r="L227" i="3"/>
  <c r="N227" i="3"/>
  <c r="M227" i="3"/>
  <c r="C227" i="3"/>
  <c r="H227" i="3"/>
  <c r="F227" i="3"/>
  <c r="B227" i="3"/>
  <c r="D226" i="3"/>
  <c r="E226" i="3"/>
  <c r="G226" i="3"/>
  <c r="I226" i="3"/>
  <c r="J226" i="3"/>
  <c r="L226" i="3"/>
  <c r="N226" i="3"/>
  <c r="M226" i="3"/>
  <c r="C226" i="3"/>
  <c r="H226" i="3"/>
  <c r="F226" i="3"/>
  <c r="B226" i="3"/>
  <c r="D225" i="3"/>
  <c r="E225" i="3"/>
  <c r="G225" i="3"/>
  <c r="I225" i="3"/>
  <c r="J225" i="3"/>
  <c r="L225" i="3"/>
  <c r="N225" i="3"/>
  <c r="M225" i="3"/>
  <c r="C225" i="3"/>
  <c r="H225" i="3"/>
  <c r="F225" i="3"/>
  <c r="B225" i="3"/>
  <c r="D224" i="3"/>
  <c r="E224" i="3"/>
  <c r="G224" i="3"/>
  <c r="I224" i="3"/>
  <c r="J224" i="3"/>
  <c r="L224" i="3"/>
  <c r="N224" i="3"/>
  <c r="M224" i="3"/>
  <c r="C224" i="3"/>
  <c r="H224" i="3"/>
  <c r="F224" i="3"/>
  <c r="B224" i="3"/>
  <c r="D223" i="3"/>
  <c r="E223" i="3"/>
  <c r="G223" i="3"/>
  <c r="I223" i="3"/>
  <c r="J223" i="3"/>
  <c r="L223" i="3"/>
  <c r="N223" i="3"/>
  <c r="M223" i="3"/>
  <c r="C223" i="3"/>
  <c r="H223" i="3"/>
  <c r="F223" i="3"/>
  <c r="B223" i="3"/>
  <c r="D222" i="3"/>
  <c r="E222" i="3"/>
  <c r="G222" i="3"/>
  <c r="I222" i="3"/>
  <c r="J222" i="3"/>
  <c r="L222" i="3"/>
  <c r="N222" i="3"/>
  <c r="M222" i="3"/>
  <c r="C222" i="3"/>
  <c r="H222" i="3"/>
  <c r="F222" i="3"/>
  <c r="B222" i="3"/>
  <c r="D221" i="3"/>
  <c r="E221" i="3"/>
  <c r="G221" i="3"/>
  <c r="I221" i="3"/>
  <c r="J221" i="3"/>
  <c r="L221" i="3"/>
  <c r="N221" i="3"/>
  <c r="M221" i="3"/>
  <c r="C221" i="3"/>
  <c r="H221" i="3"/>
  <c r="F221" i="3"/>
  <c r="B221" i="3"/>
  <c r="D220" i="3"/>
  <c r="E220" i="3"/>
  <c r="G220" i="3"/>
  <c r="I220" i="3"/>
  <c r="J220" i="3"/>
  <c r="L220" i="3"/>
  <c r="N220" i="3"/>
  <c r="M220" i="3"/>
  <c r="C220" i="3"/>
  <c r="H220" i="3"/>
  <c r="F220" i="3"/>
  <c r="B220" i="3"/>
  <c r="D219" i="3"/>
  <c r="E219" i="3"/>
  <c r="G219" i="3"/>
  <c r="I219" i="3"/>
  <c r="J219" i="3"/>
  <c r="L219" i="3"/>
  <c r="N219" i="3"/>
  <c r="M219" i="3"/>
  <c r="C219" i="3"/>
  <c r="H219" i="3"/>
  <c r="F219" i="3"/>
  <c r="B219" i="3"/>
  <c r="D218" i="3"/>
  <c r="E218" i="3"/>
  <c r="G218" i="3"/>
  <c r="I218" i="3"/>
  <c r="J218" i="3"/>
  <c r="L218" i="3"/>
  <c r="N218" i="3"/>
  <c r="M218" i="3"/>
  <c r="C218" i="3"/>
  <c r="H218" i="3"/>
  <c r="F218" i="3"/>
  <c r="B218" i="3"/>
  <c r="D217" i="3"/>
  <c r="E217" i="3"/>
  <c r="G217" i="3"/>
  <c r="I217" i="3"/>
  <c r="J217" i="3"/>
  <c r="L217" i="3"/>
  <c r="N217" i="3"/>
  <c r="M217" i="3"/>
  <c r="C217" i="3"/>
  <c r="H217" i="3"/>
  <c r="F217" i="3"/>
  <c r="B217" i="3"/>
  <c r="D216" i="3"/>
  <c r="E216" i="3"/>
  <c r="G216" i="3"/>
  <c r="I216" i="3"/>
  <c r="J216" i="3"/>
  <c r="L216" i="3"/>
  <c r="N216" i="3"/>
  <c r="M216" i="3"/>
  <c r="C216" i="3"/>
  <c r="H216" i="3"/>
  <c r="F216" i="3"/>
  <c r="B216" i="3"/>
  <c r="D215" i="3"/>
  <c r="E215" i="3"/>
  <c r="G215" i="3"/>
  <c r="I215" i="3"/>
  <c r="J215" i="3"/>
  <c r="L215" i="3"/>
  <c r="N215" i="3"/>
  <c r="M215" i="3"/>
  <c r="C215" i="3"/>
  <c r="H215" i="3"/>
  <c r="F215" i="3"/>
  <c r="B215" i="3"/>
  <c r="D214" i="3"/>
  <c r="E214" i="3"/>
  <c r="G214" i="3"/>
  <c r="I214" i="3"/>
  <c r="J214" i="3"/>
  <c r="L214" i="3"/>
  <c r="N214" i="3"/>
  <c r="M214" i="3"/>
  <c r="C214" i="3"/>
  <c r="H214" i="3"/>
  <c r="F214" i="3"/>
  <c r="B214" i="3"/>
  <c r="D213" i="3"/>
  <c r="E213" i="3"/>
  <c r="G213" i="3"/>
  <c r="I213" i="3"/>
  <c r="J213" i="3"/>
  <c r="L213" i="3"/>
  <c r="N213" i="3"/>
  <c r="M213" i="3"/>
  <c r="C213" i="3"/>
  <c r="H213" i="3"/>
  <c r="F213" i="3"/>
  <c r="B213" i="3"/>
  <c r="D212" i="3"/>
  <c r="E212" i="3"/>
  <c r="G212" i="3"/>
  <c r="I212" i="3"/>
  <c r="J212" i="3"/>
  <c r="L212" i="3"/>
  <c r="N212" i="3"/>
  <c r="M212" i="3"/>
  <c r="C212" i="3"/>
  <c r="H212" i="3"/>
  <c r="F212" i="3"/>
  <c r="B212" i="3"/>
  <c r="D211" i="3"/>
  <c r="E211" i="3"/>
  <c r="G211" i="3"/>
  <c r="I211" i="3"/>
  <c r="J211" i="3"/>
  <c r="L211" i="3"/>
  <c r="N211" i="3"/>
  <c r="M211" i="3"/>
  <c r="C211" i="3"/>
  <c r="H211" i="3"/>
  <c r="F211" i="3"/>
  <c r="B211" i="3"/>
  <c r="D210" i="3"/>
  <c r="E210" i="3"/>
  <c r="G210" i="3"/>
  <c r="I210" i="3"/>
  <c r="J210" i="3"/>
  <c r="L210" i="3"/>
  <c r="N210" i="3"/>
  <c r="M210" i="3"/>
  <c r="C210" i="3"/>
  <c r="H210" i="3"/>
  <c r="F210" i="3"/>
  <c r="B210" i="3"/>
  <c r="D209" i="3"/>
  <c r="E209" i="3"/>
  <c r="G209" i="3"/>
  <c r="I209" i="3"/>
  <c r="J209" i="3"/>
  <c r="L209" i="3"/>
  <c r="N209" i="3"/>
  <c r="M209" i="3"/>
  <c r="C209" i="3"/>
  <c r="H209" i="3"/>
  <c r="F209" i="3"/>
  <c r="B209" i="3"/>
  <c r="D208" i="3"/>
  <c r="E208" i="3"/>
  <c r="G208" i="3"/>
  <c r="I208" i="3"/>
  <c r="J208" i="3"/>
  <c r="L208" i="3"/>
  <c r="N208" i="3"/>
  <c r="M208" i="3"/>
  <c r="C208" i="3"/>
  <c r="H208" i="3"/>
  <c r="F208" i="3"/>
  <c r="B208" i="3"/>
  <c r="D207" i="3"/>
  <c r="E207" i="3"/>
  <c r="G207" i="3"/>
  <c r="I207" i="3"/>
  <c r="J207" i="3"/>
  <c r="L207" i="3"/>
  <c r="N207" i="3"/>
  <c r="M207" i="3"/>
  <c r="C207" i="3"/>
  <c r="H207" i="3"/>
  <c r="F207" i="3"/>
  <c r="B207" i="3"/>
  <c r="D206" i="3"/>
  <c r="E206" i="3"/>
  <c r="G206" i="3"/>
  <c r="I206" i="3"/>
  <c r="J206" i="3"/>
  <c r="L206" i="3"/>
  <c r="N206" i="3"/>
  <c r="M206" i="3"/>
  <c r="C206" i="3"/>
  <c r="H206" i="3"/>
  <c r="F206" i="3"/>
  <c r="B206" i="3"/>
  <c r="D205" i="3"/>
  <c r="E205" i="3"/>
  <c r="G205" i="3"/>
  <c r="I205" i="3"/>
  <c r="J205" i="3"/>
  <c r="L205" i="3"/>
  <c r="N205" i="3"/>
  <c r="M205" i="3"/>
  <c r="C205" i="3"/>
  <c r="H205" i="3"/>
  <c r="F205" i="3"/>
  <c r="B205" i="3"/>
  <c r="D204" i="3"/>
  <c r="E204" i="3"/>
  <c r="G204" i="3"/>
  <c r="I204" i="3"/>
  <c r="J204" i="3"/>
  <c r="L204" i="3"/>
  <c r="N204" i="3"/>
  <c r="M204" i="3"/>
  <c r="C204" i="3"/>
  <c r="H204" i="3"/>
  <c r="F204" i="3"/>
  <c r="B204" i="3"/>
  <c r="D203" i="3"/>
  <c r="E203" i="3"/>
  <c r="G203" i="3"/>
  <c r="I203" i="3"/>
  <c r="J203" i="3"/>
  <c r="L203" i="3"/>
  <c r="N203" i="3"/>
  <c r="M203" i="3"/>
  <c r="C203" i="3"/>
  <c r="H203" i="3"/>
  <c r="F203" i="3"/>
  <c r="B203" i="3"/>
  <c r="D202" i="3"/>
  <c r="E202" i="3"/>
  <c r="G202" i="3"/>
  <c r="I202" i="3"/>
  <c r="J202" i="3"/>
  <c r="L202" i="3"/>
  <c r="N202" i="3"/>
  <c r="M202" i="3"/>
  <c r="C202" i="3"/>
  <c r="H202" i="3"/>
  <c r="F202" i="3"/>
  <c r="B202" i="3"/>
  <c r="D201" i="3"/>
  <c r="E201" i="3"/>
  <c r="G201" i="3"/>
  <c r="I201" i="3"/>
  <c r="J201" i="3"/>
  <c r="L201" i="3"/>
  <c r="N201" i="3"/>
  <c r="M201" i="3"/>
  <c r="C201" i="3"/>
  <c r="H201" i="3"/>
  <c r="F201" i="3"/>
  <c r="B201" i="3"/>
  <c r="D200" i="3"/>
  <c r="E200" i="3"/>
  <c r="G200" i="3"/>
  <c r="I200" i="3"/>
  <c r="J200" i="3"/>
  <c r="L200" i="3"/>
  <c r="N200" i="3"/>
  <c r="M200" i="3"/>
  <c r="C200" i="3"/>
  <c r="H200" i="3"/>
  <c r="F200" i="3"/>
  <c r="B200" i="3"/>
  <c r="D199" i="3"/>
  <c r="E199" i="3"/>
  <c r="G199" i="3"/>
  <c r="I199" i="3"/>
  <c r="J199" i="3"/>
  <c r="L199" i="3"/>
  <c r="N199" i="3"/>
  <c r="M199" i="3"/>
  <c r="C199" i="3"/>
  <c r="H199" i="3"/>
  <c r="F199" i="3"/>
  <c r="B199" i="3"/>
  <c r="D198" i="3"/>
  <c r="E198" i="3"/>
  <c r="G198" i="3"/>
  <c r="I198" i="3"/>
  <c r="J198" i="3"/>
  <c r="L198" i="3"/>
  <c r="N198" i="3"/>
  <c r="M198" i="3"/>
  <c r="C198" i="3"/>
  <c r="H198" i="3"/>
  <c r="F198" i="3"/>
  <c r="B198" i="3"/>
  <c r="D197" i="3"/>
  <c r="E197" i="3"/>
  <c r="G197" i="3"/>
  <c r="I197" i="3"/>
  <c r="J197" i="3"/>
  <c r="L197" i="3"/>
  <c r="N197" i="3"/>
  <c r="M197" i="3"/>
  <c r="C197" i="3"/>
  <c r="H197" i="3"/>
  <c r="F197" i="3"/>
  <c r="B197" i="3"/>
  <c r="D196" i="3"/>
  <c r="E196" i="3"/>
  <c r="G196" i="3"/>
  <c r="I196" i="3"/>
  <c r="J196" i="3"/>
  <c r="L196" i="3"/>
  <c r="N196" i="3"/>
  <c r="M196" i="3"/>
  <c r="C196" i="3"/>
  <c r="H196" i="3"/>
  <c r="F196" i="3"/>
  <c r="B196" i="3"/>
  <c r="D195" i="3"/>
  <c r="E195" i="3"/>
  <c r="G195" i="3"/>
  <c r="I195" i="3"/>
  <c r="J195" i="3"/>
  <c r="L195" i="3"/>
  <c r="N195" i="3"/>
  <c r="M195" i="3"/>
  <c r="C195" i="3"/>
  <c r="H195" i="3"/>
  <c r="F195" i="3"/>
  <c r="B195" i="3"/>
  <c r="D194" i="3"/>
  <c r="E194" i="3"/>
  <c r="G194" i="3"/>
  <c r="I194" i="3"/>
  <c r="J194" i="3"/>
  <c r="L194" i="3"/>
  <c r="N194" i="3"/>
  <c r="M194" i="3"/>
  <c r="C194" i="3"/>
  <c r="H194" i="3"/>
  <c r="F194" i="3"/>
  <c r="B194" i="3"/>
  <c r="D193" i="3"/>
  <c r="E193" i="3"/>
  <c r="G193" i="3"/>
  <c r="I193" i="3"/>
  <c r="J193" i="3"/>
  <c r="L193" i="3"/>
  <c r="N193" i="3"/>
  <c r="M193" i="3"/>
  <c r="C193" i="3"/>
  <c r="H193" i="3"/>
  <c r="F193" i="3"/>
  <c r="B193" i="3"/>
  <c r="D192" i="3"/>
  <c r="E192" i="3"/>
  <c r="G192" i="3"/>
  <c r="I192" i="3"/>
  <c r="J192" i="3"/>
  <c r="L192" i="3"/>
  <c r="N192" i="3"/>
  <c r="M192" i="3"/>
  <c r="C192" i="3"/>
  <c r="H192" i="3"/>
  <c r="F192" i="3"/>
  <c r="B192" i="3"/>
  <c r="D191" i="3"/>
  <c r="E191" i="3"/>
  <c r="G191" i="3"/>
  <c r="I191" i="3"/>
  <c r="J191" i="3"/>
  <c r="L191" i="3"/>
  <c r="N191" i="3"/>
  <c r="M191" i="3"/>
  <c r="C191" i="3"/>
  <c r="H191" i="3"/>
  <c r="F191" i="3"/>
  <c r="B191" i="3"/>
  <c r="D190" i="3"/>
  <c r="E190" i="3"/>
  <c r="G190" i="3"/>
  <c r="I190" i="3"/>
  <c r="J190" i="3"/>
  <c r="L190" i="3"/>
  <c r="N190" i="3"/>
  <c r="M190" i="3"/>
  <c r="C190" i="3"/>
  <c r="H190" i="3"/>
  <c r="F190" i="3"/>
  <c r="B190" i="3"/>
  <c r="D189" i="3"/>
  <c r="E189" i="3"/>
  <c r="G189" i="3"/>
  <c r="I189" i="3"/>
  <c r="J189" i="3"/>
  <c r="L189" i="3"/>
  <c r="N189" i="3"/>
  <c r="M189" i="3"/>
  <c r="C189" i="3"/>
  <c r="H189" i="3"/>
  <c r="F189" i="3"/>
  <c r="B189" i="3"/>
  <c r="D188" i="3"/>
  <c r="E188" i="3"/>
  <c r="G188" i="3"/>
  <c r="I188" i="3"/>
  <c r="J188" i="3"/>
  <c r="L188" i="3"/>
  <c r="N188" i="3"/>
  <c r="M188" i="3"/>
  <c r="C188" i="3"/>
  <c r="H188" i="3"/>
  <c r="F188" i="3"/>
  <c r="B188" i="3"/>
  <c r="D187" i="3"/>
  <c r="E187" i="3"/>
  <c r="G187" i="3"/>
  <c r="I187" i="3"/>
  <c r="J187" i="3"/>
  <c r="L187" i="3"/>
  <c r="N187" i="3"/>
  <c r="M187" i="3"/>
  <c r="C187" i="3"/>
  <c r="H187" i="3"/>
  <c r="F187" i="3"/>
  <c r="B187" i="3"/>
  <c r="D186" i="3"/>
  <c r="E186" i="3"/>
  <c r="G186" i="3"/>
  <c r="I186" i="3"/>
  <c r="J186" i="3"/>
  <c r="L186" i="3"/>
  <c r="N186" i="3"/>
  <c r="M186" i="3"/>
  <c r="C186" i="3"/>
  <c r="H186" i="3"/>
  <c r="F186" i="3"/>
  <c r="B186" i="3"/>
  <c r="D185" i="3"/>
  <c r="E185" i="3"/>
  <c r="G185" i="3"/>
  <c r="I185" i="3"/>
  <c r="J185" i="3"/>
  <c r="L185" i="3"/>
  <c r="N185" i="3"/>
  <c r="M185" i="3"/>
  <c r="C185" i="3"/>
  <c r="H185" i="3"/>
  <c r="F185" i="3"/>
  <c r="B185" i="3"/>
  <c r="D184" i="3"/>
  <c r="E184" i="3"/>
  <c r="G184" i="3"/>
  <c r="I184" i="3"/>
  <c r="J184" i="3"/>
  <c r="L184" i="3"/>
  <c r="N184" i="3"/>
  <c r="M184" i="3"/>
  <c r="C184" i="3"/>
  <c r="H184" i="3"/>
  <c r="F184" i="3"/>
  <c r="B184" i="3"/>
  <c r="D183" i="3"/>
  <c r="E183" i="3"/>
  <c r="G183" i="3"/>
  <c r="I183" i="3"/>
  <c r="J183" i="3"/>
  <c r="L183" i="3"/>
  <c r="N183" i="3"/>
  <c r="M183" i="3"/>
  <c r="C183" i="3"/>
  <c r="H183" i="3"/>
  <c r="F183" i="3"/>
  <c r="B183" i="3"/>
  <c r="D182" i="3"/>
  <c r="E182" i="3"/>
  <c r="G182" i="3"/>
  <c r="I182" i="3"/>
  <c r="J182" i="3"/>
  <c r="L182" i="3"/>
  <c r="N182" i="3"/>
  <c r="M182" i="3"/>
  <c r="C182" i="3"/>
  <c r="H182" i="3"/>
  <c r="F182" i="3"/>
  <c r="B182" i="3"/>
  <c r="D181" i="3"/>
  <c r="E181" i="3"/>
  <c r="G181" i="3"/>
  <c r="I181" i="3"/>
  <c r="J181" i="3"/>
  <c r="L181" i="3"/>
  <c r="N181" i="3"/>
  <c r="M181" i="3"/>
  <c r="C181" i="3"/>
  <c r="H181" i="3"/>
  <c r="F181" i="3"/>
  <c r="B181" i="3"/>
  <c r="D180" i="3"/>
  <c r="E180" i="3"/>
  <c r="G180" i="3"/>
  <c r="I180" i="3"/>
  <c r="J180" i="3"/>
  <c r="L180" i="3"/>
  <c r="N180" i="3"/>
  <c r="M180" i="3"/>
  <c r="C180" i="3"/>
  <c r="H180" i="3"/>
  <c r="F180" i="3"/>
  <c r="B180" i="3"/>
  <c r="D179" i="3"/>
  <c r="E179" i="3"/>
  <c r="G179" i="3"/>
  <c r="I179" i="3"/>
  <c r="J179" i="3"/>
  <c r="L179" i="3"/>
  <c r="N179" i="3"/>
  <c r="M179" i="3"/>
  <c r="C179" i="3"/>
  <c r="H179" i="3"/>
  <c r="F179" i="3"/>
  <c r="B179" i="3"/>
  <c r="D178" i="3"/>
  <c r="E178" i="3"/>
  <c r="G178" i="3"/>
  <c r="I178" i="3"/>
  <c r="J178" i="3"/>
  <c r="L178" i="3"/>
  <c r="N178" i="3"/>
  <c r="M178" i="3"/>
  <c r="C178" i="3"/>
  <c r="H178" i="3"/>
  <c r="F178" i="3"/>
  <c r="B178" i="3"/>
  <c r="D177" i="3"/>
  <c r="E177" i="3"/>
  <c r="G177" i="3"/>
  <c r="I177" i="3"/>
  <c r="J177" i="3"/>
  <c r="L177" i="3"/>
  <c r="N177" i="3"/>
  <c r="M177" i="3"/>
  <c r="C177" i="3"/>
  <c r="H177" i="3"/>
  <c r="F177" i="3"/>
  <c r="B177" i="3"/>
  <c r="D176" i="3"/>
  <c r="E176" i="3"/>
  <c r="G176" i="3"/>
  <c r="I176" i="3"/>
  <c r="J176" i="3"/>
  <c r="L176" i="3"/>
  <c r="N176" i="3"/>
  <c r="M176" i="3"/>
  <c r="C176" i="3"/>
  <c r="H176" i="3"/>
  <c r="F176" i="3"/>
  <c r="B176" i="3"/>
  <c r="D175" i="3"/>
  <c r="E175" i="3"/>
  <c r="G175" i="3"/>
  <c r="I175" i="3"/>
  <c r="J175" i="3"/>
  <c r="L175" i="3"/>
  <c r="N175" i="3"/>
  <c r="M175" i="3"/>
  <c r="C175" i="3"/>
  <c r="H175" i="3"/>
  <c r="F175" i="3"/>
  <c r="B175" i="3"/>
  <c r="D174" i="3"/>
  <c r="E174" i="3"/>
  <c r="G174" i="3"/>
  <c r="I174" i="3"/>
  <c r="J174" i="3"/>
  <c r="L174" i="3"/>
  <c r="N174" i="3"/>
  <c r="M174" i="3"/>
  <c r="C174" i="3"/>
  <c r="H174" i="3"/>
  <c r="F174" i="3"/>
  <c r="B174" i="3"/>
  <c r="D173" i="3"/>
  <c r="E173" i="3"/>
  <c r="G173" i="3"/>
  <c r="I173" i="3"/>
  <c r="J173" i="3"/>
  <c r="L173" i="3"/>
  <c r="N173" i="3"/>
  <c r="M173" i="3"/>
  <c r="C173" i="3"/>
  <c r="H173" i="3"/>
  <c r="F173" i="3"/>
  <c r="B173" i="3"/>
  <c r="D172" i="3"/>
  <c r="E172" i="3"/>
  <c r="G172" i="3"/>
  <c r="I172" i="3"/>
  <c r="J172" i="3"/>
  <c r="L172" i="3"/>
  <c r="N172" i="3"/>
  <c r="M172" i="3"/>
  <c r="C172" i="3"/>
  <c r="H172" i="3"/>
  <c r="F172" i="3"/>
  <c r="B172" i="3"/>
  <c r="D171" i="3"/>
  <c r="E171" i="3"/>
  <c r="G171" i="3"/>
  <c r="I171" i="3"/>
  <c r="J171" i="3"/>
  <c r="L171" i="3"/>
  <c r="N171" i="3"/>
  <c r="M171" i="3"/>
  <c r="C171" i="3"/>
  <c r="H171" i="3"/>
  <c r="F171" i="3"/>
  <c r="B171" i="3"/>
  <c r="D170" i="3"/>
  <c r="E170" i="3"/>
  <c r="G170" i="3"/>
  <c r="I170" i="3"/>
  <c r="J170" i="3"/>
  <c r="L170" i="3"/>
  <c r="N170" i="3"/>
  <c r="M170" i="3"/>
  <c r="C170" i="3"/>
  <c r="H170" i="3"/>
  <c r="F170" i="3"/>
  <c r="B170" i="3"/>
  <c r="D169" i="3"/>
  <c r="E169" i="3"/>
  <c r="G169" i="3"/>
  <c r="I169" i="3"/>
  <c r="J169" i="3"/>
  <c r="L169" i="3"/>
  <c r="N169" i="3"/>
  <c r="M169" i="3"/>
  <c r="C169" i="3"/>
  <c r="H169" i="3"/>
  <c r="F169" i="3"/>
  <c r="B169" i="3"/>
  <c r="D168" i="3"/>
  <c r="E168" i="3"/>
  <c r="G168" i="3"/>
  <c r="I168" i="3"/>
  <c r="J168" i="3"/>
  <c r="L168" i="3"/>
  <c r="N168" i="3"/>
  <c r="M168" i="3"/>
  <c r="C168" i="3"/>
  <c r="H168" i="3"/>
  <c r="F168" i="3"/>
  <c r="B168" i="3"/>
  <c r="D167" i="3"/>
  <c r="E167" i="3"/>
  <c r="G167" i="3"/>
  <c r="I167" i="3"/>
  <c r="J167" i="3"/>
  <c r="L167" i="3"/>
  <c r="N167" i="3"/>
  <c r="M167" i="3"/>
  <c r="C167" i="3"/>
  <c r="H167" i="3"/>
  <c r="F167" i="3"/>
  <c r="B167" i="3"/>
  <c r="D166" i="3"/>
  <c r="E166" i="3"/>
  <c r="G166" i="3"/>
  <c r="I166" i="3"/>
  <c r="J166" i="3"/>
  <c r="L166" i="3"/>
  <c r="N166" i="3"/>
  <c r="M166" i="3"/>
  <c r="C166" i="3"/>
  <c r="H166" i="3"/>
  <c r="F166" i="3"/>
  <c r="B166" i="3"/>
  <c r="D165" i="3"/>
  <c r="E165" i="3"/>
  <c r="G165" i="3"/>
  <c r="I165" i="3"/>
  <c r="J165" i="3"/>
  <c r="L165" i="3"/>
  <c r="N165" i="3"/>
  <c r="M165" i="3"/>
  <c r="C165" i="3"/>
  <c r="H165" i="3"/>
  <c r="F165" i="3"/>
  <c r="B165" i="3"/>
  <c r="D164" i="3"/>
  <c r="E164" i="3"/>
  <c r="G164" i="3"/>
  <c r="I164" i="3"/>
  <c r="J164" i="3"/>
  <c r="L164" i="3"/>
  <c r="N164" i="3"/>
  <c r="M164" i="3"/>
  <c r="C164" i="3"/>
  <c r="H164" i="3"/>
  <c r="F164" i="3"/>
  <c r="B164" i="3"/>
  <c r="D163" i="3"/>
  <c r="E163" i="3"/>
  <c r="G163" i="3"/>
  <c r="I163" i="3"/>
  <c r="J163" i="3"/>
  <c r="L163" i="3"/>
  <c r="N163" i="3"/>
  <c r="M163" i="3"/>
  <c r="C163" i="3"/>
  <c r="H163" i="3"/>
  <c r="F163" i="3"/>
  <c r="B163" i="3"/>
  <c r="D162" i="3"/>
  <c r="E162" i="3"/>
  <c r="G162" i="3"/>
  <c r="I162" i="3"/>
  <c r="J162" i="3"/>
  <c r="L162" i="3"/>
  <c r="N162" i="3"/>
  <c r="M162" i="3"/>
  <c r="C162" i="3"/>
  <c r="H162" i="3"/>
  <c r="F162" i="3"/>
  <c r="B162" i="3"/>
  <c r="D161" i="3"/>
  <c r="E161" i="3"/>
  <c r="G161" i="3"/>
  <c r="I161" i="3"/>
  <c r="J161" i="3"/>
  <c r="L161" i="3"/>
  <c r="N161" i="3"/>
  <c r="M161" i="3"/>
  <c r="C161" i="3"/>
  <c r="H161" i="3"/>
  <c r="F161" i="3"/>
  <c r="B161" i="3"/>
  <c r="D160" i="3"/>
  <c r="E160" i="3"/>
  <c r="G160" i="3"/>
  <c r="I160" i="3"/>
  <c r="J160" i="3"/>
  <c r="L160" i="3"/>
  <c r="N160" i="3"/>
  <c r="M160" i="3"/>
  <c r="C160" i="3"/>
  <c r="H160" i="3"/>
  <c r="F160" i="3"/>
  <c r="B160" i="3"/>
  <c r="D159" i="3"/>
  <c r="E159" i="3"/>
  <c r="G159" i="3"/>
  <c r="I159" i="3"/>
  <c r="J159" i="3"/>
  <c r="L159" i="3"/>
  <c r="N159" i="3"/>
  <c r="M159" i="3"/>
  <c r="C159" i="3"/>
  <c r="H159" i="3"/>
  <c r="F159" i="3"/>
  <c r="B159" i="3"/>
  <c r="D158" i="3"/>
  <c r="E158" i="3"/>
  <c r="G158" i="3"/>
  <c r="I158" i="3"/>
  <c r="J158" i="3"/>
  <c r="L158" i="3"/>
  <c r="N158" i="3"/>
  <c r="M158" i="3"/>
  <c r="C158" i="3"/>
  <c r="H158" i="3"/>
  <c r="F158" i="3"/>
  <c r="B158" i="3"/>
  <c r="D157" i="3"/>
  <c r="E157" i="3"/>
  <c r="G157" i="3"/>
  <c r="I157" i="3"/>
  <c r="J157" i="3"/>
  <c r="L157" i="3"/>
  <c r="N157" i="3"/>
  <c r="M157" i="3"/>
  <c r="C157" i="3"/>
  <c r="H157" i="3"/>
  <c r="F157" i="3"/>
  <c r="B157" i="3"/>
  <c r="D156" i="3"/>
  <c r="E156" i="3"/>
  <c r="G156" i="3"/>
  <c r="I156" i="3"/>
  <c r="J156" i="3"/>
  <c r="L156" i="3"/>
  <c r="N156" i="3"/>
  <c r="M156" i="3"/>
  <c r="C156" i="3"/>
  <c r="H156" i="3"/>
  <c r="F156" i="3"/>
  <c r="B156" i="3"/>
  <c r="D155" i="3"/>
  <c r="E155" i="3"/>
  <c r="G155" i="3"/>
  <c r="I155" i="3"/>
  <c r="J155" i="3"/>
  <c r="L155" i="3"/>
  <c r="N155" i="3"/>
  <c r="M155" i="3"/>
  <c r="C155" i="3"/>
  <c r="H155" i="3"/>
  <c r="F155" i="3"/>
  <c r="B155" i="3"/>
  <c r="D154" i="3"/>
  <c r="E154" i="3"/>
  <c r="G154" i="3"/>
  <c r="I154" i="3"/>
  <c r="J154" i="3"/>
  <c r="L154" i="3"/>
  <c r="N154" i="3"/>
  <c r="M154" i="3"/>
  <c r="C154" i="3"/>
  <c r="H154" i="3"/>
  <c r="F154" i="3"/>
  <c r="B154" i="3"/>
  <c r="D153" i="3"/>
  <c r="E153" i="3"/>
  <c r="G153" i="3"/>
  <c r="I153" i="3"/>
  <c r="J153" i="3"/>
  <c r="L153" i="3"/>
  <c r="N153" i="3"/>
  <c r="M153" i="3"/>
  <c r="C153" i="3"/>
  <c r="H153" i="3"/>
  <c r="F153" i="3"/>
  <c r="B153" i="3"/>
  <c r="D152" i="3"/>
  <c r="E152" i="3"/>
  <c r="G152" i="3"/>
  <c r="I152" i="3"/>
  <c r="J152" i="3"/>
  <c r="L152" i="3"/>
  <c r="N152" i="3"/>
  <c r="M152" i="3"/>
  <c r="C152" i="3"/>
  <c r="H152" i="3"/>
  <c r="F152" i="3"/>
  <c r="B152" i="3"/>
  <c r="D151" i="3"/>
  <c r="E151" i="3"/>
  <c r="G151" i="3"/>
  <c r="I151" i="3"/>
  <c r="J151" i="3"/>
  <c r="L151" i="3"/>
  <c r="N151" i="3"/>
  <c r="M151" i="3"/>
  <c r="C151" i="3"/>
  <c r="H151" i="3"/>
  <c r="F151" i="3"/>
  <c r="B151" i="3"/>
  <c r="D150" i="3"/>
  <c r="E150" i="3"/>
  <c r="G150" i="3"/>
  <c r="I150" i="3"/>
  <c r="J150" i="3"/>
  <c r="L150" i="3"/>
  <c r="N150" i="3"/>
  <c r="M150" i="3"/>
  <c r="C150" i="3"/>
  <c r="H150" i="3"/>
  <c r="F150" i="3"/>
  <c r="B150" i="3"/>
  <c r="D149" i="3"/>
  <c r="E149" i="3"/>
  <c r="G149" i="3"/>
  <c r="I149" i="3"/>
  <c r="J149" i="3"/>
  <c r="L149" i="3"/>
  <c r="N149" i="3"/>
  <c r="M149" i="3"/>
  <c r="C149" i="3"/>
  <c r="H149" i="3"/>
  <c r="F149" i="3"/>
  <c r="B149" i="3"/>
  <c r="D148" i="3"/>
  <c r="E148" i="3"/>
  <c r="G148" i="3"/>
  <c r="I148" i="3"/>
  <c r="J148" i="3"/>
  <c r="L148" i="3"/>
  <c r="N148" i="3"/>
  <c r="M148" i="3"/>
  <c r="C148" i="3"/>
  <c r="H148" i="3"/>
  <c r="F148" i="3"/>
  <c r="B148" i="3"/>
  <c r="D147" i="3"/>
  <c r="E147" i="3"/>
  <c r="G147" i="3"/>
  <c r="I147" i="3"/>
  <c r="J147" i="3"/>
  <c r="L147" i="3"/>
  <c r="N147" i="3"/>
  <c r="M147" i="3"/>
  <c r="C147" i="3"/>
  <c r="H147" i="3"/>
  <c r="F147" i="3"/>
  <c r="B147" i="3"/>
  <c r="D146" i="3"/>
  <c r="E146" i="3"/>
  <c r="G146" i="3"/>
  <c r="I146" i="3"/>
  <c r="J146" i="3"/>
  <c r="L146" i="3"/>
  <c r="N146" i="3"/>
  <c r="M146" i="3"/>
  <c r="C146" i="3"/>
  <c r="H146" i="3"/>
  <c r="F146" i="3"/>
  <c r="B146" i="3"/>
  <c r="D145" i="3"/>
  <c r="E145" i="3"/>
  <c r="G145" i="3"/>
  <c r="I145" i="3"/>
  <c r="J145" i="3"/>
  <c r="L145" i="3"/>
  <c r="N145" i="3"/>
  <c r="M145" i="3"/>
  <c r="C145" i="3"/>
  <c r="H145" i="3"/>
  <c r="F145" i="3"/>
  <c r="B145" i="3"/>
  <c r="D144" i="3"/>
  <c r="E144" i="3"/>
  <c r="G144" i="3"/>
  <c r="I144" i="3"/>
  <c r="J144" i="3"/>
  <c r="L144" i="3"/>
  <c r="N144" i="3"/>
  <c r="M144" i="3"/>
  <c r="C144" i="3"/>
  <c r="H144" i="3"/>
  <c r="F144" i="3"/>
  <c r="B144" i="3"/>
  <c r="D143" i="3"/>
  <c r="E143" i="3"/>
  <c r="G143" i="3"/>
  <c r="I143" i="3"/>
  <c r="J143" i="3"/>
  <c r="L143" i="3"/>
  <c r="N143" i="3"/>
  <c r="M143" i="3"/>
  <c r="C143" i="3"/>
  <c r="H143" i="3"/>
  <c r="F143" i="3"/>
  <c r="B143" i="3"/>
  <c r="D142" i="3"/>
  <c r="E142" i="3"/>
  <c r="G142" i="3"/>
  <c r="I142" i="3"/>
  <c r="J142" i="3"/>
  <c r="L142" i="3"/>
  <c r="N142" i="3"/>
  <c r="M142" i="3"/>
  <c r="C142" i="3"/>
  <c r="H142" i="3"/>
  <c r="F142" i="3"/>
  <c r="B142" i="3"/>
  <c r="D141" i="3"/>
  <c r="E141" i="3"/>
  <c r="G141" i="3"/>
  <c r="I141" i="3"/>
  <c r="J141" i="3"/>
  <c r="L141" i="3"/>
  <c r="N141" i="3"/>
  <c r="M141" i="3"/>
  <c r="C141" i="3"/>
  <c r="H141" i="3"/>
  <c r="F141" i="3"/>
  <c r="B141" i="3"/>
  <c r="D140" i="3"/>
  <c r="E140" i="3"/>
  <c r="G140" i="3"/>
  <c r="I140" i="3"/>
  <c r="J140" i="3"/>
  <c r="L140" i="3"/>
  <c r="N140" i="3"/>
  <c r="M140" i="3"/>
  <c r="C140" i="3"/>
  <c r="H140" i="3"/>
  <c r="F140" i="3"/>
  <c r="B140" i="3"/>
  <c r="D139" i="3"/>
  <c r="E139" i="3"/>
  <c r="G139" i="3"/>
  <c r="I139" i="3"/>
  <c r="J139" i="3"/>
  <c r="L139" i="3"/>
  <c r="N139" i="3"/>
  <c r="M139" i="3"/>
  <c r="C139" i="3"/>
  <c r="H139" i="3"/>
  <c r="F139" i="3"/>
  <c r="B139" i="3"/>
  <c r="D138" i="3"/>
  <c r="E138" i="3"/>
  <c r="G138" i="3"/>
  <c r="I138" i="3"/>
  <c r="J138" i="3"/>
  <c r="L138" i="3"/>
  <c r="N138" i="3"/>
  <c r="M138" i="3"/>
  <c r="C138" i="3"/>
  <c r="H138" i="3"/>
  <c r="F138" i="3"/>
  <c r="B138" i="3"/>
  <c r="D137" i="3"/>
  <c r="E137" i="3"/>
  <c r="G137" i="3"/>
  <c r="I137" i="3"/>
  <c r="J137" i="3"/>
  <c r="L137" i="3"/>
  <c r="N137" i="3"/>
  <c r="M137" i="3"/>
  <c r="C137" i="3"/>
  <c r="H137" i="3"/>
  <c r="F137" i="3"/>
  <c r="B137" i="3"/>
  <c r="D136" i="3"/>
  <c r="E136" i="3"/>
  <c r="G136" i="3"/>
  <c r="I136" i="3"/>
  <c r="J136" i="3"/>
  <c r="L136" i="3"/>
  <c r="N136" i="3"/>
  <c r="M136" i="3"/>
  <c r="C136" i="3"/>
  <c r="H136" i="3"/>
  <c r="F136" i="3"/>
  <c r="B136" i="3"/>
  <c r="D135" i="3"/>
  <c r="E135" i="3"/>
  <c r="G135" i="3"/>
  <c r="I135" i="3"/>
  <c r="J135" i="3"/>
  <c r="L135" i="3"/>
  <c r="N135" i="3"/>
  <c r="M135" i="3"/>
  <c r="C135" i="3"/>
  <c r="H135" i="3"/>
  <c r="F135" i="3"/>
  <c r="B135" i="3"/>
  <c r="D134" i="3"/>
  <c r="E134" i="3"/>
  <c r="G134" i="3"/>
  <c r="I134" i="3"/>
  <c r="J134" i="3"/>
  <c r="L134" i="3"/>
  <c r="N134" i="3"/>
  <c r="M134" i="3"/>
  <c r="C134" i="3"/>
  <c r="H134" i="3"/>
  <c r="F134" i="3"/>
  <c r="B134" i="3"/>
  <c r="D133" i="3"/>
  <c r="E133" i="3"/>
  <c r="G133" i="3"/>
  <c r="I133" i="3"/>
  <c r="J133" i="3"/>
  <c r="L133" i="3"/>
  <c r="N133" i="3"/>
  <c r="M133" i="3"/>
  <c r="C133" i="3"/>
  <c r="H133" i="3"/>
  <c r="F133" i="3"/>
  <c r="B133" i="3"/>
  <c r="D132" i="3"/>
  <c r="E132" i="3"/>
  <c r="G132" i="3"/>
  <c r="I132" i="3"/>
  <c r="J132" i="3"/>
  <c r="L132" i="3"/>
  <c r="N132" i="3"/>
  <c r="M132" i="3"/>
  <c r="C132" i="3"/>
  <c r="H132" i="3"/>
  <c r="F132" i="3"/>
  <c r="B132" i="3"/>
  <c r="D131" i="3"/>
  <c r="E131" i="3"/>
  <c r="G131" i="3"/>
  <c r="I131" i="3"/>
  <c r="J131" i="3"/>
  <c r="L131" i="3"/>
  <c r="N131" i="3"/>
  <c r="M131" i="3"/>
  <c r="C131" i="3"/>
  <c r="H131" i="3"/>
  <c r="F131" i="3"/>
  <c r="B131" i="3"/>
  <c r="D130" i="3"/>
  <c r="E130" i="3"/>
  <c r="G130" i="3"/>
  <c r="I130" i="3"/>
  <c r="J130" i="3"/>
  <c r="L130" i="3"/>
  <c r="N130" i="3"/>
  <c r="M130" i="3"/>
  <c r="C130" i="3"/>
  <c r="H130" i="3"/>
  <c r="F130" i="3"/>
  <c r="B130" i="3"/>
  <c r="D129" i="3"/>
  <c r="E129" i="3"/>
  <c r="G129" i="3"/>
  <c r="I129" i="3"/>
  <c r="J129" i="3"/>
  <c r="L129" i="3"/>
  <c r="N129" i="3"/>
  <c r="M129" i="3"/>
  <c r="C129" i="3"/>
  <c r="H129" i="3"/>
  <c r="F129" i="3"/>
  <c r="B129" i="3"/>
  <c r="D128" i="3"/>
  <c r="E128" i="3"/>
  <c r="G128" i="3"/>
  <c r="I128" i="3"/>
  <c r="J128" i="3"/>
  <c r="L128" i="3"/>
  <c r="N128" i="3"/>
  <c r="M128" i="3"/>
  <c r="C128" i="3"/>
  <c r="H128" i="3"/>
  <c r="F128" i="3"/>
  <c r="B128" i="3"/>
  <c r="D127" i="3"/>
  <c r="E127" i="3"/>
  <c r="G127" i="3"/>
  <c r="I127" i="3"/>
  <c r="J127" i="3"/>
  <c r="L127" i="3"/>
  <c r="N127" i="3"/>
  <c r="M127" i="3"/>
  <c r="C127" i="3"/>
  <c r="H127" i="3"/>
  <c r="F127" i="3"/>
  <c r="B127" i="3"/>
  <c r="D126" i="3"/>
  <c r="E126" i="3"/>
  <c r="G126" i="3"/>
  <c r="I126" i="3"/>
  <c r="J126" i="3"/>
  <c r="L126" i="3"/>
  <c r="N126" i="3"/>
  <c r="M126" i="3"/>
  <c r="C126" i="3"/>
  <c r="H126" i="3"/>
  <c r="F126" i="3"/>
  <c r="B126" i="3"/>
  <c r="D125" i="3"/>
  <c r="E125" i="3"/>
  <c r="G125" i="3"/>
  <c r="I125" i="3"/>
  <c r="J125" i="3"/>
  <c r="L125" i="3"/>
  <c r="N125" i="3"/>
  <c r="M125" i="3"/>
  <c r="C125" i="3"/>
  <c r="H125" i="3"/>
  <c r="F125" i="3"/>
  <c r="B125" i="3"/>
  <c r="D124" i="3"/>
  <c r="E124" i="3"/>
  <c r="G124" i="3"/>
  <c r="I124" i="3"/>
  <c r="J124" i="3"/>
  <c r="L124" i="3"/>
  <c r="N124" i="3"/>
  <c r="M124" i="3"/>
  <c r="C124" i="3"/>
  <c r="H124" i="3"/>
  <c r="F124" i="3"/>
  <c r="B124" i="3"/>
  <c r="D123" i="3"/>
  <c r="E123" i="3"/>
  <c r="G123" i="3"/>
  <c r="I123" i="3"/>
  <c r="J123" i="3"/>
  <c r="L123" i="3"/>
  <c r="N123" i="3"/>
  <c r="M123" i="3"/>
  <c r="C123" i="3"/>
  <c r="H123" i="3"/>
  <c r="F123" i="3"/>
  <c r="B123" i="3"/>
  <c r="D122" i="3"/>
  <c r="E122" i="3"/>
  <c r="G122" i="3"/>
  <c r="I122" i="3"/>
  <c r="J122" i="3"/>
  <c r="L122" i="3"/>
  <c r="N122" i="3"/>
  <c r="M122" i="3"/>
  <c r="C122" i="3"/>
  <c r="H122" i="3"/>
  <c r="F122" i="3"/>
  <c r="B122" i="3"/>
  <c r="D121" i="3"/>
  <c r="E121" i="3"/>
  <c r="G121" i="3"/>
  <c r="I121" i="3"/>
  <c r="J121" i="3"/>
  <c r="L121" i="3"/>
  <c r="N121" i="3"/>
  <c r="M121" i="3"/>
  <c r="C121" i="3"/>
  <c r="H121" i="3"/>
  <c r="F121" i="3"/>
  <c r="B121" i="3"/>
  <c r="D120" i="3"/>
  <c r="E120" i="3"/>
  <c r="G120" i="3"/>
  <c r="I120" i="3"/>
  <c r="J120" i="3"/>
  <c r="L120" i="3"/>
  <c r="N120" i="3"/>
  <c r="M120" i="3"/>
  <c r="C120" i="3"/>
  <c r="H120" i="3"/>
  <c r="F120" i="3"/>
  <c r="B120" i="3"/>
  <c r="D119" i="3"/>
  <c r="E119" i="3"/>
  <c r="G119" i="3"/>
  <c r="I119" i="3"/>
  <c r="J119" i="3"/>
  <c r="L119" i="3"/>
  <c r="N119" i="3"/>
  <c r="M119" i="3"/>
  <c r="C119" i="3"/>
  <c r="H119" i="3"/>
  <c r="F119" i="3"/>
  <c r="B119" i="3"/>
  <c r="D118" i="3"/>
  <c r="E118" i="3"/>
  <c r="G118" i="3"/>
  <c r="I118" i="3"/>
  <c r="J118" i="3"/>
  <c r="L118" i="3"/>
  <c r="N118" i="3"/>
  <c r="M118" i="3"/>
  <c r="C118" i="3"/>
  <c r="H118" i="3"/>
  <c r="F118" i="3"/>
  <c r="B118" i="3"/>
  <c r="D117" i="3"/>
  <c r="E117" i="3"/>
  <c r="G117" i="3"/>
  <c r="I117" i="3"/>
  <c r="J117" i="3"/>
  <c r="L117" i="3"/>
  <c r="N117" i="3"/>
  <c r="M117" i="3"/>
  <c r="C117" i="3"/>
  <c r="H117" i="3"/>
  <c r="F117" i="3"/>
  <c r="B117" i="3"/>
  <c r="D116" i="3"/>
  <c r="E116" i="3"/>
  <c r="G116" i="3"/>
  <c r="I116" i="3"/>
  <c r="J116" i="3"/>
  <c r="L116" i="3"/>
  <c r="N116" i="3"/>
  <c r="M116" i="3"/>
  <c r="C116" i="3"/>
  <c r="H116" i="3"/>
  <c r="F116" i="3"/>
  <c r="B116" i="3"/>
  <c r="D115" i="3"/>
  <c r="E115" i="3"/>
  <c r="G115" i="3"/>
  <c r="I115" i="3"/>
  <c r="J115" i="3"/>
  <c r="L115" i="3"/>
  <c r="N115" i="3"/>
  <c r="M115" i="3"/>
  <c r="C115" i="3"/>
  <c r="H115" i="3"/>
  <c r="F115" i="3"/>
  <c r="B115" i="3"/>
  <c r="D114" i="3"/>
  <c r="E114" i="3"/>
  <c r="G114" i="3"/>
  <c r="I114" i="3"/>
  <c r="J114" i="3"/>
  <c r="L114" i="3"/>
  <c r="N114" i="3"/>
  <c r="M114" i="3"/>
  <c r="C114" i="3"/>
  <c r="H114" i="3"/>
  <c r="F114" i="3"/>
  <c r="B114" i="3"/>
  <c r="D113" i="3"/>
  <c r="E113" i="3"/>
  <c r="G113" i="3"/>
  <c r="I113" i="3"/>
  <c r="J113" i="3"/>
  <c r="L113" i="3"/>
  <c r="N113" i="3"/>
  <c r="M113" i="3"/>
  <c r="C113" i="3"/>
  <c r="H113" i="3"/>
  <c r="F113" i="3"/>
  <c r="B113" i="3"/>
  <c r="D112" i="3"/>
  <c r="E112" i="3"/>
  <c r="G112" i="3"/>
  <c r="I112" i="3"/>
  <c r="J112" i="3"/>
  <c r="L112" i="3"/>
  <c r="N112" i="3"/>
  <c r="M112" i="3"/>
  <c r="C112" i="3"/>
  <c r="H112" i="3"/>
  <c r="F112" i="3"/>
  <c r="B112" i="3"/>
  <c r="D111" i="3"/>
  <c r="E111" i="3"/>
  <c r="G111" i="3"/>
  <c r="I111" i="3"/>
  <c r="J111" i="3"/>
  <c r="L111" i="3"/>
  <c r="N111" i="3"/>
  <c r="M111" i="3"/>
  <c r="C111" i="3"/>
  <c r="H111" i="3"/>
  <c r="F111" i="3"/>
  <c r="B111" i="3"/>
  <c r="D110" i="3"/>
  <c r="E110" i="3"/>
  <c r="G110" i="3"/>
  <c r="I110" i="3"/>
  <c r="J110" i="3"/>
  <c r="L110" i="3"/>
  <c r="N110" i="3"/>
  <c r="M110" i="3"/>
  <c r="C110" i="3"/>
  <c r="H110" i="3"/>
  <c r="F110" i="3"/>
  <c r="B110" i="3"/>
  <c r="D109" i="3"/>
  <c r="E109" i="3"/>
  <c r="G109" i="3"/>
  <c r="I109" i="3"/>
  <c r="J109" i="3"/>
  <c r="L109" i="3"/>
  <c r="N109" i="3"/>
  <c r="M109" i="3"/>
  <c r="C109" i="3"/>
  <c r="H109" i="3"/>
  <c r="F109" i="3"/>
  <c r="B109" i="3"/>
  <c r="D108" i="3"/>
  <c r="E108" i="3"/>
  <c r="G108" i="3"/>
  <c r="I108" i="3"/>
  <c r="J108" i="3"/>
  <c r="L108" i="3"/>
  <c r="N108" i="3"/>
  <c r="M108" i="3"/>
  <c r="C108" i="3"/>
  <c r="H108" i="3"/>
  <c r="F108" i="3"/>
  <c r="B108" i="3"/>
  <c r="D107" i="3"/>
  <c r="E107" i="3"/>
  <c r="G107" i="3"/>
  <c r="I107" i="3"/>
  <c r="J107" i="3"/>
  <c r="L107" i="3"/>
  <c r="N107" i="3"/>
  <c r="M107" i="3"/>
  <c r="C107" i="3"/>
  <c r="H107" i="3"/>
  <c r="F107" i="3"/>
  <c r="B107" i="3"/>
  <c r="D106" i="3"/>
  <c r="E106" i="3"/>
  <c r="G106" i="3"/>
  <c r="I106" i="3"/>
  <c r="J106" i="3"/>
  <c r="L106" i="3"/>
  <c r="N106" i="3"/>
  <c r="M106" i="3"/>
  <c r="C106" i="3"/>
  <c r="H106" i="3"/>
  <c r="F106" i="3"/>
  <c r="B106" i="3"/>
  <c r="D105" i="3"/>
  <c r="E105" i="3"/>
  <c r="G105" i="3"/>
  <c r="I105" i="3"/>
  <c r="J105" i="3"/>
  <c r="L105" i="3"/>
  <c r="N105" i="3"/>
  <c r="M105" i="3"/>
  <c r="C105" i="3"/>
  <c r="H105" i="3"/>
  <c r="F105" i="3"/>
  <c r="B105" i="3"/>
  <c r="D104" i="3"/>
  <c r="E104" i="3"/>
  <c r="G104" i="3"/>
  <c r="I104" i="3"/>
  <c r="J104" i="3"/>
  <c r="L104" i="3"/>
  <c r="N104" i="3"/>
  <c r="M104" i="3"/>
  <c r="C104" i="3"/>
  <c r="H104" i="3"/>
  <c r="F104" i="3"/>
  <c r="B104" i="3"/>
  <c r="D103" i="3"/>
  <c r="E103" i="3"/>
  <c r="G103" i="3"/>
  <c r="I103" i="3"/>
  <c r="J103" i="3"/>
  <c r="L103" i="3"/>
  <c r="N103" i="3"/>
  <c r="M103" i="3"/>
  <c r="C103" i="3"/>
  <c r="H103" i="3"/>
  <c r="F103" i="3"/>
  <c r="B103" i="3"/>
  <c r="D102" i="3"/>
  <c r="E102" i="3"/>
  <c r="G102" i="3"/>
  <c r="I102" i="3"/>
  <c r="J102" i="3"/>
  <c r="L102" i="3"/>
  <c r="N102" i="3"/>
  <c r="M102" i="3"/>
  <c r="C102" i="3"/>
  <c r="H102" i="3"/>
  <c r="F102" i="3"/>
  <c r="B102" i="3"/>
  <c r="D101" i="3"/>
  <c r="E101" i="3"/>
  <c r="G101" i="3"/>
  <c r="I101" i="3"/>
  <c r="J101" i="3"/>
  <c r="L101" i="3"/>
  <c r="N101" i="3"/>
  <c r="M101" i="3"/>
  <c r="C101" i="3"/>
  <c r="H101" i="3"/>
  <c r="F101" i="3"/>
  <c r="B101" i="3"/>
  <c r="D100" i="3"/>
  <c r="E100" i="3"/>
  <c r="G100" i="3"/>
  <c r="I100" i="3"/>
  <c r="J100" i="3"/>
  <c r="L100" i="3"/>
  <c r="N100" i="3"/>
  <c r="M100" i="3"/>
  <c r="C100" i="3"/>
  <c r="H100" i="3"/>
  <c r="F100" i="3"/>
  <c r="B100" i="3"/>
  <c r="D99" i="3"/>
  <c r="E99" i="3"/>
  <c r="G99" i="3"/>
  <c r="I99" i="3"/>
  <c r="J99" i="3"/>
  <c r="L99" i="3"/>
  <c r="N99" i="3"/>
  <c r="M99" i="3"/>
  <c r="C99" i="3"/>
  <c r="H99" i="3"/>
  <c r="F99" i="3"/>
  <c r="B99" i="3"/>
  <c r="D98" i="3"/>
  <c r="E98" i="3"/>
  <c r="G98" i="3"/>
  <c r="I98" i="3"/>
  <c r="J98" i="3"/>
  <c r="L98" i="3"/>
  <c r="N98" i="3"/>
  <c r="M98" i="3"/>
  <c r="C98" i="3"/>
  <c r="H98" i="3"/>
  <c r="F98" i="3"/>
  <c r="B98" i="3"/>
  <c r="D97" i="3"/>
  <c r="E97" i="3"/>
  <c r="G97" i="3"/>
  <c r="I97" i="3"/>
  <c r="J97" i="3"/>
  <c r="L97" i="3"/>
  <c r="N97" i="3"/>
  <c r="M97" i="3"/>
  <c r="C97" i="3"/>
  <c r="H97" i="3"/>
  <c r="F97" i="3"/>
  <c r="B97" i="3"/>
  <c r="D96" i="3"/>
  <c r="E96" i="3"/>
  <c r="G96" i="3"/>
  <c r="I96" i="3"/>
  <c r="J96" i="3"/>
  <c r="L96" i="3"/>
  <c r="N96" i="3"/>
  <c r="M96" i="3"/>
  <c r="C96" i="3"/>
  <c r="H96" i="3"/>
  <c r="F96" i="3"/>
  <c r="B96" i="3"/>
  <c r="D95" i="3"/>
  <c r="E95" i="3"/>
  <c r="G95" i="3"/>
  <c r="I95" i="3"/>
  <c r="J95" i="3"/>
  <c r="L95" i="3"/>
  <c r="N95" i="3"/>
  <c r="M95" i="3"/>
  <c r="C95" i="3"/>
  <c r="H95" i="3"/>
  <c r="F95" i="3"/>
  <c r="B95" i="3"/>
  <c r="D94" i="3"/>
  <c r="E94" i="3"/>
  <c r="G94" i="3"/>
  <c r="I94" i="3"/>
  <c r="J94" i="3"/>
  <c r="L94" i="3"/>
  <c r="N94" i="3"/>
  <c r="M94" i="3"/>
  <c r="C94" i="3"/>
  <c r="H94" i="3"/>
  <c r="F94" i="3"/>
  <c r="B94" i="3"/>
  <c r="D93" i="3"/>
  <c r="E93" i="3"/>
  <c r="G93" i="3"/>
  <c r="I93" i="3"/>
  <c r="J93" i="3"/>
  <c r="L93" i="3"/>
  <c r="N93" i="3"/>
  <c r="M93" i="3"/>
  <c r="C93" i="3"/>
  <c r="H93" i="3"/>
  <c r="F93" i="3"/>
  <c r="B93" i="3"/>
  <c r="D92" i="3"/>
  <c r="E92" i="3"/>
  <c r="G92" i="3"/>
  <c r="I92" i="3"/>
  <c r="J92" i="3"/>
  <c r="L92" i="3"/>
  <c r="N92" i="3"/>
  <c r="M92" i="3"/>
  <c r="C92" i="3"/>
  <c r="H92" i="3"/>
  <c r="F92" i="3"/>
  <c r="B92" i="3"/>
  <c r="D91" i="3"/>
  <c r="E91" i="3"/>
  <c r="G91" i="3"/>
  <c r="I91" i="3"/>
  <c r="J91" i="3"/>
  <c r="L91" i="3"/>
  <c r="N91" i="3"/>
  <c r="M91" i="3"/>
  <c r="C91" i="3"/>
  <c r="H91" i="3"/>
  <c r="F91" i="3"/>
  <c r="B91" i="3"/>
  <c r="D90" i="3"/>
  <c r="E90" i="3"/>
  <c r="G90" i="3"/>
  <c r="I90" i="3"/>
  <c r="J90" i="3"/>
  <c r="L90" i="3"/>
  <c r="N90" i="3"/>
  <c r="M90" i="3"/>
  <c r="C90" i="3"/>
  <c r="H90" i="3"/>
  <c r="F90" i="3"/>
  <c r="B90" i="3"/>
  <c r="D89" i="3"/>
  <c r="E89" i="3"/>
  <c r="G89" i="3"/>
  <c r="I89" i="3"/>
  <c r="J89" i="3"/>
  <c r="L89" i="3"/>
  <c r="N89" i="3"/>
  <c r="M89" i="3"/>
  <c r="C89" i="3"/>
  <c r="H89" i="3"/>
  <c r="F89" i="3"/>
  <c r="B89" i="3"/>
  <c r="D88" i="3"/>
  <c r="E88" i="3"/>
  <c r="G88" i="3"/>
  <c r="I88" i="3"/>
  <c r="J88" i="3"/>
  <c r="L88" i="3"/>
  <c r="N88" i="3"/>
  <c r="M88" i="3"/>
  <c r="C88" i="3"/>
  <c r="H88" i="3"/>
  <c r="F88" i="3"/>
  <c r="B88" i="3"/>
  <c r="D87" i="3"/>
  <c r="E87" i="3"/>
  <c r="G87" i="3"/>
  <c r="I87" i="3"/>
  <c r="J87" i="3"/>
  <c r="L87" i="3"/>
  <c r="N87" i="3"/>
  <c r="M87" i="3"/>
  <c r="C87" i="3"/>
  <c r="H87" i="3"/>
  <c r="F87" i="3"/>
  <c r="B87" i="3"/>
  <c r="D86" i="3"/>
  <c r="E86" i="3"/>
  <c r="G86" i="3"/>
  <c r="I86" i="3"/>
  <c r="J86" i="3"/>
  <c r="L86" i="3"/>
  <c r="N86" i="3"/>
  <c r="M86" i="3"/>
  <c r="C86" i="3"/>
  <c r="H86" i="3"/>
  <c r="F86" i="3"/>
  <c r="B86" i="3"/>
  <c r="D85" i="3"/>
  <c r="E85" i="3"/>
  <c r="G85" i="3"/>
  <c r="I85" i="3"/>
  <c r="J85" i="3"/>
  <c r="L85" i="3"/>
  <c r="N85" i="3"/>
  <c r="M85" i="3"/>
  <c r="C85" i="3"/>
  <c r="H85" i="3"/>
  <c r="F85" i="3"/>
  <c r="B85" i="3"/>
  <c r="D84" i="3"/>
  <c r="E84" i="3"/>
  <c r="G84" i="3"/>
  <c r="I84" i="3"/>
  <c r="J84" i="3"/>
  <c r="L84" i="3"/>
  <c r="N84" i="3"/>
  <c r="M84" i="3"/>
  <c r="C84" i="3"/>
  <c r="H84" i="3"/>
  <c r="F84" i="3"/>
  <c r="B84" i="3"/>
  <c r="D83" i="3"/>
  <c r="E83" i="3"/>
  <c r="G83" i="3"/>
  <c r="I83" i="3"/>
  <c r="J83" i="3"/>
  <c r="L83" i="3"/>
  <c r="N83" i="3"/>
  <c r="M83" i="3"/>
  <c r="C83" i="3"/>
  <c r="H83" i="3"/>
  <c r="F83" i="3"/>
  <c r="B83" i="3"/>
  <c r="D82" i="3"/>
  <c r="E82" i="3"/>
  <c r="G82" i="3"/>
  <c r="I82" i="3"/>
  <c r="J82" i="3"/>
  <c r="L82" i="3"/>
  <c r="N82" i="3"/>
  <c r="M82" i="3"/>
  <c r="C82" i="3"/>
  <c r="H82" i="3"/>
  <c r="F82" i="3"/>
  <c r="B82" i="3"/>
  <c r="D81" i="3"/>
  <c r="E81" i="3"/>
  <c r="G81" i="3"/>
  <c r="I81" i="3"/>
  <c r="J81" i="3"/>
  <c r="L81" i="3"/>
  <c r="N81" i="3"/>
  <c r="M81" i="3"/>
  <c r="C81" i="3"/>
  <c r="H81" i="3"/>
  <c r="F81" i="3"/>
  <c r="B81" i="3"/>
  <c r="D80" i="3"/>
  <c r="E80" i="3"/>
  <c r="G80" i="3"/>
  <c r="I80" i="3"/>
  <c r="J80" i="3"/>
  <c r="L80" i="3"/>
  <c r="N80" i="3"/>
  <c r="M80" i="3"/>
  <c r="C80" i="3"/>
  <c r="H80" i="3"/>
  <c r="F80" i="3"/>
  <c r="B80" i="3"/>
  <c r="D79" i="3"/>
  <c r="E79" i="3"/>
  <c r="G79" i="3"/>
  <c r="I79" i="3"/>
  <c r="J79" i="3"/>
  <c r="L79" i="3"/>
  <c r="N79" i="3"/>
  <c r="M79" i="3"/>
  <c r="C79" i="3"/>
  <c r="H79" i="3"/>
  <c r="F79" i="3"/>
  <c r="B79" i="3"/>
  <c r="D78" i="3"/>
  <c r="E78" i="3"/>
  <c r="G78" i="3"/>
  <c r="I78" i="3"/>
  <c r="J78" i="3"/>
  <c r="L78" i="3"/>
  <c r="N78" i="3"/>
  <c r="M78" i="3"/>
  <c r="C78" i="3"/>
  <c r="H78" i="3"/>
  <c r="F78" i="3"/>
  <c r="B78" i="3"/>
  <c r="D77" i="3"/>
  <c r="E77" i="3"/>
  <c r="G77" i="3"/>
  <c r="I77" i="3"/>
  <c r="J77" i="3"/>
  <c r="L77" i="3"/>
  <c r="N77" i="3"/>
  <c r="M77" i="3"/>
  <c r="C77" i="3"/>
  <c r="H77" i="3"/>
  <c r="F77" i="3"/>
  <c r="B77" i="3"/>
  <c r="D76" i="3"/>
  <c r="E76" i="3"/>
  <c r="G76" i="3"/>
  <c r="I76" i="3"/>
  <c r="J76" i="3"/>
  <c r="L76" i="3"/>
  <c r="N76" i="3"/>
  <c r="M76" i="3"/>
  <c r="C76" i="3"/>
  <c r="H76" i="3"/>
  <c r="F76" i="3"/>
  <c r="B76" i="3"/>
  <c r="D75" i="3"/>
  <c r="E75" i="3"/>
  <c r="G75" i="3"/>
  <c r="I75" i="3"/>
  <c r="J75" i="3"/>
  <c r="L75" i="3"/>
  <c r="N75" i="3"/>
  <c r="M75" i="3"/>
  <c r="C75" i="3"/>
  <c r="H75" i="3"/>
  <c r="F75" i="3"/>
  <c r="B75" i="3"/>
  <c r="D74" i="3"/>
  <c r="E74" i="3"/>
  <c r="G74" i="3"/>
  <c r="I74" i="3"/>
  <c r="J74" i="3"/>
  <c r="L74" i="3"/>
  <c r="N74" i="3"/>
  <c r="M74" i="3"/>
  <c r="C74" i="3"/>
  <c r="H74" i="3"/>
  <c r="F74" i="3"/>
  <c r="B74" i="3"/>
  <c r="D73" i="3"/>
  <c r="E73" i="3"/>
  <c r="G73" i="3"/>
  <c r="I73" i="3"/>
  <c r="J73" i="3"/>
  <c r="L73" i="3"/>
  <c r="N73" i="3"/>
  <c r="M73" i="3"/>
  <c r="C73" i="3"/>
  <c r="H73" i="3"/>
  <c r="F73" i="3"/>
  <c r="B73" i="3"/>
  <c r="D72" i="3"/>
  <c r="E72" i="3"/>
  <c r="G72" i="3"/>
  <c r="I72" i="3"/>
  <c r="J72" i="3"/>
  <c r="L72" i="3"/>
  <c r="N72" i="3"/>
  <c r="M72" i="3"/>
  <c r="C72" i="3"/>
  <c r="H72" i="3"/>
  <c r="F72" i="3"/>
  <c r="B72" i="3"/>
  <c r="D71" i="3"/>
  <c r="E71" i="3"/>
  <c r="G71" i="3"/>
  <c r="I71" i="3"/>
  <c r="J71" i="3"/>
  <c r="L71" i="3"/>
  <c r="N71" i="3"/>
  <c r="M71" i="3"/>
  <c r="C71" i="3"/>
  <c r="H71" i="3"/>
  <c r="F71" i="3"/>
  <c r="B71" i="3"/>
  <c r="D70" i="3"/>
  <c r="E70" i="3"/>
  <c r="G70" i="3"/>
  <c r="I70" i="3"/>
  <c r="J70" i="3"/>
  <c r="L70" i="3"/>
  <c r="N70" i="3"/>
  <c r="M70" i="3"/>
  <c r="C70" i="3"/>
  <c r="H70" i="3"/>
  <c r="F70" i="3"/>
  <c r="B70" i="3"/>
  <c r="D69" i="3"/>
  <c r="E69" i="3"/>
  <c r="G69" i="3"/>
  <c r="I69" i="3"/>
  <c r="J69" i="3"/>
  <c r="L69" i="3"/>
  <c r="N69" i="3"/>
  <c r="M69" i="3"/>
  <c r="C69" i="3"/>
  <c r="H69" i="3"/>
  <c r="F69" i="3"/>
  <c r="B69" i="3"/>
  <c r="D68" i="3"/>
  <c r="E68" i="3"/>
  <c r="G68" i="3"/>
  <c r="I68" i="3"/>
  <c r="J68" i="3"/>
  <c r="L68" i="3"/>
  <c r="N68" i="3"/>
  <c r="M68" i="3"/>
  <c r="C68" i="3"/>
  <c r="H68" i="3"/>
  <c r="F68" i="3"/>
  <c r="B68" i="3"/>
  <c r="D67" i="3"/>
  <c r="E67" i="3"/>
  <c r="G67" i="3"/>
  <c r="I67" i="3"/>
  <c r="J67" i="3"/>
  <c r="L67" i="3"/>
  <c r="N67" i="3"/>
  <c r="M67" i="3"/>
  <c r="C67" i="3"/>
  <c r="H67" i="3"/>
  <c r="F67" i="3"/>
  <c r="B67" i="3"/>
  <c r="D66" i="3"/>
  <c r="E66" i="3"/>
  <c r="G66" i="3"/>
  <c r="I66" i="3"/>
  <c r="J66" i="3"/>
  <c r="L66" i="3"/>
  <c r="N66" i="3"/>
  <c r="M66" i="3"/>
  <c r="C66" i="3"/>
  <c r="H66" i="3"/>
  <c r="F66" i="3"/>
  <c r="B66" i="3"/>
  <c r="D65" i="3"/>
  <c r="E65" i="3"/>
  <c r="G65" i="3"/>
  <c r="I65" i="3"/>
  <c r="J65" i="3"/>
  <c r="L65" i="3"/>
  <c r="N65" i="3"/>
  <c r="M65" i="3"/>
  <c r="C65" i="3"/>
  <c r="H65" i="3"/>
  <c r="F65" i="3"/>
  <c r="B65" i="3"/>
  <c r="D64" i="3"/>
  <c r="E64" i="3"/>
  <c r="G64" i="3"/>
  <c r="I64" i="3"/>
  <c r="J64" i="3"/>
  <c r="L64" i="3"/>
  <c r="N64" i="3"/>
  <c r="M64" i="3"/>
  <c r="C64" i="3"/>
  <c r="H64" i="3"/>
  <c r="F64" i="3"/>
  <c r="B64" i="3"/>
  <c r="D63" i="3"/>
  <c r="E63" i="3"/>
  <c r="G63" i="3"/>
  <c r="I63" i="3"/>
  <c r="J63" i="3"/>
  <c r="L63" i="3"/>
  <c r="N63" i="3"/>
  <c r="M63" i="3"/>
  <c r="C63" i="3"/>
  <c r="H63" i="3"/>
  <c r="F63" i="3"/>
  <c r="B63" i="3"/>
  <c r="D62" i="3"/>
  <c r="E62" i="3"/>
  <c r="G62" i="3"/>
  <c r="I62" i="3"/>
  <c r="J62" i="3"/>
  <c r="L62" i="3"/>
  <c r="N62" i="3"/>
  <c r="M62" i="3"/>
  <c r="C62" i="3"/>
  <c r="H62" i="3"/>
  <c r="F62" i="3"/>
  <c r="B62" i="3"/>
  <c r="D61" i="3"/>
  <c r="E61" i="3"/>
  <c r="G61" i="3"/>
  <c r="I61" i="3"/>
  <c r="J61" i="3"/>
  <c r="L61" i="3"/>
  <c r="N61" i="3"/>
  <c r="M61" i="3"/>
  <c r="C61" i="3"/>
  <c r="H61" i="3"/>
  <c r="F61" i="3"/>
  <c r="B61" i="3"/>
  <c r="D60" i="3"/>
  <c r="E60" i="3"/>
  <c r="G60" i="3"/>
  <c r="I60" i="3"/>
  <c r="J60" i="3"/>
  <c r="L60" i="3"/>
  <c r="N60" i="3"/>
  <c r="M60" i="3"/>
  <c r="C60" i="3"/>
  <c r="H60" i="3"/>
  <c r="F60" i="3"/>
  <c r="B60" i="3"/>
  <c r="D59" i="3"/>
  <c r="E59" i="3"/>
  <c r="G59" i="3"/>
  <c r="I59" i="3"/>
  <c r="J59" i="3"/>
  <c r="L59" i="3"/>
  <c r="N59" i="3"/>
  <c r="M59" i="3"/>
  <c r="C59" i="3"/>
  <c r="H59" i="3"/>
  <c r="F59" i="3"/>
  <c r="B59" i="3"/>
  <c r="D58" i="3"/>
  <c r="E58" i="3"/>
  <c r="G58" i="3"/>
  <c r="I58" i="3"/>
  <c r="J58" i="3"/>
  <c r="L58" i="3"/>
  <c r="N58" i="3"/>
  <c r="M58" i="3"/>
  <c r="C58" i="3"/>
  <c r="H58" i="3"/>
  <c r="F58" i="3"/>
  <c r="B58" i="3"/>
  <c r="D57" i="3"/>
  <c r="E57" i="3"/>
  <c r="G57" i="3"/>
  <c r="I57" i="3"/>
  <c r="J57" i="3"/>
  <c r="L57" i="3"/>
  <c r="N57" i="3"/>
  <c r="M57" i="3"/>
  <c r="C57" i="3"/>
  <c r="H57" i="3"/>
  <c r="F57" i="3"/>
  <c r="B57" i="3"/>
  <c r="D56" i="3"/>
  <c r="E56" i="3"/>
  <c r="G56" i="3"/>
  <c r="I56" i="3"/>
  <c r="J56" i="3"/>
  <c r="L56" i="3"/>
  <c r="N56" i="3"/>
  <c r="M56" i="3"/>
  <c r="C56" i="3"/>
  <c r="H56" i="3"/>
  <c r="F56" i="3"/>
  <c r="B56" i="3"/>
  <c r="D55" i="3"/>
  <c r="E55" i="3"/>
  <c r="G55" i="3"/>
  <c r="I55" i="3"/>
  <c r="J55" i="3"/>
  <c r="L55" i="3"/>
  <c r="N55" i="3"/>
  <c r="M55" i="3"/>
  <c r="C55" i="3"/>
  <c r="H55" i="3"/>
  <c r="F55" i="3"/>
  <c r="B55" i="3"/>
  <c r="D54" i="3"/>
  <c r="E54" i="3"/>
  <c r="G54" i="3"/>
  <c r="I54" i="3"/>
  <c r="J54" i="3"/>
  <c r="L54" i="3"/>
  <c r="N54" i="3"/>
  <c r="M54" i="3"/>
  <c r="C54" i="3"/>
  <c r="H54" i="3"/>
  <c r="F54" i="3"/>
  <c r="B54" i="3"/>
  <c r="D53" i="3"/>
  <c r="E53" i="3"/>
  <c r="G53" i="3"/>
  <c r="I53" i="3"/>
  <c r="J53" i="3"/>
  <c r="L53" i="3"/>
  <c r="N53" i="3"/>
  <c r="M53" i="3"/>
  <c r="C53" i="3"/>
  <c r="H53" i="3"/>
  <c r="F53" i="3"/>
  <c r="B53" i="3"/>
  <c r="D52" i="3"/>
  <c r="E52" i="3"/>
  <c r="G52" i="3"/>
  <c r="I52" i="3"/>
  <c r="J52" i="3"/>
  <c r="L52" i="3"/>
  <c r="N52" i="3"/>
  <c r="M52" i="3"/>
  <c r="C52" i="3"/>
  <c r="H52" i="3"/>
  <c r="F52" i="3"/>
  <c r="B52" i="3"/>
  <c r="D51" i="3"/>
  <c r="E51" i="3"/>
  <c r="G51" i="3"/>
  <c r="I51" i="3"/>
  <c r="J51" i="3"/>
  <c r="L51" i="3"/>
  <c r="N51" i="3"/>
  <c r="M51" i="3"/>
  <c r="C51" i="3"/>
  <c r="H51" i="3"/>
  <c r="F51" i="3"/>
  <c r="B51" i="3"/>
  <c r="D50" i="3"/>
  <c r="E50" i="3"/>
  <c r="G50" i="3"/>
  <c r="I50" i="3"/>
  <c r="J50" i="3"/>
  <c r="L50" i="3"/>
  <c r="N50" i="3"/>
  <c r="M50" i="3"/>
  <c r="C50" i="3"/>
  <c r="H50" i="3"/>
  <c r="F50" i="3"/>
  <c r="B50" i="3"/>
  <c r="D49" i="3"/>
  <c r="E49" i="3"/>
  <c r="G49" i="3"/>
  <c r="I49" i="3"/>
  <c r="J49" i="3"/>
  <c r="L49" i="3"/>
  <c r="N49" i="3"/>
  <c r="M49" i="3"/>
  <c r="C49" i="3"/>
  <c r="H49" i="3"/>
  <c r="F49" i="3"/>
  <c r="B49" i="3"/>
  <c r="D48" i="3"/>
  <c r="E48" i="3"/>
  <c r="G48" i="3"/>
  <c r="I48" i="3"/>
  <c r="J48" i="3"/>
  <c r="L48" i="3"/>
  <c r="N48" i="3"/>
  <c r="M48" i="3"/>
  <c r="C48" i="3"/>
  <c r="H48" i="3"/>
  <c r="F48" i="3"/>
  <c r="B48" i="3"/>
  <c r="D47" i="3"/>
  <c r="E47" i="3"/>
  <c r="G47" i="3"/>
  <c r="I47" i="3"/>
  <c r="J47" i="3"/>
  <c r="L47" i="3"/>
  <c r="N47" i="3"/>
  <c r="M47" i="3"/>
  <c r="C47" i="3"/>
  <c r="H47" i="3"/>
  <c r="F47" i="3"/>
  <c r="B47" i="3"/>
  <c r="D46" i="3"/>
  <c r="E46" i="3"/>
  <c r="G46" i="3"/>
  <c r="I46" i="3"/>
  <c r="J46" i="3"/>
  <c r="L46" i="3"/>
  <c r="N46" i="3"/>
  <c r="M46" i="3"/>
  <c r="C46" i="3"/>
  <c r="H46" i="3"/>
  <c r="F46" i="3"/>
  <c r="B46" i="3"/>
  <c r="D45" i="3"/>
  <c r="E45" i="3"/>
  <c r="G45" i="3"/>
  <c r="I45" i="3"/>
  <c r="J45" i="3"/>
  <c r="L45" i="3"/>
  <c r="N45" i="3"/>
  <c r="M45" i="3"/>
  <c r="C45" i="3"/>
  <c r="H45" i="3"/>
  <c r="F45" i="3"/>
  <c r="B45" i="3"/>
  <c r="D44" i="3"/>
  <c r="E44" i="3"/>
  <c r="G44" i="3"/>
  <c r="I44" i="3"/>
  <c r="J44" i="3"/>
  <c r="L44" i="3"/>
  <c r="N44" i="3"/>
  <c r="M44" i="3"/>
  <c r="C44" i="3"/>
  <c r="H44" i="3"/>
  <c r="F44" i="3"/>
  <c r="B44" i="3"/>
  <c r="D43" i="3"/>
  <c r="E43" i="3"/>
  <c r="G43" i="3"/>
  <c r="I43" i="3"/>
  <c r="J43" i="3"/>
  <c r="L43" i="3"/>
  <c r="N43" i="3"/>
  <c r="M43" i="3"/>
  <c r="C43" i="3"/>
  <c r="H43" i="3"/>
  <c r="F43" i="3"/>
  <c r="B43" i="3"/>
  <c r="D42" i="3"/>
  <c r="E42" i="3"/>
  <c r="G42" i="3"/>
  <c r="I42" i="3"/>
  <c r="J42" i="3"/>
  <c r="L42" i="3"/>
  <c r="N42" i="3"/>
  <c r="M42" i="3"/>
  <c r="C42" i="3"/>
  <c r="H42" i="3"/>
  <c r="F42" i="3"/>
  <c r="B42" i="3"/>
  <c r="D41" i="3"/>
  <c r="E41" i="3"/>
  <c r="G41" i="3"/>
  <c r="I41" i="3"/>
  <c r="J41" i="3"/>
  <c r="L41" i="3"/>
  <c r="N41" i="3"/>
  <c r="M41" i="3"/>
  <c r="C41" i="3"/>
  <c r="H41" i="3"/>
  <c r="F41" i="3"/>
  <c r="B41" i="3"/>
  <c r="D40" i="3"/>
  <c r="E40" i="3"/>
  <c r="G40" i="3"/>
  <c r="I40" i="3"/>
  <c r="J40" i="3"/>
  <c r="L40" i="3"/>
  <c r="N40" i="3"/>
  <c r="M40" i="3"/>
  <c r="C40" i="3"/>
  <c r="H40" i="3"/>
  <c r="F40" i="3"/>
  <c r="B40" i="3"/>
  <c r="D39" i="3"/>
  <c r="E39" i="3"/>
  <c r="G39" i="3"/>
  <c r="I39" i="3"/>
  <c r="J39" i="3"/>
  <c r="L39" i="3"/>
  <c r="N39" i="3"/>
  <c r="M39" i="3"/>
  <c r="C39" i="3"/>
  <c r="H39" i="3"/>
  <c r="F39" i="3"/>
  <c r="B39" i="3"/>
  <c r="D38" i="3"/>
  <c r="E38" i="3"/>
  <c r="G38" i="3"/>
  <c r="I38" i="3"/>
  <c r="J38" i="3"/>
  <c r="L38" i="3"/>
  <c r="N38" i="3"/>
  <c r="M38" i="3"/>
  <c r="C38" i="3"/>
  <c r="H38" i="3"/>
  <c r="F38" i="3"/>
  <c r="B38" i="3"/>
  <c r="D37" i="3"/>
  <c r="E37" i="3"/>
  <c r="G37" i="3"/>
  <c r="I37" i="3"/>
  <c r="J37" i="3"/>
  <c r="L37" i="3"/>
  <c r="N37" i="3"/>
  <c r="M37" i="3"/>
  <c r="C37" i="3"/>
  <c r="H37" i="3"/>
  <c r="F37" i="3"/>
  <c r="B37" i="3"/>
  <c r="D36" i="3"/>
  <c r="E36" i="3"/>
  <c r="G36" i="3"/>
  <c r="I36" i="3"/>
  <c r="J36" i="3"/>
  <c r="L36" i="3"/>
  <c r="N36" i="3"/>
  <c r="M36" i="3"/>
  <c r="C36" i="3"/>
  <c r="H36" i="3"/>
  <c r="F36" i="3"/>
  <c r="B36" i="3"/>
  <c r="D35" i="3"/>
  <c r="E35" i="3"/>
  <c r="G35" i="3"/>
  <c r="I35" i="3"/>
  <c r="J35" i="3"/>
  <c r="L35" i="3"/>
  <c r="N35" i="3"/>
  <c r="M35" i="3"/>
  <c r="C35" i="3"/>
  <c r="H35" i="3"/>
  <c r="F35" i="3"/>
  <c r="B35" i="3"/>
  <c r="D34" i="3"/>
  <c r="E34" i="3"/>
  <c r="G34" i="3"/>
  <c r="I34" i="3"/>
  <c r="J34" i="3"/>
  <c r="L34" i="3"/>
  <c r="N34" i="3"/>
  <c r="M34" i="3"/>
  <c r="C34" i="3"/>
  <c r="H34" i="3"/>
  <c r="F34" i="3"/>
  <c r="B34" i="3"/>
  <c r="D33" i="3"/>
  <c r="E33" i="3"/>
  <c r="G33" i="3"/>
  <c r="I33" i="3"/>
  <c r="J33" i="3"/>
  <c r="L33" i="3"/>
  <c r="N33" i="3"/>
  <c r="M33" i="3"/>
  <c r="C33" i="3"/>
  <c r="H33" i="3"/>
  <c r="F33" i="3"/>
  <c r="B33" i="3"/>
  <c r="D32" i="3"/>
  <c r="E32" i="3"/>
  <c r="G32" i="3"/>
  <c r="I32" i="3"/>
  <c r="J32" i="3"/>
  <c r="L32" i="3"/>
  <c r="N32" i="3"/>
  <c r="M32" i="3"/>
  <c r="C32" i="3"/>
  <c r="H32" i="3"/>
  <c r="F32" i="3"/>
  <c r="B32" i="3"/>
  <c r="D31" i="3"/>
  <c r="E31" i="3"/>
  <c r="G31" i="3"/>
  <c r="I31" i="3"/>
  <c r="J31" i="3"/>
  <c r="L31" i="3"/>
  <c r="N31" i="3"/>
  <c r="M31" i="3"/>
  <c r="C31" i="3"/>
  <c r="H31" i="3"/>
  <c r="F31" i="3"/>
  <c r="B31" i="3"/>
  <c r="D30" i="3"/>
  <c r="E30" i="3"/>
  <c r="G30" i="3"/>
  <c r="I30" i="3"/>
  <c r="J30" i="3"/>
  <c r="L30" i="3"/>
  <c r="N30" i="3"/>
  <c r="M30" i="3"/>
  <c r="C30" i="3"/>
  <c r="H30" i="3"/>
  <c r="F30" i="3"/>
  <c r="B30" i="3"/>
  <c r="D29" i="3"/>
  <c r="E29" i="3"/>
  <c r="G29" i="3"/>
  <c r="I29" i="3"/>
  <c r="J29" i="3"/>
  <c r="L29" i="3"/>
  <c r="N29" i="3"/>
  <c r="M29" i="3"/>
  <c r="C29" i="3"/>
  <c r="H29" i="3"/>
  <c r="F29" i="3"/>
  <c r="B29" i="3"/>
  <c r="D28" i="3"/>
  <c r="E28" i="3"/>
  <c r="G28" i="3"/>
  <c r="I28" i="3"/>
  <c r="J28" i="3"/>
  <c r="L28" i="3"/>
  <c r="N28" i="3"/>
  <c r="M28" i="3"/>
  <c r="C28" i="3"/>
  <c r="H28" i="3"/>
  <c r="F28" i="3"/>
  <c r="B28" i="3"/>
  <c r="D27" i="3"/>
  <c r="E27" i="3"/>
  <c r="G27" i="3"/>
  <c r="I27" i="3"/>
  <c r="J27" i="3"/>
  <c r="L27" i="3"/>
  <c r="N27" i="3"/>
  <c r="M27" i="3"/>
  <c r="C27" i="3"/>
  <c r="H27" i="3"/>
  <c r="F27" i="3"/>
  <c r="B27" i="3"/>
  <c r="D26" i="3"/>
  <c r="E26" i="3"/>
  <c r="G26" i="3"/>
  <c r="I26" i="3"/>
  <c r="J26" i="3"/>
  <c r="L26" i="3"/>
  <c r="N26" i="3"/>
  <c r="M26" i="3"/>
  <c r="C26" i="3"/>
  <c r="H26" i="3"/>
  <c r="F26" i="3"/>
  <c r="B26" i="3"/>
  <c r="D25" i="3"/>
  <c r="E25" i="3"/>
  <c r="G25" i="3"/>
  <c r="I25" i="3"/>
  <c r="J25" i="3"/>
  <c r="L25" i="3"/>
  <c r="N25" i="3"/>
  <c r="M25" i="3"/>
  <c r="C25" i="3"/>
  <c r="F25" i="3"/>
  <c r="B25" i="3"/>
  <c r="D24" i="3"/>
  <c r="E24" i="3"/>
  <c r="G24" i="3"/>
  <c r="I24" i="3"/>
  <c r="J24" i="3"/>
  <c r="L24" i="3"/>
  <c r="N24" i="3"/>
  <c r="M24" i="3"/>
  <c r="C24" i="3"/>
  <c r="H24" i="3"/>
  <c r="F24" i="3"/>
  <c r="B24" i="3"/>
  <c r="D22" i="3"/>
  <c r="E22" i="3"/>
  <c r="G22" i="3"/>
  <c r="I22" i="3"/>
  <c r="J22" i="3"/>
  <c r="L22" i="3"/>
  <c r="N22" i="3"/>
  <c r="M22" i="3"/>
  <c r="C22" i="3"/>
  <c r="H22" i="3"/>
  <c r="F22" i="3"/>
  <c r="B22" i="3"/>
  <c r="D21" i="3"/>
  <c r="E21" i="3"/>
  <c r="G21" i="3"/>
  <c r="I21" i="3"/>
  <c r="J21" i="3"/>
  <c r="L21" i="3"/>
  <c r="N21" i="3"/>
  <c r="M21" i="3"/>
  <c r="C21" i="3"/>
  <c r="H21" i="3"/>
  <c r="F21" i="3"/>
  <c r="B21" i="3"/>
  <c r="D20" i="3"/>
  <c r="E20" i="3"/>
  <c r="G20" i="3"/>
  <c r="I20" i="3"/>
  <c r="J20" i="3"/>
  <c r="L20" i="3"/>
  <c r="N20" i="3"/>
  <c r="M20" i="3"/>
  <c r="C20" i="3"/>
  <c r="H20" i="3"/>
  <c r="F20" i="3"/>
  <c r="B20" i="3"/>
  <c r="D19" i="3"/>
  <c r="E19" i="3"/>
  <c r="G19" i="3"/>
  <c r="I19" i="3"/>
  <c r="J19" i="3"/>
  <c r="L19" i="3"/>
  <c r="N19" i="3"/>
  <c r="M19" i="3"/>
  <c r="C19" i="3"/>
  <c r="H19" i="3"/>
  <c r="F19" i="3"/>
  <c r="B19" i="3"/>
  <c r="D18" i="3"/>
  <c r="E18" i="3"/>
  <c r="G18" i="3"/>
  <c r="I18" i="3"/>
  <c r="J18" i="3"/>
  <c r="L18" i="3"/>
  <c r="N18" i="3"/>
  <c r="M18" i="3"/>
  <c r="C18" i="3"/>
  <c r="H18" i="3"/>
  <c r="F18" i="3"/>
  <c r="B18" i="3"/>
  <c r="D17" i="3"/>
  <c r="E17" i="3"/>
  <c r="G17" i="3"/>
  <c r="I17" i="3"/>
  <c r="J17" i="3"/>
  <c r="L17" i="3"/>
  <c r="N17" i="3"/>
  <c r="M17" i="3"/>
  <c r="C17" i="3"/>
  <c r="H17" i="3"/>
  <c r="F17" i="3"/>
  <c r="B17" i="3"/>
  <c r="D16" i="3"/>
  <c r="E16" i="3"/>
  <c r="G16" i="3"/>
  <c r="I16" i="3"/>
  <c r="J16" i="3"/>
  <c r="L16" i="3"/>
  <c r="N16" i="3"/>
  <c r="M16" i="3"/>
  <c r="C16" i="3"/>
  <c r="H16" i="3"/>
  <c r="F16" i="3"/>
  <c r="B16" i="3"/>
  <c r="D15" i="3"/>
  <c r="E15" i="3"/>
  <c r="G15" i="3"/>
  <c r="I15" i="3"/>
  <c r="J15" i="3"/>
  <c r="L15" i="3"/>
  <c r="N15" i="3"/>
  <c r="M15" i="3"/>
  <c r="C15" i="3"/>
  <c r="H15" i="3"/>
  <c r="F15" i="3"/>
  <c r="B15" i="3"/>
  <c r="D14" i="3"/>
  <c r="E14" i="3"/>
  <c r="G14" i="3"/>
  <c r="I14" i="3"/>
  <c r="J14" i="3"/>
  <c r="L14" i="3"/>
  <c r="N14" i="3"/>
  <c r="M14" i="3"/>
  <c r="C14" i="3"/>
  <c r="H14" i="3"/>
  <c r="F14" i="3"/>
  <c r="B14" i="3"/>
  <c r="D13" i="3"/>
  <c r="E13" i="3"/>
  <c r="G13" i="3"/>
  <c r="I13" i="3"/>
  <c r="J13" i="3"/>
  <c r="L13" i="3"/>
  <c r="N13" i="3"/>
  <c r="M13" i="3"/>
  <c r="C13" i="3"/>
  <c r="H13" i="3"/>
  <c r="F13" i="3"/>
  <c r="B13" i="3"/>
  <c r="D12" i="3"/>
  <c r="E12" i="3"/>
  <c r="G12" i="3"/>
  <c r="I12" i="3"/>
  <c r="J12" i="3"/>
  <c r="L12" i="3"/>
  <c r="N12" i="3"/>
  <c r="M12" i="3"/>
  <c r="C12" i="3"/>
  <c r="H12" i="3"/>
  <c r="F12" i="3"/>
  <c r="B12" i="3"/>
  <c r="D11" i="3"/>
  <c r="E11" i="3"/>
  <c r="G11" i="3"/>
  <c r="I11" i="3"/>
  <c r="J11" i="3"/>
  <c r="L11" i="3"/>
  <c r="N11" i="3"/>
  <c r="M11" i="3"/>
  <c r="C11" i="3"/>
  <c r="H11" i="3"/>
  <c r="F11" i="3"/>
  <c r="B11" i="3"/>
  <c r="D10" i="3"/>
  <c r="E10" i="3"/>
  <c r="G10" i="3"/>
  <c r="I10" i="3"/>
  <c r="J10" i="3"/>
  <c r="L10" i="3"/>
  <c r="N10" i="3"/>
  <c r="M10" i="3"/>
  <c r="C10" i="3"/>
  <c r="H10" i="3"/>
  <c r="F10" i="3"/>
  <c r="B10" i="3"/>
  <c r="D9" i="3"/>
  <c r="E9" i="3"/>
  <c r="G9" i="3"/>
  <c r="I9" i="3"/>
  <c r="J9" i="3"/>
  <c r="L9" i="3"/>
  <c r="N9" i="3"/>
  <c r="M9" i="3"/>
  <c r="C9" i="3"/>
  <c r="H9" i="3"/>
  <c r="F9" i="3"/>
  <c r="B9" i="3"/>
  <c r="D8" i="3"/>
  <c r="E8" i="3"/>
  <c r="G8" i="3"/>
  <c r="I8" i="3"/>
  <c r="J8" i="3"/>
  <c r="L8" i="3"/>
  <c r="N8" i="3"/>
  <c r="M8" i="3"/>
  <c r="C8" i="3"/>
  <c r="H8" i="3"/>
  <c r="F8" i="3"/>
  <c r="B8" i="3"/>
  <c r="D7" i="3"/>
  <c r="E7" i="3"/>
  <c r="G7" i="3"/>
  <c r="I7" i="3"/>
  <c r="J7" i="3"/>
  <c r="L7" i="3"/>
  <c r="N7" i="3"/>
  <c r="M7" i="3"/>
  <c r="C7" i="3"/>
  <c r="H7" i="3"/>
  <c r="F7" i="3"/>
  <c r="B7" i="3"/>
  <c r="D6" i="3"/>
  <c r="E6" i="3"/>
  <c r="G6" i="3"/>
  <c r="I6" i="3"/>
  <c r="J6" i="3"/>
  <c r="L6" i="3"/>
  <c r="N6" i="3"/>
  <c r="M6" i="3"/>
  <c r="C6" i="3"/>
  <c r="H6" i="3"/>
  <c r="F6" i="3"/>
  <c r="B6" i="3"/>
  <c r="D5" i="3"/>
  <c r="E5" i="3"/>
  <c r="G5" i="3"/>
  <c r="I5" i="3"/>
  <c r="J5" i="3"/>
  <c r="L5" i="3"/>
  <c r="N5" i="3"/>
  <c r="M5" i="3"/>
  <c r="C5" i="3"/>
  <c r="H5" i="3"/>
  <c r="F5" i="3"/>
  <c r="B5" i="3"/>
  <c r="D4" i="3"/>
  <c r="E4" i="3"/>
  <c r="G4" i="3"/>
  <c r="I4" i="3"/>
  <c r="J4" i="3"/>
  <c r="L4" i="3"/>
  <c r="N4" i="3"/>
  <c r="M4" i="3"/>
  <c r="C4" i="3"/>
  <c r="H4" i="3"/>
  <c r="F4" i="3"/>
  <c r="B4" i="3"/>
  <c r="D3" i="3"/>
  <c r="E3" i="3"/>
  <c r="G3" i="3"/>
  <c r="I3" i="3"/>
  <c r="J3" i="3"/>
  <c r="L3" i="3"/>
  <c r="N3" i="3"/>
  <c r="M3" i="3"/>
  <c r="C3" i="3"/>
  <c r="H3" i="3"/>
  <c r="F3" i="3"/>
  <c r="B3" i="3"/>
  <c r="A2" i="2"/>
  <c r="D1592" i="1"/>
  <c r="E1592" i="1"/>
  <c r="G1592" i="1"/>
  <c r="I1592" i="1"/>
  <c r="J1592" i="1"/>
  <c r="L1592" i="1"/>
  <c r="N1592" i="1"/>
  <c r="M1592" i="1"/>
  <c r="C1592" i="1"/>
  <c r="H1592" i="1"/>
  <c r="F1592" i="1"/>
  <c r="B1592" i="1"/>
  <c r="D1591" i="1"/>
  <c r="E1591" i="1"/>
  <c r="G1591" i="1"/>
  <c r="I1591" i="1"/>
  <c r="J1591" i="1"/>
  <c r="L1591" i="1"/>
  <c r="N1591" i="1"/>
  <c r="M1591" i="1"/>
  <c r="C1591" i="1"/>
  <c r="H1591" i="1"/>
  <c r="F1591" i="1"/>
  <c r="B1591" i="1"/>
  <c r="D1590" i="1"/>
  <c r="E1590" i="1"/>
  <c r="G1590" i="1"/>
  <c r="I1590" i="1"/>
  <c r="J1590" i="1"/>
  <c r="L1590" i="1"/>
  <c r="N1590" i="1"/>
  <c r="M1590" i="1"/>
  <c r="C1590" i="1"/>
  <c r="H1590" i="1"/>
  <c r="F1590" i="1"/>
  <c r="B1590" i="1"/>
  <c r="D1589" i="1"/>
  <c r="E1589" i="1"/>
  <c r="G1589" i="1"/>
  <c r="I1589" i="1"/>
  <c r="J1589" i="1"/>
  <c r="L1589" i="1"/>
  <c r="N1589" i="1"/>
  <c r="M1589" i="1"/>
  <c r="C1589" i="1"/>
  <c r="H1589" i="1"/>
  <c r="F1589" i="1"/>
  <c r="B1589" i="1"/>
  <c r="D1588" i="1"/>
  <c r="E1588" i="1"/>
  <c r="G1588" i="1"/>
  <c r="I1588" i="1"/>
  <c r="J1588" i="1"/>
  <c r="L1588" i="1"/>
  <c r="N1588" i="1"/>
  <c r="M1588" i="1"/>
  <c r="C1588" i="1"/>
  <c r="H1588" i="1"/>
  <c r="F1588" i="1"/>
  <c r="B1588" i="1"/>
  <c r="D1587" i="1"/>
  <c r="E1587" i="1"/>
  <c r="G1587" i="1"/>
  <c r="I1587" i="1"/>
  <c r="J1587" i="1"/>
  <c r="L1587" i="1"/>
  <c r="N1587" i="1"/>
  <c r="M1587" i="1"/>
  <c r="C1587" i="1"/>
  <c r="H1587" i="1"/>
  <c r="F1587" i="1"/>
  <c r="B1587" i="1"/>
  <c r="D1586" i="1"/>
  <c r="E1586" i="1"/>
  <c r="G1586" i="1"/>
  <c r="I1586" i="1"/>
  <c r="J1586" i="1"/>
  <c r="L1586" i="1"/>
  <c r="N1586" i="1"/>
  <c r="M1586" i="1"/>
  <c r="C1586" i="1"/>
  <c r="H1586" i="1"/>
  <c r="F1586" i="1"/>
  <c r="B1586" i="1"/>
  <c r="D1585" i="1"/>
  <c r="E1585" i="1"/>
  <c r="G1585" i="1"/>
  <c r="I1585" i="1"/>
  <c r="J1585" i="1"/>
  <c r="L1585" i="1"/>
  <c r="N1585" i="1"/>
  <c r="M1585" i="1"/>
  <c r="C1585" i="1"/>
  <c r="H1585" i="1"/>
  <c r="F1585" i="1"/>
  <c r="B1585" i="1"/>
  <c r="D1584" i="1"/>
  <c r="E1584" i="1"/>
  <c r="G1584" i="1"/>
  <c r="I1584" i="1"/>
  <c r="J1584" i="1"/>
  <c r="L1584" i="1"/>
  <c r="N1584" i="1"/>
  <c r="M1584" i="1"/>
  <c r="C1584" i="1"/>
  <c r="H1584" i="1"/>
  <c r="F1584" i="1"/>
  <c r="B1584" i="1"/>
  <c r="D1583" i="1"/>
  <c r="E1583" i="1"/>
  <c r="G1583" i="1"/>
  <c r="I1583" i="1"/>
  <c r="J1583" i="1"/>
  <c r="L1583" i="1"/>
  <c r="N1583" i="1"/>
  <c r="M1583" i="1"/>
  <c r="C1583" i="1"/>
  <c r="H1583" i="1"/>
  <c r="F1583" i="1"/>
  <c r="B1583" i="1"/>
  <c r="D1582" i="1"/>
  <c r="E1582" i="1"/>
  <c r="G1582" i="1"/>
  <c r="I1582" i="1"/>
  <c r="J1582" i="1"/>
  <c r="L1582" i="1"/>
  <c r="N1582" i="1"/>
  <c r="M1582" i="1"/>
  <c r="C1582" i="1"/>
  <c r="H1582" i="1"/>
  <c r="F1582" i="1"/>
  <c r="B1582" i="1"/>
  <c r="D1581" i="1"/>
  <c r="E1581" i="1"/>
  <c r="G1581" i="1"/>
  <c r="I1581" i="1"/>
  <c r="J1581" i="1"/>
  <c r="L1581" i="1"/>
  <c r="N1581" i="1"/>
  <c r="M1581" i="1"/>
  <c r="C1581" i="1"/>
  <c r="H1581" i="1"/>
  <c r="F1581" i="1"/>
  <c r="B1581" i="1"/>
  <c r="D1580" i="1"/>
  <c r="E1580" i="1"/>
  <c r="G1580" i="1"/>
  <c r="I1580" i="1"/>
  <c r="J1580" i="1"/>
  <c r="L1580" i="1"/>
  <c r="N1580" i="1"/>
  <c r="M1580" i="1"/>
  <c r="C1580" i="1"/>
  <c r="H1580" i="1"/>
  <c r="F1580" i="1"/>
  <c r="B1580" i="1"/>
  <c r="D1579" i="1"/>
  <c r="E1579" i="1"/>
  <c r="G1579" i="1"/>
  <c r="I1579" i="1"/>
  <c r="J1579" i="1"/>
  <c r="L1579" i="1"/>
  <c r="N1579" i="1"/>
  <c r="M1579" i="1"/>
  <c r="C1579" i="1"/>
  <c r="H1579" i="1"/>
  <c r="F1579" i="1"/>
  <c r="B1579" i="1"/>
  <c r="D1578" i="1"/>
  <c r="E1578" i="1"/>
  <c r="G1578" i="1"/>
  <c r="I1578" i="1"/>
  <c r="J1578" i="1"/>
  <c r="L1578" i="1"/>
  <c r="N1578" i="1"/>
  <c r="M1578" i="1"/>
  <c r="C1578" i="1"/>
  <c r="H1578" i="1"/>
  <c r="F1578" i="1"/>
  <c r="B1578" i="1"/>
  <c r="D1577" i="1"/>
  <c r="E1577" i="1"/>
  <c r="G1577" i="1"/>
  <c r="I1577" i="1"/>
  <c r="J1577" i="1"/>
  <c r="L1577" i="1"/>
  <c r="N1577" i="1"/>
  <c r="M1577" i="1"/>
  <c r="C1577" i="1"/>
  <c r="H1577" i="1"/>
  <c r="F1577" i="1"/>
  <c r="B1577" i="1"/>
  <c r="D1576" i="1"/>
  <c r="E1576" i="1"/>
  <c r="G1576" i="1"/>
  <c r="I1576" i="1"/>
  <c r="J1576" i="1"/>
  <c r="L1576" i="1"/>
  <c r="N1576" i="1"/>
  <c r="M1576" i="1"/>
  <c r="C1576" i="1"/>
  <c r="H1576" i="1"/>
  <c r="F1576" i="1"/>
  <c r="B1576" i="1"/>
  <c r="D1575" i="1"/>
  <c r="E1575" i="1"/>
  <c r="G1575" i="1"/>
  <c r="I1575" i="1"/>
  <c r="J1575" i="1"/>
  <c r="L1575" i="1"/>
  <c r="N1575" i="1"/>
  <c r="M1575" i="1"/>
  <c r="C1575" i="1"/>
  <c r="H1575" i="1"/>
  <c r="F1575" i="1"/>
  <c r="B1575" i="1"/>
  <c r="D1574" i="1"/>
  <c r="E1574" i="1"/>
  <c r="G1574" i="1"/>
  <c r="I1574" i="1"/>
  <c r="J1574" i="1"/>
  <c r="L1574" i="1"/>
  <c r="N1574" i="1"/>
  <c r="M1574" i="1"/>
  <c r="C1574" i="1"/>
  <c r="H1574" i="1"/>
  <c r="F1574" i="1"/>
  <c r="B1574" i="1"/>
  <c r="D1573" i="1"/>
  <c r="E1573" i="1"/>
  <c r="G1573" i="1"/>
  <c r="I1573" i="1"/>
  <c r="J1573" i="1"/>
  <c r="L1573" i="1"/>
  <c r="N1573" i="1"/>
  <c r="M1573" i="1"/>
  <c r="C1573" i="1"/>
  <c r="H1573" i="1"/>
  <c r="F1573" i="1"/>
  <c r="B1573" i="1"/>
  <c r="D1572" i="1"/>
  <c r="E1572" i="1"/>
  <c r="G1572" i="1"/>
  <c r="I1572" i="1"/>
  <c r="J1572" i="1"/>
  <c r="L1572" i="1"/>
  <c r="N1572" i="1"/>
  <c r="M1572" i="1"/>
  <c r="C1572" i="1"/>
  <c r="H1572" i="1"/>
  <c r="F1572" i="1"/>
  <c r="B1572" i="1"/>
  <c r="D1571" i="1"/>
  <c r="E1571" i="1"/>
  <c r="G1571" i="1"/>
  <c r="I1571" i="1"/>
  <c r="J1571" i="1"/>
  <c r="L1571" i="1"/>
  <c r="N1571" i="1"/>
  <c r="M1571" i="1"/>
  <c r="C1571" i="1"/>
  <c r="H1571" i="1"/>
  <c r="F1571" i="1"/>
  <c r="B1571" i="1"/>
  <c r="D1570" i="1"/>
  <c r="E1570" i="1"/>
  <c r="G1570" i="1"/>
  <c r="I1570" i="1"/>
  <c r="J1570" i="1"/>
  <c r="L1570" i="1"/>
  <c r="N1570" i="1"/>
  <c r="M1570" i="1"/>
  <c r="C1570" i="1"/>
  <c r="H1570" i="1"/>
  <c r="F1570" i="1"/>
  <c r="B1570" i="1"/>
  <c r="D1569" i="1"/>
  <c r="E1569" i="1"/>
  <c r="G1569" i="1"/>
  <c r="I1569" i="1"/>
  <c r="J1569" i="1"/>
  <c r="L1569" i="1"/>
  <c r="N1569" i="1"/>
  <c r="M1569" i="1"/>
  <c r="C1569" i="1"/>
  <c r="H1569" i="1"/>
  <c r="F1569" i="1"/>
  <c r="B1569" i="1"/>
  <c r="D1568" i="1"/>
  <c r="E1568" i="1"/>
  <c r="G1568" i="1"/>
  <c r="I1568" i="1"/>
  <c r="J1568" i="1"/>
  <c r="L1568" i="1"/>
  <c r="N1568" i="1"/>
  <c r="M1568" i="1"/>
  <c r="C1568" i="1"/>
  <c r="H1568" i="1"/>
  <c r="F1568" i="1"/>
  <c r="B1568" i="1"/>
  <c r="D1567" i="1"/>
  <c r="E1567" i="1"/>
  <c r="G1567" i="1"/>
  <c r="I1567" i="1"/>
  <c r="J1567" i="1"/>
  <c r="L1567" i="1"/>
  <c r="N1567" i="1"/>
  <c r="M1567" i="1"/>
  <c r="C1567" i="1"/>
  <c r="H1567" i="1"/>
  <c r="F1567" i="1"/>
  <c r="B1567" i="1"/>
  <c r="D1566" i="1"/>
  <c r="E1566" i="1"/>
  <c r="G1566" i="1"/>
  <c r="I1566" i="1"/>
  <c r="J1566" i="1"/>
  <c r="L1566" i="1"/>
  <c r="N1566" i="1"/>
  <c r="M1566" i="1"/>
  <c r="C1566" i="1"/>
  <c r="H1566" i="1"/>
  <c r="F1566" i="1"/>
  <c r="B1566" i="1"/>
  <c r="D1565" i="1"/>
  <c r="E1565" i="1"/>
  <c r="G1565" i="1"/>
  <c r="I1565" i="1"/>
  <c r="J1565" i="1"/>
  <c r="L1565" i="1"/>
  <c r="N1565" i="1"/>
  <c r="M1565" i="1"/>
  <c r="C1565" i="1"/>
  <c r="H1565" i="1"/>
  <c r="F1565" i="1"/>
  <c r="B1565" i="1"/>
  <c r="D1564" i="1"/>
  <c r="E1564" i="1"/>
  <c r="G1564" i="1"/>
  <c r="I1564" i="1"/>
  <c r="J1564" i="1"/>
  <c r="L1564" i="1"/>
  <c r="N1564" i="1"/>
  <c r="M1564" i="1"/>
  <c r="C1564" i="1"/>
  <c r="H1564" i="1"/>
  <c r="F1564" i="1"/>
  <c r="B1564" i="1"/>
  <c r="D1563" i="1"/>
  <c r="E1563" i="1"/>
  <c r="G1563" i="1"/>
  <c r="I1563" i="1"/>
  <c r="J1563" i="1"/>
  <c r="L1563" i="1"/>
  <c r="N1563" i="1"/>
  <c r="M1563" i="1"/>
  <c r="C1563" i="1"/>
  <c r="H1563" i="1"/>
  <c r="F1563" i="1"/>
  <c r="B1563" i="1"/>
  <c r="D1562" i="1"/>
  <c r="E1562" i="1"/>
  <c r="G1562" i="1"/>
  <c r="I1562" i="1"/>
  <c r="J1562" i="1"/>
  <c r="L1562" i="1"/>
  <c r="N1562" i="1"/>
  <c r="M1562" i="1"/>
  <c r="C1562" i="1"/>
  <c r="H1562" i="1"/>
  <c r="F1562" i="1"/>
  <c r="B1562" i="1"/>
  <c r="D1561" i="1"/>
  <c r="E1561" i="1"/>
  <c r="G1561" i="1"/>
  <c r="I1561" i="1"/>
  <c r="J1561" i="1"/>
  <c r="L1561" i="1"/>
  <c r="N1561" i="1"/>
  <c r="M1561" i="1"/>
  <c r="C1561" i="1"/>
  <c r="H1561" i="1"/>
  <c r="F1561" i="1"/>
  <c r="B1561" i="1"/>
  <c r="D1560" i="1"/>
  <c r="E1560" i="1"/>
  <c r="G1560" i="1"/>
  <c r="I1560" i="1"/>
  <c r="J1560" i="1"/>
  <c r="L1560" i="1"/>
  <c r="N1560" i="1"/>
  <c r="M1560" i="1"/>
  <c r="C1560" i="1"/>
  <c r="H1560" i="1"/>
  <c r="F1560" i="1"/>
  <c r="B1560" i="1"/>
  <c r="D1559" i="1"/>
  <c r="E1559" i="1"/>
  <c r="G1559" i="1"/>
  <c r="I1559" i="1"/>
  <c r="J1559" i="1"/>
  <c r="L1559" i="1"/>
  <c r="N1559" i="1"/>
  <c r="M1559" i="1"/>
  <c r="C1559" i="1"/>
  <c r="H1559" i="1"/>
  <c r="F1559" i="1"/>
  <c r="B1559" i="1"/>
  <c r="D1558" i="1"/>
  <c r="E1558" i="1"/>
  <c r="G1558" i="1"/>
  <c r="I1558" i="1"/>
  <c r="J1558" i="1"/>
  <c r="L1558" i="1"/>
  <c r="N1558" i="1"/>
  <c r="M1558" i="1"/>
  <c r="C1558" i="1"/>
  <c r="H1558" i="1"/>
  <c r="F1558" i="1"/>
  <c r="B1558" i="1"/>
  <c r="D1557" i="1"/>
  <c r="E1557" i="1"/>
  <c r="G1557" i="1"/>
  <c r="I1557" i="1"/>
  <c r="J1557" i="1"/>
  <c r="L1557" i="1"/>
  <c r="N1557" i="1"/>
  <c r="M1557" i="1"/>
  <c r="C1557" i="1"/>
  <c r="H1557" i="1"/>
  <c r="F1557" i="1"/>
  <c r="B1557" i="1"/>
  <c r="D1556" i="1"/>
  <c r="E1556" i="1"/>
  <c r="G1556" i="1"/>
  <c r="I1556" i="1"/>
  <c r="J1556" i="1"/>
  <c r="L1556" i="1"/>
  <c r="N1556" i="1"/>
  <c r="M1556" i="1"/>
  <c r="C1556" i="1"/>
  <c r="H1556" i="1"/>
  <c r="F1556" i="1"/>
  <c r="B1556" i="1"/>
  <c r="D1555" i="1"/>
  <c r="E1555" i="1"/>
  <c r="G1555" i="1"/>
  <c r="I1555" i="1"/>
  <c r="J1555" i="1"/>
  <c r="L1555" i="1"/>
  <c r="N1555" i="1"/>
  <c r="M1555" i="1"/>
  <c r="C1555" i="1"/>
  <c r="H1555" i="1"/>
  <c r="F1555" i="1"/>
  <c r="B1555" i="1"/>
  <c r="D1554" i="1"/>
  <c r="E1554" i="1"/>
  <c r="G1554" i="1"/>
  <c r="I1554" i="1"/>
  <c r="J1554" i="1"/>
  <c r="L1554" i="1"/>
  <c r="N1554" i="1"/>
  <c r="M1554" i="1"/>
  <c r="C1554" i="1"/>
  <c r="H1554" i="1"/>
  <c r="F1554" i="1"/>
  <c r="B1554" i="1"/>
  <c r="D1553" i="1"/>
  <c r="E1553" i="1"/>
  <c r="G1553" i="1"/>
  <c r="I1553" i="1"/>
  <c r="J1553" i="1"/>
  <c r="L1553" i="1"/>
  <c r="N1553" i="1"/>
  <c r="M1553" i="1"/>
  <c r="C1553" i="1"/>
  <c r="H1553" i="1"/>
  <c r="F1553" i="1"/>
  <c r="B1553" i="1"/>
  <c r="D1552" i="1"/>
  <c r="E1552" i="1"/>
  <c r="G1552" i="1"/>
  <c r="I1552" i="1"/>
  <c r="J1552" i="1"/>
  <c r="L1552" i="1"/>
  <c r="N1552" i="1"/>
  <c r="M1552" i="1"/>
  <c r="C1552" i="1"/>
  <c r="H1552" i="1"/>
  <c r="F1552" i="1"/>
  <c r="B1552" i="1"/>
  <c r="D1551" i="1"/>
  <c r="E1551" i="1"/>
  <c r="G1551" i="1"/>
  <c r="I1551" i="1"/>
  <c r="J1551" i="1"/>
  <c r="L1551" i="1"/>
  <c r="N1551" i="1"/>
  <c r="M1551" i="1"/>
  <c r="C1551" i="1"/>
  <c r="H1551" i="1"/>
  <c r="F1551" i="1"/>
  <c r="B1551" i="1"/>
  <c r="D1550" i="1"/>
  <c r="E1550" i="1"/>
  <c r="G1550" i="1"/>
  <c r="I1550" i="1"/>
  <c r="J1550" i="1"/>
  <c r="L1550" i="1"/>
  <c r="N1550" i="1"/>
  <c r="M1550" i="1"/>
  <c r="C1550" i="1"/>
  <c r="H1550" i="1"/>
  <c r="F1550" i="1"/>
  <c r="B1550" i="1"/>
  <c r="D1549" i="1"/>
  <c r="E1549" i="1"/>
  <c r="G1549" i="1"/>
  <c r="I1549" i="1"/>
  <c r="J1549" i="1"/>
  <c r="L1549" i="1"/>
  <c r="N1549" i="1"/>
  <c r="M1549" i="1"/>
  <c r="C1549" i="1"/>
  <c r="H1549" i="1"/>
  <c r="F1549" i="1"/>
  <c r="B1549" i="1"/>
  <c r="D1548" i="1"/>
  <c r="E1548" i="1"/>
  <c r="G1548" i="1"/>
  <c r="I1548" i="1"/>
  <c r="J1548" i="1"/>
  <c r="L1548" i="1"/>
  <c r="N1548" i="1"/>
  <c r="M1548" i="1"/>
  <c r="C1548" i="1"/>
  <c r="H1548" i="1"/>
  <c r="F1548" i="1"/>
  <c r="B1548" i="1"/>
  <c r="D1547" i="1"/>
  <c r="E1547" i="1"/>
  <c r="G1547" i="1"/>
  <c r="I1547" i="1"/>
  <c r="J1547" i="1"/>
  <c r="L1547" i="1"/>
  <c r="N1547" i="1"/>
  <c r="M1547" i="1"/>
  <c r="C1547" i="1"/>
  <c r="H1547" i="1"/>
  <c r="F1547" i="1"/>
  <c r="B1547" i="1"/>
  <c r="D1546" i="1"/>
  <c r="E1546" i="1"/>
  <c r="G1546" i="1"/>
  <c r="I1546" i="1"/>
  <c r="J1546" i="1"/>
  <c r="L1546" i="1"/>
  <c r="N1546" i="1"/>
  <c r="M1546" i="1"/>
  <c r="C1546" i="1"/>
  <c r="H1546" i="1"/>
  <c r="F1546" i="1"/>
  <c r="B1546" i="1"/>
  <c r="D1545" i="1"/>
  <c r="E1545" i="1"/>
  <c r="G1545" i="1"/>
  <c r="I1545" i="1"/>
  <c r="J1545" i="1"/>
  <c r="L1545" i="1"/>
  <c r="N1545" i="1"/>
  <c r="M1545" i="1"/>
  <c r="C1545" i="1"/>
  <c r="H1545" i="1"/>
  <c r="F1545" i="1"/>
  <c r="B1545" i="1"/>
  <c r="D1544" i="1"/>
  <c r="E1544" i="1"/>
  <c r="G1544" i="1"/>
  <c r="I1544" i="1"/>
  <c r="J1544" i="1"/>
  <c r="L1544" i="1"/>
  <c r="N1544" i="1"/>
  <c r="M1544" i="1"/>
  <c r="C1544" i="1"/>
  <c r="H1544" i="1"/>
  <c r="F1544" i="1"/>
  <c r="B1544" i="1"/>
  <c r="D1543" i="1"/>
  <c r="E1543" i="1"/>
  <c r="G1543" i="1"/>
  <c r="I1543" i="1"/>
  <c r="J1543" i="1"/>
  <c r="L1543" i="1"/>
  <c r="N1543" i="1"/>
  <c r="M1543" i="1"/>
  <c r="C1543" i="1"/>
  <c r="H1543" i="1"/>
  <c r="F1543" i="1"/>
  <c r="B1543" i="1"/>
  <c r="D1542" i="1"/>
  <c r="E1542" i="1"/>
  <c r="G1542" i="1"/>
  <c r="I1542" i="1"/>
  <c r="J1542" i="1"/>
  <c r="L1542" i="1"/>
  <c r="N1542" i="1"/>
  <c r="M1542" i="1"/>
  <c r="C1542" i="1"/>
  <c r="H1542" i="1"/>
  <c r="F1542" i="1"/>
  <c r="B1542" i="1"/>
  <c r="D1541" i="1"/>
  <c r="E1541" i="1"/>
  <c r="G1541" i="1"/>
  <c r="I1541" i="1"/>
  <c r="J1541" i="1"/>
  <c r="L1541" i="1"/>
  <c r="N1541" i="1"/>
  <c r="M1541" i="1"/>
  <c r="C1541" i="1"/>
  <c r="H1541" i="1"/>
  <c r="F1541" i="1"/>
  <c r="B1541" i="1"/>
  <c r="D1540" i="1"/>
  <c r="E1540" i="1"/>
  <c r="G1540" i="1"/>
  <c r="I1540" i="1"/>
  <c r="J1540" i="1"/>
  <c r="L1540" i="1"/>
  <c r="N1540" i="1"/>
  <c r="M1540" i="1"/>
  <c r="C1540" i="1"/>
  <c r="H1540" i="1"/>
  <c r="F1540" i="1"/>
  <c r="B1540" i="1"/>
  <c r="D1539" i="1"/>
  <c r="E1539" i="1"/>
  <c r="G1539" i="1"/>
  <c r="I1539" i="1"/>
  <c r="J1539" i="1"/>
  <c r="L1539" i="1"/>
  <c r="N1539" i="1"/>
  <c r="M1539" i="1"/>
  <c r="C1539" i="1"/>
  <c r="H1539" i="1"/>
  <c r="F1539" i="1"/>
  <c r="B1539" i="1"/>
  <c r="D1538" i="1"/>
  <c r="E1538" i="1"/>
  <c r="G1538" i="1"/>
  <c r="I1538" i="1"/>
  <c r="J1538" i="1"/>
  <c r="L1538" i="1"/>
  <c r="N1538" i="1"/>
  <c r="M1538" i="1"/>
  <c r="C1538" i="1"/>
  <c r="H1538" i="1"/>
  <c r="F1538" i="1"/>
  <c r="B1538" i="1"/>
  <c r="D1537" i="1"/>
  <c r="E1537" i="1"/>
  <c r="G1537" i="1"/>
  <c r="I1537" i="1"/>
  <c r="J1537" i="1"/>
  <c r="L1537" i="1"/>
  <c r="N1537" i="1"/>
  <c r="M1537" i="1"/>
  <c r="C1537" i="1"/>
  <c r="H1537" i="1"/>
  <c r="F1537" i="1"/>
  <c r="B1537" i="1"/>
  <c r="D1536" i="1"/>
  <c r="E1536" i="1"/>
  <c r="G1536" i="1"/>
  <c r="I1536" i="1"/>
  <c r="J1536" i="1"/>
  <c r="L1536" i="1"/>
  <c r="N1536" i="1"/>
  <c r="M1536" i="1"/>
  <c r="C1536" i="1"/>
  <c r="H1536" i="1"/>
  <c r="F1536" i="1"/>
  <c r="B1536" i="1"/>
  <c r="D1535" i="1"/>
  <c r="E1535" i="1"/>
  <c r="G1535" i="1"/>
  <c r="I1535" i="1"/>
  <c r="J1535" i="1"/>
  <c r="L1535" i="1"/>
  <c r="N1535" i="1"/>
  <c r="M1535" i="1"/>
  <c r="C1535" i="1"/>
  <c r="H1535" i="1"/>
  <c r="F1535" i="1"/>
  <c r="B1535" i="1"/>
  <c r="D1534" i="1"/>
  <c r="E1534" i="1"/>
  <c r="G1534" i="1"/>
  <c r="I1534" i="1"/>
  <c r="J1534" i="1"/>
  <c r="L1534" i="1"/>
  <c r="N1534" i="1"/>
  <c r="M1534" i="1"/>
  <c r="C1534" i="1"/>
  <c r="H1534" i="1"/>
  <c r="F1534" i="1"/>
  <c r="B1534" i="1"/>
  <c r="D1533" i="1"/>
  <c r="E1533" i="1"/>
  <c r="G1533" i="1"/>
  <c r="I1533" i="1"/>
  <c r="J1533" i="1"/>
  <c r="L1533" i="1"/>
  <c r="N1533" i="1"/>
  <c r="M1533" i="1"/>
  <c r="C1533" i="1"/>
  <c r="H1533" i="1"/>
  <c r="F1533" i="1"/>
  <c r="B1533" i="1"/>
  <c r="D1532" i="1"/>
  <c r="E1532" i="1"/>
  <c r="G1532" i="1"/>
  <c r="I1532" i="1"/>
  <c r="J1532" i="1"/>
  <c r="L1532" i="1"/>
  <c r="N1532" i="1"/>
  <c r="M1532" i="1"/>
  <c r="C1532" i="1"/>
  <c r="H1532" i="1"/>
  <c r="F1532" i="1"/>
  <c r="B1532" i="1"/>
  <c r="D1531" i="1"/>
  <c r="E1531" i="1"/>
  <c r="G1531" i="1"/>
  <c r="I1531" i="1"/>
  <c r="J1531" i="1"/>
  <c r="L1531" i="1"/>
  <c r="N1531" i="1"/>
  <c r="M1531" i="1"/>
  <c r="C1531" i="1"/>
  <c r="H1531" i="1"/>
  <c r="F1531" i="1"/>
  <c r="B1531" i="1"/>
  <c r="D1530" i="1"/>
  <c r="E1530" i="1"/>
  <c r="G1530" i="1"/>
  <c r="I1530" i="1"/>
  <c r="J1530" i="1"/>
  <c r="L1530" i="1"/>
  <c r="N1530" i="1"/>
  <c r="M1530" i="1"/>
  <c r="C1530" i="1"/>
  <c r="H1530" i="1"/>
  <c r="F1530" i="1"/>
  <c r="B1530" i="1"/>
  <c r="D1529" i="1"/>
  <c r="E1529" i="1"/>
  <c r="G1529" i="1"/>
  <c r="I1529" i="1"/>
  <c r="J1529" i="1"/>
  <c r="L1529" i="1"/>
  <c r="N1529" i="1"/>
  <c r="M1529" i="1"/>
  <c r="C1529" i="1"/>
  <c r="H1529" i="1"/>
  <c r="F1529" i="1"/>
  <c r="B1529" i="1"/>
  <c r="D1528" i="1"/>
  <c r="E1528" i="1"/>
  <c r="G1528" i="1"/>
  <c r="I1528" i="1"/>
  <c r="J1528" i="1"/>
  <c r="L1528" i="1"/>
  <c r="N1528" i="1"/>
  <c r="M1528" i="1"/>
  <c r="C1528" i="1"/>
  <c r="H1528" i="1"/>
  <c r="F1528" i="1"/>
  <c r="B1528" i="1"/>
  <c r="D1527" i="1"/>
  <c r="E1527" i="1"/>
  <c r="G1527" i="1"/>
  <c r="I1527" i="1"/>
  <c r="J1527" i="1"/>
  <c r="L1527" i="1"/>
  <c r="N1527" i="1"/>
  <c r="M1527" i="1"/>
  <c r="C1527" i="1"/>
  <c r="H1527" i="1"/>
  <c r="F1527" i="1"/>
  <c r="B1527" i="1"/>
  <c r="D1526" i="1"/>
  <c r="E1526" i="1"/>
  <c r="G1526" i="1"/>
  <c r="I1526" i="1"/>
  <c r="J1526" i="1"/>
  <c r="L1526" i="1"/>
  <c r="N1526" i="1"/>
  <c r="M1526" i="1"/>
  <c r="C1526" i="1"/>
  <c r="H1526" i="1"/>
  <c r="F1526" i="1"/>
  <c r="B1526" i="1"/>
  <c r="D1525" i="1"/>
  <c r="E1525" i="1"/>
  <c r="G1525" i="1"/>
  <c r="I1525" i="1"/>
  <c r="J1525" i="1"/>
  <c r="L1525" i="1"/>
  <c r="N1525" i="1"/>
  <c r="M1525" i="1"/>
  <c r="C1525" i="1"/>
  <c r="H1525" i="1"/>
  <c r="F1525" i="1"/>
  <c r="B1525" i="1"/>
  <c r="D1524" i="1"/>
  <c r="E1524" i="1"/>
  <c r="G1524" i="1"/>
  <c r="I1524" i="1"/>
  <c r="J1524" i="1"/>
  <c r="L1524" i="1"/>
  <c r="N1524" i="1"/>
  <c r="M1524" i="1"/>
  <c r="C1524" i="1"/>
  <c r="H1524" i="1"/>
  <c r="F1524" i="1"/>
  <c r="B1524" i="1"/>
  <c r="D1523" i="1"/>
  <c r="E1523" i="1"/>
  <c r="G1523" i="1"/>
  <c r="I1523" i="1"/>
  <c r="J1523" i="1"/>
  <c r="L1523" i="1"/>
  <c r="N1523" i="1"/>
  <c r="M1523" i="1"/>
  <c r="C1523" i="1"/>
  <c r="H1523" i="1"/>
  <c r="F1523" i="1"/>
  <c r="B1523" i="1"/>
  <c r="D1522" i="1"/>
  <c r="E1522" i="1"/>
  <c r="G1522" i="1"/>
  <c r="I1522" i="1"/>
  <c r="J1522" i="1"/>
  <c r="L1522" i="1"/>
  <c r="N1522" i="1"/>
  <c r="M1522" i="1"/>
  <c r="C1522" i="1"/>
  <c r="H1522" i="1"/>
  <c r="F1522" i="1"/>
  <c r="B1522" i="1"/>
  <c r="D1521" i="1"/>
  <c r="E1521" i="1"/>
  <c r="G1521" i="1"/>
  <c r="I1521" i="1"/>
  <c r="J1521" i="1"/>
  <c r="L1521" i="1"/>
  <c r="N1521" i="1"/>
  <c r="M1521" i="1"/>
  <c r="C1521" i="1"/>
  <c r="H1521" i="1"/>
  <c r="F1521" i="1"/>
  <c r="B1521" i="1"/>
  <c r="D1520" i="1"/>
  <c r="E1520" i="1"/>
  <c r="G1520" i="1"/>
  <c r="I1520" i="1"/>
  <c r="J1520" i="1"/>
  <c r="L1520" i="1"/>
  <c r="N1520" i="1"/>
  <c r="M1520" i="1"/>
  <c r="C1520" i="1"/>
  <c r="H1520" i="1"/>
  <c r="F1520" i="1"/>
  <c r="B1520" i="1"/>
  <c r="D1519" i="1"/>
  <c r="E1519" i="1"/>
  <c r="G1519" i="1"/>
  <c r="I1519" i="1"/>
  <c r="J1519" i="1"/>
  <c r="L1519" i="1"/>
  <c r="N1519" i="1"/>
  <c r="M1519" i="1"/>
  <c r="C1519" i="1"/>
  <c r="H1519" i="1"/>
  <c r="F1519" i="1"/>
  <c r="B1519" i="1"/>
  <c r="D1518" i="1"/>
  <c r="E1518" i="1"/>
  <c r="G1518" i="1"/>
  <c r="I1518" i="1"/>
  <c r="J1518" i="1"/>
  <c r="L1518" i="1"/>
  <c r="N1518" i="1"/>
  <c r="M1518" i="1"/>
  <c r="C1518" i="1"/>
  <c r="H1518" i="1"/>
  <c r="F1518" i="1"/>
  <c r="B1518" i="1"/>
  <c r="D1517" i="1"/>
  <c r="E1517" i="1"/>
  <c r="G1517" i="1"/>
  <c r="I1517" i="1"/>
  <c r="J1517" i="1"/>
  <c r="L1517" i="1"/>
  <c r="N1517" i="1"/>
  <c r="M1517" i="1"/>
  <c r="C1517" i="1"/>
  <c r="H1517" i="1"/>
  <c r="F1517" i="1"/>
  <c r="B1517" i="1"/>
  <c r="D1516" i="1"/>
  <c r="E1516" i="1"/>
  <c r="G1516" i="1"/>
  <c r="I1516" i="1"/>
  <c r="J1516" i="1"/>
  <c r="L1516" i="1"/>
  <c r="N1516" i="1"/>
  <c r="M1516" i="1"/>
  <c r="C1516" i="1"/>
  <c r="H1516" i="1"/>
  <c r="F1516" i="1"/>
  <c r="B1516" i="1"/>
  <c r="D1515" i="1"/>
  <c r="E1515" i="1"/>
  <c r="G1515" i="1"/>
  <c r="I1515" i="1"/>
  <c r="J1515" i="1"/>
  <c r="L1515" i="1"/>
  <c r="N1515" i="1"/>
  <c r="M1515" i="1"/>
  <c r="C1515" i="1"/>
  <c r="H1515" i="1"/>
  <c r="F1515" i="1"/>
  <c r="B1515" i="1"/>
  <c r="D1514" i="1"/>
  <c r="E1514" i="1"/>
  <c r="G1514" i="1"/>
  <c r="I1514" i="1"/>
  <c r="J1514" i="1"/>
  <c r="L1514" i="1"/>
  <c r="N1514" i="1"/>
  <c r="M1514" i="1"/>
  <c r="C1514" i="1"/>
  <c r="H1514" i="1"/>
  <c r="F1514" i="1"/>
  <c r="B1514" i="1"/>
  <c r="D1513" i="1"/>
  <c r="E1513" i="1"/>
  <c r="G1513" i="1"/>
  <c r="I1513" i="1"/>
  <c r="J1513" i="1"/>
  <c r="L1513" i="1"/>
  <c r="N1513" i="1"/>
  <c r="M1513" i="1"/>
  <c r="C1513" i="1"/>
  <c r="H1513" i="1"/>
  <c r="F1513" i="1"/>
  <c r="B1513" i="1"/>
  <c r="D1512" i="1"/>
  <c r="E1512" i="1"/>
  <c r="G1512" i="1"/>
  <c r="I1512" i="1"/>
  <c r="J1512" i="1"/>
  <c r="L1512" i="1"/>
  <c r="N1512" i="1"/>
  <c r="M1512" i="1"/>
  <c r="C1512" i="1"/>
  <c r="H1512" i="1"/>
  <c r="F1512" i="1"/>
  <c r="B1512" i="1"/>
  <c r="D1511" i="1"/>
  <c r="E1511" i="1"/>
  <c r="G1511" i="1"/>
  <c r="I1511" i="1"/>
  <c r="J1511" i="1"/>
  <c r="L1511" i="1"/>
  <c r="N1511" i="1"/>
  <c r="M1511" i="1"/>
  <c r="C1511" i="1"/>
  <c r="H1511" i="1"/>
  <c r="F1511" i="1"/>
  <c r="B1511" i="1"/>
  <c r="D1510" i="1"/>
  <c r="E1510" i="1"/>
  <c r="G1510" i="1"/>
  <c r="I1510" i="1"/>
  <c r="J1510" i="1"/>
  <c r="L1510" i="1"/>
  <c r="N1510" i="1"/>
  <c r="M1510" i="1"/>
  <c r="C1510" i="1"/>
  <c r="H1510" i="1"/>
  <c r="F1510" i="1"/>
  <c r="B1510" i="1"/>
  <c r="D1509" i="1"/>
  <c r="E1509" i="1"/>
  <c r="G1509" i="1"/>
  <c r="I1509" i="1"/>
  <c r="J1509" i="1"/>
  <c r="L1509" i="1"/>
  <c r="N1509" i="1"/>
  <c r="M1509" i="1"/>
  <c r="C1509" i="1"/>
  <c r="H1509" i="1"/>
  <c r="F1509" i="1"/>
  <c r="B1509" i="1"/>
  <c r="D1508" i="1"/>
  <c r="E1508" i="1"/>
  <c r="G1508" i="1"/>
  <c r="I1508" i="1"/>
  <c r="J1508" i="1"/>
  <c r="L1508" i="1"/>
  <c r="N1508" i="1"/>
  <c r="M1508" i="1"/>
  <c r="C1508" i="1"/>
  <c r="H1508" i="1"/>
  <c r="F1508" i="1"/>
  <c r="B1508" i="1"/>
  <c r="D1507" i="1"/>
  <c r="E1507" i="1"/>
  <c r="G1507" i="1"/>
  <c r="I1507" i="1"/>
  <c r="J1507" i="1"/>
  <c r="L1507" i="1"/>
  <c r="N1507" i="1"/>
  <c r="M1507" i="1"/>
  <c r="C1507" i="1"/>
  <c r="H1507" i="1"/>
  <c r="F1507" i="1"/>
  <c r="B1507" i="1"/>
  <c r="D1506" i="1"/>
  <c r="E1506" i="1"/>
  <c r="G1506" i="1"/>
  <c r="I1506" i="1"/>
  <c r="J1506" i="1"/>
  <c r="L1506" i="1"/>
  <c r="N1506" i="1"/>
  <c r="M1506" i="1"/>
  <c r="C1506" i="1"/>
  <c r="H1506" i="1"/>
  <c r="F1506" i="1"/>
  <c r="B1506" i="1"/>
  <c r="D1505" i="1"/>
  <c r="E1505" i="1"/>
  <c r="G1505" i="1"/>
  <c r="I1505" i="1"/>
  <c r="J1505" i="1"/>
  <c r="L1505" i="1"/>
  <c r="N1505" i="1"/>
  <c r="M1505" i="1"/>
  <c r="C1505" i="1"/>
  <c r="H1505" i="1"/>
  <c r="F1505" i="1"/>
  <c r="B1505" i="1"/>
  <c r="D1504" i="1"/>
  <c r="E1504" i="1"/>
  <c r="G1504" i="1"/>
  <c r="I1504" i="1"/>
  <c r="J1504" i="1"/>
  <c r="L1504" i="1"/>
  <c r="N1504" i="1"/>
  <c r="M1504" i="1"/>
  <c r="C1504" i="1"/>
  <c r="H1504" i="1"/>
  <c r="F1504" i="1"/>
  <c r="B1504" i="1"/>
  <c r="D1503" i="1"/>
  <c r="E1503" i="1"/>
  <c r="G1503" i="1"/>
  <c r="I1503" i="1"/>
  <c r="J1503" i="1"/>
  <c r="L1503" i="1"/>
  <c r="N1503" i="1"/>
  <c r="M1503" i="1"/>
  <c r="C1503" i="1"/>
  <c r="H1503" i="1"/>
  <c r="F1503" i="1"/>
  <c r="B1503" i="1"/>
  <c r="D1502" i="1"/>
  <c r="E1502" i="1"/>
  <c r="G1502" i="1"/>
  <c r="I1502" i="1"/>
  <c r="J1502" i="1"/>
  <c r="L1502" i="1"/>
  <c r="N1502" i="1"/>
  <c r="M1502" i="1"/>
  <c r="C1502" i="1"/>
  <c r="H1502" i="1"/>
  <c r="F1502" i="1"/>
  <c r="B1502" i="1"/>
  <c r="D1501" i="1"/>
  <c r="E1501" i="1"/>
  <c r="G1501" i="1"/>
  <c r="I1501" i="1"/>
  <c r="J1501" i="1"/>
  <c r="L1501" i="1"/>
  <c r="N1501" i="1"/>
  <c r="M1501" i="1"/>
  <c r="C1501" i="1"/>
  <c r="H1501" i="1"/>
  <c r="F1501" i="1"/>
  <c r="B1501" i="1"/>
  <c r="D1500" i="1"/>
  <c r="E1500" i="1"/>
  <c r="G1500" i="1"/>
  <c r="I1500" i="1"/>
  <c r="J1500" i="1"/>
  <c r="L1500" i="1"/>
  <c r="N1500" i="1"/>
  <c r="M1500" i="1"/>
  <c r="C1500" i="1"/>
  <c r="H1500" i="1"/>
  <c r="F1500" i="1"/>
  <c r="B1500" i="1"/>
  <c r="D1499" i="1"/>
  <c r="E1499" i="1"/>
  <c r="G1499" i="1"/>
  <c r="I1499" i="1"/>
  <c r="J1499" i="1"/>
  <c r="L1499" i="1"/>
  <c r="N1499" i="1"/>
  <c r="M1499" i="1"/>
  <c r="C1499" i="1"/>
  <c r="H1499" i="1"/>
  <c r="F1499" i="1"/>
  <c r="B1499" i="1"/>
  <c r="D1498" i="1"/>
  <c r="E1498" i="1"/>
  <c r="G1498" i="1"/>
  <c r="I1498" i="1"/>
  <c r="J1498" i="1"/>
  <c r="L1498" i="1"/>
  <c r="N1498" i="1"/>
  <c r="M1498" i="1"/>
  <c r="C1498" i="1"/>
  <c r="H1498" i="1"/>
  <c r="F1498" i="1"/>
  <c r="B1498" i="1"/>
  <c r="D1497" i="1"/>
  <c r="E1497" i="1"/>
  <c r="G1497" i="1"/>
  <c r="I1497" i="1"/>
  <c r="J1497" i="1"/>
  <c r="L1497" i="1"/>
  <c r="N1497" i="1"/>
  <c r="M1497" i="1"/>
  <c r="C1497" i="1"/>
  <c r="H1497" i="1"/>
  <c r="F1497" i="1"/>
  <c r="B1497" i="1"/>
  <c r="D1496" i="1"/>
  <c r="E1496" i="1"/>
  <c r="G1496" i="1"/>
  <c r="I1496" i="1"/>
  <c r="J1496" i="1"/>
  <c r="L1496" i="1"/>
  <c r="N1496" i="1"/>
  <c r="M1496" i="1"/>
  <c r="C1496" i="1"/>
  <c r="H1496" i="1"/>
  <c r="F1496" i="1"/>
  <c r="B1496" i="1"/>
  <c r="D1495" i="1"/>
  <c r="E1495" i="1"/>
  <c r="G1495" i="1"/>
  <c r="I1495" i="1"/>
  <c r="J1495" i="1"/>
  <c r="L1495" i="1"/>
  <c r="N1495" i="1"/>
  <c r="M1495" i="1"/>
  <c r="C1495" i="1"/>
  <c r="H1495" i="1"/>
  <c r="F1495" i="1"/>
  <c r="B1495" i="1"/>
  <c r="D1494" i="1"/>
  <c r="E1494" i="1"/>
  <c r="G1494" i="1"/>
  <c r="I1494" i="1"/>
  <c r="J1494" i="1"/>
  <c r="L1494" i="1"/>
  <c r="N1494" i="1"/>
  <c r="M1494" i="1"/>
  <c r="C1494" i="1"/>
  <c r="H1494" i="1"/>
  <c r="F1494" i="1"/>
  <c r="B1494" i="1"/>
  <c r="D1493" i="1"/>
  <c r="E1493" i="1"/>
  <c r="G1493" i="1"/>
  <c r="I1493" i="1"/>
  <c r="J1493" i="1"/>
  <c r="L1493" i="1"/>
  <c r="N1493" i="1"/>
  <c r="M1493" i="1"/>
  <c r="C1493" i="1"/>
  <c r="H1493" i="1"/>
  <c r="F1493" i="1"/>
  <c r="B1493" i="1"/>
  <c r="D1492" i="1"/>
  <c r="E1492" i="1"/>
  <c r="G1492" i="1"/>
  <c r="I1492" i="1"/>
  <c r="J1492" i="1"/>
  <c r="L1492" i="1"/>
  <c r="N1492" i="1"/>
  <c r="M1492" i="1"/>
  <c r="C1492" i="1"/>
  <c r="H1492" i="1"/>
  <c r="F1492" i="1"/>
  <c r="B1492" i="1"/>
  <c r="D1491" i="1"/>
  <c r="E1491" i="1"/>
  <c r="G1491" i="1"/>
  <c r="I1491" i="1"/>
  <c r="J1491" i="1"/>
  <c r="L1491" i="1"/>
  <c r="N1491" i="1"/>
  <c r="M1491" i="1"/>
  <c r="C1491" i="1"/>
  <c r="H1491" i="1"/>
  <c r="F1491" i="1"/>
  <c r="B1491" i="1"/>
  <c r="D1490" i="1"/>
  <c r="E1490" i="1"/>
  <c r="G1490" i="1"/>
  <c r="I1490" i="1"/>
  <c r="J1490" i="1"/>
  <c r="L1490" i="1"/>
  <c r="N1490" i="1"/>
  <c r="M1490" i="1"/>
  <c r="C1490" i="1"/>
  <c r="H1490" i="1"/>
  <c r="F1490" i="1"/>
  <c r="B1490" i="1"/>
  <c r="D1489" i="1"/>
  <c r="E1489" i="1"/>
  <c r="G1489" i="1"/>
  <c r="I1489" i="1"/>
  <c r="J1489" i="1"/>
  <c r="L1489" i="1"/>
  <c r="N1489" i="1"/>
  <c r="M1489" i="1"/>
  <c r="C1489" i="1"/>
  <c r="H1489" i="1"/>
  <c r="F1489" i="1"/>
  <c r="B1489" i="1"/>
  <c r="D1488" i="1"/>
  <c r="E1488" i="1"/>
  <c r="G1488" i="1"/>
  <c r="I1488" i="1"/>
  <c r="J1488" i="1"/>
  <c r="L1488" i="1"/>
  <c r="N1488" i="1"/>
  <c r="M1488" i="1"/>
  <c r="C1488" i="1"/>
  <c r="H1488" i="1"/>
  <c r="F1488" i="1"/>
  <c r="B1488" i="1"/>
  <c r="D1487" i="1"/>
  <c r="E1487" i="1"/>
  <c r="G1487" i="1"/>
  <c r="I1487" i="1"/>
  <c r="J1487" i="1"/>
  <c r="L1487" i="1"/>
  <c r="N1487" i="1"/>
  <c r="M1487" i="1"/>
  <c r="C1487" i="1"/>
  <c r="H1487" i="1"/>
  <c r="F1487" i="1"/>
  <c r="B1487" i="1"/>
  <c r="D1486" i="1"/>
  <c r="E1486" i="1"/>
  <c r="G1486" i="1"/>
  <c r="I1486" i="1"/>
  <c r="J1486" i="1"/>
  <c r="L1486" i="1"/>
  <c r="N1486" i="1"/>
  <c r="M1486" i="1"/>
  <c r="C1486" i="1"/>
  <c r="H1486" i="1"/>
  <c r="F1486" i="1"/>
  <c r="B1486" i="1"/>
  <c r="D1485" i="1"/>
  <c r="E1485" i="1"/>
  <c r="G1485" i="1"/>
  <c r="I1485" i="1"/>
  <c r="J1485" i="1"/>
  <c r="L1485" i="1"/>
  <c r="N1485" i="1"/>
  <c r="M1485" i="1"/>
  <c r="C1485" i="1"/>
  <c r="H1485" i="1"/>
  <c r="F1485" i="1"/>
  <c r="B1485" i="1"/>
  <c r="D1484" i="1"/>
  <c r="E1484" i="1"/>
  <c r="G1484" i="1"/>
  <c r="I1484" i="1"/>
  <c r="J1484" i="1"/>
  <c r="L1484" i="1"/>
  <c r="N1484" i="1"/>
  <c r="M1484" i="1"/>
  <c r="C1484" i="1"/>
  <c r="H1484" i="1"/>
  <c r="F1484" i="1"/>
  <c r="B1484" i="1"/>
  <c r="D1483" i="1"/>
  <c r="E1483" i="1"/>
  <c r="G1483" i="1"/>
  <c r="I1483" i="1"/>
  <c r="J1483" i="1"/>
  <c r="L1483" i="1"/>
  <c r="N1483" i="1"/>
  <c r="M1483" i="1"/>
  <c r="C1483" i="1"/>
  <c r="H1483" i="1"/>
  <c r="F1483" i="1"/>
  <c r="B1483" i="1"/>
  <c r="D1482" i="1"/>
  <c r="E1482" i="1"/>
  <c r="G1482" i="1"/>
  <c r="I1482" i="1"/>
  <c r="J1482" i="1"/>
  <c r="L1482" i="1"/>
  <c r="N1482" i="1"/>
  <c r="M1482" i="1"/>
  <c r="C1482" i="1"/>
  <c r="H1482" i="1"/>
  <c r="F1482" i="1"/>
  <c r="B1482" i="1"/>
  <c r="D1481" i="1"/>
  <c r="E1481" i="1"/>
  <c r="G1481" i="1"/>
  <c r="I1481" i="1"/>
  <c r="J1481" i="1"/>
  <c r="L1481" i="1"/>
  <c r="N1481" i="1"/>
  <c r="M1481" i="1"/>
  <c r="C1481" i="1"/>
  <c r="H1481" i="1"/>
  <c r="F1481" i="1"/>
  <c r="B1481" i="1"/>
  <c r="D1480" i="1"/>
  <c r="E1480" i="1"/>
  <c r="G1480" i="1"/>
  <c r="I1480" i="1"/>
  <c r="J1480" i="1"/>
  <c r="L1480" i="1"/>
  <c r="N1480" i="1"/>
  <c r="M1480" i="1"/>
  <c r="C1480" i="1"/>
  <c r="H1480" i="1"/>
  <c r="F1480" i="1"/>
  <c r="B1480" i="1"/>
  <c r="D1479" i="1"/>
  <c r="E1479" i="1"/>
  <c r="G1479" i="1"/>
  <c r="I1479" i="1"/>
  <c r="J1479" i="1"/>
  <c r="L1479" i="1"/>
  <c r="N1479" i="1"/>
  <c r="M1479" i="1"/>
  <c r="C1479" i="1"/>
  <c r="H1479" i="1"/>
  <c r="F1479" i="1"/>
  <c r="B1479" i="1"/>
  <c r="D1478" i="1"/>
  <c r="E1478" i="1"/>
  <c r="G1478" i="1"/>
  <c r="I1478" i="1"/>
  <c r="J1478" i="1"/>
  <c r="L1478" i="1"/>
  <c r="N1478" i="1"/>
  <c r="M1478" i="1"/>
  <c r="C1478" i="1"/>
  <c r="H1478" i="1"/>
  <c r="F1478" i="1"/>
  <c r="B1478" i="1"/>
  <c r="D1477" i="1"/>
  <c r="E1477" i="1"/>
  <c r="G1477" i="1"/>
  <c r="I1477" i="1"/>
  <c r="J1477" i="1"/>
  <c r="L1477" i="1"/>
  <c r="N1477" i="1"/>
  <c r="M1477" i="1"/>
  <c r="C1477" i="1"/>
  <c r="H1477" i="1"/>
  <c r="F1477" i="1"/>
  <c r="B1477" i="1"/>
  <c r="D1476" i="1"/>
  <c r="E1476" i="1"/>
  <c r="G1476" i="1"/>
  <c r="I1476" i="1"/>
  <c r="J1476" i="1"/>
  <c r="L1476" i="1"/>
  <c r="N1476" i="1"/>
  <c r="M1476" i="1"/>
  <c r="C1476" i="1"/>
  <c r="H1476" i="1"/>
  <c r="F1476" i="1"/>
  <c r="B1476" i="1"/>
  <c r="D1475" i="1"/>
  <c r="E1475" i="1"/>
  <c r="G1475" i="1"/>
  <c r="I1475" i="1"/>
  <c r="J1475" i="1"/>
  <c r="L1475" i="1"/>
  <c r="N1475" i="1"/>
  <c r="M1475" i="1"/>
  <c r="C1475" i="1"/>
  <c r="H1475" i="1"/>
  <c r="F1475" i="1"/>
  <c r="B1475" i="1"/>
  <c r="D1474" i="1"/>
  <c r="E1474" i="1"/>
  <c r="G1474" i="1"/>
  <c r="I1474" i="1"/>
  <c r="J1474" i="1"/>
  <c r="L1474" i="1"/>
  <c r="N1474" i="1"/>
  <c r="M1474" i="1"/>
  <c r="C1474" i="1"/>
  <c r="H1474" i="1"/>
  <c r="F1474" i="1"/>
  <c r="B1474" i="1"/>
  <c r="D1473" i="1"/>
  <c r="E1473" i="1"/>
  <c r="G1473" i="1"/>
  <c r="I1473" i="1"/>
  <c r="J1473" i="1"/>
  <c r="L1473" i="1"/>
  <c r="N1473" i="1"/>
  <c r="M1473" i="1"/>
  <c r="C1473" i="1"/>
  <c r="H1473" i="1"/>
  <c r="F1473" i="1"/>
  <c r="B1473" i="1"/>
  <c r="D1472" i="1"/>
  <c r="E1472" i="1"/>
  <c r="G1472" i="1"/>
  <c r="I1472" i="1"/>
  <c r="J1472" i="1"/>
  <c r="L1472" i="1"/>
  <c r="N1472" i="1"/>
  <c r="M1472" i="1"/>
  <c r="C1472" i="1"/>
  <c r="H1472" i="1"/>
  <c r="F1472" i="1"/>
  <c r="B1472" i="1"/>
  <c r="D1471" i="1"/>
  <c r="E1471" i="1"/>
  <c r="G1471" i="1"/>
  <c r="I1471" i="1"/>
  <c r="J1471" i="1"/>
  <c r="L1471" i="1"/>
  <c r="N1471" i="1"/>
  <c r="M1471" i="1"/>
  <c r="C1471" i="1"/>
  <c r="H1471" i="1"/>
  <c r="F1471" i="1"/>
  <c r="B1471" i="1"/>
  <c r="D1470" i="1"/>
  <c r="E1470" i="1"/>
  <c r="G1470" i="1"/>
  <c r="I1470" i="1"/>
  <c r="J1470" i="1"/>
  <c r="L1470" i="1"/>
  <c r="N1470" i="1"/>
  <c r="M1470" i="1"/>
  <c r="C1470" i="1"/>
  <c r="H1470" i="1"/>
  <c r="F1470" i="1"/>
  <c r="B1470" i="1"/>
  <c r="D1469" i="1"/>
  <c r="E1469" i="1"/>
  <c r="G1469" i="1"/>
  <c r="I1469" i="1"/>
  <c r="J1469" i="1"/>
  <c r="L1469" i="1"/>
  <c r="N1469" i="1"/>
  <c r="M1469" i="1"/>
  <c r="C1469" i="1"/>
  <c r="H1469" i="1"/>
  <c r="F1469" i="1"/>
  <c r="B1469" i="1"/>
  <c r="D1468" i="1"/>
  <c r="E1468" i="1"/>
  <c r="G1468" i="1"/>
  <c r="I1468" i="1"/>
  <c r="J1468" i="1"/>
  <c r="L1468" i="1"/>
  <c r="N1468" i="1"/>
  <c r="M1468" i="1"/>
  <c r="C1468" i="1"/>
  <c r="H1468" i="1"/>
  <c r="F1468" i="1"/>
  <c r="B1468" i="1"/>
  <c r="D1467" i="1"/>
  <c r="E1467" i="1"/>
  <c r="G1467" i="1"/>
  <c r="I1467" i="1"/>
  <c r="J1467" i="1"/>
  <c r="L1467" i="1"/>
  <c r="N1467" i="1"/>
  <c r="M1467" i="1"/>
  <c r="C1467" i="1"/>
  <c r="H1467" i="1"/>
  <c r="F1467" i="1"/>
  <c r="B1467" i="1"/>
  <c r="D1466" i="1"/>
  <c r="E1466" i="1"/>
  <c r="G1466" i="1"/>
  <c r="I1466" i="1"/>
  <c r="J1466" i="1"/>
  <c r="L1466" i="1"/>
  <c r="N1466" i="1"/>
  <c r="M1466" i="1"/>
  <c r="C1466" i="1"/>
  <c r="H1466" i="1"/>
  <c r="F1466" i="1"/>
  <c r="B1466" i="1"/>
  <c r="D1465" i="1"/>
  <c r="E1465" i="1"/>
  <c r="G1465" i="1"/>
  <c r="I1465" i="1"/>
  <c r="J1465" i="1"/>
  <c r="L1465" i="1"/>
  <c r="N1465" i="1"/>
  <c r="M1465" i="1"/>
  <c r="C1465" i="1"/>
  <c r="H1465" i="1"/>
  <c r="F1465" i="1"/>
  <c r="B1465" i="1"/>
  <c r="D1464" i="1"/>
  <c r="E1464" i="1"/>
  <c r="G1464" i="1"/>
  <c r="I1464" i="1"/>
  <c r="J1464" i="1"/>
  <c r="L1464" i="1"/>
  <c r="N1464" i="1"/>
  <c r="M1464" i="1"/>
  <c r="C1464" i="1"/>
  <c r="H1464" i="1"/>
  <c r="F1464" i="1"/>
  <c r="B1464" i="1"/>
  <c r="D1463" i="1"/>
  <c r="E1463" i="1"/>
  <c r="G1463" i="1"/>
  <c r="I1463" i="1"/>
  <c r="J1463" i="1"/>
  <c r="L1463" i="1"/>
  <c r="N1463" i="1"/>
  <c r="M1463" i="1"/>
  <c r="C1463" i="1"/>
  <c r="H1463" i="1"/>
  <c r="F1463" i="1"/>
  <c r="B1463" i="1"/>
  <c r="D1462" i="1"/>
  <c r="E1462" i="1"/>
  <c r="G1462" i="1"/>
  <c r="I1462" i="1"/>
  <c r="J1462" i="1"/>
  <c r="L1462" i="1"/>
  <c r="N1462" i="1"/>
  <c r="M1462" i="1"/>
  <c r="C1462" i="1"/>
  <c r="H1462" i="1"/>
  <c r="F1462" i="1"/>
  <c r="B1462" i="1"/>
  <c r="D1461" i="1"/>
  <c r="E1461" i="1"/>
  <c r="G1461" i="1"/>
  <c r="I1461" i="1"/>
  <c r="J1461" i="1"/>
  <c r="L1461" i="1"/>
  <c r="N1461" i="1"/>
  <c r="M1461" i="1"/>
  <c r="C1461" i="1"/>
  <c r="H1461" i="1"/>
  <c r="F1461" i="1"/>
  <c r="B1461" i="1"/>
  <c r="D1460" i="1"/>
  <c r="E1460" i="1"/>
  <c r="G1460" i="1"/>
  <c r="I1460" i="1"/>
  <c r="J1460" i="1"/>
  <c r="L1460" i="1"/>
  <c r="N1460" i="1"/>
  <c r="M1460" i="1"/>
  <c r="C1460" i="1"/>
  <c r="H1460" i="1"/>
  <c r="F1460" i="1"/>
  <c r="B1460" i="1"/>
  <c r="D1459" i="1"/>
  <c r="E1459" i="1"/>
  <c r="G1459" i="1"/>
  <c r="I1459" i="1"/>
  <c r="J1459" i="1"/>
  <c r="L1459" i="1"/>
  <c r="N1459" i="1"/>
  <c r="M1459" i="1"/>
  <c r="C1459" i="1"/>
  <c r="H1459" i="1"/>
  <c r="F1459" i="1"/>
  <c r="B1459" i="1"/>
  <c r="D1458" i="1"/>
  <c r="E1458" i="1"/>
  <c r="G1458" i="1"/>
  <c r="I1458" i="1"/>
  <c r="J1458" i="1"/>
  <c r="L1458" i="1"/>
  <c r="N1458" i="1"/>
  <c r="M1458" i="1"/>
  <c r="C1458" i="1"/>
  <c r="H1458" i="1"/>
  <c r="F1458" i="1"/>
  <c r="B1458" i="1"/>
  <c r="D1457" i="1"/>
  <c r="E1457" i="1"/>
  <c r="G1457" i="1"/>
  <c r="I1457" i="1"/>
  <c r="J1457" i="1"/>
  <c r="L1457" i="1"/>
  <c r="N1457" i="1"/>
  <c r="M1457" i="1"/>
  <c r="C1457" i="1"/>
  <c r="H1457" i="1"/>
  <c r="F1457" i="1"/>
  <c r="B1457" i="1"/>
  <c r="D1456" i="1"/>
  <c r="E1456" i="1"/>
  <c r="G1456" i="1"/>
  <c r="I1456" i="1"/>
  <c r="J1456" i="1"/>
  <c r="L1456" i="1"/>
  <c r="N1456" i="1"/>
  <c r="M1456" i="1"/>
  <c r="C1456" i="1"/>
  <c r="H1456" i="1"/>
  <c r="F1456" i="1"/>
  <c r="B1456" i="1"/>
  <c r="D1455" i="1"/>
  <c r="E1455" i="1"/>
  <c r="G1455" i="1"/>
  <c r="I1455" i="1"/>
  <c r="J1455" i="1"/>
  <c r="L1455" i="1"/>
  <c r="N1455" i="1"/>
  <c r="M1455" i="1"/>
  <c r="C1455" i="1"/>
  <c r="H1455" i="1"/>
  <c r="F1455" i="1"/>
  <c r="B1455" i="1"/>
  <c r="D1454" i="1"/>
  <c r="E1454" i="1"/>
  <c r="G1454" i="1"/>
  <c r="I1454" i="1"/>
  <c r="J1454" i="1"/>
  <c r="L1454" i="1"/>
  <c r="N1454" i="1"/>
  <c r="M1454" i="1"/>
  <c r="C1454" i="1"/>
  <c r="H1454" i="1"/>
  <c r="F1454" i="1"/>
  <c r="B1454" i="1"/>
  <c r="D1453" i="1"/>
  <c r="E1453" i="1"/>
  <c r="G1453" i="1"/>
  <c r="I1453" i="1"/>
  <c r="J1453" i="1"/>
  <c r="L1453" i="1"/>
  <c r="N1453" i="1"/>
  <c r="M1453" i="1"/>
  <c r="C1453" i="1"/>
  <c r="H1453" i="1"/>
  <c r="F1453" i="1"/>
  <c r="B1453" i="1"/>
  <c r="D1452" i="1"/>
  <c r="E1452" i="1"/>
  <c r="G1452" i="1"/>
  <c r="I1452" i="1"/>
  <c r="J1452" i="1"/>
  <c r="L1452" i="1"/>
  <c r="N1452" i="1"/>
  <c r="M1452" i="1"/>
  <c r="C1452" i="1"/>
  <c r="H1452" i="1"/>
  <c r="F1452" i="1"/>
  <c r="B1452" i="1"/>
  <c r="D1451" i="1"/>
  <c r="E1451" i="1"/>
  <c r="G1451" i="1"/>
  <c r="I1451" i="1"/>
  <c r="J1451" i="1"/>
  <c r="L1451" i="1"/>
  <c r="N1451" i="1"/>
  <c r="M1451" i="1"/>
  <c r="C1451" i="1"/>
  <c r="H1451" i="1"/>
  <c r="F1451" i="1"/>
  <c r="B1451" i="1"/>
  <c r="D1450" i="1"/>
  <c r="E1450" i="1"/>
  <c r="G1450" i="1"/>
  <c r="I1450" i="1"/>
  <c r="J1450" i="1"/>
  <c r="L1450" i="1"/>
  <c r="N1450" i="1"/>
  <c r="M1450" i="1"/>
  <c r="C1450" i="1"/>
  <c r="H1450" i="1"/>
  <c r="F1450" i="1"/>
  <c r="B1450" i="1"/>
  <c r="D1449" i="1"/>
  <c r="E1449" i="1"/>
  <c r="G1449" i="1"/>
  <c r="I1449" i="1"/>
  <c r="J1449" i="1"/>
  <c r="L1449" i="1"/>
  <c r="N1449" i="1"/>
  <c r="M1449" i="1"/>
  <c r="C1449" i="1"/>
  <c r="H1449" i="1"/>
  <c r="F1449" i="1"/>
  <c r="B1449" i="1"/>
  <c r="D1448" i="1"/>
  <c r="E1448" i="1"/>
  <c r="G1448" i="1"/>
  <c r="I1448" i="1"/>
  <c r="J1448" i="1"/>
  <c r="L1448" i="1"/>
  <c r="N1448" i="1"/>
  <c r="M1448" i="1"/>
  <c r="C1448" i="1"/>
  <c r="H1448" i="1"/>
  <c r="F1448" i="1"/>
  <c r="B1448" i="1"/>
  <c r="D1447" i="1"/>
  <c r="E1447" i="1"/>
  <c r="G1447" i="1"/>
  <c r="I1447" i="1"/>
  <c r="J1447" i="1"/>
  <c r="L1447" i="1"/>
  <c r="N1447" i="1"/>
  <c r="M1447" i="1"/>
  <c r="C1447" i="1"/>
  <c r="H1447" i="1"/>
  <c r="F1447" i="1"/>
  <c r="B1447" i="1"/>
  <c r="D1446" i="1"/>
  <c r="E1446" i="1"/>
  <c r="G1446" i="1"/>
  <c r="I1446" i="1"/>
  <c r="J1446" i="1"/>
  <c r="L1446" i="1"/>
  <c r="N1446" i="1"/>
  <c r="M1446" i="1"/>
  <c r="C1446" i="1"/>
  <c r="H1446" i="1"/>
  <c r="F1446" i="1"/>
  <c r="B1446" i="1"/>
  <c r="D1445" i="1"/>
  <c r="E1445" i="1"/>
  <c r="G1445" i="1"/>
  <c r="I1445" i="1"/>
  <c r="J1445" i="1"/>
  <c r="L1445" i="1"/>
  <c r="N1445" i="1"/>
  <c r="M1445" i="1"/>
  <c r="C1445" i="1"/>
  <c r="H1445" i="1"/>
  <c r="F1445" i="1"/>
  <c r="B1445" i="1"/>
  <c r="D1444" i="1"/>
  <c r="E1444" i="1"/>
  <c r="G1444" i="1"/>
  <c r="I1444" i="1"/>
  <c r="J1444" i="1"/>
  <c r="L1444" i="1"/>
  <c r="N1444" i="1"/>
  <c r="M1444" i="1"/>
  <c r="C1444" i="1"/>
  <c r="H1444" i="1"/>
  <c r="F1444" i="1"/>
  <c r="B1444" i="1"/>
  <c r="D1443" i="1"/>
  <c r="E1443" i="1"/>
  <c r="G1443" i="1"/>
  <c r="I1443" i="1"/>
  <c r="J1443" i="1"/>
  <c r="L1443" i="1"/>
  <c r="N1443" i="1"/>
  <c r="M1443" i="1"/>
  <c r="C1443" i="1"/>
  <c r="H1443" i="1"/>
  <c r="F1443" i="1"/>
  <c r="B1443" i="1"/>
  <c r="D1442" i="1"/>
  <c r="E1442" i="1"/>
  <c r="G1442" i="1"/>
  <c r="I1442" i="1"/>
  <c r="J1442" i="1"/>
  <c r="L1442" i="1"/>
  <c r="N1442" i="1"/>
  <c r="M1442" i="1"/>
  <c r="C1442" i="1"/>
  <c r="H1442" i="1"/>
  <c r="F1442" i="1"/>
  <c r="B1442" i="1"/>
  <c r="D1441" i="1"/>
  <c r="E1441" i="1"/>
  <c r="G1441" i="1"/>
  <c r="I1441" i="1"/>
  <c r="J1441" i="1"/>
  <c r="L1441" i="1"/>
  <c r="N1441" i="1"/>
  <c r="M1441" i="1"/>
  <c r="C1441" i="1"/>
  <c r="H1441" i="1"/>
  <c r="F1441" i="1"/>
  <c r="B1441" i="1"/>
  <c r="D1440" i="1"/>
  <c r="E1440" i="1"/>
  <c r="G1440" i="1"/>
  <c r="I1440" i="1"/>
  <c r="J1440" i="1"/>
  <c r="L1440" i="1"/>
  <c r="N1440" i="1"/>
  <c r="M1440" i="1"/>
  <c r="C1440" i="1"/>
  <c r="H1440" i="1"/>
  <c r="F1440" i="1"/>
  <c r="B1440" i="1"/>
  <c r="D1439" i="1"/>
  <c r="E1439" i="1"/>
  <c r="G1439" i="1"/>
  <c r="I1439" i="1"/>
  <c r="J1439" i="1"/>
  <c r="L1439" i="1"/>
  <c r="N1439" i="1"/>
  <c r="M1439" i="1"/>
  <c r="C1439" i="1"/>
  <c r="H1439" i="1"/>
  <c r="F1439" i="1"/>
  <c r="B1439" i="1"/>
  <c r="D1438" i="1"/>
  <c r="E1438" i="1"/>
  <c r="G1438" i="1"/>
  <c r="I1438" i="1"/>
  <c r="J1438" i="1"/>
  <c r="L1438" i="1"/>
  <c r="N1438" i="1"/>
  <c r="M1438" i="1"/>
  <c r="C1438" i="1"/>
  <c r="H1438" i="1"/>
  <c r="F1438" i="1"/>
  <c r="B1438" i="1"/>
  <c r="D1437" i="1"/>
  <c r="E1437" i="1"/>
  <c r="G1437" i="1"/>
  <c r="I1437" i="1"/>
  <c r="J1437" i="1"/>
  <c r="L1437" i="1"/>
  <c r="N1437" i="1"/>
  <c r="M1437" i="1"/>
  <c r="C1437" i="1"/>
  <c r="H1437" i="1"/>
  <c r="F1437" i="1"/>
  <c r="B1437" i="1"/>
  <c r="D1436" i="1"/>
  <c r="E1436" i="1"/>
  <c r="G1436" i="1"/>
  <c r="I1436" i="1"/>
  <c r="J1436" i="1"/>
  <c r="L1436" i="1"/>
  <c r="N1436" i="1"/>
  <c r="M1436" i="1"/>
  <c r="C1436" i="1"/>
  <c r="H1436" i="1"/>
  <c r="F1436" i="1"/>
  <c r="B1436" i="1"/>
  <c r="D1435" i="1"/>
  <c r="E1435" i="1"/>
  <c r="G1435" i="1"/>
  <c r="I1435" i="1"/>
  <c r="J1435" i="1"/>
  <c r="L1435" i="1"/>
  <c r="N1435" i="1"/>
  <c r="M1435" i="1"/>
  <c r="C1435" i="1"/>
  <c r="H1435" i="1"/>
  <c r="F1435" i="1"/>
  <c r="B1435" i="1"/>
  <c r="D1434" i="1"/>
  <c r="E1434" i="1"/>
  <c r="G1434" i="1"/>
  <c r="I1434" i="1"/>
  <c r="J1434" i="1"/>
  <c r="L1434" i="1"/>
  <c r="N1434" i="1"/>
  <c r="M1434" i="1"/>
  <c r="C1434" i="1"/>
  <c r="H1434" i="1"/>
  <c r="F1434" i="1"/>
  <c r="B1434" i="1"/>
  <c r="D1433" i="1"/>
  <c r="E1433" i="1"/>
  <c r="G1433" i="1"/>
  <c r="I1433" i="1"/>
  <c r="J1433" i="1"/>
  <c r="L1433" i="1"/>
  <c r="N1433" i="1"/>
  <c r="M1433" i="1"/>
  <c r="C1433" i="1"/>
  <c r="H1433" i="1"/>
  <c r="F1433" i="1"/>
  <c r="B1433" i="1"/>
  <c r="D1432" i="1"/>
  <c r="E1432" i="1"/>
  <c r="G1432" i="1"/>
  <c r="I1432" i="1"/>
  <c r="J1432" i="1"/>
  <c r="L1432" i="1"/>
  <c r="N1432" i="1"/>
  <c r="M1432" i="1"/>
  <c r="C1432" i="1"/>
  <c r="H1432" i="1"/>
  <c r="F1432" i="1"/>
  <c r="B1432" i="1"/>
  <c r="D1431" i="1"/>
  <c r="E1431" i="1"/>
  <c r="G1431" i="1"/>
  <c r="I1431" i="1"/>
  <c r="J1431" i="1"/>
  <c r="L1431" i="1"/>
  <c r="N1431" i="1"/>
  <c r="M1431" i="1"/>
  <c r="C1431" i="1"/>
  <c r="H1431" i="1"/>
  <c r="F1431" i="1"/>
  <c r="B1431" i="1"/>
  <c r="D1430" i="1"/>
  <c r="E1430" i="1"/>
  <c r="G1430" i="1"/>
  <c r="I1430" i="1"/>
  <c r="J1430" i="1"/>
  <c r="L1430" i="1"/>
  <c r="N1430" i="1"/>
  <c r="M1430" i="1"/>
  <c r="C1430" i="1"/>
  <c r="H1430" i="1"/>
  <c r="F1430" i="1"/>
  <c r="B1430" i="1"/>
  <c r="D1429" i="1"/>
  <c r="E1429" i="1"/>
  <c r="G1429" i="1"/>
  <c r="I1429" i="1"/>
  <c r="J1429" i="1"/>
  <c r="L1429" i="1"/>
  <c r="N1429" i="1"/>
  <c r="M1429" i="1"/>
  <c r="C1429" i="1"/>
  <c r="H1429" i="1"/>
  <c r="F1429" i="1"/>
  <c r="B1429" i="1"/>
  <c r="D1428" i="1"/>
  <c r="E1428" i="1"/>
  <c r="G1428" i="1"/>
  <c r="I1428" i="1"/>
  <c r="J1428" i="1"/>
  <c r="L1428" i="1"/>
  <c r="N1428" i="1"/>
  <c r="M1428" i="1"/>
  <c r="C1428" i="1"/>
  <c r="H1428" i="1"/>
  <c r="F1428" i="1"/>
  <c r="B1428" i="1"/>
  <c r="D1427" i="1"/>
  <c r="E1427" i="1"/>
  <c r="G1427" i="1"/>
  <c r="I1427" i="1"/>
  <c r="J1427" i="1"/>
  <c r="L1427" i="1"/>
  <c r="N1427" i="1"/>
  <c r="M1427" i="1"/>
  <c r="C1427" i="1"/>
  <c r="H1427" i="1"/>
  <c r="F1427" i="1"/>
  <c r="B1427" i="1"/>
  <c r="D1426" i="1"/>
  <c r="E1426" i="1"/>
  <c r="G1426" i="1"/>
  <c r="I1426" i="1"/>
  <c r="J1426" i="1"/>
  <c r="L1426" i="1"/>
  <c r="N1426" i="1"/>
  <c r="M1426" i="1"/>
  <c r="C1426" i="1"/>
  <c r="H1426" i="1"/>
  <c r="F1426" i="1"/>
  <c r="B1426" i="1"/>
  <c r="D1425" i="1"/>
  <c r="E1425" i="1"/>
  <c r="G1425" i="1"/>
  <c r="I1425" i="1"/>
  <c r="J1425" i="1"/>
  <c r="L1425" i="1"/>
  <c r="N1425" i="1"/>
  <c r="M1425" i="1"/>
  <c r="C1425" i="1"/>
  <c r="H1425" i="1"/>
  <c r="F1425" i="1"/>
  <c r="B1425" i="1"/>
  <c r="D1424" i="1"/>
  <c r="E1424" i="1"/>
  <c r="G1424" i="1"/>
  <c r="I1424" i="1"/>
  <c r="J1424" i="1"/>
  <c r="L1424" i="1"/>
  <c r="N1424" i="1"/>
  <c r="M1424" i="1"/>
  <c r="C1424" i="1"/>
  <c r="H1424" i="1"/>
  <c r="F1424" i="1"/>
  <c r="B1424" i="1"/>
  <c r="D1423" i="1"/>
  <c r="E1423" i="1"/>
  <c r="G1423" i="1"/>
  <c r="I1423" i="1"/>
  <c r="J1423" i="1"/>
  <c r="L1423" i="1"/>
  <c r="N1423" i="1"/>
  <c r="M1423" i="1"/>
  <c r="C1423" i="1"/>
  <c r="H1423" i="1"/>
  <c r="F1423" i="1"/>
  <c r="B1423" i="1"/>
  <c r="D1422" i="1"/>
  <c r="E1422" i="1"/>
  <c r="G1422" i="1"/>
  <c r="I1422" i="1"/>
  <c r="J1422" i="1"/>
  <c r="L1422" i="1"/>
  <c r="N1422" i="1"/>
  <c r="M1422" i="1"/>
  <c r="C1422" i="1"/>
  <c r="H1422" i="1"/>
  <c r="F1422" i="1"/>
  <c r="B1422" i="1"/>
  <c r="D1421" i="1"/>
  <c r="E1421" i="1"/>
  <c r="G1421" i="1"/>
  <c r="I1421" i="1"/>
  <c r="J1421" i="1"/>
  <c r="L1421" i="1"/>
  <c r="N1421" i="1"/>
  <c r="M1421" i="1"/>
  <c r="C1421" i="1"/>
  <c r="H1421" i="1"/>
  <c r="F1421" i="1"/>
  <c r="B1421" i="1"/>
  <c r="D1420" i="1"/>
  <c r="E1420" i="1"/>
  <c r="G1420" i="1"/>
  <c r="I1420" i="1"/>
  <c r="J1420" i="1"/>
  <c r="L1420" i="1"/>
  <c r="N1420" i="1"/>
  <c r="M1420" i="1"/>
  <c r="C1420" i="1"/>
  <c r="H1420" i="1"/>
  <c r="F1420" i="1"/>
  <c r="B1420" i="1"/>
  <c r="D1419" i="1"/>
  <c r="E1419" i="1"/>
  <c r="G1419" i="1"/>
  <c r="I1419" i="1"/>
  <c r="J1419" i="1"/>
  <c r="L1419" i="1"/>
  <c r="N1419" i="1"/>
  <c r="M1419" i="1"/>
  <c r="C1419" i="1"/>
  <c r="H1419" i="1"/>
  <c r="F1419" i="1"/>
  <c r="B1419" i="1"/>
  <c r="D1418" i="1"/>
  <c r="E1418" i="1"/>
  <c r="G1418" i="1"/>
  <c r="I1418" i="1"/>
  <c r="J1418" i="1"/>
  <c r="L1418" i="1"/>
  <c r="N1418" i="1"/>
  <c r="M1418" i="1"/>
  <c r="C1418" i="1"/>
  <c r="H1418" i="1"/>
  <c r="F1418" i="1"/>
  <c r="B1418" i="1"/>
  <c r="D1417" i="1"/>
  <c r="E1417" i="1"/>
  <c r="G1417" i="1"/>
  <c r="I1417" i="1"/>
  <c r="J1417" i="1"/>
  <c r="L1417" i="1"/>
  <c r="N1417" i="1"/>
  <c r="M1417" i="1"/>
  <c r="C1417" i="1"/>
  <c r="H1417" i="1"/>
  <c r="F1417" i="1"/>
  <c r="B1417" i="1"/>
  <c r="D1416" i="1"/>
  <c r="E1416" i="1"/>
  <c r="G1416" i="1"/>
  <c r="I1416" i="1"/>
  <c r="J1416" i="1"/>
  <c r="L1416" i="1"/>
  <c r="N1416" i="1"/>
  <c r="M1416" i="1"/>
  <c r="C1416" i="1"/>
  <c r="H1416" i="1"/>
  <c r="F1416" i="1"/>
  <c r="B1416" i="1"/>
  <c r="D1415" i="1"/>
  <c r="E1415" i="1"/>
  <c r="G1415" i="1"/>
  <c r="I1415" i="1"/>
  <c r="J1415" i="1"/>
  <c r="L1415" i="1"/>
  <c r="N1415" i="1"/>
  <c r="M1415" i="1"/>
  <c r="C1415" i="1"/>
  <c r="H1415" i="1"/>
  <c r="F1415" i="1"/>
  <c r="B1415" i="1"/>
  <c r="D1414" i="1"/>
  <c r="E1414" i="1"/>
  <c r="G1414" i="1"/>
  <c r="I1414" i="1"/>
  <c r="J1414" i="1"/>
  <c r="L1414" i="1"/>
  <c r="N1414" i="1"/>
  <c r="M1414" i="1"/>
  <c r="C1414" i="1"/>
  <c r="H1414" i="1"/>
  <c r="F1414" i="1"/>
  <c r="B1414" i="1"/>
  <c r="D1413" i="1"/>
  <c r="E1413" i="1"/>
  <c r="G1413" i="1"/>
  <c r="I1413" i="1"/>
  <c r="J1413" i="1"/>
  <c r="L1413" i="1"/>
  <c r="N1413" i="1"/>
  <c r="M1413" i="1"/>
  <c r="C1413" i="1"/>
  <c r="H1413" i="1"/>
  <c r="F1413" i="1"/>
  <c r="B1413" i="1"/>
  <c r="D1412" i="1"/>
  <c r="E1412" i="1"/>
  <c r="G1412" i="1"/>
  <c r="I1412" i="1"/>
  <c r="J1412" i="1"/>
  <c r="L1412" i="1"/>
  <c r="N1412" i="1"/>
  <c r="M1412" i="1"/>
  <c r="C1412" i="1"/>
  <c r="H1412" i="1"/>
  <c r="F1412" i="1"/>
  <c r="B1412" i="1"/>
  <c r="D1411" i="1"/>
  <c r="E1411" i="1"/>
  <c r="G1411" i="1"/>
  <c r="I1411" i="1"/>
  <c r="J1411" i="1"/>
  <c r="L1411" i="1"/>
  <c r="N1411" i="1"/>
  <c r="M1411" i="1"/>
  <c r="C1411" i="1"/>
  <c r="H1411" i="1"/>
  <c r="F1411" i="1"/>
  <c r="B1411" i="1"/>
  <c r="D1410" i="1"/>
  <c r="E1410" i="1"/>
  <c r="G1410" i="1"/>
  <c r="I1410" i="1"/>
  <c r="J1410" i="1"/>
  <c r="L1410" i="1"/>
  <c r="N1410" i="1"/>
  <c r="M1410" i="1"/>
  <c r="C1410" i="1"/>
  <c r="H1410" i="1"/>
  <c r="F1410" i="1"/>
  <c r="B1410" i="1"/>
  <c r="D1409" i="1"/>
  <c r="E1409" i="1"/>
  <c r="G1409" i="1"/>
  <c r="I1409" i="1"/>
  <c r="J1409" i="1"/>
  <c r="L1409" i="1"/>
  <c r="N1409" i="1"/>
  <c r="M1409" i="1"/>
  <c r="C1409" i="1"/>
  <c r="H1409" i="1"/>
  <c r="F1409" i="1"/>
  <c r="B1409" i="1"/>
  <c r="D1408" i="1"/>
  <c r="E1408" i="1"/>
  <c r="G1408" i="1"/>
  <c r="I1408" i="1"/>
  <c r="J1408" i="1"/>
  <c r="L1408" i="1"/>
  <c r="N1408" i="1"/>
  <c r="M1408" i="1"/>
  <c r="C1408" i="1"/>
  <c r="H1408" i="1"/>
  <c r="F1408" i="1"/>
  <c r="B1408" i="1"/>
  <c r="D1407" i="1"/>
  <c r="E1407" i="1"/>
  <c r="G1407" i="1"/>
  <c r="I1407" i="1"/>
  <c r="J1407" i="1"/>
  <c r="L1407" i="1"/>
  <c r="N1407" i="1"/>
  <c r="M1407" i="1"/>
  <c r="C1407" i="1"/>
  <c r="H1407" i="1"/>
  <c r="F1407" i="1"/>
  <c r="B1407" i="1"/>
  <c r="D1406" i="1"/>
  <c r="E1406" i="1"/>
  <c r="G1406" i="1"/>
  <c r="I1406" i="1"/>
  <c r="J1406" i="1"/>
  <c r="L1406" i="1"/>
  <c r="N1406" i="1"/>
  <c r="M1406" i="1"/>
  <c r="C1406" i="1"/>
  <c r="H1406" i="1"/>
  <c r="F1406" i="1"/>
  <c r="B1406" i="1"/>
  <c r="D1405" i="1"/>
  <c r="E1405" i="1"/>
  <c r="G1405" i="1"/>
  <c r="I1405" i="1"/>
  <c r="J1405" i="1"/>
  <c r="L1405" i="1"/>
  <c r="N1405" i="1"/>
  <c r="M1405" i="1"/>
  <c r="C1405" i="1"/>
  <c r="H1405" i="1"/>
  <c r="F1405" i="1"/>
  <c r="B1405" i="1"/>
  <c r="D1404" i="1"/>
  <c r="E1404" i="1"/>
  <c r="G1404" i="1"/>
  <c r="I1404" i="1"/>
  <c r="J1404" i="1"/>
  <c r="L1404" i="1"/>
  <c r="N1404" i="1"/>
  <c r="M1404" i="1"/>
  <c r="C1404" i="1"/>
  <c r="H1404" i="1"/>
  <c r="F1404" i="1"/>
  <c r="B1404" i="1"/>
  <c r="D1403" i="1"/>
  <c r="E1403" i="1"/>
  <c r="G1403" i="1"/>
  <c r="I1403" i="1"/>
  <c r="J1403" i="1"/>
  <c r="L1403" i="1"/>
  <c r="N1403" i="1"/>
  <c r="M1403" i="1"/>
  <c r="C1403" i="1"/>
  <c r="H1403" i="1"/>
  <c r="F1403" i="1"/>
  <c r="B1403" i="1"/>
  <c r="D1402" i="1"/>
  <c r="E1402" i="1"/>
  <c r="G1402" i="1"/>
  <c r="I1402" i="1"/>
  <c r="J1402" i="1"/>
  <c r="L1402" i="1"/>
  <c r="N1402" i="1"/>
  <c r="M1402" i="1"/>
  <c r="C1402" i="1"/>
  <c r="H1402" i="1"/>
  <c r="F1402" i="1"/>
  <c r="B1402" i="1"/>
  <c r="D1401" i="1"/>
  <c r="E1401" i="1"/>
  <c r="G1401" i="1"/>
  <c r="I1401" i="1"/>
  <c r="J1401" i="1"/>
  <c r="L1401" i="1"/>
  <c r="N1401" i="1"/>
  <c r="M1401" i="1"/>
  <c r="C1401" i="1"/>
  <c r="H1401" i="1"/>
  <c r="F1401" i="1"/>
  <c r="B1401" i="1"/>
  <c r="D1400" i="1"/>
  <c r="E1400" i="1"/>
  <c r="G1400" i="1"/>
  <c r="I1400" i="1"/>
  <c r="J1400" i="1"/>
  <c r="L1400" i="1"/>
  <c r="N1400" i="1"/>
  <c r="M1400" i="1"/>
  <c r="C1400" i="1"/>
  <c r="H1400" i="1"/>
  <c r="F1400" i="1"/>
  <c r="B1400" i="1"/>
  <c r="D1399" i="1"/>
  <c r="E1399" i="1"/>
  <c r="G1399" i="1"/>
  <c r="I1399" i="1"/>
  <c r="J1399" i="1"/>
  <c r="L1399" i="1"/>
  <c r="N1399" i="1"/>
  <c r="M1399" i="1"/>
  <c r="C1399" i="1"/>
  <c r="H1399" i="1"/>
  <c r="F1399" i="1"/>
  <c r="B1399" i="1"/>
  <c r="D1398" i="1"/>
  <c r="E1398" i="1"/>
  <c r="G1398" i="1"/>
  <c r="I1398" i="1"/>
  <c r="J1398" i="1"/>
  <c r="L1398" i="1"/>
  <c r="N1398" i="1"/>
  <c r="M1398" i="1"/>
  <c r="C1398" i="1"/>
  <c r="H1398" i="1"/>
  <c r="F1398" i="1"/>
  <c r="B1398" i="1"/>
  <c r="D1397" i="1"/>
  <c r="E1397" i="1"/>
  <c r="G1397" i="1"/>
  <c r="I1397" i="1"/>
  <c r="J1397" i="1"/>
  <c r="L1397" i="1"/>
  <c r="N1397" i="1"/>
  <c r="M1397" i="1"/>
  <c r="C1397" i="1"/>
  <c r="H1397" i="1"/>
  <c r="F1397" i="1"/>
  <c r="B1397" i="1"/>
  <c r="D1396" i="1"/>
  <c r="E1396" i="1"/>
  <c r="G1396" i="1"/>
  <c r="I1396" i="1"/>
  <c r="J1396" i="1"/>
  <c r="L1396" i="1"/>
  <c r="N1396" i="1"/>
  <c r="M1396" i="1"/>
  <c r="C1396" i="1"/>
  <c r="H1396" i="1"/>
  <c r="F1396" i="1"/>
  <c r="B1396" i="1"/>
  <c r="D1395" i="1"/>
  <c r="E1395" i="1"/>
  <c r="G1395" i="1"/>
  <c r="I1395" i="1"/>
  <c r="J1395" i="1"/>
  <c r="L1395" i="1"/>
  <c r="N1395" i="1"/>
  <c r="M1395" i="1"/>
  <c r="C1395" i="1"/>
  <c r="H1395" i="1"/>
  <c r="F1395" i="1"/>
  <c r="B1395" i="1"/>
  <c r="D1394" i="1"/>
  <c r="E1394" i="1"/>
  <c r="G1394" i="1"/>
  <c r="I1394" i="1"/>
  <c r="J1394" i="1"/>
  <c r="L1394" i="1"/>
  <c r="N1394" i="1"/>
  <c r="M1394" i="1"/>
  <c r="C1394" i="1"/>
  <c r="H1394" i="1"/>
  <c r="F1394" i="1"/>
  <c r="B1394" i="1"/>
  <c r="D1393" i="1"/>
  <c r="E1393" i="1"/>
  <c r="G1393" i="1"/>
  <c r="I1393" i="1"/>
  <c r="J1393" i="1"/>
  <c r="L1393" i="1"/>
  <c r="N1393" i="1"/>
  <c r="M1393" i="1"/>
  <c r="C1393" i="1"/>
  <c r="H1393" i="1"/>
  <c r="F1393" i="1"/>
  <c r="B1393" i="1"/>
  <c r="D1392" i="1"/>
  <c r="E1392" i="1"/>
  <c r="G1392" i="1"/>
  <c r="I1392" i="1"/>
  <c r="J1392" i="1"/>
  <c r="L1392" i="1"/>
  <c r="N1392" i="1"/>
  <c r="M1392" i="1"/>
  <c r="C1392" i="1"/>
  <c r="H1392" i="1"/>
  <c r="F1392" i="1"/>
  <c r="B1392" i="1"/>
  <c r="D1391" i="1"/>
  <c r="E1391" i="1"/>
  <c r="G1391" i="1"/>
  <c r="I1391" i="1"/>
  <c r="J1391" i="1"/>
  <c r="L1391" i="1"/>
  <c r="N1391" i="1"/>
  <c r="M1391" i="1"/>
  <c r="C1391" i="1"/>
  <c r="H1391" i="1"/>
  <c r="F1391" i="1"/>
  <c r="B1391" i="1"/>
  <c r="D1390" i="1"/>
  <c r="E1390" i="1"/>
  <c r="G1390" i="1"/>
  <c r="I1390" i="1"/>
  <c r="J1390" i="1"/>
  <c r="L1390" i="1"/>
  <c r="N1390" i="1"/>
  <c r="M1390" i="1"/>
  <c r="C1390" i="1"/>
  <c r="H1390" i="1"/>
  <c r="F1390" i="1"/>
  <c r="B1390" i="1"/>
  <c r="D1389" i="1"/>
  <c r="E1389" i="1"/>
  <c r="G1389" i="1"/>
  <c r="I1389" i="1"/>
  <c r="J1389" i="1"/>
  <c r="L1389" i="1"/>
  <c r="N1389" i="1"/>
  <c r="M1389" i="1"/>
  <c r="C1389" i="1"/>
  <c r="H1389" i="1"/>
  <c r="F1389" i="1"/>
  <c r="B1389" i="1"/>
  <c r="D1388" i="1"/>
  <c r="E1388" i="1"/>
  <c r="G1388" i="1"/>
  <c r="I1388" i="1"/>
  <c r="J1388" i="1"/>
  <c r="L1388" i="1"/>
  <c r="N1388" i="1"/>
  <c r="M1388" i="1"/>
  <c r="C1388" i="1"/>
  <c r="H1388" i="1"/>
  <c r="F1388" i="1"/>
  <c r="B1388" i="1"/>
  <c r="D1387" i="1"/>
  <c r="E1387" i="1"/>
  <c r="G1387" i="1"/>
  <c r="I1387" i="1"/>
  <c r="J1387" i="1"/>
  <c r="L1387" i="1"/>
  <c r="N1387" i="1"/>
  <c r="M1387" i="1"/>
  <c r="C1387" i="1"/>
  <c r="H1387" i="1"/>
  <c r="F1387" i="1"/>
  <c r="B1387" i="1"/>
  <c r="D1386" i="1"/>
  <c r="E1386" i="1"/>
  <c r="G1386" i="1"/>
  <c r="I1386" i="1"/>
  <c r="J1386" i="1"/>
  <c r="L1386" i="1"/>
  <c r="N1386" i="1"/>
  <c r="M1386" i="1"/>
  <c r="C1386" i="1"/>
  <c r="H1386" i="1"/>
  <c r="F1386" i="1"/>
  <c r="B1386" i="1"/>
  <c r="D1385" i="1"/>
  <c r="E1385" i="1"/>
  <c r="G1385" i="1"/>
  <c r="I1385" i="1"/>
  <c r="J1385" i="1"/>
  <c r="L1385" i="1"/>
  <c r="N1385" i="1"/>
  <c r="M1385" i="1"/>
  <c r="C1385" i="1"/>
  <c r="H1385" i="1"/>
  <c r="F1385" i="1"/>
  <c r="B1385" i="1"/>
  <c r="D1384" i="1"/>
  <c r="E1384" i="1"/>
  <c r="G1384" i="1"/>
  <c r="I1384" i="1"/>
  <c r="J1384" i="1"/>
  <c r="L1384" i="1"/>
  <c r="N1384" i="1"/>
  <c r="M1384" i="1"/>
  <c r="C1384" i="1"/>
  <c r="H1384" i="1"/>
  <c r="F1384" i="1"/>
  <c r="B1384" i="1"/>
  <c r="D1383" i="1"/>
  <c r="E1383" i="1"/>
  <c r="G1383" i="1"/>
  <c r="I1383" i="1"/>
  <c r="J1383" i="1"/>
  <c r="L1383" i="1"/>
  <c r="N1383" i="1"/>
  <c r="M1383" i="1"/>
  <c r="C1383" i="1"/>
  <c r="H1383" i="1"/>
  <c r="F1383" i="1"/>
  <c r="B1383" i="1"/>
  <c r="D1382" i="1"/>
  <c r="E1382" i="1"/>
  <c r="G1382" i="1"/>
  <c r="I1382" i="1"/>
  <c r="J1382" i="1"/>
  <c r="L1382" i="1"/>
  <c r="N1382" i="1"/>
  <c r="M1382" i="1"/>
  <c r="C1382" i="1"/>
  <c r="H1382" i="1"/>
  <c r="F1382" i="1"/>
  <c r="B1382" i="1"/>
  <c r="D1381" i="1"/>
  <c r="E1381" i="1"/>
  <c r="G1381" i="1"/>
  <c r="I1381" i="1"/>
  <c r="J1381" i="1"/>
  <c r="L1381" i="1"/>
  <c r="N1381" i="1"/>
  <c r="M1381" i="1"/>
  <c r="C1381" i="1"/>
  <c r="H1381" i="1"/>
  <c r="F1381" i="1"/>
  <c r="B1381" i="1"/>
  <c r="D1380" i="1"/>
  <c r="E1380" i="1"/>
  <c r="G1380" i="1"/>
  <c r="I1380" i="1"/>
  <c r="J1380" i="1"/>
  <c r="L1380" i="1"/>
  <c r="N1380" i="1"/>
  <c r="M1380" i="1"/>
  <c r="C1380" i="1"/>
  <c r="H1380" i="1"/>
  <c r="F1380" i="1"/>
  <c r="B1380" i="1"/>
  <c r="D1379" i="1"/>
  <c r="E1379" i="1"/>
  <c r="G1379" i="1"/>
  <c r="I1379" i="1"/>
  <c r="J1379" i="1"/>
  <c r="L1379" i="1"/>
  <c r="N1379" i="1"/>
  <c r="M1379" i="1"/>
  <c r="C1379" i="1"/>
  <c r="H1379" i="1"/>
  <c r="F1379" i="1"/>
  <c r="B1379" i="1"/>
  <c r="D1378" i="1"/>
  <c r="E1378" i="1"/>
  <c r="G1378" i="1"/>
  <c r="I1378" i="1"/>
  <c r="J1378" i="1"/>
  <c r="L1378" i="1"/>
  <c r="N1378" i="1"/>
  <c r="M1378" i="1"/>
  <c r="C1378" i="1"/>
  <c r="H1378" i="1"/>
  <c r="F1378" i="1"/>
  <c r="B1378" i="1"/>
  <c r="D1377" i="1"/>
  <c r="E1377" i="1"/>
  <c r="G1377" i="1"/>
  <c r="I1377" i="1"/>
  <c r="J1377" i="1"/>
  <c r="L1377" i="1"/>
  <c r="N1377" i="1"/>
  <c r="M1377" i="1"/>
  <c r="C1377" i="1"/>
  <c r="H1377" i="1"/>
  <c r="F1377" i="1"/>
  <c r="B1377" i="1"/>
  <c r="D1376" i="1"/>
  <c r="E1376" i="1"/>
  <c r="G1376" i="1"/>
  <c r="I1376" i="1"/>
  <c r="J1376" i="1"/>
  <c r="L1376" i="1"/>
  <c r="N1376" i="1"/>
  <c r="M1376" i="1"/>
  <c r="C1376" i="1"/>
  <c r="H1376" i="1"/>
  <c r="F1376" i="1"/>
  <c r="B1376" i="1"/>
  <c r="D1375" i="1"/>
  <c r="E1375" i="1"/>
  <c r="G1375" i="1"/>
  <c r="I1375" i="1"/>
  <c r="J1375" i="1"/>
  <c r="L1375" i="1"/>
  <c r="N1375" i="1"/>
  <c r="M1375" i="1"/>
  <c r="C1375" i="1"/>
  <c r="H1375" i="1"/>
  <c r="F1375" i="1"/>
  <c r="B1375" i="1"/>
  <c r="D1374" i="1"/>
  <c r="E1374" i="1"/>
  <c r="G1374" i="1"/>
  <c r="I1374" i="1"/>
  <c r="J1374" i="1"/>
  <c r="L1374" i="1"/>
  <c r="N1374" i="1"/>
  <c r="M1374" i="1"/>
  <c r="C1374" i="1"/>
  <c r="H1374" i="1"/>
  <c r="F1374" i="1"/>
  <c r="B1374" i="1"/>
  <c r="D1373" i="1"/>
  <c r="E1373" i="1"/>
  <c r="G1373" i="1"/>
  <c r="I1373" i="1"/>
  <c r="J1373" i="1"/>
  <c r="L1373" i="1"/>
  <c r="N1373" i="1"/>
  <c r="M1373" i="1"/>
  <c r="C1373" i="1"/>
  <c r="H1373" i="1"/>
  <c r="F1373" i="1"/>
  <c r="B1373" i="1"/>
  <c r="D1372" i="1"/>
  <c r="E1372" i="1"/>
  <c r="G1372" i="1"/>
  <c r="I1372" i="1"/>
  <c r="J1372" i="1"/>
  <c r="L1372" i="1"/>
  <c r="N1372" i="1"/>
  <c r="M1372" i="1"/>
  <c r="C1372" i="1"/>
  <c r="H1372" i="1"/>
  <c r="F1372" i="1"/>
  <c r="B1372" i="1"/>
  <c r="D1371" i="1"/>
  <c r="E1371" i="1"/>
  <c r="G1371" i="1"/>
  <c r="I1371" i="1"/>
  <c r="J1371" i="1"/>
  <c r="L1371" i="1"/>
  <c r="N1371" i="1"/>
  <c r="M1371" i="1"/>
  <c r="C1371" i="1"/>
  <c r="H1371" i="1"/>
  <c r="F1371" i="1"/>
  <c r="B1371" i="1"/>
  <c r="D1370" i="1"/>
  <c r="E1370" i="1"/>
  <c r="G1370" i="1"/>
  <c r="I1370" i="1"/>
  <c r="J1370" i="1"/>
  <c r="L1370" i="1"/>
  <c r="N1370" i="1"/>
  <c r="M1370" i="1"/>
  <c r="C1370" i="1"/>
  <c r="H1370" i="1"/>
  <c r="F1370" i="1"/>
  <c r="B1370" i="1"/>
  <c r="D1369" i="1"/>
  <c r="E1369" i="1"/>
  <c r="G1369" i="1"/>
  <c r="I1369" i="1"/>
  <c r="J1369" i="1"/>
  <c r="L1369" i="1"/>
  <c r="N1369" i="1"/>
  <c r="M1369" i="1"/>
  <c r="C1369" i="1"/>
  <c r="H1369" i="1"/>
  <c r="F1369" i="1"/>
  <c r="B1369" i="1"/>
  <c r="D1368" i="1"/>
  <c r="E1368" i="1"/>
  <c r="G1368" i="1"/>
  <c r="I1368" i="1"/>
  <c r="J1368" i="1"/>
  <c r="L1368" i="1"/>
  <c r="N1368" i="1"/>
  <c r="M1368" i="1"/>
  <c r="C1368" i="1"/>
  <c r="H1368" i="1"/>
  <c r="F1368" i="1"/>
  <c r="B1368" i="1"/>
  <c r="D1367" i="1"/>
  <c r="E1367" i="1"/>
  <c r="G1367" i="1"/>
  <c r="I1367" i="1"/>
  <c r="J1367" i="1"/>
  <c r="L1367" i="1"/>
  <c r="N1367" i="1"/>
  <c r="M1367" i="1"/>
  <c r="C1367" i="1"/>
  <c r="H1367" i="1"/>
  <c r="F1367" i="1"/>
  <c r="B1367" i="1"/>
  <c r="D1366" i="1"/>
  <c r="E1366" i="1"/>
  <c r="G1366" i="1"/>
  <c r="I1366" i="1"/>
  <c r="J1366" i="1"/>
  <c r="L1366" i="1"/>
  <c r="N1366" i="1"/>
  <c r="M1366" i="1"/>
  <c r="C1366" i="1"/>
  <c r="H1366" i="1"/>
  <c r="F1366" i="1"/>
  <c r="B1366" i="1"/>
  <c r="D1365" i="1"/>
  <c r="E1365" i="1"/>
  <c r="G1365" i="1"/>
  <c r="I1365" i="1"/>
  <c r="J1365" i="1"/>
  <c r="L1365" i="1"/>
  <c r="N1365" i="1"/>
  <c r="M1365" i="1"/>
  <c r="C1365" i="1"/>
  <c r="H1365" i="1"/>
  <c r="F1365" i="1"/>
  <c r="B1365" i="1"/>
  <c r="D1364" i="1"/>
  <c r="E1364" i="1"/>
  <c r="G1364" i="1"/>
  <c r="I1364" i="1"/>
  <c r="J1364" i="1"/>
  <c r="L1364" i="1"/>
  <c r="N1364" i="1"/>
  <c r="M1364" i="1"/>
  <c r="C1364" i="1"/>
  <c r="H1364" i="1"/>
  <c r="F1364" i="1"/>
  <c r="B1364" i="1"/>
  <c r="D1363" i="1"/>
  <c r="E1363" i="1"/>
  <c r="G1363" i="1"/>
  <c r="I1363" i="1"/>
  <c r="J1363" i="1"/>
  <c r="L1363" i="1"/>
  <c r="N1363" i="1"/>
  <c r="M1363" i="1"/>
  <c r="C1363" i="1"/>
  <c r="H1363" i="1"/>
  <c r="F1363" i="1"/>
  <c r="B1363" i="1"/>
  <c r="D1362" i="1"/>
  <c r="E1362" i="1"/>
  <c r="G1362" i="1"/>
  <c r="I1362" i="1"/>
  <c r="J1362" i="1"/>
  <c r="L1362" i="1"/>
  <c r="N1362" i="1"/>
  <c r="M1362" i="1"/>
  <c r="C1362" i="1"/>
  <c r="H1362" i="1"/>
  <c r="F1362" i="1"/>
  <c r="B1362" i="1"/>
  <c r="D1361" i="1"/>
  <c r="E1361" i="1"/>
  <c r="G1361" i="1"/>
  <c r="I1361" i="1"/>
  <c r="J1361" i="1"/>
  <c r="L1361" i="1"/>
  <c r="N1361" i="1"/>
  <c r="M1361" i="1"/>
  <c r="C1361" i="1"/>
  <c r="H1361" i="1"/>
  <c r="F1361" i="1"/>
  <c r="B1361" i="1"/>
  <c r="D1360" i="1"/>
  <c r="E1360" i="1"/>
  <c r="G1360" i="1"/>
  <c r="I1360" i="1"/>
  <c r="J1360" i="1"/>
  <c r="L1360" i="1"/>
  <c r="N1360" i="1"/>
  <c r="M1360" i="1"/>
  <c r="C1360" i="1"/>
  <c r="H1360" i="1"/>
  <c r="F1360" i="1"/>
  <c r="B1360" i="1"/>
  <c r="D1359" i="1"/>
  <c r="E1359" i="1"/>
  <c r="G1359" i="1"/>
  <c r="I1359" i="1"/>
  <c r="J1359" i="1"/>
  <c r="L1359" i="1"/>
  <c r="N1359" i="1"/>
  <c r="M1359" i="1"/>
  <c r="C1359" i="1"/>
  <c r="H1359" i="1"/>
  <c r="F1359" i="1"/>
  <c r="B1359" i="1"/>
  <c r="D1358" i="1"/>
  <c r="E1358" i="1"/>
  <c r="G1358" i="1"/>
  <c r="I1358" i="1"/>
  <c r="J1358" i="1"/>
  <c r="L1358" i="1"/>
  <c r="N1358" i="1"/>
  <c r="M1358" i="1"/>
  <c r="C1358" i="1"/>
  <c r="H1358" i="1"/>
  <c r="F1358" i="1"/>
  <c r="B1358" i="1"/>
  <c r="D1357" i="1"/>
  <c r="E1357" i="1"/>
  <c r="G1357" i="1"/>
  <c r="I1357" i="1"/>
  <c r="J1357" i="1"/>
  <c r="L1357" i="1"/>
  <c r="N1357" i="1"/>
  <c r="M1357" i="1"/>
  <c r="C1357" i="1"/>
  <c r="H1357" i="1"/>
  <c r="F1357" i="1"/>
  <c r="B1357" i="1"/>
  <c r="D1356" i="1"/>
  <c r="E1356" i="1"/>
  <c r="G1356" i="1"/>
  <c r="I1356" i="1"/>
  <c r="J1356" i="1"/>
  <c r="L1356" i="1"/>
  <c r="N1356" i="1"/>
  <c r="M1356" i="1"/>
  <c r="C1356" i="1"/>
  <c r="H1356" i="1"/>
  <c r="F1356" i="1"/>
  <c r="B1356" i="1"/>
  <c r="D1355" i="1"/>
  <c r="E1355" i="1"/>
  <c r="G1355" i="1"/>
  <c r="I1355" i="1"/>
  <c r="J1355" i="1"/>
  <c r="L1355" i="1"/>
  <c r="N1355" i="1"/>
  <c r="M1355" i="1"/>
  <c r="C1355" i="1"/>
  <c r="H1355" i="1"/>
  <c r="F1355" i="1"/>
  <c r="B1355" i="1"/>
  <c r="D1354" i="1"/>
  <c r="E1354" i="1"/>
  <c r="G1354" i="1"/>
  <c r="I1354" i="1"/>
  <c r="J1354" i="1"/>
  <c r="L1354" i="1"/>
  <c r="N1354" i="1"/>
  <c r="M1354" i="1"/>
  <c r="C1354" i="1"/>
  <c r="H1354" i="1"/>
  <c r="F1354" i="1"/>
  <c r="B1354" i="1"/>
  <c r="D1353" i="1"/>
  <c r="E1353" i="1"/>
  <c r="G1353" i="1"/>
  <c r="I1353" i="1"/>
  <c r="J1353" i="1"/>
  <c r="L1353" i="1"/>
  <c r="N1353" i="1"/>
  <c r="M1353" i="1"/>
  <c r="C1353" i="1"/>
  <c r="H1353" i="1"/>
  <c r="F1353" i="1"/>
  <c r="B1353" i="1"/>
  <c r="D1352" i="1"/>
  <c r="E1352" i="1"/>
  <c r="G1352" i="1"/>
  <c r="I1352" i="1"/>
  <c r="J1352" i="1"/>
  <c r="L1352" i="1"/>
  <c r="N1352" i="1"/>
  <c r="M1352" i="1"/>
  <c r="C1352" i="1"/>
  <c r="H1352" i="1"/>
  <c r="F1352" i="1"/>
  <c r="B1352" i="1"/>
  <c r="D1351" i="1"/>
  <c r="E1351" i="1"/>
  <c r="G1351" i="1"/>
  <c r="I1351" i="1"/>
  <c r="J1351" i="1"/>
  <c r="L1351" i="1"/>
  <c r="N1351" i="1"/>
  <c r="M1351" i="1"/>
  <c r="C1351" i="1"/>
  <c r="H1351" i="1"/>
  <c r="F1351" i="1"/>
  <c r="B1351" i="1"/>
  <c r="D1350" i="1"/>
  <c r="E1350" i="1"/>
  <c r="G1350" i="1"/>
  <c r="I1350" i="1"/>
  <c r="J1350" i="1"/>
  <c r="L1350" i="1"/>
  <c r="N1350" i="1"/>
  <c r="M1350" i="1"/>
  <c r="C1350" i="1"/>
  <c r="H1350" i="1"/>
  <c r="F1350" i="1"/>
  <c r="B1350" i="1"/>
  <c r="D1349" i="1"/>
  <c r="E1349" i="1"/>
  <c r="G1349" i="1"/>
  <c r="I1349" i="1"/>
  <c r="J1349" i="1"/>
  <c r="L1349" i="1"/>
  <c r="N1349" i="1"/>
  <c r="M1349" i="1"/>
  <c r="C1349" i="1"/>
  <c r="H1349" i="1"/>
  <c r="F1349" i="1"/>
  <c r="B1349" i="1"/>
  <c r="D1348" i="1"/>
  <c r="E1348" i="1"/>
  <c r="G1348" i="1"/>
  <c r="I1348" i="1"/>
  <c r="J1348" i="1"/>
  <c r="L1348" i="1"/>
  <c r="N1348" i="1"/>
  <c r="M1348" i="1"/>
  <c r="C1348" i="1"/>
  <c r="H1348" i="1"/>
  <c r="F1348" i="1"/>
  <c r="B1348" i="1"/>
  <c r="D1347" i="1"/>
  <c r="E1347" i="1"/>
  <c r="G1347" i="1"/>
  <c r="I1347" i="1"/>
  <c r="J1347" i="1"/>
  <c r="L1347" i="1"/>
  <c r="N1347" i="1"/>
  <c r="M1347" i="1"/>
  <c r="C1347" i="1"/>
  <c r="H1347" i="1"/>
  <c r="F1347" i="1"/>
  <c r="B1347" i="1"/>
  <c r="D1346" i="1"/>
  <c r="E1346" i="1"/>
  <c r="G1346" i="1"/>
  <c r="I1346" i="1"/>
  <c r="J1346" i="1"/>
  <c r="L1346" i="1"/>
  <c r="N1346" i="1"/>
  <c r="M1346" i="1"/>
  <c r="C1346" i="1"/>
  <c r="H1346" i="1"/>
  <c r="F1346" i="1"/>
  <c r="B1346" i="1"/>
  <c r="D1345" i="1"/>
  <c r="E1345" i="1"/>
  <c r="G1345" i="1"/>
  <c r="I1345" i="1"/>
  <c r="J1345" i="1"/>
  <c r="L1345" i="1"/>
  <c r="N1345" i="1"/>
  <c r="M1345" i="1"/>
  <c r="C1345" i="1"/>
  <c r="H1345" i="1"/>
  <c r="F1345" i="1"/>
  <c r="B1345" i="1"/>
  <c r="D1344" i="1"/>
  <c r="E1344" i="1"/>
  <c r="G1344" i="1"/>
  <c r="I1344" i="1"/>
  <c r="J1344" i="1"/>
  <c r="L1344" i="1"/>
  <c r="N1344" i="1"/>
  <c r="M1344" i="1"/>
  <c r="C1344" i="1"/>
  <c r="H1344" i="1"/>
  <c r="F1344" i="1"/>
  <c r="B1344" i="1"/>
  <c r="D1343" i="1"/>
  <c r="E1343" i="1"/>
  <c r="G1343" i="1"/>
  <c r="I1343" i="1"/>
  <c r="J1343" i="1"/>
  <c r="L1343" i="1"/>
  <c r="N1343" i="1"/>
  <c r="M1343" i="1"/>
  <c r="C1343" i="1"/>
  <c r="H1343" i="1"/>
  <c r="F1343" i="1"/>
  <c r="B1343" i="1"/>
  <c r="D1342" i="1"/>
  <c r="E1342" i="1"/>
  <c r="G1342" i="1"/>
  <c r="I1342" i="1"/>
  <c r="J1342" i="1"/>
  <c r="L1342" i="1"/>
  <c r="N1342" i="1"/>
  <c r="M1342" i="1"/>
  <c r="C1342" i="1"/>
  <c r="H1342" i="1"/>
  <c r="F1342" i="1"/>
  <c r="B1342" i="1"/>
  <c r="D1341" i="1"/>
  <c r="E1341" i="1"/>
  <c r="G1341" i="1"/>
  <c r="I1341" i="1"/>
  <c r="J1341" i="1"/>
  <c r="L1341" i="1"/>
  <c r="N1341" i="1"/>
  <c r="M1341" i="1"/>
  <c r="C1341" i="1"/>
  <c r="H1341" i="1"/>
  <c r="F1341" i="1"/>
  <c r="B1341" i="1"/>
  <c r="D1340" i="1"/>
  <c r="E1340" i="1"/>
  <c r="G1340" i="1"/>
  <c r="I1340" i="1"/>
  <c r="J1340" i="1"/>
  <c r="L1340" i="1"/>
  <c r="N1340" i="1"/>
  <c r="M1340" i="1"/>
  <c r="C1340" i="1"/>
  <c r="H1340" i="1"/>
  <c r="F1340" i="1"/>
  <c r="B1340" i="1"/>
  <c r="D1339" i="1"/>
  <c r="E1339" i="1"/>
  <c r="G1339" i="1"/>
  <c r="I1339" i="1"/>
  <c r="J1339" i="1"/>
  <c r="L1339" i="1"/>
  <c r="N1339" i="1"/>
  <c r="M1339" i="1"/>
  <c r="C1339" i="1"/>
  <c r="H1339" i="1"/>
  <c r="F1339" i="1"/>
  <c r="B1339" i="1"/>
  <c r="D1338" i="1"/>
  <c r="E1338" i="1"/>
  <c r="G1338" i="1"/>
  <c r="I1338" i="1"/>
  <c r="J1338" i="1"/>
  <c r="L1338" i="1"/>
  <c r="N1338" i="1"/>
  <c r="M1338" i="1"/>
  <c r="C1338" i="1"/>
  <c r="H1338" i="1"/>
  <c r="F1338" i="1"/>
  <c r="B1338" i="1"/>
  <c r="D1337" i="1"/>
  <c r="E1337" i="1"/>
  <c r="G1337" i="1"/>
  <c r="I1337" i="1"/>
  <c r="J1337" i="1"/>
  <c r="L1337" i="1"/>
  <c r="N1337" i="1"/>
  <c r="M1337" i="1"/>
  <c r="C1337" i="1"/>
  <c r="H1337" i="1"/>
  <c r="F1337" i="1"/>
  <c r="B1337" i="1"/>
  <c r="D1336" i="1"/>
  <c r="E1336" i="1"/>
  <c r="G1336" i="1"/>
  <c r="I1336" i="1"/>
  <c r="J1336" i="1"/>
  <c r="L1336" i="1"/>
  <c r="N1336" i="1"/>
  <c r="M1336" i="1"/>
  <c r="C1336" i="1"/>
  <c r="H1336" i="1"/>
  <c r="F1336" i="1"/>
  <c r="B1336" i="1"/>
  <c r="D1335" i="1"/>
  <c r="E1335" i="1"/>
  <c r="G1335" i="1"/>
  <c r="I1335" i="1"/>
  <c r="J1335" i="1"/>
  <c r="L1335" i="1"/>
  <c r="N1335" i="1"/>
  <c r="M1335" i="1"/>
  <c r="C1335" i="1"/>
  <c r="H1335" i="1"/>
  <c r="F1335" i="1"/>
  <c r="B1335" i="1"/>
  <c r="D1334" i="1"/>
  <c r="E1334" i="1"/>
  <c r="G1334" i="1"/>
  <c r="I1334" i="1"/>
  <c r="J1334" i="1"/>
  <c r="L1334" i="1"/>
  <c r="N1334" i="1"/>
  <c r="M1334" i="1"/>
  <c r="C1334" i="1"/>
  <c r="H1334" i="1"/>
  <c r="F1334" i="1"/>
  <c r="B1334" i="1"/>
  <c r="D1333" i="1"/>
  <c r="E1333" i="1"/>
  <c r="G1333" i="1"/>
  <c r="I1333" i="1"/>
  <c r="J1333" i="1"/>
  <c r="L1333" i="1"/>
  <c r="N1333" i="1"/>
  <c r="M1333" i="1"/>
  <c r="C1333" i="1"/>
  <c r="H1333" i="1"/>
  <c r="F1333" i="1"/>
  <c r="B1333" i="1"/>
  <c r="D1332" i="1"/>
  <c r="E1332" i="1"/>
  <c r="G1332" i="1"/>
  <c r="I1332" i="1"/>
  <c r="J1332" i="1"/>
  <c r="L1332" i="1"/>
  <c r="N1332" i="1"/>
  <c r="M1332" i="1"/>
  <c r="C1332" i="1"/>
  <c r="H1332" i="1"/>
  <c r="F1332" i="1"/>
  <c r="B1332" i="1"/>
  <c r="D1331" i="1"/>
  <c r="E1331" i="1"/>
  <c r="G1331" i="1"/>
  <c r="I1331" i="1"/>
  <c r="J1331" i="1"/>
  <c r="L1331" i="1"/>
  <c r="N1331" i="1"/>
  <c r="M1331" i="1"/>
  <c r="C1331" i="1"/>
  <c r="H1331" i="1"/>
  <c r="F1331" i="1"/>
  <c r="B1331" i="1"/>
  <c r="D1330" i="1"/>
  <c r="E1330" i="1"/>
  <c r="G1330" i="1"/>
  <c r="I1330" i="1"/>
  <c r="J1330" i="1"/>
  <c r="L1330" i="1"/>
  <c r="N1330" i="1"/>
  <c r="M1330" i="1"/>
  <c r="C1330" i="1"/>
  <c r="H1330" i="1"/>
  <c r="F1330" i="1"/>
  <c r="B1330" i="1"/>
  <c r="D1329" i="1"/>
  <c r="E1329" i="1"/>
  <c r="G1329" i="1"/>
  <c r="I1329" i="1"/>
  <c r="J1329" i="1"/>
  <c r="L1329" i="1"/>
  <c r="N1329" i="1"/>
  <c r="M1329" i="1"/>
  <c r="C1329" i="1"/>
  <c r="H1329" i="1"/>
  <c r="F1329" i="1"/>
  <c r="B1329" i="1"/>
  <c r="D1328" i="1"/>
  <c r="E1328" i="1"/>
  <c r="G1328" i="1"/>
  <c r="I1328" i="1"/>
  <c r="J1328" i="1"/>
  <c r="L1328" i="1"/>
  <c r="N1328" i="1"/>
  <c r="M1328" i="1"/>
  <c r="C1328" i="1"/>
  <c r="H1328" i="1"/>
  <c r="F1328" i="1"/>
  <c r="B1328" i="1"/>
  <c r="D1327" i="1"/>
  <c r="E1327" i="1"/>
  <c r="G1327" i="1"/>
  <c r="I1327" i="1"/>
  <c r="J1327" i="1"/>
  <c r="L1327" i="1"/>
  <c r="N1327" i="1"/>
  <c r="M1327" i="1"/>
  <c r="C1327" i="1"/>
  <c r="H1327" i="1"/>
  <c r="F1327" i="1"/>
  <c r="B1327" i="1"/>
  <c r="D1326" i="1"/>
  <c r="E1326" i="1"/>
  <c r="G1326" i="1"/>
  <c r="I1326" i="1"/>
  <c r="J1326" i="1"/>
  <c r="L1326" i="1"/>
  <c r="N1326" i="1"/>
  <c r="M1326" i="1"/>
  <c r="C1326" i="1"/>
  <c r="H1326" i="1"/>
  <c r="F1326" i="1"/>
  <c r="B1326" i="1"/>
  <c r="D1325" i="1"/>
  <c r="E1325" i="1"/>
  <c r="G1325" i="1"/>
  <c r="I1325" i="1"/>
  <c r="J1325" i="1"/>
  <c r="L1325" i="1"/>
  <c r="N1325" i="1"/>
  <c r="M1325" i="1"/>
  <c r="C1325" i="1"/>
  <c r="H1325" i="1"/>
  <c r="F1325" i="1"/>
  <c r="B1325" i="1"/>
  <c r="D1324" i="1"/>
  <c r="E1324" i="1"/>
  <c r="G1324" i="1"/>
  <c r="I1324" i="1"/>
  <c r="J1324" i="1"/>
  <c r="L1324" i="1"/>
  <c r="N1324" i="1"/>
  <c r="M1324" i="1"/>
  <c r="C1324" i="1"/>
  <c r="H1324" i="1"/>
  <c r="F1324" i="1"/>
  <c r="B1324" i="1"/>
  <c r="D1323" i="1"/>
  <c r="E1323" i="1"/>
  <c r="G1323" i="1"/>
  <c r="I1323" i="1"/>
  <c r="J1323" i="1"/>
  <c r="L1323" i="1"/>
  <c r="N1323" i="1"/>
  <c r="M1323" i="1"/>
  <c r="C1323" i="1"/>
  <c r="H1323" i="1"/>
  <c r="F1323" i="1"/>
  <c r="B1323" i="1"/>
  <c r="D1322" i="1"/>
  <c r="E1322" i="1"/>
  <c r="G1322" i="1"/>
  <c r="I1322" i="1"/>
  <c r="J1322" i="1"/>
  <c r="L1322" i="1"/>
  <c r="N1322" i="1"/>
  <c r="M1322" i="1"/>
  <c r="C1322" i="1"/>
  <c r="H1322" i="1"/>
  <c r="F1322" i="1"/>
  <c r="B1322" i="1"/>
  <c r="D1321" i="1"/>
  <c r="E1321" i="1"/>
  <c r="G1321" i="1"/>
  <c r="I1321" i="1"/>
  <c r="J1321" i="1"/>
  <c r="L1321" i="1"/>
  <c r="N1321" i="1"/>
  <c r="M1321" i="1"/>
  <c r="C1321" i="1"/>
  <c r="H1321" i="1"/>
  <c r="F1321" i="1"/>
  <c r="B1321" i="1"/>
  <c r="D1320" i="1"/>
  <c r="E1320" i="1"/>
  <c r="G1320" i="1"/>
  <c r="I1320" i="1"/>
  <c r="J1320" i="1"/>
  <c r="L1320" i="1"/>
  <c r="N1320" i="1"/>
  <c r="M1320" i="1"/>
  <c r="C1320" i="1"/>
  <c r="H1320" i="1"/>
  <c r="F1320" i="1"/>
  <c r="B1320" i="1"/>
  <c r="D1319" i="1"/>
  <c r="E1319" i="1"/>
  <c r="G1319" i="1"/>
  <c r="I1319" i="1"/>
  <c r="J1319" i="1"/>
  <c r="L1319" i="1"/>
  <c r="N1319" i="1"/>
  <c r="M1319" i="1"/>
  <c r="C1319" i="1"/>
  <c r="H1319" i="1"/>
  <c r="F1319" i="1"/>
  <c r="B1319" i="1"/>
  <c r="D1318" i="1"/>
  <c r="E1318" i="1"/>
  <c r="G1318" i="1"/>
  <c r="I1318" i="1"/>
  <c r="J1318" i="1"/>
  <c r="L1318" i="1"/>
  <c r="N1318" i="1"/>
  <c r="M1318" i="1"/>
  <c r="C1318" i="1"/>
  <c r="H1318" i="1"/>
  <c r="F1318" i="1"/>
  <c r="B1318" i="1"/>
  <c r="D1317" i="1"/>
  <c r="E1317" i="1"/>
  <c r="G1317" i="1"/>
  <c r="I1317" i="1"/>
  <c r="J1317" i="1"/>
  <c r="L1317" i="1"/>
  <c r="N1317" i="1"/>
  <c r="M1317" i="1"/>
  <c r="C1317" i="1"/>
  <c r="H1317" i="1"/>
  <c r="F1317" i="1"/>
  <c r="B1317" i="1"/>
  <c r="D1316" i="1"/>
  <c r="E1316" i="1"/>
  <c r="G1316" i="1"/>
  <c r="I1316" i="1"/>
  <c r="J1316" i="1"/>
  <c r="L1316" i="1"/>
  <c r="N1316" i="1"/>
  <c r="M1316" i="1"/>
  <c r="C1316" i="1"/>
  <c r="H1316" i="1"/>
  <c r="F1316" i="1"/>
  <c r="B1316" i="1"/>
  <c r="D1315" i="1"/>
  <c r="E1315" i="1"/>
  <c r="G1315" i="1"/>
  <c r="I1315" i="1"/>
  <c r="J1315" i="1"/>
  <c r="L1315" i="1"/>
  <c r="N1315" i="1"/>
  <c r="M1315" i="1"/>
  <c r="C1315" i="1"/>
  <c r="H1315" i="1"/>
  <c r="F1315" i="1"/>
  <c r="B1315" i="1"/>
  <c r="D1314" i="1"/>
  <c r="E1314" i="1"/>
  <c r="G1314" i="1"/>
  <c r="I1314" i="1"/>
  <c r="J1314" i="1"/>
  <c r="L1314" i="1"/>
  <c r="N1314" i="1"/>
  <c r="M1314" i="1"/>
  <c r="C1314" i="1"/>
  <c r="H1314" i="1"/>
  <c r="F1314" i="1"/>
  <c r="B1314" i="1"/>
  <c r="D1313" i="1"/>
  <c r="E1313" i="1"/>
  <c r="G1313" i="1"/>
  <c r="I1313" i="1"/>
  <c r="J1313" i="1"/>
  <c r="L1313" i="1"/>
  <c r="N1313" i="1"/>
  <c r="M1313" i="1"/>
  <c r="C1313" i="1"/>
  <c r="H1313" i="1"/>
  <c r="F1313" i="1"/>
  <c r="B1313" i="1"/>
  <c r="D1312" i="1"/>
  <c r="E1312" i="1"/>
  <c r="G1312" i="1"/>
  <c r="I1312" i="1"/>
  <c r="J1312" i="1"/>
  <c r="L1312" i="1"/>
  <c r="N1312" i="1"/>
  <c r="M1312" i="1"/>
  <c r="C1312" i="1"/>
  <c r="H1312" i="1"/>
  <c r="F1312" i="1"/>
  <c r="B1312" i="1"/>
  <c r="D1311" i="1"/>
  <c r="E1311" i="1"/>
  <c r="G1311" i="1"/>
  <c r="I1311" i="1"/>
  <c r="J1311" i="1"/>
  <c r="L1311" i="1"/>
  <c r="N1311" i="1"/>
  <c r="M1311" i="1"/>
  <c r="C1311" i="1"/>
  <c r="H1311" i="1"/>
  <c r="F1311" i="1"/>
  <c r="B1311" i="1"/>
  <c r="D1310" i="1"/>
  <c r="E1310" i="1"/>
  <c r="G1310" i="1"/>
  <c r="I1310" i="1"/>
  <c r="J1310" i="1"/>
  <c r="L1310" i="1"/>
  <c r="N1310" i="1"/>
  <c r="M1310" i="1"/>
  <c r="C1310" i="1"/>
  <c r="H1310" i="1"/>
  <c r="F1310" i="1"/>
  <c r="B1310" i="1"/>
  <c r="D1309" i="1"/>
  <c r="E1309" i="1"/>
  <c r="G1309" i="1"/>
  <c r="I1309" i="1"/>
  <c r="J1309" i="1"/>
  <c r="L1309" i="1"/>
  <c r="N1309" i="1"/>
  <c r="M1309" i="1"/>
  <c r="C1309" i="1"/>
  <c r="H1309" i="1"/>
  <c r="F1309" i="1"/>
  <c r="B1309" i="1"/>
  <c r="D1308" i="1"/>
  <c r="E1308" i="1"/>
  <c r="G1308" i="1"/>
  <c r="I1308" i="1"/>
  <c r="J1308" i="1"/>
  <c r="L1308" i="1"/>
  <c r="N1308" i="1"/>
  <c r="M1308" i="1"/>
  <c r="C1308" i="1"/>
  <c r="H1308" i="1"/>
  <c r="F1308" i="1"/>
  <c r="B1308" i="1"/>
  <c r="D1307" i="1"/>
  <c r="E1307" i="1"/>
  <c r="G1307" i="1"/>
  <c r="I1307" i="1"/>
  <c r="J1307" i="1"/>
  <c r="L1307" i="1"/>
  <c r="N1307" i="1"/>
  <c r="M1307" i="1"/>
  <c r="C1307" i="1"/>
  <c r="H1307" i="1"/>
  <c r="F1307" i="1"/>
  <c r="B1307" i="1"/>
  <c r="D1306" i="1"/>
  <c r="E1306" i="1"/>
  <c r="G1306" i="1"/>
  <c r="I1306" i="1"/>
  <c r="J1306" i="1"/>
  <c r="L1306" i="1"/>
  <c r="N1306" i="1"/>
  <c r="M1306" i="1"/>
  <c r="C1306" i="1"/>
  <c r="H1306" i="1"/>
  <c r="F1306" i="1"/>
  <c r="B1306" i="1"/>
  <c r="D1305" i="1"/>
  <c r="E1305" i="1"/>
  <c r="G1305" i="1"/>
  <c r="I1305" i="1"/>
  <c r="J1305" i="1"/>
  <c r="L1305" i="1"/>
  <c r="N1305" i="1"/>
  <c r="M1305" i="1"/>
  <c r="C1305" i="1"/>
  <c r="H1305" i="1"/>
  <c r="F1305" i="1"/>
  <c r="B1305" i="1"/>
  <c r="D1304" i="1"/>
  <c r="E1304" i="1"/>
  <c r="G1304" i="1"/>
  <c r="I1304" i="1"/>
  <c r="J1304" i="1"/>
  <c r="L1304" i="1"/>
  <c r="N1304" i="1"/>
  <c r="M1304" i="1"/>
  <c r="C1304" i="1"/>
  <c r="H1304" i="1"/>
  <c r="F1304" i="1"/>
  <c r="B1304" i="1"/>
  <c r="D1303" i="1"/>
  <c r="E1303" i="1"/>
  <c r="G1303" i="1"/>
  <c r="I1303" i="1"/>
  <c r="J1303" i="1"/>
  <c r="L1303" i="1"/>
  <c r="N1303" i="1"/>
  <c r="M1303" i="1"/>
  <c r="C1303" i="1"/>
  <c r="H1303" i="1"/>
  <c r="F1303" i="1"/>
  <c r="B1303" i="1"/>
  <c r="D1302" i="1"/>
  <c r="E1302" i="1"/>
  <c r="G1302" i="1"/>
  <c r="I1302" i="1"/>
  <c r="J1302" i="1"/>
  <c r="L1302" i="1"/>
  <c r="N1302" i="1"/>
  <c r="M1302" i="1"/>
  <c r="C1302" i="1"/>
  <c r="H1302" i="1"/>
  <c r="F1302" i="1"/>
  <c r="B1302" i="1"/>
  <c r="D1301" i="1"/>
  <c r="E1301" i="1"/>
  <c r="G1301" i="1"/>
  <c r="I1301" i="1"/>
  <c r="J1301" i="1"/>
  <c r="L1301" i="1"/>
  <c r="N1301" i="1"/>
  <c r="M1301" i="1"/>
  <c r="C1301" i="1"/>
  <c r="H1301" i="1"/>
  <c r="F1301" i="1"/>
  <c r="B1301" i="1"/>
  <c r="D1300" i="1"/>
  <c r="E1300" i="1"/>
  <c r="G1300" i="1"/>
  <c r="I1300" i="1"/>
  <c r="J1300" i="1"/>
  <c r="L1300" i="1"/>
  <c r="N1300" i="1"/>
  <c r="M1300" i="1"/>
  <c r="C1300" i="1"/>
  <c r="H1300" i="1"/>
  <c r="F1300" i="1"/>
  <c r="B1300" i="1"/>
  <c r="D1299" i="1"/>
  <c r="E1299" i="1"/>
  <c r="G1299" i="1"/>
  <c r="I1299" i="1"/>
  <c r="J1299" i="1"/>
  <c r="L1299" i="1"/>
  <c r="N1299" i="1"/>
  <c r="M1299" i="1"/>
  <c r="C1299" i="1"/>
  <c r="H1299" i="1"/>
  <c r="F1299" i="1"/>
  <c r="B1299" i="1"/>
  <c r="D1298" i="1"/>
  <c r="E1298" i="1"/>
  <c r="G1298" i="1"/>
  <c r="I1298" i="1"/>
  <c r="J1298" i="1"/>
  <c r="L1298" i="1"/>
  <c r="N1298" i="1"/>
  <c r="M1298" i="1"/>
  <c r="C1298" i="1"/>
  <c r="H1298" i="1"/>
  <c r="F1298" i="1"/>
  <c r="B1298" i="1"/>
  <c r="D1297" i="1"/>
  <c r="E1297" i="1"/>
  <c r="G1297" i="1"/>
  <c r="I1297" i="1"/>
  <c r="J1297" i="1"/>
  <c r="L1297" i="1"/>
  <c r="N1297" i="1"/>
  <c r="M1297" i="1"/>
  <c r="C1297" i="1"/>
  <c r="H1297" i="1"/>
  <c r="F1297" i="1"/>
  <c r="B1297" i="1"/>
  <c r="D1296" i="1"/>
  <c r="E1296" i="1"/>
  <c r="G1296" i="1"/>
  <c r="I1296" i="1"/>
  <c r="J1296" i="1"/>
  <c r="L1296" i="1"/>
  <c r="N1296" i="1"/>
  <c r="M1296" i="1"/>
  <c r="C1296" i="1"/>
  <c r="H1296" i="1"/>
  <c r="F1296" i="1"/>
  <c r="B1296" i="1"/>
  <c r="D1295" i="1"/>
  <c r="E1295" i="1"/>
  <c r="G1295" i="1"/>
  <c r="I1295" i="1"/>
  <c r="J1295" i="1"/>
  <c r="L1295" i="1"/>
  <c r="N1295" i="1"/>
  <c r="M1295" i="1"/>
  <c r="C1295" i="1"/>
  <c r="H1295" i="1"/>
  <c r="F1295" i="1"/>
  <c r="B1295" i="1"/>
  <c r="D1294" i="1"/>
  <c r="E1294" i="1"/>
  <c r="G1294" i="1"/>
  <c r="I1294" i="1"/>
  <c r="J1294" i="1"/>
  <c r="L1294" i="1"/>
  <c r="N1294" i="1"/>
  <c r="M1294" i="1"/>
  <c r="C1294" i="1"/>
  <c r="H1294" i="1"/>
  <c r="F1294" i="1"/>
  <c r="B1294" i="1"/>
  <c r="D1293" i="1"/>
  <c r="E1293" i="1"/>
  <c r="G1293" i="1"/>
  <c r="I1293" i="1"/>
  <c r="J1293" i="1"/>
  <c r="L1293" i="1"/>
  <c r="N1293" i="1"/>
  <c r="M1293" i="1"/>
  <c r="C1293" i="1"/>
  <c r="H1293" i="1"/>
  <c r="F1293" i="1"/>
  <c r="B1293" i="1"/>
  <c r="D1292" i="1"/>
  <c r="E1292" i="1"/>
  <c r="G1292" i="1"/>
  <c r="I1292" i="1"/>
  <c r="J1292" i="1"/>
  <c r="L1292" i="1"/>
  <c r="N1292" i="1"/>
  <c r="M1292" i="1"/>
  <c r="C1292" i="1"/>
  <c r="H1292" i="1"/>
  <c r="F1292" i="1"/>
  <c r="B1292" i="1"/>
  <c r="D1291" i="1"/>
  <c r="E1291" i="1"/>
  <c r="G1291" i="1"/>
  <c r="I1291" i="1"/>
  <c r="J1291" i="1"/>
  <c r="L1291" i="1"/>
  <c r="N1291" i="1"/>
  <c r="M1291" i="1"/>
  <c r="C1291" i="1"/>
  <c r="H1291" i="1"/>
  <c r="F1291" i="1"/>
  <c r="B1291" i="1"/>
  <c r="D1290" i="1"/>
  <c r="E1290" i="1"/>
  <c r="G1290" i="1"/>
  <c r="I1290" i="1"/>
  <c r="J1290" i="1"/>
  <c r="L1290" i="1"/>
  <c r="N1290" i="1"/>
  <c r="M1290" i="1"/>
  <c r="C1290" i="1"/>
  <c r="H1290" i="1"/>
  <c r="F1290" i="1"/>
  <c r="B1290" i="1"/>
  <c r="D1289" i="1"/>
  <c r="E1289" i="1"/>
  <c r="G1289" i="1"/>
  <c r="I1289" i="1"/>
  <c r="J1289" i="1"/>
  <c r="L1289" i="1"/>
  <c r="N1289" i="1"/>
  <c r="M1289" i="1"/>
  <c r="C1289" i="1"/>
  <c r="H1289" i="1"/>
  <c r="F1289" i="1"/>
  <c r="B1289" i="1"/>
  <c r="D1288" i="1"/>
  <c r="E1288" i="1"/>
  <c r="G1288" i="1"/>
  <c r="I1288" i="1"/>
  <c r="J1288" i="1"/>
  <c r="L1288" i="1"/>
  <c r="N1288" i="1"/>
  <c r="M1288" i="1"/>
  <c r="C1288" i="1"/>
  <c r="H1288" i="1"/>
  <c r="F1288" i="1"/>
  <c r="B1288" i="1"/>
  <c r="D1287" i="1"/>
  <c r="E1287" i="1"/>
  <c r="G1287" i="1"/>
  <c r="I1287" i="1"/>
  <c r="J1287" i="1"/>
  <c r="L1287" i="1"/>
  <c r="N1287" i="1"/>
  <c r="M1287" i="1"/>
  <c r="C1287" i="1"/>
  <c r="H1287" i="1"/>
  <c r="F1287" i="1"/>
  <c r="B1287" i="1"/>
  <c r="D1286" i="1"/>
  <c r="E1286" i="1"/>
  <c r="G1286" i="1"/>
  <c r="I1286" i="1"/>
  <c r="J1286" i="1"/>
  <c r="L1286" i="1"/>
  <c r="N1286" i="1"/>
  <c r="M1286" i="1"/>
  <c r="C1286" i="1"/>
  <c r="H1286" i="1"/>
  <c r="F1286" i="1"/>
  <c r="B1286" i="1"/>
  <c r="D1285" i="1"/>
  <c r="E1285" i="1"/>
  <c r="G1285" i="1"/>
  <c r="I1285" i="1"/>
  <c r="J1285" i="1"/>
  <c r="L1285" i="1"/>
  <c r="N1285" i="1"/>
  <c r="M1285" i="1"/>
  <c r="C1285" i="1"/>
  <c r="H1285" i="1"/>
  <c r="F1285" i="1"/>
  <c r="B1285" i="1"/>
  <c r="D1284" i="1"/>
  <c r="E1284" i="1"/>
  <c r="G1284" i="1"/>
  <c r="I1284" i="1"/>
  <c r="J1284" i="1"/>
  <c r="L1284" i="1"/>
  <c r="N1284" i="1"/>
  <c r="M1284" i="1"/>
  <c r="C1284" i="1"/>
  <c r="H1284" i="1"/>
  <c r="F1284" i="1"/>
  <c r="B1284" i="1"/>
  <c r="D1283" i="1"/>
  <c r="E1283" i="1"/>
  <c r="G1283" i="1"/>
  <c r="I1283" i="1"/>
  <c r="J1283" i="1"/>
  <c r="L1283" i="1"/>
  <c r="N1283" i="1"/>
  <c r="M1283" i="1"/>
  <c r="C1283" i="1"/>
  <c r="H1283" i="1"/>
  <c r="F1283" i="1"/>
  <c r="B1283" i="1"/>
  <c r="D1282" i="1"/>
  <c r="E1282" i="1"/>
  <c r="G1282" i="1"/>
  <c r="I1282" i="1"/>
  <c r="J1282" i="1"/>
  <c r="L1282" i="1"/>
  <c r="N1282" i="1"/>
  <c r="M1282" i="1"/>
  <c r="C1282" i="1"/>
  <c r="H1282" i="1"/>
  <c r="F1282" i="1"/>
  <c r="B1282" i="1"/>
  <c r="D1281" i="1"/>
  <c r="E1281" i="1"/>
  <c r="G1281" i="1"/>
  <c r="I1281" i="1"/>
  <c r="J1281" i="1"/>
  <c r="L1281" i="1"/>
  <c r="N1281" i="1"/>
  <c r="M1281" i="1"/>
  <c r="C1281" i="1"/>
  <c r="H1281" i="1"/>
  <c r="F1281" i="1"/>
  <c r="B1281" i="1"/>
  <c r="D1280" i="1"/>
  <c r="E1280" i="1"/>
  <c r="G1280" i="1"/>
  <c r="I1280" i="1"/>
  <c r="J1280" i="1"/>
  <c r="L1280" i="1"/>
  <c r="N1280" i="1"/>
  <c r="M1280" i="1"/>
  <c r="C1280" i="1"/>
  <c r="H1280" i="1"/>
  <c r="F1280" i="1"/>
  <c r="B1280" i="1"/>
  <c r="D1279" i="1"/>
  <c r="E1279" i="1"/>
  <c r="G1279" i="1"/>
  <c r="I1279" i="1"/>
  <c r="J1279" i="1"/>
  <c r="L1279" i="1"/>
  <c r="N1279" i="1"/>
  <c r="M1279" i="1"/>
  <c r="C1279" i="1"/>
  <c r="H1279" i="1"/>
  <c r="F1279" i="1"/>
  <c r="B1279" i="1"/>
  <c r="D1278" i="1"/>
  <c r="E1278" i="1"/>
  <c r="G1278" i="1"/>
  <c r="I1278" i="1"/>
  <c r="J1278" i="1"/>
  <c r="L1278" i="1"/>
  <c r="N1278" i="1"/>
  <c r="M1278" i="1"/>
  <c r="C1278" i="1"/>
  <c r="H1278" i="1"/>
  <c r="F1278" i="1"/>
  <c r="B1278" i="1"/>
  <c r="D1277" i="1"/>
  <c r="E1277" i="1"/>
  <c r="G1277" i="1"/>
  <c r="I1277" i="1"/>
  <c r="J1277" i="1"/>
  <c r="L1277" i="1"/>
  <c r="N1277" i="1"/>
  <c r="M1277" i="1"/>
  <c r="C1277" i="1"/>
  <c r="H1277" i="1"/>
  <c r="F1277" i="1"/>
  <c r="B1277" i="1"/>
  <c r="D1276" i="1"/>
  <c r="E1276" i="1"/>
  <c r="G1276" i="1"/>
  <c r="I1276" i="1"/>
  <c r="J1276" i="1"/>
  <c r="L1276" i="1"/>
  <c r="N1276" i="1"/>
  <c r="M1276" i="1"/>
  <c r="C1276" i="1"/>
  <c r="H1276" i="1"/>
  <c r="F1276" i="1"/>
  <c r="B1276" i="1"/>
  <c r="D1275" i="1"/>
  <c r="E1275" i="1"/>
  <c r="G1275" i="1"/>
  <c r="I1275" i="1"/>
  <c r="J1275" i="1"/>
  <c r="L1275" i="1"/>
  <c r="N1275" i="1"/>
  <c r="M1275" i="1"/>
  <c r="C1275" i="1"/>
  <c r="H1275" i="1"/>
  <c r="F1275" i="1"/>
  <c r="B1275" i="1"/>
  <c r="D1274" i="1"/>
  <c r="E1274" i="1"/>
  <c r="G1274" i="1"/>
  <c r="I1274" i="1"/>
  <c r="J1274" i="1"/>
  <c r="L1274" i="1"/>
  <c r="N1274" i="1"/>
  <c r="M1274" i="1"/>
  <c r="C1274" i="1"/>
  <c r="H1274" i="1"/>
  <c r="F1274" i="1"/>
  <c r="B1274" i="1"/>
  <c r="D1273" i="1"/>
  <c r="E1273" i="1"/>
  <c r="G1273" i="1"/>
  <c r="I1273" i="1"/>
  <c r="J1273" i="1"/>
  <c r="L1273" i="1"/>
  <c r="N1273" i="1"/>
  <c r="M1273" i="1"/>
  <c r="C1273" i="1"/>
  <c r="H1273" i="1"/>
  <c r="F1273" i="1"/>
  <c r="B1273" i="1"/>
  <c r="D1272" i="1"/>
  <c r="E1272" i="1"/>
  <c r="G1272" i="1"/>
  <c r="I1272" i="1"/>
  <c r="J1272" i="1"/>
  <c r="L1272" i="1"/>
  <c r="N1272" i="1"/>
  <c r="M1272" i="1"/>
  <c r="C1272" i="1"/>
  <c r="H1272" i="1"/>
  <c r="F1272" i="1"/>
  <c r="B1272" i="1"/>
  <c r="D1271" i="1"/>
  <c r="E1271" i="1"/>
  <c r="G1271" i="1"/>
  <c r="I1271" i="1"/>
  <c r="J1271" i="1"/>
  <c r="L1271" i="1"/>
  <c r="N1271" i="1"/>
  <c r="M1271" i="1"/>
  <c r="C1271" i="1"/>
  <c r="H1271" i="1"/>
  <c r="F1271" i="1"/>
  <c r="B1271" i="1"/>
  <c r="D1270" i="1"/>
  <c r="E1270" i="1"/>
  <c r="G1270" i="1"/>
  <c r="I1270" i="1"/>
  <c r="J1270" i="1"/>
  <c r="L1270" i="1"/>
  <c r="N1270" i="1"/>
  <c r="M1270" i="1"/>
  <c r="C1270" i="1"/>
  <c r="H1270" i="1"/>
  <c r="F1270" i="1"/>
  <c r="B1270" i="1"/>
  <c r="D1269" i="1"/>
  <c r="E1269" i="1"/>
  <c r="G1269" i="1"/>
  <c r="I1269" i="1"/>
  <c r="J1269" i="1"/>
  <c r="L1269" i="1"/>
  <c r="N1269" i="1"/>
  <c r="M1269" i="1"/>
  <c r="C1269" i="1"/>
  <c r="H1269" i="1"/>
  <c r="F1269" i="1"/>
  <c r="B1269" i="1"/>
  <c r="D1268" i="1"/>
  <c r="E1268" i="1"/>
  <c r="G1268" i="1"/>
  <c r="I1268" i="1"/>
  <c r="J1268" i="1"/>
  <c r="L1268" i="1"/>
  <c r="N1268" i="1"/>
  <c r="M1268" i="1"/>
  <c r="C1268" i="1"/>
  <c r="H1268" i="1"/>
  <c r="F1268" i="1"/>
  <c r="B1268" i="1"/>
  <c r="D1267" i="1"/>
  <c r="E1267" i="1"/>
  <c r="G1267" i="1"/>
  <c r="I1267" i="1"/>
  <c r="J1267" i="1"/>
  <c r="L1267" i="1"/>
  <c r="N1267" i="1"/>
  <c r="M1267" i="1"/>
  <c r="C1267" i="1"/>
  <c r="H1267" i="1"/>
  <c r="F1267" i="1"/>
  <c r="B1267" i="1"/>
  <c r="D1266" i="1"/>
  <c r="E1266" i="1"/>
  <c r="G1266" i="1"/>
  <c r="I1266" i="1"/>
  <c r="J1266" i="1"/>
  <c r="L1266" i="1"/>
  <c r="N1266" i="1"/>
  <c r="M1266" i="1"/>
  <c r="C1266" i="1"/>
  <c r="H1266" i="1"/>
  <c r="F1266" i="1"/>
  <c r="B1266" i="1"/>
  <c r="D1265" i="1"/>
  <c r="E1265" i="1"/>
  <c r="G1265" i="1"/>
  <c r="I1265" i="1"/>
  <c r="J1265" i="1"/>
  <c r="L1265" i="1"/>
  <c r="N1265" i="1"/>
  <c r="M1265" i="1"/>
  <c r="C1265" i="1"/>
  <c r="H1265" i="1"/>
  <c r="F1265" i="1"/>
  <c r="B1265" i="1"/>
  <c r="D1264" i="1"/>
  <c r="E1264" i="1"/>
  <c r="G1264" i="1"/>
  <c r="I1264" i="1"/>
  <c r="J1264" i="1"/>
  <c r="L1264" i="1"/>
  <c r="N1264" i="1"/>
  <c r="M1264" i="1"/>
  <c r="C1264" i="1"/>
  <c r="H1264" i="1"/>
  <c r="F1264" i="1"/>
  <c r="B1264" i="1"/>
  <c r="D1263" i="1"/>
  <c r="E1263" i="1"/>
  <c r="G1263" i="1"/>
  <c r="I1263" i="1"/>
  <c r="J1263" i="1"/>
  <c r="L1263" i="1"/>
  <c r="N1263" i="1"/>
  <c r="M1263" i="1"/>
  <c r="C1263" i="1"/>
  <c r="H1263" i="1"/>
  <c r="F1263" i="1"/>
  <c r="B1263" i="1"/>
  <c r="D1262" i="1"/>
  <c r="E1262" i="1"/>
  <c r="G1262" i="1"/>
  <c r="I1262" i="1"/>
  <c r="J1262" i="1"/>
  <c r="L1262" i="1"/>
  <c r="N1262" i="1"/>
  <c r="M1262" i="1"/>
  <c r="C1262" i="1"/>
  <c r="H1262" i="1"/>
  <c r="F1262" i="1"/>
  <c r="B1262" i="1"/>
  <c r="D1261" i="1"/>
  <c r="E1261" i="1"/>
  <c r="G1261" i="1"/>
  <c r="I1261" i="1"/>
  <c r="J1261" i="1"/>
  <c r="L1261" i="1"/>
  <c r="N1261" i="1"/>
  <c r="M1261" i="1"/>
  <c r="C1261" i="1"/>
  <c r="H1261" i="1"/>
  <c r="F1261" i="1"/>
  <c r="B1261" i="1"/>
  <c r="D1260" i="1"/>
  <c r="E1260" i="1"/>
  <c r="G1260" i="1"/>
  <c r="I1260" i="1"/>
  <c r="J1260" i="1"/>
  <c r="L1260" i="1"/>
  <c r="N1260" i="1"/>
  <c r="M1260" i="1"/>
  <c r="C1260" i="1"/>
  <c r="H1260" i="1"/>
  <c r="F1260" i="1"/>
  <c r="B1260" i="1"/>
  <c r="D1259" i="1"/>
  <c r="E1259" i="1"/>
  <c r="G1259" i="1"/>
  <c r="I1259" i="1"/>
  <c r="J1259" i="1"/>
  <c r="L1259" i="1"/>
  <c r="N1259" i="1"/>
  <c r="M1259" i="1"/>
  <c r="C1259" i="1"/>
  <c r="H1259" i="1"/>
  <c r="F1259" i="1"/>
  <c r="B1259" i="1"/>
  <c r="D1258" i="1"/>
  <c r="E1258" i="1"/>
  <c r="G1258" i="1"/>
  <c r="I1258" i="1"/>
  <c r="J1258" i="1"/>
  <c r="L1258" i="1"/>
  <c r="N1258" i="1"/>
  <c r="M1258" i="1"/>
  <c r="C1258" i="1"/>
  <c r="H1258" i="1"/>
  <c r="F1258" i="1"/>
  <c r="B1258" i="1"/>
  <c r="D1257" i="1"/>
  <c r="E1257" i="1"/>
  <c r="G1257" i="1"/>
  <c r="I1257" i="1"/>
  <c r="J1257" i="1"/>
  <c r="L1257" i="1"/>
  <c r="N1257" i="1"/>
  <c r="M1257" i="1"/>
  <c r="C1257" i="1"/>
  <c r="H1257" i="1"/>
  <c r="F1257" i="1"/>
  <c r="B1257" i="1"/>
  <c r="D1256" i="1"/>
  <c r="E1256" i="1"/>
  <c r="G1256" i="1"/>
  <c r="I1256" i="1"/>
  <c r="J1256" i="1"/>
  <c r="L1256" i="1"/>
  <c r="N1256" i="1"/>
  <c r="M1256" i="1"/>
  <c r="C1256" i="1"/>
  <c r="H1256" i="1"/>
  <c r="F1256" i="1"/>
  <c r="B1256" i="1"/>
  <c r="D1255" i="1"/>
  <c r="E1255" i="1"/>
  <c r="G1255" i="1"/>
  <c r="I1255" i="1"/>
  <c r="J1255" i="1"/>
  <c r="L1255" i="1"/>
  <c r="N1255" i="1"/>
  <c r="M1255" i="1"/>
  <c r="C1255" i="1"/>
  <c r="H1255" i="1"/>
  <c r="F1255" i="1"/>
  <c r="B1255" i="1"/>
  <c r="D1254" i="1"/>
  <c r="E1254" i="1"/>
  <c r="G1254" i="1"/>
  <c r="I1254" i="1"/>
  <c r="J1254" i="1"/>
  <c r="L1254" i="1"/>
  <c r="N1254" i="1"/>
  <c r="M1254" i="1"/>
  <c r="C1254" i="1"/>
  <c r="H1254" i="1"/>
  <c r="F1254" i="1"/>
  <c r="B1254" i="1"/>
  <c r="D1253" i="1"/>
  <c r="E1253" i="1"/>
  <c r="G1253" i="1"/>
  <c r="I1253" i="1"/>
  <c r="J1253" i="1"/>
  <c r="L1253" i="1"/>
  <c r="N1253" i="1"/>
  <c r="M1253" i="1"/>
  <c r="C1253" i="1"/>
  <c r="H1253" i="1"/>
  <c r="F1253" i="1"/>
  <c r="B1253" i="1"/>
  <c r="D1252" i="1"/>
  <c r="E1252" i="1"/>
  <c r="G1252" i="1"/>
  <c r="I1252" i="1"/>
  <c r="J1252" i="1"/>
  <c r="L1252" i="1"/>
  <c r="N1252" i="1"/>
  <c r="M1252" i="1"/>
  <c r="C1252" i="1"/>
  <c r="H1252" i="1"/>
  <c r="F1252" i="1"/>
  <c r="B1252" i="1"/>
  <c r="D1251" i="1"/>
  <c r="E1251" i="1"/>
  <c r="G1251" i="1"/>
  <c r="I1251" i="1"/>
  <c r="J1251" i="1"/>
  <c r="L1251" i="1"/>
  <c r="N1251" i="1"/>
  <c r="M1251" i="1"/>
  <c r="C1251" i="1"/>
  <c r="H1251" i="1"/>
  <c r="F1251" i="1"/>
  <c r="B1251" i="1"/>
  <c r="D1250" i="1"/>
  <c r="E1250" i="1"/>
  <c r="G1250" i="1"/>
  <c r="I1250" i="1"/>
  <c r="J1250" i="1"/>
  <c r="L1250" i="1"/>
  <c r="N1250" i="1"/>
  <c r="M1250" i="1"/>
  <c r="C1250" i="1"/>
  <c r="H1250" i="1"/>
  <c r="F1250" i="1"/>
  <c r="B1250" i="1"/>
  <c r="D1249" i="1"/>
  <c r="E1249" i="1"/>
  <c r="G1249" i="1"/>
  <c r="I1249" i="1"/>
  <c r="J1249" i="1"/>
  <c r="L1249" i="1"/>
  <c r="N1249" i="1"/>
  <c r="M1249" i="1"/>
  <c r="C1249" i="1"/>
  <c r="H1249" i="1"/>
  <c r="F1249" i="1"/>
  <c r="B1249" i="1"/>
  <c r="D1248" i="1"/>
  <c r="E1248" i="1"/>
  <c r="G1248" i="1"/>
  <c r="I1248" i="1"/>
  <c r="J1248" i="1"/>
  <c r="L1248" i="1"/>
  <c r="N1248" i="1"/>
  <c r="M1248" i="1"/>
  <c r="C1248" i="1"/>
  <c r="H1248" i="1"/>
  <c r="F1248" i="1"/>
  <c r="B1248" i="1"/>
  <c r="D1247" i="1"/>
  <c r="E1247" i="1"/>
  <c r="G1247" i="1"/>
  <c r="I1247" i="1"/>
  <c r="J1247" i="1"/>
  <c r="L1247" i="1"/>
  <c r="N1247" i="1"/>
  <c r="M1247" i="1"/>
  <c r="C1247" i="1"/>
  <c r="H1247" i="1"/>
  <c r="F1247" i="1"/>
  <c r="B1247" i="1"/>
  <c r="D1246" i="1"/>
  <c r="E1246" i="1"/>
  <c r="G1246" i="1"/>
  <c r="I1246" i="1"/>
  <c r="J1246" i="1"/>
  <c r="L1246" i="1"/>
  <c r="N1246" i="1"/>
  <c r="M1246" i="1"/>
  <c r="C1246" i="1"/>
  <c r="H1246" i="1"/>
  <c r="F1246" i="1"/>
  <c r="B1246" i="1"/>
  <c r="D1245" i="1"/>
  <c r="E1245" i="1"/>
  <c r="G1245" i="1"/>
  <c r="I1245" i="1"/>
  <c r="J1245" i="1"/>
  <c r="L1245" i="1"/>
  <c r="N1245" i="1"/>
  <c r="M1245" i="1"/>
  <c r="C1245" i="1"/>
  <c r="H1245" i="1"/>
  <c r="F1245" i="1"/>
  <c r="B1245" i="1"/>
  <c r="D1244" i="1"/>
  <c r="E1244" i="1"/>
  <c r="G1244" i="1"/>
  <c r="I1244" i="1"/>
  <c r="J1244" i="1"/>
  <c r="L1244" i="1"/>
  <c r="N1244" i="1"/>
  <c r="M1244" i="1"/>
  <c r="C1244" i="1"/>
  <c r="H1244" i="1"/>
  <c r="F1244" i="1"/>
  <c r="B1244" i="1"/>
  <c r="D1243" i="1"/>
  <c r="E1243" i="1"/>
  <c r="G1243" i="1"/>
  <c r="I1243" i="1"/>
  <c r="J1243" i="1"/>
  <c r="L1243" i="1"/>
  <c r="N1243" i="1"/>
  <c r="M1243" i="1"/>
  <c r="C1243" i="1"/>
  <c r="H1243" i="1"/>
  <c r="F1243" i="1"/>
  <c r="B1243" i="1"/>
  <c r="D1242" i="1"/>
  <c r="E1242" i="1"/>
  <c r="G1242" i="1"/>
  <c r="I1242" i="1"/>
  <c r="J1242" i="1"/>
  <c r="L1242" i="1"/>
  <c r="N1242" i="1"/>
  <c r="M1242" i="1"/>
  <c r="C1242" i="1"/>
  <c r="H1242" i="1"/>
  <c r="F1242" i="1"/>
  <c r="B1242" i="1"/>
  <c r="D1241" i="1"/>
  <c r="E1241" i="1"/>
  <c r="G1241" i="1"/>
  <c r="I1241" i="1"/>
  <c r="J1241" i="1"/>
  <c r="L1241" i="1"/>
  <c r="N1241" i="1"/>
  <c r="M1241" i="1"/>
  <c r="C1241" i="1"/>
  <c r="H1241" i="1"/>
  <c r="F1241" i="1"/>
  <c r="B1241" i="1"/>
  <c r="D1240" i="1"/>
  <c r="E1240" i="1"/>
  <c r="G1240" i="1"/>
  <c r="I1240" i="1"/>
  <c r="J1240" i="1"/>
  <c r="L1240" i="1"/>
  <c r="N1240" i="1"/>
  <c r="M1240" i="1"/>
  <c r="C1240" i="1"/>
  <c r="H1240" i="1"/>
  <c r="F1240" i="1"/>
  <c r="B1240" i="1"/>
  <c r="D1239" i="1"/>
  <c r="E1239" i="1"/>
  <c r="G1239" i="1"/>
  <c r="I1239" i="1"/>
  <c r="J1239" i="1"/>
  <c r="L1239" i="1"/>
  <c r="N1239" i="1"/>
  <c r="M1239" i="1"/>
  <c r="C1239" i="1"/>
  <c r="H1239" i="1"/>
  <c r="F1239" i="1"/>
  <c r="B1239" i="1"/>
  <c r="D1238" i="1"/>
  <c r="E1238" i="1"/>
  <c r="G1238" i="1"/>
  <c r="I1238" i="1"/>
  <c r="J1238" i="1"/>
  <c r="L1238" i="1"/>
  <c r="N1238" i="1"/>
  <c r="M1238" i="1"/>
  <c r="C1238" i="1"/>
  <c r="H1238" i="1"/>
  <c r="F1238" i="1"/>
  <c r="B1238" i="1"/>
  <c r="D1237" i="1"/>
  <c r="E1237" i="1"/>
  <c r="G1237" i="1"/>
  <c r="I1237" i="1"/>
  <c r="J1237" i="1"/>
  <c r="L1237" i="1"/>
  <c r="N1237" i="1"/>
  <c r="M1237" i="1"/>
  <c r="C1237" i="1"/>
  <c r="H1237" i="1"/>
  <c r="F1237" i="1"/>
  <c r="B1237" i="1"/>
  <c r="D1236" i="1"/>
  <c r="E1236" i="1"/>
  <c r="G1236" i="1"/>
  <c r="I1236" i="1"/>
  <c r="J1236" i="1"/>
  <c r="L1236" i="1"/>
  <c r="N1236" i="1"/>
  <c r="M1236" i="1"/>
  <c r="C1236" i="1"/>
  <c r="H1236" i="1"/>
  <c r="F1236" i="1"/>
  <c r="B1236" i="1"/>
  <c r="D1235" i="1"/>
  <c r="E1235" i="1"/>
  <c r="G1235" i="1"/>
  <c r="I1235" i="1"/>
  <c r="J1235" i="1"/>
  <c r="L1235" i="1"/>
  <c r="N1235" i="1"/>
  <c r="M1235" i="1"/>
  <c r="C1235" i="1"/>
  <c r="H1235" i="1"/>
  <c r="F1235" i="1"/>
  <c r="B1235" i="1"/>
  <c r="D1234" i="1"/>
  <c r="E1234" i="1"/>
  <c r="G1234" i="1"/>
  <c r="I1234" i="1"/>
  <c r="J1234" i="1"/>
  <c r="L1234" i="1"/>
  <c r="N1234" i="1"/>
  <c r="M1234" i="1"/>
  <c r="C1234" i="1"/>
  <c r="H1234" i="1"/>
  <c r="F1234" i="1"/>
  <c r="B1234" i="1"/>
  <c r="D1233" i="1"/>
  <c r="E1233" i="1"/>
  <c r="G1233" i="1"/>
  <c r="I1233" i="1"/>
  <c r="J1233" i="1"/>
  <c r="L1233" i="1"/>
  <c r="N1233" i="1"/>
  <c r="M1233" i="1"/>
  <c r="C1233" i="1"/>
  <c r="H1233" i="1"/>
  <c r="F1233" i="1"/>
  <c r="B1233" i="1"/>
  <c r="D1232" i="1"/>
  <c r="E1232" i="1"/>
  <c r="G1232" i="1"/>
  <c r="I1232" i="1"/>
  <c r="J1232" i="1"/>
  <c r="L1232" i="1"/>
  <c r="N1232" i="1"/>
  <c r="M1232" i="1"/>
  <c r="C1232" i="1"/>
  <c r="H1232" i="1"/>
  <c r="F1232" i="1"/>
  <c r="B1232" i="1"/>
  <c r="D1231" i="1"/>
  <c r="E1231" i="1"/>
  <c r="G1231" i="1"/>
  <c r="I1231" i="1"/>
  <c r="J1231" i="1"/>
  <c r="L1231" i="1"/>
  <c r="N1231" i="1"/>
  <c r="M1231" i="1"/>
  <c r="C1231" i="1"/>
  <c r="H1231" i="1"/>
  <c r="F1231" i="1"/>
  <c r="B1231" i="1"/>
  <c r="D1230" i="1"/>
  <c r="E1230" i="1"/>
  <c r="G1230" i="1"/>
  <c r="I1230" i="1"/>
  <c r="J1230" i="1"/>
  <c r="L1230" i="1"/>
  <c r="N1230" i="1"/>
  <c r="M1230" i="1"/>
  <c r="C1230" i="1"/>
  <c r="H1230" i="1"/>
  <c r="F1230" i="1"/>
  <c r="B1230" i="1"/>
  <c r="D1229" i="1"/>
  <c r="E1229" i="1"/>
  <c r="G1229" i="1"/>
  <c r="I1229" i="1"/>
  <c r="J1229" i="1"/>
  <c r="L1229" i="1"/>
  <c r="N1229" i="1"/>
  <c r="M1229" i="1"/>
  <c r="C1229" i="1"/>
  <c r="H1229" i="1"/>
  <c r="F1229" i="1"/>
  <c r="B1229" i="1"/>
  <c r="D1228" i="1"/>
  <c r="E1228" i="1"/>
  <c r="G1228" i="1"/>
  <c r="I1228" i="1"/>
  <c r="J1228" i="1"/>
  <c r="L1228" i="1"/>
  <c r="N1228" i="1"/>
  <c r="M1228" i="1"/>
  <c r="C1228" i="1"/>
  <c r="H1228" i="1"/>
  <c r="F1228" i="1"/>
  <c r="B1228" i="1"/>
  <c r="D1227" i="1"/>
  <c r="E1227" i="1"/>
  <c r="G1227" i="1"/>
  <c r="I1227" i="1"/>
  <c r="J1227" i="1"/>
  <c r="L1227" i="1"/>
  <c r="N1227" i="1"/>
  <c r="M1227" i="1"/>
  <c r="C1227" i="1"/>
  <c r="H1227" i="1"/>
  <c r="F1227" i="1"/>
  <c r="B1227" i="1"/>
  <c r="D1226" i="1"/>
  <c r="E1226" i="1"/>
  <c r="G1226" i="1"/>
  <c r="I1226" i="1"/>
  <c r="J1226" i="1"/>
  <c r="L1226" i="1"/>
  <c r="N1226" i="1"/>
  <c r="M1226" i="1"/>
  <c r="C1226" i="1"/>
  <c r="H1226" i="1"/>
  <c r="F1226" i="1"/>
  <c r="B1226" i="1"/>
  <c r="D1225" i="1"/>
  <c r="E1225" i="1"/>
  <c r="G1225" i="1"/>
  <c r="I1225" i="1"/>
  <c r="J1225" i="1"/>
  <c r="L1225" i="1"/>
  <c r="N1225" i="1"/>
  <c r="M1225" i="1"/>
  <c r="C1225" i="1"/>
  <c r="H1225" i="1"/>
  <c r="F1225" i="1"/>
  <c r="B1225" i="1"/>
  <c r="D1224" i="1"/>
  <c r="E1224" i="1"/>
  <c r="G1224" i="1"/>
  <c r="I1224" i="1"/>
  <c r="J1224" i="1"/>
  <c r="L1224" i="1"/>
  <c r="N1224" i="1"/>
  <c r="M1224" i="1"/>
  <c r="C1224" i="1"/>
  <c r="H1224" i="1"/>
  <c r="F1224" i="1"/>
  <c r="B1224" i="1"/>
  <c r="D1223" i="1"/>
  <c r="E1223" i="1"/>
  <c r="G1223" i="1"/>
  <c r="I1223" i="1"/>
  <c r="J1223" i="1"/>
  <c r="L1223" i="1"/>
  <c r="N1223" i="1"/>
  <c r="M1223" i="1"/>
  <c r="C1223" i="1"/>
  <c r="H1223" i="1"/>
  <c r="F1223" i="1"/>
  <c r="B1223" i="1"/>
  <c r="D1222" i="1"/>
  <c r="E1222" i="1"/>
  <c r="G1222" i="1"/>
  <c r="I1222" i="1"/>
  <c r="J1222" i="1"/>
  <c r="L1222" i="1"/>
  <c r="N1222" i="1"/>
  <c r="M1222" i="1"/>
  <c r="C1222" i="1"/>
  <c r="H1222" i="1"/>
  <c r="F1222" i="1"/>
  <c r="B1222" i="1"/>
  <c r="D1221" i="1"/>
  <c r="E1221" i="1"/>
  <c r="G1221" i="1"/>
  <c r="I1221" i="1"/>
  <c r="J1221" i="1"/>
  <c r="L1221" i="1"/>
  <c r="N1221" i="1"/>
  <c r="M1221" i="1"/>
  <c r="C1221" i="1"/>
  <c r="H1221" i="1"/>
  <c r="F1221" i="1"/>
  <c r="B1221" i="1"/>
  <c r="D1220" i="1"/>
  <c r="E1220" i="1"/>
  <c r="G1220" i="1"/>
  <c r="I1220" i="1"/>
  <c r="J1220" i="1"/>
  <c r="L1220" i="1"/>
  <c r="N1220" i="1"/>
  <c r="M1220" i="1"/>
  <c r="C1220" i="1"/>
  <c r="H1220" i="1"/>
  <c r="F1220" i="1"/>
  <c r="B1220" i="1"/>
  <c r="D1219" i="1"/>
  <c r="E1219" i="1"/>
  <c r="G1219" i="1"/>
  <c r="I1219" i="1"/>
  <c r="J1219" i="1"/>
  <c r="L1219" i="1"/>
  <c r="N1219" i="1"/>
  <c r="M1219" i="1"/>
  <c r="C1219" i="1"/>
  <c r="H1219" i="1"/>
  <c r="F1219" i="1"/>
  <c r="B1219" i="1"/>
  <c r="D1218" i="1"/>
  <c r="E1218" i="1"/>
  <c r="G1218" i="1"/>
  <c r="I1218" i="1"/>
  <c r="J1218" i="1"/>
  <c r="L1218" i="1"/>
  <c r="N1218" i="1"/>
  <c r="M1218" i="1"/>
  <c r="C1218" i="1"/>
  <c r="H1218" i="1"/>
  <c r="F1218" i="1"/>
  <c r="B1218" i="1"/>
  <c r="D1217" i="1"/>
  <c r="E1217" i="1"/>
  <c r="G1217" i="1"/>
  <c r="I1217" i="1"/>
  <c r="J1217" i="1"/>
  <c r="L1217" i="1"/>
  <c r="N1217" i="1"/>
  <c r="M1217" i="1"/>
  <c r="C1217" i="1"/>
  <c r="H1217" i="1"/>
  <c r="F1217" i="1"/>
  <c r="B1217" i="1"/>
  <c r="D1216" i="1"/>
  <c r="E1216" i="1"/>
  <c r="G1216" i="1"/>
  <c r="I1216" i="1"/>
  <c r="J1216" i="1"/>
  <c r="L1216" i="1"/>
  <c r="N1216" i="1"/>
  <c r="M1216" i="1"/>
  <c r="C1216" i="1"/>
  <c r="H1216" i="1"/>
  <c r="F1216" i="1"/>
  <c r="B1216" i="1"/>
  <c r="D1215" i="1"/>
  <c r="E1215" i="1"/>
  <c r="G1215" i="1"/>
  <c r="I1215" i="1"/>
  <c r="J1215" i="1"/>
  <c r="L1215" i="1"/>
  <c r="N1215" i="1"/>
  <c r="M1215" i="1"/>
  <c r="C1215" i="1"/>
  <c r="H1215" i="1"/>
  <c r="F1215" i="1"/>
  <c r="B1215" i="1"/>
  <c r="D1214" i="1"/>
  <c r="E1214" i="1"/>
  <c r="G1214" i="1"/>
  <c r="I1214" i="1"/>
  <c r="J1214" i="1"/>
  <c r="L1214" i="1"/>
  <c r="N1214" i="1"/>
  <c r="M1214" i="1"/>
  <c r="C1214" i="1"/>
  <c r="H1214" i="1"/>
  <c r="F1214" i="1"/>
  <c r="B1214" i="1"/>
  <c r="D1213" i="1"/>
  <c r="E1213" i="1"/>
  <c r="G1213" i="1"/>
  <c r="I1213" i="1"/>
  <c r="J1213" i="1"/>
  <c r="L1213" i="1"/>
  <c r="N1213" i="1"/>
  <c r="M1213" i="1"/>
  <c r="C1213" i="1"/>
  <c r="H1213" i="1"/>
  <c r="F1213" i="1"/>
  <c r="B1213" i="1"/>
  <c r="D1212" i="1"/>
  <c r="E1212" i="1"/>
  <c r="G1212" i="1"/>
  <c r="I1212" i="1"/>
  <c r="J1212" i="1"/>
  <c r="L1212" i="1"/>
  <c r="N1212" i="1"/>
  <c r="M1212" i="1"/>
  <c r="C1212" i="1"/>
  <c r="H1212" i="1"/>
  <c r="F1212" i="1"/>
  <c r="B1212" i="1"/>
  <c r="D1211" i="1"/>
  <c r="E1211" i="1"/>
  <c r="G1211" i="1"/>
  <c r="I1211" i="1"/>
  <c r="J1211" i="1"/>
  <c r="L1211" i="1"/>
  <c r="N1211" i="1"/>
  <c r="M1211" i="1"/>
  <c r="C1211" i="1"/>
  <c r="H1211" i="1"/>
  <c r="F1211" i="1"/>
  <c r="B1211" i="1"/>
  <c r="D1210" i="1"/>
  <c r="E1210" i="1"/>
  <c r="G1210" i="1"/>
  <c r="I1210" i="1"/>
  <c r="J1210" i="1"/>
  <c r="L1210" i="1"/>
  <c r="N1210" i="1"/>
  <c r="M1210" i="1"/>
  <c r="C1210" i="1"/>
  <c r="H1210" i="1"/>
  <c r="F1210" i="1"/>
  <c r="B1210" i="1"/>
  <c r="D1209" i="1"/>
  <c r="E1209" i="1"/>
  <c r="G1209" i="1"/>
  <c r="I1209" i="1"/>
  <c r="J1209" i="1"/>
  <c r="L1209" i="1"/>
  <c r="N1209" i="1"/>
  <c r="M1209" i="1"/>
  <c r="C1209" i="1"/>
  <c r="H1209" i="1"/>
  <c r="F1209" i="1"/>
  <c r="B1209" i="1"/>
  <c r="D1208" i="1"/>
  <c r="E1208" i="1"/>
  <c r="G1208" i="1"/>
  <c r="I1208" i="1"/>
  <c r="J1208" i="1"/>
  <c r="L1208" i="1"/>
  <c r="N1208" i="1"/>
  <c r="M1208" i="1"/>
  <c r="C1208" i="1"/>
  <c r="H1208" i="1"/>
  <c r="F1208" i="1"/>
  <c r="B1208" i="1"/>
  <c r="D1207" i="1"/>
  <c r="E1207" i="1"/>
  <c r="G1207" i="1"/>
  <c r="I1207" i="1"/>
  <c r="J1207" i="1"/>
  <c r="L1207" i="1"/>
  <c r="N1207" i="1"/>
  <c r="M1207" i="1"/>
  <c r="C1207" i="1"/>
  <c r="H1207" i="1"/>
  <c r="F1207" i="1"/>
  <c r="B1207" i="1"/>
  <c r="D1206" i="1"/>
  <c r="E1206" i="1"/>
  <c r="G1206" i="1"/>
  <c r="I1206" i="1"/>
  <c r="J1206" i="1"/>
  <c r="L1206" i="1"/>
  <c r="N1206" i="1"/>
  <c r="M1206" i="1"/>
  <c r="C1206" i="1"/>
  <c r="H1206" i="1"/>
  <c r="F1206" i="1"/>
  <c r="B1206" i="1"/>
  <c r="D1205" i="1"/>
  <c r="E1205" i="1"/>
  <c r="G1205" i="1"/>
  <c r="I1205" i="1"/>
  <c r="J1205" i="1"/>
  <c r="L1205" i="1"/>
  <c r="N1205" i="1"/>
  <c r="M1205" i="1"/>
  <c r="C1205" i="1"/>
  <c r="H1205" i="1"/>
  <c r="F1205" i="1"/>
  <c r="B1205" i="1"/>
  <c r="D1204" i="1"/>
  <c r="E1204" i="1"/>
  <c r="G1204" i="1"/>
  <c r="I1204" i="1"/>
  <c r="J1204" i="1"/>
  <c r="L1204" i="1"/>
  <c r="N1204" i="1"/>
  <c r="M1204" i="1"/>
  <c r="C1204" i="1"/>
  <c r="H1204" i="1"/>
  <c r="F1204" i="1"/>
  <c r="B1204" i="1"/>
  <c r="D1203" i="1"/>
  <c r="E1203" i="1"/>
  <c r="G1203" i="1"/>
  <c r="I1203" i="1"/>
  <c r="J1203" i="1"/>
  <c r="L1203" i="1"/>
  <c r="N1203" i="1"/>
  <c r="M1203" i="1"/>
  <c r="C1203" i="1"/>
  <c r="H1203" i="1"/>
  <c r="F1203" i="1"/>
  <c r="B1203" i="1"/>
  <c r="D1202" i="1"/>
  <c r="E1202" i="1"/>
  <c r="G1202" i="1"/>
  <c r="I1202" i="1"/>
  <c r="J1202" i="1"/>
  <c r="L1202" i="1"/>
  <c r="N1202" i="1"/>
  <c r="M1202" i="1"/>
  <c r="C1202" i="1"/>
  <c r="H1202" i="1"/>
  <c r="F1202" i="1"/>
  <c r="B1202" i="1"/>
  <c r="D1201" i="1"/>
  <c r="E1201" i="1"/>
  <c r="G1201" i="1"/>
  <c r="I1201" i="1"/>
  <c r="J1201" i="1"/>
  <c r="L1201" i="1"/>
  <c r="N1201" i="1"/>
  <c r="M1201" i="1"/>
  <c r="C1201" i="1"/>
  <c r="H1201" i="1"/>
  <c r="F1201" i="1"/>
  <c r="B1201" i="1"/>
  <c r="D1200" i="1"/>
  <c r="E1200" i="1"/>
  <c r="G1200" i="1"/>
  <c r="I1200" i="1"/>
  <c r="J1200" i="1"/>
  <c r="L1200" i="1"/>
  <c r="N1200" i="1"/>
  <c r="M1200" i="1"/>
  <c r="C1200" i="1"/>
  <c r="H1200" i="1"/>
  <c r="F1200" i="1"/>
  <c r="B1200" i="1"/>
  <c r="D1199" i="1"/>
  <c r="E1199" i="1"/>
  <c r="G1199" i="1"/>
  <c r="I1199" i="1"/>
  <c r="J1199" i="1"/>
  <c r="L1199" i="1"/>
  <c r="N1199" i="1"/>
  <c r="M1199" i="1"/>
  <c r="C1199" i="1"/>
  <c r="H1199" i="1"/>
  <c r="F1199" i="1"/>
  <c r="B1199" i="1"/>
  <c r="D1198" i="1"/>
  <c r="E1198" i="1"/>
  <c r="G1198" i="1"/>
  <c r="I1198" i="1"/>
  <c r="J1198" i="1"/>
  <c r="L1198" i="1"/>
  <c r="N1198" i="1"/>
  <c r="M1198" i="1"/>
  <c r="C1198" i="1"/>
  <c r="H1198" i="1"/>
  <c r="F1198" i="1"/>
  <c r="B1198" i="1"/>
  <c r="D1197" i="1"/>
  <c r="E1197" i="1"/>
  <c r="G1197" i="1"/>
  <c r="I1197" i="1"/>
  <c r="J1197" i="1"/>
  <c r="L1197" i="1"/>
  <c r="N1197" i="1"/>
  <c r="M1197" i="1"/>
  <c r="C1197" i="1"/>
  <c r="H1197" i="1"/>
  <c r="F1197" i="1"/>
  <c r="B1197" i="1"/>
  <c r="D1196" i="1"/>
  <c r="E1196" i="1"/>
  <c r="G1196" i="1"/>
  <c r="I1196" i="1"/>
  <c r="J1196" i="1"/>
  <c r="L1196" i="1"/>
  <c r="N1196" i="1"/>
  <c r="M1196" i="1"/>
  <c r="C1196" i="1"/>
  <c r="H1196" i="1"/>
  <c r="F1196" i="1"/>
  <c r="B1196" i="1"/>
  <c r="D1195" i="1"/>
  <c r="E1195" i="1"/>
  <c r="G1195" i="1"/>
  <c r="I1195" i="1"/>
  <c r="J1195" i="1"/>
  <c r="L1195" i="1"/>
  <c r="N1195" i="1"/>
  <c r="M1195" i="1"/>
  <c r="C1195" i="1"/>
  <c r="H1195" i="1"/>
  <c r="F1195" i="1"/>
  <c r="B1195" i="1"/>
  <c r="D1194" i="1"/>
  <c r="E1194" i="1"/>
  <c r="G1194" i="1"/>
  <c r="I1194" i="1"/>
  <c r="J1194" i="1"/>
  <c r="L1194" i="1"/>
  <c r="N1194" i="1"/>
  <c r="M1194" i="1"/>
  <c r="C1194" i="1"/>
  <c r="H1194" i="1"/>
  <c r="F1194" i="1"/>
  <c r="B1194" i="1"/>
  <c r="D1193" i="1"/>
  <c r="E1193" i="1"/>
  <c r="G1193" i="1"/>
  <c r="I1193" i="1"/>
  <c r="J1193" i="1"/>
  <c r="L1193" i="1"/>
  <c r="N1193" i="1"/>
  <c r="M1193" i="1"/>
  <c r="C1193" i="1"/>
  <c r="H1193" i="1"/>
  <c r="F1193" i="1"/>
  <c r="B1193" i="1"/>
  <c r="D1192" i="1"/>
  <c r="E1192" i="1"/>
  <c r="G1192" i="1"/>
  <c r="I1192" i="1"/>
  <c r="J1192" i="1"/>
  <c r="L1192" i="1"/>
  <c r="N1192" i="1"/>
  <c r="M1192" i="1"/>
  <c r="C1192" i="1"/>
  <c r="H1192" i="1"/>
  <c r="F1192" i="1"/>
  <c r="B1192" i="1"/>
  <c r="D1191" i="1"/>
  <c r="E1191" i="1"/>
  <c r="G1191" i="1"/>
  <c r="I1191" i="1"/>
  <c r="J1191" i="1"/>
  <c r="L1191" i="1"/>
  <c r="N1191" i="1"/>
  <c r="M1191" i="1"/>
  <c r="C1191" i="1"/>
  <c r="H1191" i="1"/>
  <c r="F1191" i="1"/>
  <c r="B1191" i="1"/>
  <c r="D1190" i="1"/>
  <c r="E1190" i="1"/>
  <c r="G1190" i="1"/>
  <c r="I1190" i="1"/>
  <c r="J1190" i="1"/>
  <c r="L1190" i="1"/>
  <c r="N1190" i="1"/>
  <c r="M1190" i="1"/>
  <c r="C1190" i="1"/>
  <c r="H1190" i="1"/>
  <c r="F1190" i="1"/>
  <c r="B1190" i="1"/>
  <c r="D1189" i="1"/>
  <c r="E1189" i="1"/>
  <c r="G1189" i="1"/>
  <c r="I1189" i="1"/>
  <c r="J1189" i="1"/>
  <c r="L1189" i="1"/>
  <c r="N1189" i="1"/>
  <c r="M1189" i="1"/>
  <c r="C1189" i="1"/>
  <c r="H1189" i="1"/>
  <c r="F1189" i="1"/>
  <c r="B1189" i="1"/>
  <c r="D1188" i="1"/>
  <c r="E1188" i="1"/>
  <c r="G1188" i="1"/>
  <c r="I1188" i="1"/>
  <c r="J1188" i="1"/>
  <c r="L1188" i="1"/>
  <c r="N1188" i="1"/>
  <c r="M1188" i="1"/>
  <c r="C1188" i="1"/>
  <c r="H1188" i="1"/>
  <c r="F1188" i="1"/>
  <c r="B1188" i="1"/>
  <c r="D1187" i="1"/>
  <c r="E1187" i="1"/>
  <c r="G1187" i="1"/>
  <c r="I1187" i="1"/>
  <c r="J1187" i="1"/>
  <c r="L1187" i="1"/>
  <c r="N1187" i="1"/>
  <c r="M1187" i="1"/>
  <c r="C1187" i="1"/>
  <c r="H1187" i="1"/>
  <c r="F1187" i="1"/>
  <c r="B1187" i="1"/>
  <c r="D1186" i="1"/>
  <c r="E1186" i="1"/>
  <c r="G1186" i="1"/>
  <c r="I1186" i="1"/>
  <c r="J1186" i="1"/>
  <c r="L1186" i="1"/>
  <c r="N1186" i="1"/>
  <c r="M1186" i="1"/>
  <c r="C1186" i="1"/>
  <c r="H1186" i="1"/>
  <c r="F1186" i="1"/>
  <c r="B1186" i="1"/>
  <c r="D1185" i="1"/>
  <c r="E1185" i="1"/>
  <c r="G1185" i="1"/>
  <c r="I1185" i="1"/>
  <c r="J1185" i="1"/>
  <c r="L1185" i="1"/>
  <c r="N1185" i="1"/>
  <c r="M1185" i="1"/>
  <c r="C1185" i="1"/>
  <c r="H1185" i="1"/>
  <c r="F1185" i="1"/>
  <c r="B1185" i="1"/>
  <c r="D1184" i="1"/>
  <c r="E1184" i="1"/>
  <c r="G1184" i="1"/>
  <c r="I1184" i="1"/>
  <c r="J1184" i="1"/>
  <c r="L1184" i="1"/>
  <c r="N1184" i="1"/>
  <c r="M1184" i="1"/>
  <c r="C1184" i="1"/>
  <c r="H1184" i="1"/>
  <c r="F1184" i="1"/>
  <c r="B1184" i="1"/>
  <c r="D1183" i="1"/>
  <c r="E1183" i="1"/>
  <c r="G1183" i="1"/>
  <c r="I1183" i="1"/>
  <c r="J1183" i="1"/>
  <c r="L1183" i="1"/>
  <c r="N1183" i="1"/>
  <c r="M1183" i="1"/>
  <c r="C1183" i="1"/>
  <c r="H1183" i="1"/>
  <c r="F1183" i="1"/>
  <c r="B1183" i="1"/>
  <c r="D1182" i="1"/>
  <c r="E1182" i="1"/>
  <c r="G1182" i="1"/>
  <c r="I1182" i="1"/>
  <c r="J1182" i="1"/>
  <c r="L1182" i="1"/>
  <c r="N1182" i="1"/>
  <c r="M1182" i="1"/>
  <c r="C1182" i="1"/>
  <c r="H1182" i="1"/>
  <c r="F1182" i="1"/>
  <c r="B1182" i="1"/>
  <c r="D1181" i="1"/>
  <c r="E1181" i="1"/>
  <c r="G1181" i="1"/>
  <c r="I1181" i="1"/>
  <c r="J1181" i="1"/>
  <c r="L1181" i="1"/>
  <c r="N1181" i="1"/>
  <c r="M1181" i="1"/>
  <c r="C1181" i="1"/>
  <c r="H1181" i="1"/>
  <c r="F1181" i="1"/>
  <c r="B1181" i="1"/>
  <c r="D1180" i="1"/>
  <c r="E1180" i="1"/>
  <c r="G1180" i="1"/>
  <c r="I1180" i="1"/>
  <c r="J1180" i="1"/>
  <c r="L1180" i="1"/>
  <c r="N1180" i="1"/>
  <c r="M1180" i="1"/>
  <c r="C1180" i="1"/>
  <c r="H1180" i="1"/>
  <c r="F1180" i="1"/>
  <c r="B1180" i="1"/>
  <c r="D1179" i="1"/>
  <c r="E1179" i="1"/>
  <c r="G1179" i="1"/>
  <c r="I1179" i="1"/>
  <c r="J1179" i="1"/>
  <c r="L1179" i="1"/>
  <c r="N1179" i="1"/>
  <c r="M1179" i="1"/>
  <c r="C1179" i="1"/>
  <c r="H1179" i="1"/>
  <c r="F1179" i="1"/>
  <c r="B1179" i="1"/>
  <c r="D1178" i="1"/>
  <c r="E1178" i="1"/>
  <c r="G1178" i="1"/>
  <c r="I1178" i="1"/>
  <c r="J1178" i="1"/>
  <c r="L1178" i="1"/>
  <c r="N1178" i="1"/>
  <c r="M1178" i="1"/>
  <c r="C1178" i="1"/>
  <c r="H1178" i="1"/>
  <c r="F1178" i="1"/>
  <c r="B1178" i="1"/>
  <c r="D1177" i="1"/>
  <c r="E1177" i="1"/>
  <c r="G1177" i="1"/>
  <c r="I1177" i="1"/>
  <c r="J1177" i="1"/>
  <c r="L1177" i="1"/>
  <c r="N1177" i="1"/>
  <c r="M1177" i="1"/>
  <c r="C1177" i="1"/>
  <c r="H1177" i="1"/>
  <c r="F1177" i="1"/>
  <c r="B1177" i="1"/>
  <c r="D1176" i="1"/>
  <c r="E1176" i="1"/>
  <c r="G1176" i="1"/>
  <c r="I1176" i="1"/>
  <c r="J1176" i="1"/>
  <c r="L1176" i="1"/>
  <c r="N1176" i="1"/>
  <c r="M1176" i="1"/>
  <c r="C1176" i="1"/>
  <c r="H1176" i="1"/>
  <c r="F1176" i="1"/>
  <c r="B1176" i="1"/>
  <c r="D1175" i="1"/>
  <c r="E1175" i="1"/>
  <c r="G1175" i="1"/>
  <c r="I1175" i="1"/>
  <c r="J1175" i="1"/>
  <c r="L1175" i="1"/>
  <c r="N1175" i="1"/>
  <c r="M1175" i="1"/>
  <c r="C1175" i="1"/>
  <c r="H1175" i="1"/>
  <c r="F1175" i="1"/>
  <c r="B1175" i="1"/>
  <c r="D1174" i="1"/>
  <c r="E1174" i="1"/>
  <c r="G1174" i="1"/>
  <c r="I1174" i="1"/>
  <c r="J1174" i="1"/>
  <c r="L1174" i="1"/>
  <c r="N1174" i="1"/>
  <c r="M1174" i="1"/>
  <c r="C1174" i="1"/>
  <c r="H1174" i="1"/>
  <c r="F1174" i="1"/>
  <c r="B1174" i="1"/>
  <c r="D1173" i="1"/>
  <c r="E1173" i="1"/>
  <c r="G1173" i="1"/>
  <c r="I1173" i="1"/>
  <c r="J1173" i="1"/>
  <c r="L1173" i="1"/>
  <c r="N1173" i="1"/>
  <c r="M1173" i="1"/>
  <c r="C1173" i="1"/>
  <c r="H1173" i="1"/>
  <c r="F1173" i="1"/>
  <c r="B1173" i="1"/>
  <c r="D1172" i="1"/>
  <c r="E1172" i="1"/>
  <c r="G1172" i="1"/>
  <c r="I1172" i="1"/>
  <c r="J1172" i="1"/>
  <c r="L1172" i="1"/>
  <c r="N1172" i="1"/>
  <c r="M1172" i="1"/>
  <c r="C1172" i="1"/>
  <c r="H1172" i="1"/>
  <c r="F1172" i="1"/>
  <c r="B1172" i="1"/>
  <c r="D1171" i="1"/>
  <c r="E1171" i="1"/>
  <c r="G1171" i="1"/>
  <c r="I1171" i="1"/>
  <c r="J1171" i="1"/>
  <c r="L1171" i="1"/>
  <c r="N1171" i="1"/>
  <c r="M1171" i="1"/>
  <c r="C1171" i="1"/>
  <c r="H1171" i="1"/>
  <c r="F1171" i="1"/>
  <c r="B1171" i="1"/>
  <c r="D1170" i="1"/>
  <c r="E1170" i="1"/>
  <c r="G1170" i="1"/>
  <c r="I1170" i="1"/>
  <c r="J1170" i="1"/>
  <c r="L1170" i="1"/>
  <c r="N1170" i="1"/>
  <c r="M1170" i="1"/>
  <c r="C1170" i="1"/>
  <c r="H1170" i="1"/>
  <c r="F1170" i="1"/>
  <c r="B1170" i="1"/>
  <c r="D1169" i="1"/>
  <c r="E1169" i="1"/>
  <c r="G1169" i="1"/>
  <c r="I1169" i="1"/>
  <c r="J1169" i="1"/>
  <c r="L1169" i="1"/>
  <c r="N1169" i="1"/>
  <c r="M1169" i="1"/>
  <c r="C1169" i="1"/>
  <c r="H1169" i="1"/>
  <c r="F1169" i="1"/>
  <c r="B1169" i="1"/>
  <c r="D1168" i="1"/>
  <c r="E1168" i="1"/>
  <c r="G1168" i="1"/>
  <c r="I1168" i="1"/>
  <c r="J1168" i="1"/>
  <c r="L1168" i="1"/>
  <c r="N1168" i="1"/>
  <c r="M1168" i="1"/>
  <c r="C1168" i="1"/>
  <c r="H1168" i="1"/>
  <c r="F1168" i="1"/>
  <c r="B1168" i="1"/>
  <c r="D1167" i="1"/>
  <c r="E1167" i="1"/>
  <c r="G1167" i="1"/>
  <c r="I1167" i="1"/>
  <c r="J1167" i="1"/>
  <c r="L1167" i="1"/>
  <c r="N1167" i="1"/>
  <c r="M1167" i="1"/>
  <c r="C1167" i="1"/>
  <c r="H1167" i="1"/>
  <c r="F1167" i="1"/>
  <c r="B1167" i="1"/>
  <c r="D1166" i="1"/>
  <c r="E1166" i="1"/>
  <c r="G1166" i="1"/>
  <c r="I1166" i="1"/>
  <c r="J1166" i="1"/>
  <c r="L1166" i="1"/>
  <c r="N1166" i="1"/>
  <c r="M1166" i="1"/>
  <c r="C1166" i="1"/>
  <c r="H1166" i="1"/>
  <c r="F1166" i="1"/>
  <c r="B1166" i="1"/>
  <c r="D1165" i="1"/>
  <c r="E1165" i="1"/>
  <c r="G1165" i="1"/>
  <c r="I1165" i="1"/>
  <c r="J1165" i="1"/>
  <c r="L1165" i="1"/>
  <c r="N1165" i="1"/>
  <c r="M1165" i="1"/>
  <c r="C1165" i="1"/>
  <c r="H1165" i="1"/>
  <c r="F1165" i="1"/>
  <c r="B1165" i="1"/>
  <c r="D1164" i="1"/>
  <c r="E1164" i="1"/>
  <c r="G1164" i="1"/>
  <c r="I1164" i="1"/>
  <c r="J1164" i="1"/>
  <c r="L1164" i="1"/>
  <c r="N1164" i="1"/>
  <c r="M1164" i="1"/>
  <c r="C1164" i="1"/>
  <c r="H1164" i="1"/>
  <c r="F1164" i="1"/>
  <c r="B1164" i="1"/>
  <c r="D1163" i="1"/>
  <c r="E1163" i="1"/>
  <c r="G1163" i="1"/>
  <c r="I1163" i="1"/>
  <c r="J1163" i="1"/>
  <c r="L1163" i="1"/>
  <c r="N1163" i="1"/>
  <c r="M1163" i="1"/>
  <c r="C1163" i="1"/>
  <c r="H1163" i="1"/>
  <c r="F1163" i="1"/>
  <c r="B1163" i="1"/>
  <c r="D1162" i="1"/>
  <c r="E1162" i="1"/>
  <c r="G1162" i="1"/>
  <c r="I1162" i="1"/>
  <c r="J1162" i="1"/>
  <c r="L1162" i="1"/>
  <c r="N1162" i="1"/>
  <c r="M1162" i="1"/>
  <c r="C1162" i="1"/>
  <c r="H1162" i="1"/>
  <c r="F1162" i="1"/>
  <c r="B1162" i="1"/>
  <c r="D1161" i="1"/>
  <c r="E1161" i="1"/>
  <c r="G1161" i="1"/>
  <c r="I1161" i="1"/>
  <c r="J1161" i="1"/>
  <c r="L1161" i="1"/>
  <c r="N1161" i="1"/>
  <c r="M1161" i="1"/>
  <c r="C1161" i="1"/>
  <c r="H1161" i="1"/>
  <c r="F1161" i="1"/>
  <c r="B1161" i="1"/>
  <c r="D1160" i="1"/>
  <c r="E1160" i="1"/>
  <c r="G1160" i="1"/>
  <c r="I1160" i="1"/>
  <c r="J1160" i="1"/>
  <c r="L1160" i="1"/>
  <c r="N1160" i="1"/>
  <c r="M1160" i="1"/>
  <c r="C1160" i="1"/>
  <c r="H1160" i="1"/>
  <c r="F1160" i="1"/>
  <c r="B1160" i="1"/>
  <c r="D1159" i="1"/>
  <c r="E1159" i="1"/>
  <c r="G1159" i="1"/>
  <c r="I1159" i="1"/>
  <c r="J1159" i="1"/>
  <c r="L1159" i="1"/>
  <c r="N1159" i="1"/>
  <c r="M1159" i="1"/>
  <c r="C1159" i="1"/>
  <c r="H1159" i="1"/>
  <c r="F1159" i="1"/>
  <c r="B1159" i="1"/>
  <c r="D1158" i="1"/>
  <c r="E1158" i="1"/>
  <c r="G1158" i="1"/>
  <c r="I1158" i="1"/>
  <c r="J1158" i="1"/>
  <c r="L1158" i="1"/>
  <c r="N1158" i="1"/>
  <c r="M1158" i="1"/>
  <c r="C1158" i="1"/>
  <c r="H1158" i="1"/>
  <c r="F1158" i="1"/>
  <c r="B1158" i="1"/>
  <c r="D1157" i="1"/>
  <c r="E1157" i="1"/>
  <c r="G1157" i="1"/>
  <c r="I1157" i="1"/>
  <c r="J1157" i="1"/>
  <c r="L1157" i="1"/>
  <c r="N1157" i="1"/>
  <c r="M1157" i="1"/>
  <c r="C1157" i="1"/>
  <c r="H1157" i="1"/>
  <c r="F1157" i="1"/>
  <c r="B1157" i="1"/>
  <c r="D1156" i="1"/>
  <c r="E1156" i="1"/>
  <c r="G1156" i="1"/>
  <c r="I1156" i="1"/>
  <c r="J1156" i="1"/>
  <c r="L1156" i="1"/>
  <c r="N1156" i="1"/>
  <c r="M1156" i="1"/>
  <c r="C1156" i="1"/>
  <c r="H1156" i="1"/>
  <c r="F1156" i="1"/>
  <c r="B1156" i="1"/>
  <c r="D1155" i="1"/>
  <c r="E1155" i="1"/>
  <c r="G1155" i="1"/>
  <c r="I1155" i="1"/>
  <c r="J1155" i="1"/>
  <c r="L1155" i="1"/>
  <c r="N1155" i="1"/>
  <c r="M1155" i="1"/>
  <c r="C1155" i="1"/>
  <c r="H1155" i="1"/>
  <c r="F1155" i="1"/>
  <c r="B1155" i="1"/>
  <c r="D1154" i="1"/>
  <c r="E1154" i="1"/>
  <c r="G1154" i="1"/>
  <c r="I1154" i="1"/>
  <c r="J1154" i="1"/>
  <c r="L1154" i="1"/>
  <c r="N1154" i="1"/>
  <c r="M1154" i="1"/>
  <c r="C1154" i="1"/>
  <c r="H1154" i="1"/>
  <c r="F1154" i="1"/>
  <c r="B1154" i="1"/>
  <c r="D1153" i="1"/>
  <c r="E1153" i="1"/>
  <c r="G1153" i="1"/>
  <c r="I1153" i="1"/>
  <c r="J1153" i="1"/>
  <c r="L1153" i="1"/>
  <c r="N1153" i="1"/>
  <c r="M1153" i="1"/>
  <c r="C1153" i="1"/>
  <c r="H1153" i="1"/>
  <c r="F1153" i="1"/>
  <c r="B1153" i="1"/>
  <c r="D1152" i="1"/>
  <c r="E1152" i="1"/>
  <c r="G1152" i="1"/>
  <c r="I1152" i="1"/>
  <c r="J1152" i="1"/>
  <c r="L1152" i="1"/>
  <c r="N1152" i="1"/>
  <c r="M1152" i="1"/>
  <c r="C1152" i="1"/>
  <c r="H1152" i="1"/>
  <c r="F1152" i="1"/>
  <c r="B1152" i="1"/>
  <c r="D1151" i="1"/>
  <c r="E1151" i="1"/>
  <c r="G1151" i="1"/>
  <c r="I1151" i="1"/>
  <c r="J1151" i="1"/>
  <c r="L1151" i="1"/>
  <c r="N1151" i="1"/>
  <c r="M1151" i="1"/>
  <c r="C1151" i="1"/>
  <c r="H1151" i="1"/>
  <c r="F1151" i="1"/>
  <c r="B1151" i="1"/>
  <c r="D1150" i="1"/>
  <c r="E1150" i="1"/>
  <c r="G1150" i="1"/>
  <c r="I1150" i="1"/>
  <c r="J1150" i="1"/>
  <c r="L1150" i="1"/>
  <c r="N1150" i="1"/>
  <c r="M1150" i="1"/>
  <c r="C1150" i="1"/>
  <c r="H1150" i="1"/>
  <c r="F1150" i="1"/>
  <c r="B1150" i="1"/>
  <c r="D1149" i="1"/>
  <c r="E1149" i="1"/>
  <c r="G1149" i="1"/>
  <c r="I1149" i="1"/>
  <c r="J1149" i="1"/>
  <c r="L1149" i="1"/>
  <c r="N1149" i="1"/>
  <c r="M1149" i="1"/>
  <c r="C1149" i="1"/>
  <c r="H1149" i="1"/>
  <c r="F1149" i="1"/>
  <c r="B1149" i="1"/>
  <c r="D1148" i="1"/>
  <c r="E1148" i="1"/>
  <c r="G1148" i="1"/>
  <c r="I1148" i="1"/>
  <c r="J1148" i="1"/>
  <c r="L1148" i="1"/>
  <c r="N1148" i="1"/>
  <c r="M1148" i="1"/>
  <c r="C1148" i="1"/>
  <c r="H1148" i="1"/>
  <c r="F1148" i="1"/>
  <c r="B1148" i="1"/>
  <c r="D1147" i="1"/>
  <c r="E1147" i="1"/>
  <c r="G1147" i="1"/>
  <c r="I1147" i="1"/>
  <c r="J1147" i="1"/>
  <c r="L1147" i="1"/>
  <c r="N1147" i="1"/>
  <c r="M1147" i="1"/>
  <c r="C1147" i="1"/>
  <c r="H1147" i="1"/>
  <c r="F1147" i="1"/>
  <c r="B1147" i="1"/>
  <c r="D1146" i="1"/>
  <c r="E1146" i="1"/>
  <c r="G1146" i="1"/>
  <c r="I1146" i="1"/>
  <c r="J1146" i="1"/>
  <c r="L1146" i="1"/>
  <c r="N1146" i="1"/>
  <c r="M1146" i="1"/>
  <c r="C1146" i="1"/>
  <c r="H1146" i="1"/>
  <c r="F1146" i="1"/>
  <c r="B1146" i="1"/>
  <c r="D1145" i="1"/>
  <c r="E1145" i="1"/>
  <c r="G1145" i="1"/>
  <c r="I1145" i="1"/>
  <c r="J1145" i="1"/>
  <c r="L1145" i="1"/>
  <c r="N1145" i="1"/>
  <c r="M1145" i="1"/>
  <c r="C1145" i="1"/>
  <c r="H1145" i="1"/>
  <c r="F1145" i="1"/>
  <c r="B1145" i="1"/>
  <c r="D1144" i="1"/>
  <c r="E1144" i="1"/>
  <c r="G1144" i="1"/>
  <c r="I1144" i="1"/>
  <c r="J1144" i="1"/>
  <c r="L1144" i="1"/>
  <c r="N1144" i="1"/>
  <c r="M1144" i="1"/>
  <c r="C1144" i="1"/>
  <c r="H1144" i="1"/>
  <c r="F1144" i="1"/>
  <c r="B1144" i="1"/>
  <c r="D1143" i="1"/>
  <c r="E1143" i="1"/>
  <c r="G1143" i="1"/>
  <c r="I1143" i="1"/>
  <c r="J1143" i="1"/>
  <c r="L1143" i="1"/>
  <c r="N1143" i="1"/>
  <c r="M1143" i="1"/>
  <c r="C1143" i="1"/>
  <c r="H1143" i="1"/>
  <c r="F1143" i="1"/>
  <c r="B1143" i="1"/>
  <c r="D1142" i="1"/>
  <c r="E1142" i="1"/>
  <c r="G1142" i="1"/>
  <c r="I1142" i="1"/>
  <c r="J1142" i="1"/>
  <c r="L1142" i="1"/>
  <c r="N1142" i="1"/>
  <c r="M1142" i="1"/>
  <c r="C1142" i="1"/>
  <c r="H1142" i="1"/>
  <c r="F1142" i="1"/>
  <c r="B1142" i="1"/>
  <c r="D1141" i="1"/>
  <c r="E1141" i="1"/>
  <c r="G1141" i="1"/>
  <c r="I1141" i="1"/>
  <c r="J1141" i="1"/>
  <c r="L1141" i="1"/>
  <c r="N1141" i="1"/>
  <c r="M1141" i="1"/>
  <c r="C1141" i="1"/>
  <c r="H1141" i="1"/>
  <c r="F1141" i="1"/>
  <c r="B1141" i="1"/>
  <c r="D1140" i="1"/>
  <c r="E1140" i="1"/>
  <c r="G1140" i="1"/>
  <c r="I1140" i="1"/>
  <c r="J1140" i="1"/>
  <c r="L1140" i="1"/>
  <c r="N1140" i="1"/>
  <c r="M1140" i="1"/>
  <c r="C1140" i="1"/>
  <c r="H1140" i="1"/>
  <c r="F1140" i="1"/>
  <c r="B1140" i="1"/>
  <c r="D1139" i="1"/>
  <c r="E1139" i="1"/>
  <c r="G1139" i="1"/>
  <c r="I1139" i="1"/>
  <c r="J1139" i="1"/>
  <c r="L1139" i="1"/>
  <c r="N1139" i="1"/>
  <c r="M1139" i="1"/>
  <c r="C1139" i="1"/>
  <c r="H1139" i="1"/>
  <c r="F1139" i="1"/>
  <c r="B1139" i="1"/>
  <c r="D1138" i="1"/>
  <c r="E1138" i="1"/>
  <c r="G1138" i="1"/>
  <c r="I1138" i="1"/>
  <c r="J1138" i="1"/>
  <c r="L1138" i="1"/>
  <c r="N1138" i="1"/>
  <c r="M1138" i="1"/>
  <c r="C1138" i="1"/>
  <c r="H1138" i="1"/>
  <c r="F1138" i="1"/>
  <c r="B1138" i="1"/>
  <c r="D1137" i="1"/>
  <c r="E1137" i="1"/>
  <c r="G1137" i="1"/>
  <c r="I1137" i="1"/>
  <c r="J1137" i="1"/>
  <c r="L1137" i="1"/>
  <c r="N1137" i="1"/>
  <c r="M1137" i="1"/>
  <c r="C1137" i="1"/>
  <c r="H1137" i="1"/>
  <c r="F1137" i="1"/>
  <c r="B1137" i="1"/>
  <c r="D1136" i="1"/>
  <c r="E1136" i="1"/>
  <c r="G1136" i="1"/>
  <c r="I1136" i="1"/>
  <c r="J1136" i="1"/>
  <c r="L1136" i="1"/>
  <c r="N1136" i="1"/>
  <c r="M1136" i="1"/>
  <c r="C1136" i="1"/>
  <c r="H1136" i="1"/>
  <c r="F1136" i="1"/>
  <c r="B1136" i="1"/>
  <c r="D1135" i="1"/>
  <c r="E1135" i="1"/>
  <c r="G1135" i="1"/>
  <c r="I1135" i="1"/>
  <c r="J1135" i="1"/>
  <c r="L1135" i="1"/>
  <c r="N1135" i="1"/>
  <c r="M1135" i="1"/>
  <c r="C1135" i="1"/>
  <c r="H1135" i="1"/>
  <c r="F1135" i="1"/>
  <c r="B1135" i="1"/>
  <c r="D1134" i="1"/>
  <c r="E1134" i="1"/>
  <c r="G1134" i="1"/>
  <c r="I1134" i="1"/>
  <c r="J1134" i="1"/>
  <c r="L1134" i="1"/>
  <c r="N1134" i="1"/>
  <c r="M1134" i="1"/>
  <c r="C1134" i="1"/>
  <c r="H1134" i="1"/>
  <c r="F1134" i="1"/>
  <c r="B1134" i="1"/>
  <c r="D1133" i="1"/>
  <c r="E1133" i="1"/>
  <c r="G1133" i="1"/>
  <c r="I1133" i="1"/>
  <c r="J1133" i="1"/>
  <c r="L1133" i="1"/>
  <c r="N1133" i="1"/>
  <c r="M1133" i="1"/>
  <c r="C1133" i="1"/>
  <c r="H1133" i="1"/>
  <c r="F1133" i="1"/>
  <c r="B1133" i="1"/>
  <c r="D1132" i="1"/>
  <c r="E1132" i="1"/>
  <c r="G1132" i="1"/>
  <c r="I1132" i="1"/>
  <c r="J1132" i="1"/>
  <c r="L1132" i="1"/>
  <c r="N1132" i="1"/>
  <c r="M1132" i="1"/>
  <c r="C1132" i="1"/>
  <c r="H1132" i="1"/>
  <c r="F1132" i="1"/>
  <c r="B1132" i="1"/>
  <c r="D1131" i="1"/>
  <c r="E1131" i="1"/>
  <c r="G1131" i="1"/>
  <c r="I1131" i="1"/>
  <c r="J1131" i="1"/>
  <c r="L1131" i="1"/>
  <c r="N1131" i="1"/>
  <c r="M1131" i="1"/>
  <c r="C1131" i="1"/>
  <c r="H1131" i="1"/>
  <c r="F1131" i="1"/>
  <c r="B1131" i="1"/>
  <c r="D1130" i="1"/>
  <c r="E1130" i="1"/>
  <c r="G1130" i="1"/>
  <c r="I1130" i="1"/>
  <c r="J1130" i="1"/>
  <c r="L1130" i="1"/>
  <c r="N1130" i="1"/>
  <c r="M1130" i="1"/>
  <c r="C1130" i="1"/>
  <c r="H1130" i="1"/>
  <c r="F1130" i="1"/>
  <c r="B1130" i="1"/>
  <c r="D1129" i="1"/>
  <c r="E1129" i="1"/>
  <c r="G1129" i="1"/>
  <c r="I1129" i="1"/>
  <c r="J1129" i="1"/>
  <c r="L1129" i="1"/>
  <c r="N1129" i="1"/>
  <c r="M1129" i="1"/>
  <c r="C1129" i="1"/>
  <c r="H1129" i="1"/>
  <c r="F1129" i="1"/>
  <c r="B1129" i="1"/>
  <c r="D1128" i="1"/>
  <c r="E1128" i="1"/>
  <c r="G1128" i="1"/>
  <c r="I1128" i="1"/>
  <c r="J1128" i="1"/>
  <c r="L1128" i="1"/>
  <c r="N1128" i="1"/>
  <c r="M1128" i="1"/>
  <c r="C1128" i="1"/>
  <c r="H1128" i="1"/>
  <c r="F1128" i="1"/>
  <c r="B1128" i="1"/>
  <c r="D1127" i="1"/>
  <c r="E1127" i="1"/>
  <c r="G1127" i="1"/>
  <c r="I1127" i="1"/>
  <c r="J1127" i="1"/>
  <c r="L1127" i="1"/>
  <c r="N1127" i="1"/>
  <c r="M1127" i="1"/>
  <c r="C1127" i="1"/>
  <c r="H1127" i="1"/>
  <c r="F1127" i="1"/>
  <c r="B1127" i="1"/>
  <c r="D1126" i="1"/>
  <c r="E1126" i="1"/>
  <c r="G1126" i="1"/>
  <c r="I1126" i="1"/>
  <c r="J1126" i="1"/>
  <c r="L1126" i="1"/>
  <c r="N1126" i="1"/>
  <c r="M1126" i="1"/>
  <c r="C1126" i="1"/>
  <c r="H1126" i="1"/>
  <c r="F1126" i="1"/>
  <c r="B1126" i="1"/>
  <c r="D1125" i="1"/>
  <c r="E1125" i="1"/>
  <c r="G1125" i="1"/>
  <c r="I1125" i="1"/>
  <c r="J1125" i="1"/>
  <c r="L1125" i="1"/>
  <c r="N1125" i="1"/>
  <c r="M1125" i="1"/>
  <c r="C1125" i="1"/>
  <c r="H1125" i="1"/>
  <c r="F1125" i="1"/>
  <c r="B1125" i="1"/>
  <c r="D1124" i="1"/>
  <c r="E1124" i="1"/>
  <c r="G1124" i="1"/>
  <c r="I1124" i="1"/>
  <c r="J1124" i="1"/>
  <c r="L1124" i="1"/>
  <c r="N1124" i="1"/>
  <c r="M1124" i="1"/>
  <c r="C1124" i="1"/>
  <c r="H1124" i="1"/>
  <c r="F1124" i="1"/>
  <c r="B1124" i="1"/>
  <c r="D1123" i="1"/>
  <c r="E1123" i="1"/>
  <c r="G1123" i="1"/>
  <c r="I1123" i="1"/>
  <c r="J1123" i="1"/>
  <c r="L1123" i="1"/>
  <c r="N1123" i="1"/>
  <c r="M1123" i="1"/>
  <c r="C1123" i="1"/>
  <c r="H1123" i="1"/>
  <c r="F1123" i="1"/>
  <c r="B1123" i="1"/>
  <c r="D1122" i="1"/>
  <c r="E1122" i="1"/>
  <c r="G1122" i="1"/>
  <c r="I1122" i="1"/>
  <c r="J1122" i="1"/>
  <c r="L1122" i="1"/>
  <c r="N1122" i="1"/>
  <c r="M1122" i="1"/>
  <c r="C1122" i="1"/>
  <c r="H1122" i="1"/>
  <c r="F1122" i="1"/>
  <c r="B1122" i="1"/>
  <c r="D1121" i="1"/>
  <c r="E1121" i="1"/>
  <c r="G1121" i="1"/>
  <c r="I1121" i="1"/>
  <c r="J1121" i="1"/>
  <c r="L1121" i="1"/>
  <c r="N1121" i="1"/>
  <c r="M1121" i="1"/>
  <c r="C1121" i="1"/>
  <c r="H1121" i="1"/>
  <c r="F1121" i="1"/>
  <c r="B1121" i="1"/>
  <c r="D1120" i="1"/>
  <c r="E1120" i="1"/>
  <c r="G1120" i="1"/>
  <c r="I1120" i="1"/>
  <c r="J1120" i="1"/>
  <c r="L1120" i="1"/>
  <c r="N1120" i="1"/>
  <c r="M1120" i="1"/>
  <c r="C1120" i="1"/>
  <c r="H1120" i="1"/>
  <c r="F1120" i="1"/>
  <c r="B1120" i="1"/>
  <c r="D1119" i="1"/>
  <c r="E1119" i="1"/>
  <c r="G1119" i="1"/>
  <c r="I1119" i="1"/>
  <c r="J1119" i="1"/>
  <c r="L1119" i="1"/>
  <c r="N1119" i="1"/>
  <c r="M1119" i="1"/>
  <c r="C1119" i="1"/>
  <c r="H1119" i="1"/>
  <c r="F1119" i="1"/>
  <c r="B1119" i="1"/>
  <c r="D1118" i="1"/>
  <c r="E1118" i="1"/>
  <c r="G1118" i="1"/>
  <c r="I1118" i="1"/>
  <c r="J1118" i="1"/>
  <c r="L1118" i="1"/>
  <c r="N1118" i="1"/>
  <c r="M1118" i="1"/>
  <c r="C1118" i="1"/>
  <c r="H1118" i="1"/>
  <c r="F1118" i="1"/>
  <c r="B1118" i="1"/>
  <c r="D1117" i="1"/>
  <c r="E1117" i="1"/>
  <c r="G1117" i="1"/>
  <c r="I1117" i="1"/>
  <c r="J1117" i="1"/>
  <c r="L1117" i="1"/>
  <c r="N1117" i="1"/>
  <c r="M1117" i="1"/>
  <c r="C1117" i="1"/>
  <c r="H1117" i="1"/>
  <c r="F1117" i="1"/>
  <c r="B1117" i="1"/>
  <c r="D1116" i="1"/>
  <c r="E1116" i="1"/>
  <c r="G1116" i="1"/>
  <c r="I1116" i="1"/>
  <c r="J1116" i="1"/>
  <c r="L1116" i="1"/>
  <c r="N1116" i="1"/>
  <c r="M1116" i="1"/>
  <c r="C1116" i="1"/>
  <c r="H1116" i="1"/>
  <c r="F1116" i="1"/>
  <c r="B1116" i="1"/>
  <c r="D1115" i="1"/>
  <c r="E1115" i="1"/>
  <c r="G1115" i="1"/>
  <c r="I1115" i="1"/>
  <c r="J1115" i="1"/>
  <c r="L1115" i="1"/>
  <c r="N1115" i="1"/>
  <c r="M1115" i="1"/>
  <c r="C1115" i="1"/>
  <c r="H1115" i="1"/>
  <c r="F1115" i="1"/>
  <c r="B1115" i="1"/>
  <c r="D1114" i="1"/>
  <c r="E1114" i="1"/>
  <c r="G1114" i="1"/>
  <c r="I1114" i="1"/>
  <c r="J1114" i="1"/>
  <c r="L1114" i="1"/>
  <c r="N1114" i="1"/>
  <c r="M1114" i="1"/>
  <c r="C1114" i="1"/>
  <c r="H1114" i="1"/>
  <c r="F1114" i="1"/>
  <c r="B1114" i="1"/>
  <c r="D1113" i="1"/>
  <c r="E1113" i="1"/>
  <c r="G1113" i="1"/>
  <c r="I1113" i="1"/>
  <c r="J1113" i="1"/>
  <c r="L1113" i="1"/>
  <c r="N1113" i="1"/>
  <c r="M1113" i="1"/>
  <c r="C1113" i="1"/>
  <c r="H1113" i="1"/>
  <c r="F1113" i="1"/>
  <c r="B1113" i="1"/>
  <c r="D1112" i="1"/>
  <c r="E1112" i="1"/>
  <c r="G1112" i="1"/>
  <c r="I1112" i="1"/>
  <c r="J1112" i="1"/>
  <c r="L1112" i="1"/>
  <c r="N1112" i="1"/>
  <c r="M1112" i="1"/>
  <c r="C1112" i="1"/>
  <c r="H1112" i="1"/>
  <c r="F1112" i="1"/>
  <c r="B1112" i="1"/>
  <c r="D1111" i="1"/>
  <c r="E1111" i="1"/>
  <c r="G1111" i="1"/>
  <c r="I1111" i="1"/>
  <c r="J1111" i="1"/>
  <c r="L1111" i="1"/>
  <c r="N1111" i="1"/>
  <c r="M1111" i="1"/>
  <c r="C1111" i="1"/>
  <c r="H1111" i="1"/>
  <c r="F1111" i="1"/>
  <c r="B1111" i="1"/>
  <c r="D1110" i="1"/>
  <c r="E1110" i="1"/>
  <c r="G1110" i="1"/>
  <c r="I1110" i="1"/>
  <c r="J1110" i="1"/>
  <c r="L1110" i="1"/>
  <c r="N1110" i="1"/>
  <c r="M1110" i="1"/>
  <c r="C1110" i="1"/>
  <c r="H1110" i="1"/>
  <c r="F1110" i="1"/>
  <c r="B1110" i="1"/>
  <c r="D1109" i="1"/>
  <c r="E1109" i="1"/>
  <c r="G1109" i="1"/>
  <c r="I1109" i="1"/>
  <c r="J1109" i="1"/>
  <c r="L1109" i="1"/>
  <c r="N1109" i="1"/>
  <c r="M1109" i="1"/>
  <c r="C1109" i="1"/>
  <c r="H1109" i="1"/>
  <c r="F1109" i="1"/>
  <c r="B1109" i="1"/>
  <c r="D1108" i="1"/>
  <c r="E1108" i="1"/>
  <c r="G1108" i="1"/>
  <c r="I1108" i="1"/>
  <c r="J1108" i="1"/>
  <c r="L1108" i="1"/>
  <c r="N1108" i="1"/>
  <c r="M1108" i="1"/>
  <c r="C1108" i="1"/>
  <c r="H1108" i="1"/>
  <c r="F1108" i="1"/>
  <c r="B1108" i="1"/>
  <c r="D1107" i="1"/>
  <c r="E1107" i="1"/>
  <c r="G1107" i="1"/>
  <c r="I1107" i="1"/>
  <c r="J1107" i="1"/>
  <c r="L1107" i="1"/>
  <c r="N1107" i="1"/>
  <c r="M1107" i="1"/>
  <c r="C1107" i="1"/>
  <c r="H1107" i="1"/>
  <c r="F1107" i="1"/>
  <c r="B1107" i="1"/>
  <c r="D1106" i="1"/>
  <c r="E1106" i="1"/>
  <c r="G1106" i="1"/>
  <c r="I1106" i="1"/>
  <c r="J1106" i="1"/>
  <c r="L1106" i="1"/>
  <c r="N1106" i="1"/>
  <c r="M1106" i="1"/>
  <c r="C1106" i="1"/>
  <c r="H1106" i="1"/>
  <c r="F1106" i="1"/>
  <c r="B1106" i="1"/>
  <c r="D1105" i="1"/>
  <c r="E1105" i="1"/>
  <c r="G1105" i="1"/>
  <c r="I1105" i="1"/>
  <c r="J1105" i="1"/>
  <c r="L1105" i="1"/>
  <c r="N1105" i="1"/>
  <c r="M1105" i="1"/>
  <c r="C1105" i="1"/>
  <c r="H1105" i="1"/>
  <c r="F1105" i="1"/>
  <c r="B1105" i="1"/>
  <c r="D1104" i="1"/>
  <c r="E1104" i="1"/>
  <c r="G1104" i="1"/>
  <c r="I1104" i="1"/>
  <c r="J1104" i="1"/>
  <c r="L1104" i="1"/>
  <c r="N1104" i="1"/>
  <c r="M1104" i="1"/>
  <c r="C1104" i="1"/>
  <c r="H1104" i="1"/>
  <c r="F1104" i="1"/>
  <c r="B1104" i="1"/>
  <c r="D1103" i="1"/>
  <c r="E1103" i="1"/>
  <c r="G1103" i="1"/>
  <c r="I1103" i="1"/>
  <c r="J1103" i="1"/>
  <c r="L1103" i="1"/>
  <c r="N1103" i="1"/>
  <c r="M1103" i="1"/>
  <c r="C1103" i="1"/>
  <c r="H1103" i="1"/>
  <c r="F1103" i="1"/>
  <c r="B1103" i="1"/>
  <c r="D1102" i="1"/>
  <c r="E1102" i="1"/>
  <c r="G1102" i="1"/>
  <c r="I1102" i="1"/>
  <c r="J1102" i="1"/>
  <c r="L1102" i="1"/>
  <c r="N1102" i="1"/>
  <c r="M1102" i="1"/>
  <c r="C1102" i="1"/>
  <c r="H1102" i="1"/>
  <c r="F1102" i="1"/>
  <c r="B1102" i="1"/>
  <c r="D1101" i="1"/>
  <c r="E1101" i="1"/>
  <c r="G1101" i="1"/>
  <c r="I1101" i="1"/>
  <c r="J1101" i="1"/>
  <c r="L1101" i="1"/>
  <c r="N1101" i="1"/>
  <c r="M1101" i="1"/>
  <c r="C1101" i="1"/>
  <c r="H1101" i="1"/>
  <c r="F1101" i="1"/>
  <c r="B1101" i="1"/>
  <c r="D1100" i="1"/>
  <c r="E1100" i="1"/>
  <c r="G1100" i="1"/>
  <c r="I1100" i="1"/>
  <c r="J1100" i="1"/>
  <c r="L1100" i="1"/>
  <c r="N1100" i="1"/>
  <c r="M1100" i="1"/>
  <c r="C1100" i="1"/>
  <c r="H1100" i="1"/>
  <c r="F1100" i="1"/>
  <c r="B1100" i="1"/>
  <c r="D1099" i="1"/>
  <c r="E1099" i="1"/>
  <c r="G1099" i="1"/>
  <c r="I1099" i="1"/>
  <c r="J1099" i="1"/>
  <c r="L1099" i="1"/>
  <c r="N1099" i="1"/>
  <c r="M1099" i="1"/>
  <c r="C1099" i="1"/>
  <c r="H1099" i="1"/>
  <c r="F1099" i="1"/>
  <c r="B1099" i="1"/>
  <c r="D1098" i="1"/>
  <c r="E1098" i="1"/>
  <c r="G1098" i="1"/>
  <c r="I1098" i="1"/>
  <c r="J1098" i="1"/>
  <c r="L1098" i="1"/>
  <c r="N1098" i="1"/>
  <c r="M1098" i="1"/>
  <c r="C1098" i="1"/>
  <c r="H1098" i="1"/>
  <c r="F1098" i="1"/>
  <c r="B1098" i="1"/>
  <c r="D1097" i="1"/>
  <c r="E1097" i="1"/>
  <c r="G1097" i="1"/>
  <c r="I1097" i="1"/>
  <c r="J1097" i="1"/>
  <c r="L1097" i="1"/>
  <c r="N1097" i="1"/>
  <c r="M1097" i="1"/>
  <c r="C1097" i="1"/>
  <c r="H1097" i="1"/>
  <c r="F1097" i="1"/>
  <c r="B1097" i="1"/>
  <c r="D1096" i="1"/>
  <c r="E1096" i="1"/>
  <c r="G1096" i="1"/>
  <c r="I1096" i="1"/>
  <c r="J1096" i="1"/>
  <c r="L1096" i="1"/>
  <c r="N1096" i="1"/>
  <c r="M1096" i="1"/>
  <c r="C1096" i="1"/>
  <c r="H1096" i="1"/>
  <c r="F1096" i="1"/>
  <c r="B1096" i="1"/>
  <c r="D1095" i="1"/>
  <c r="E1095" i="1"/>
  <c r="G1095" i="1"/>
  <c r="I1095" i="1"/>
  <c r="J1095" i="1"/>
  <c r="L1095" i="1"/>
  <c r="N1095" i="1"/>
  <c r="M1095" i="1"/>
  <c r="C1095" i="1"/>
  <c r="H1095" i="1"/>
  <c r="F1095" i="1"/>
  <c r="B1095" i="1"/>
  <c r="D1094" i="1"/>
  <c r="E1094" i="1"/>
  <c r="G1094" i="1"/>
  <c r="I1094" i="1"/>
  <c r="J1094" i="1"/>
  <c r="L1094" i="1"/>
  <c r="N1094" i="1"/>
  <c r="M1094" i="1"/>
  <c r="C1094" i="1"/>
  <c r="H1094" i="1"/>
  <c r="F1094" i="1"/>
  <c r="B1094" i="1"/>
  <c r="D1093" i="1"/>
  <c r="E1093" i="1"/>
  <c r="G1093" i="1"/>
  <c r="I1093" i="1"/>
  <c r="J1093" i="1"/>
  <c r="L1093" i="1"/>
  <c r="N1093" i="1"/>
  <c r="M1093" i="1"/>
  <c r="C1093" i="1"/>
  <c r="H1093" i="1"/>
  <c r="F1093" i="1"/>
  <c r="B1093" i="1"/>
  <c r="D1092" i="1"/>
  <c r="E1092" i="1"/>
  <c r="G1092" i="1"/>
  <c r="I1092" i="1"/>
  <c r="J1092" i="1"/>
  <c r="L1092" i="1"/>
  <c r="N1092" i="1"/>
  <c r="M1092" i="1"/>
  <c r="C1092" i="1"/>
  <c r="H1092" i="1"/>
  <c r="F1092" i="1"/>
  <c r="B1092" i="1"/>
  <c r="D1091" i="1"/>
  <c r="E1091" i="1"/>
  <c r="G1091" i="1"/>
  <c r="I1091" i="1"/>
  <c r="J1091" i="1"/>
  <c r="L1091" i="1"/>
  <c r="N1091" i="1"/>
  <c r="M1091" i="1"/>
  <c r="C1091" i="1"/>
  <c r="H1091" i="1"/>
  <c r="F1091" i="1"/>
  <c r="B1091" i="1"/>
  <c r="D1090" i="1"/>
  <c r="E1090" i="1"/>
  <c r="G1090" i="1"/>
  <c r="I1090" i="1"/>
  <c r="J1090" i="1"/>
  <c r="L1090" i="1"/>
  <c r="N1090" i="1"/>
  <c r="M1090" i="1"/>
  <c r="C1090" i="1"/>
  <c r="H1090" i="1"/>
  <c r="F1090" i="1"/>
  <c r="B1090" i="1"/>
  <c r="D1089" i="1"/>
  <c r="E1089" i="1"/>
  <c r="G1089" i="1"/>
  <c r="I1089" i="1"/>
  <c r="J1089" i="1"/>
  <c r="L1089" i="1"/>
  <c r="N1089" i="1"/>
  <c r="M1089" i="1"/>
  <c r="C1089" i="1"/>
  <c r="H1089" i="1"/>
  <c r="F1089" i="1"/>
  <c r="B1089" i="1"/>
  <c r="D1088" i="1"/>
  <c r="E1088" i="1"/>
  <c r="G1088" i="1"/>
  <c r="I1088" i="1"/>
  <c r="J1088" i="1"/>
  <c r="L1088" i="1"/>
  <c r="N1088" i="1"/>
  <c r="M1088" i="1"/>
  <c r="C1088" i="1"/>
  <c r="H1088" i="1"/>
  <c r="F1088" i="1"/>
  <c r="B1088" i="1"/>
  <c r="D1087" i="1"/>
  <c r="E1087" i="1"/>
  <c r="G1087" i="1"/>
  <c r="I1087" i="1"/>
  <c r="J1087" i="1"/>
  <c r="L1087" i="1"/>
  <c r="N1087" i="1"/>
  <c r="M1087" i="1"/>
  <c r="C1087" i="1"/>
  <c r="H1087" i="1"/>
  <c r="F1087" i="1"/>
  <c r="B1087" i="1"/>
  <c r="D1086" i="1"/>
  <c r="E1086" i="1"/>
  <c r="G1086" i="1"/>
  <c r="I1086" i="1"/>
  <c r="J1086" i="1"/>
  <c r="L1086" i="1"/>
  <c r="N1086" i="1"/>
  <c r="M1086" i="1"/>
  <c r="C1086" i="1"/>
  <c r="H1086" i="1"/>
  <c r="F1086" i="1"/>
  <c r="B1086" i="1"/>
  <c r="D1085" i="1"/>
  <c r="E1085" i="1"/>
  <c r="G1085" i="1"/>
  <c r="I1085" i="1"/>
  <c r="J1085" i="1"/>
  <c r="L1085" i="1"/>
  <c r="N1085" i="1"/>
  <c r="M1085" i="1"/>
  <c r="C1085" i="1"/>
  <c r="H1085" i="1"/>
  <c r="F1085" i="1"/>
  <c r="B1085" i="1"/>
  <c r="D1084" i="1"/>
  <c r="E1084" i="1"/>
  <c r="G1084" i="1"/>
  <c r="I1084" i="1"/>
  <c r="J1084" i="1"/>
  <c r="L1084" i="1"/>
  <c r="N1084" i="1"/>
  <c r="M1084" i="1"/>
  <c r="C1084" i="1"/>
  <c r="H1084" i="1"/>
  <c r="F1084" i="1"/>
  <c r="B1084" i="1"/>
  <c r="D1083" i="1"/>
  <c r="E1083" i="1"/>
  <c r="G1083" i="1"/>
  <c r="I1083" i="1"/>
  <c r="J1083" i="1"/>
  <c r="L1083" i="1"/>
  <c r="N1083" i="1"/>
  <c r="M1083" i="1"/>
  <c r="C1083" i="1"/>
  <c r="H1083" i="1"/>
  <c r="F1083" i="1"/>
  <c r="B1083" i="1"/>
  <c r="D1082" i="1"/>
  <c r="E1082" i="1"/>
  <c r="G1082" i="1"/>
  <c r="I1082" i="1"/>
  <c r="J1082" i="1"/>
  <c r="L1082" i="1"/>
  <c r="N1082" i="1"/>
  <c r="M1082" i="1"/>
  <c r="C1082" i="1"/>
  <c r="H1082" i="1"/>
  <c r="F1082" i="1"/>
  <c r="B1082" i="1"/>
  <c r="D1081" i="1"/>
  <c r="E1081" i="1"/>
  <c r="G1081" i="1"/>
  <c r="I1081" i="1"/>
  <c r="J1081" i="1"/>
  <c r="L1081" i="1"/>
  <c r="N1081" i="1"/>
  <c r="M1081" i="1"/>
  <c r="C1081" i="1"/>
  <c r="H1081" i="1"/>
  <c r="F1081" i="1"/>
  <c r="B1081" i="1"/>
  <c r="D1080" i="1"/>
  <c r="E1080" i="1"/>
  <c r="G1080" i="1"/>
  <c r="I1080" i="1"/>
  <c r="J1080" i="1"/>
  <c r="L1080" i="1"/>
  <c r="N1080" i="1"/>
  <c r="M1080" i="1"/>
  <c r="C1080" i="1"/>
  <c r="H1080" i="1"/>
  <c r="F1080" i="1"/>
  <c r="B1080" i="1"/>
  <c r="D1079" i="1"/>
  <c r="E1079" i="1"/>
  <c r="G1079" i="1"/>
  <c r="I1079" i="1"/>
  <c r="J1079" i="1"/>
  <c r="L1079" i="1"/>
  <c r="N1079" i="1"/>
  <c r="M1079" i="1"/>
  <c r="C1079" i="1"/>
  <c r="H1079" i="1"/>
  <c r="F1079" i="1"/>
  <c r="B1079" i="1"/>
  <c r="D1078" i="1"/>
  <c r="E1078" i="1"/>
  <c r="G1078" i="1"/>
  <c r="I1078" i="1"/>
  <c r="J1078" i="1"/>
  <c r="L1078" i="1"/>
  <c r="N1078" i="1"/>
  <c r="M1078" i="1"/>
  <c r="C1078" i="1"/>
  <c r="H1078" i="1"/>
  <c r="F1078" i="1"/>
  <c r="B1078" i="1"/>
  <c r="D1077" i="1"/>
  <c r="E1077" i="1"/>
  <c r="G1077" i="1"/>
  <c r="I1077" i="1"/>
  <c r="J1077" i="1"/>
  <c r="L1077" i="1"/>
  <c r="N1077" i="1"/>
  <c r="M1077" i="1"/>
  <c r="C1077" i="1"/>
  <c r="H1077" i="1"/>
  <c r="F1077" i="1"/>
  <c r="B1077" i="1"/>
  <c r="D1076" i="1"/>
  <c r="E1076" i="1"/>
  <c r="G1076" i="1"/>
  <c r="I1076" i="1"/>
  <c r="J1076" i="1"/>
  <c r="L1076" i="1"/>
  <c r="N1076" i="1"/>
  <c r="M1076" i="1"/>
  <c r="C1076" i="1"/>
  <c r="H1076" i="1"/>
  <c r="F1076" i="1"/>
  <c r="B1076" i="1"/>
  <c r="D1075" i="1"/>
  <c r="E1075" i="1"/>
  <c r="G1075" i="1"/>
  <c r="I1075" i="1"/>
  <c r="J1075" i="1"/>
  <c r="L1075" i="1"/>
  <c r="N1075" i="1"/>
  <c r="M1075" i="1"/>
  <c r="C1075" i="1"/>
  <c r="H1075" i="1"/>
  <c r="F1075" i="1"/>
  <c r="B1075" i="1"/>
  <c r="D1074" i="1"/>
  <c r="E1074" i="1"/>
  <c r="G1074" i="1"/>
  <c r="I1074" i="1"/>
  <c r="J1074" i="1"/>
  <c r="L1074" i="1"/>
  <c r="N1074" i="1"/>
  <c r="M1074" i="1"/>
  <c r="C1074" i="1"/>
  <c r="H1074" i="1"/>
  <c r="F1074" i="1"/>
  <c r="B1074" i="1"/>
  <c r="D1073" i="1"/>
  <c r="E1073" i="1"/>
  <c r="G1073" i="1"/>
  <c r="I1073" i="1"/>
  <c r="J1073" i="1"/>
  <c r="L1073" i="1"/>
  <c r="N1073" i="1"/>
  <c r="M1073" i="1"/>
  <c r="C1073" i="1"/>
  <c r="H1073" i="1"/>
  <c r="F1073" i="1"/>
  <c r="B1073" i="1"/>
  <c r="D1072" i="1"/>
  <c r="E1072" i="1"/>
  <c r="G1072" i="1"/>
  <c r="I1072" i="1"/>
  <c r="J1072" i="1"/>
  <c r="L1072" i="1"/>
  <c r="N1072" i="1"/>
  <c r="M1072" i="1"/>
  <c r="C1072" i="1"/>
  <c r="H1072" i="1"/>
  <c r="F1072" i="1"/>
  <c r="B1072" i="1"/>
  <c r="D1071" i="1"/>
  <c r="E1071" i="1"/>
  <c r="G1071" i="1"/>
  <c r="I1071" i="1"/>
  <c r="J1071" i="1"/>
  <c r="L1071" i="1"/>
  <c r="N1071" i="1"/>
  <c r="M1071" i="1"/>
  <c r="C1071" i="1"/>
  <c r="H1071" i="1"/>
  <c r="F1071" i="1"/>
  <c r="B1071" i="1"/>
  <c r="D1070" i="1"/>
  <c r="E1070" i="1"/>
  <c r="G1070" i="1"/>
  <c r="I1070" i="1"/>
  <c r="J1070" i="1"/>
  <c r="L1070" i="1"/>
  <c r="N1070" i="1"/>
  <c r="M1070" i="1"/>
  <c r="C1070" i="1"/>
  <c r="H1070" i="1"/>
  <c r="F1070" i="1"/>
  <c r="B1070" i="1"/>
  <c r="D1069" i="1"/>
  <c r="E1069" i="1"/>
  <c r="G1069" i="1"/>
  <c r="I1069" i="1"/>
  <c r="J1069" i="1"/>
  <c r="L1069" i="1"/>
  <c r="N1069" i="1"/>
  <c r="M1069" i="1"/>
  <c r="C1069" i="1"/>
  <c r="H1069" i="1"/>
  <c r="F1069" i="1"/>
  <c r="B1069" i="1"/>
  <c r="D1068" i="1"/>
  <c r="E1068" i="1"/>
  <c r="G1068" i="1"/>
  <c r="I1068" i="1"/>
  <c r="J1068" i="1"/>
  <c r="L1068" i="1"/>
  <c r="N1068" i="1"/>
  <c r="M1068" i="1"/>
  <c r="C1068" i="1"/>
  <c r="H1068" i="1"/>
  <c r="F1068" i="1"/>
  <c r="B1068" i="1"/>
  <c r="D1067" i="1"/>
  <c r="E1067" i="1"/>
  <c r="G1067" i="1"/>
  <c r="I1067" i="1"/>
  <c r="J1067" i="1"/>
  <c r="L1067" i="1"/>
  <c r="N1067" i="1"/>
  <c r="M1067" i="1"/>
  <c r="C1067" i="1"/>
  <c r="H1067" i="1"/>
  <c r="F1067" i="1"/>
  <c r="B1067" i="1"/>
  <c r="D1066" i="1"/>
  <c r="E1066" i="1"/>
  <c r="G1066" i="1"/>
  <c r="I1066" i="1"/>
  <c r="J1066" i="1"/>
  <c r="L1066" i="1"/>
  <c r="N1066" i="1"/>
  <c r="M1066" i="1"/>
  <c r="C1066" i="1"/>
  <c r="H1066" i="1"/>
  <c r="F1066" i="1"/>
  <c r="B1066" i="1"/>
  <c r="D1065" i="1"/>
  <c r="E1065" i="1"/>
  <c r="G1065" i="1"/>
  <c r="I1065" i="1"/>
  <c r="J1065" i="1"/>
  <c r="L1065" i="1"/>
  <c r="N1065" i="1"/>
  <c r="M1065" i="1"/>
  <c r="C1065" i="1"/>
  <c r="H1065" i="1"/>
  <c r="F1065" i="1"/>
  <c r="B1065" i="1"/>
  <c r="D1064" i="1"/>
  <c r="E1064" i="1"/>
  <c r="G1064" i="1"/>
  <c r="I1064" i="1"/>
  <c r="J1064" i="1"/>
  <c r="L1064" i="1"/>
  <c r="N1064" i="1"/>
  <c r="M1064" i="1"/>
  <c r="C1064" i="1"/>
  <c r="H1064" i="1"/>
  <c r="F1064" i="1"/>
  <c r="B1064" i="1"/>
  <c r="D1063" i="1"/>
  <c r="E1063" i="1"/>
  <c r="G1063" i="1"/>
  <c r="I1063" i="1"/>
  <c r="J1063" i="1"/>
  <c r="L1063" i="1"/>
  <c r="N1063" i="1"/>
  <c r="M1063" i="1"/>
  <c r="C1063" i="1"/>
  <c r="H1063" i="1"/>
  <c r="F1063" i="1"/>
  <c r="B1063" i="1"/>
  <c r="D1062" i="1"/>
  <c r="E1062" i="1"/>
  <c r="G1062" i="1"/>
  <c r="I1062" i="1"/>
  <c r="J1062" i="1"/>
  <c r="L1062" i="1"/>
  <c r="N1062" i="1"/>
  <c r="M1062" i="1"/>
  <c r="C1062" i="1"/>
  <c r="H1062" i="1"/>
  <c r="F1062" i="1"/>
  <c r="B1062" i="1"/>
  <c r="D1061" i="1"/>
  <c r="E1061" i="1"/>
  <c r="G1061" i="1"/>
  <c r="I1061" i="1"/>
  <c r="J1061" i="1"/>
  <c r="L1061" i="1"/>
  <c r="N1061" i="1"/>
  <c r="M1061" i="1"/>
  <c r="C1061" i="1"/>
  <c r="H1061" i="1"/>
  <c r="F1061" i="1"/>
  <c r="B1061" i="1"/>
  <c r="D1060" i="1"/>
  <c r="E1060" i="1"/>
  <c r="G1060" i="1"/>
  <c r="I1060" i="1"/>
  <c r="J1060" i="1"/>
  <c r="L1060" i="1"/>
  <c r="N1060" i="1"/>
  <c r="M1060" i="1"/>
  <c r="C1060" i="1"/>
  <c r="H1060" i="1"/>
  <c r="F1060" i="1"/>
  <c r="B1060" i="1"/>
  <c r="D1059" i="1"/>
  <c r="E1059" i="1"/>
  <c r="G1059" i="1"/>
  <c r="I1059" i="1"/>
  <c r="J1059" i="1"/>
  <c r="L1059" i="1"/>
  <c r="N1059" i="1"/>
  <c r="M1059" i="1"/>
  <c r="C1059" i="1"/>
  <c r="H1059" i="1"/>
  <c r="F1059" i="1"/>
  <c r="B1059" i="1"/>
  <c r="D1058" i="1"/>
  <c r="E1058" i="1"/>
  <c r="G1058" i="1"/>
  <c r="I1058" i="1"/>
  <c r="J1058" i="1"/>
  <c r="L1058" i="1"/>
  <c r="N1058" i="1"/>
  <c r="M1058" i="1"/>
  <c r="C1058" i="1"/>
  <c r="H1058" i="1"/>
  <c r="F1058" i="1"/>
  <c r="B1058" i="1"/>
  <c r="D1057" i="1"/>
  <c r="E1057" i="1"/>
  <c r="G1057" i="1"/>
  <c r="I1057" i="1"/>
  <c r="J1057" i="1"/>
  <c r="L1057" i="1"/>
  <c r="N1057" i="1"/>
  <c r="M1057" i="1"/>
  <c r="C1057" i="1"/>
  <c r="H1057" i="1"/>
  <c r="F1057" i="1"/>
  <c r="B1057" i="1"/>
  <c r="D1056" i="1"/>
  <c r="E1056" i="1"/>
  <c r="G1056" i="1"/>
  <c r="I1056" i="1"/>
  <c r="J1056" i="1"/>
  <c r="L1056" i="1"/>
  <c r="N1056" i="1"/>
  <c r="M1056" i="1"/>
  <c r="C1056" i="1"/>
  <c r="H1056" i="1"/>
  <c r="F1056" i="1"/>
  <c r="B1056" i="1"/>
  <c r="D1055" i="1"/>
  <c r="E1055" i="1"/>
  <c r="G1055" i="1"/>
  <c r="I1055" i="1"/>
  <c r="J1055" i="1"/>
  <c r="L1055" i="1"/>
  <c r="N1055" i="1"/>
  <c r="M1055" i="1"/>
  <c r="C1055" i="1"/>
  <c r="H1055" i="1"/>
  <c r="F1055" i="1"/>
  <c r="B1055" i="1"/>
  <c r="D1054" i="1"/>
  <c r="E1054" i="1"/>
  <c r="G1054" i="1"/>
  <c r="I1054" i="1"/>
  <c r="J1054" i="1"/>
  <c r="L1054" i="1"/>
  <c r="N1054" i="1"/>
  <c r="M1054" i="1"/>
  <c r="C1054" i="1"/>
  <c r="H1054" i="1"/>
  <c r="F1054" i="1"/>
  <c r="B1054" i="1"/>
  <c r="D1053" i="1"/>
  <c r="E1053" i="1"/>
  <c r="G1053" i="1"/>
  <c r="I1053" i="1"/>
  <c r="J1053" i="1"/>
  <c r="L1053" i="1"/>
  <c r="N1053" i="1"/>
  <c r="M1053" i="1"/>
  <c r="C1053" i="1"/>
  <c r="H1053" i="1"/>
  <c r="F1053" i="1"/>
  <c r="B1053" i="1"/>
  <c r="D1052" i="1"/>
  <c r="E1052" i="1"/>
  <c r="G1052" i="1"/>
  <c r="I1052" i="1"/>
  <c r="J1052" i="1"/>
  <c r="L1052" i="1"/>
  <c r="N1052" i="1"/>
  <c r="M1052" i="1"/>
  <c r="C1052" i="1"/>
  <c r="H1052" i="1"/>
  <c r="F1052" i="1"/>
  <c r="B1052" i="1"/>
  <c r="D1051" i="1"/>
  <c r="E1051" i="1"/>
  <c r="G1051" i="1"/>
  <c r="I1051" i="1"/>
  <c r="J1051" i="1"/>
  <c r="L1051" i="1"/>
  <c r="N1051" i="1"/>
  <c r="M1051" i="1"/>
  <c r="C1051" i="1"/>
  <c r="H1051" i="1"/>
  <c r="F1051" i="1"/>
  <c r="B1051" i="1"/>
  <c r="D1050" i="1"/>
  <c r="E1050" i="1"/>
  <c r="G1050" i="1"/>
  <c r="I1050" i="1"/>
  <c r="J1050" i="1"/>
  <c r="L1050" i="1"/>
  <c r="N1050" i="1"/>
  <c r="M1050" i="1"/>
  <c r="C1050" i="1"/>
  <c r="H1050" i="1"/>
  <c r="F1050" i="1"/>
  <c r="B1050" i="1"/>
  <c r="D1049" i="1"/>
  <c r="E1049" i="1"/>
  <c r="G1049" i="1"/>
  <c r="I1049" i="1"/>
  <c r="J1049" i="1"/>
  <c r="L1049" i="1"/>
  <c r="N1049" i="1"/>
  <c r="M1049" i="1"/>
  <c r="C1049" i="1"/>
  <c r="H1049" i="1"/>
  <c r="F1049" i="1"/>
  <c r="B1049" i="1"/>
  <c r="D1048" i="1"/>
  <c r="E1048" i="1"/>
  <c r="G1048" i="1"/>
  <c r="I1048" i="1"/>
  <c r="J1048" i="1"/>
  <c r="L1048" i="1"/>
  <c r="N1048" i="1"/>
  <c r="M1048" i="1"/>
  <c r="C1048" i="1"/>
  <c r="H1048" i="1"/>
  <c r="F1048" i="1"/>
  <c r="B1048" i="1"/>
  <c r="D1047" i="1"/>
  <c r="E1047" i="1"/>
  <c r="G1047" i="1"/>
  <c r="I1047" i="1"/>
  <c r="J1047" i="1"/>
  <c r="L1047" i="1"/>
  <c r="N1047" i="1"/>
  <c r="M1047" i="1"/>
  <c r="C1047" i="1"/>
  <c r="H1047" i="1"/>
  <c r="F1047" i="1"/>
  <c r="B1047" i="1"/>
  <c r="D1046" i="1"/>
  <c r="E1046" i="1"/>
  <c r="G1046" i="1"/>
  <c r="I1046" i="1"/>
  <c r="J1046" i="1"/>
  <c r="L1046" i="1"/>
  <c r="N1046" i="1"/>
  <c r="M1046" i="1"/>
  <c r="C1046" i="1"/>
  <c r="H1046" i="1"/>
  <c r="F1046" i="1"/>
  <c r="B1046" i="1"/>
  <c r="D1045" i="1"/>
  <c r="E1045" i="1"/>
  <c r="G1045" i="1"/>
  <c r="I1045" i="1"/>
  <c r="J1045" i="1"/>
  <c r="L1045" i="1"/>
  <c r="N1045" i="1"/>
  <c r="M1045" i="1"/>
  <c r="C1045" i="1"/>
  <c r="H1045" i="1"/>
  <c r="F1045" i="1"/>
  <c r="B1045" i="1"/>
  <c r="D1044" i="1"/>
  <c r="E1044" i="1"/>
  <c r="G1044" i="1"/>
  <c r="I1044" i="1"/>
  <c r="J1044" i="1"/>
  <c r="L1044" i="1"/>
  <c r="N1044" i="1"/>
  <c r="M1044" i="1"/>
  <c r="C1044" i="1"/>
  <c r="H1044" i="1"/>
  <c r="F1044" i="1"/>
  <c r="B1044" i="1"/>
  <c r="D1043" i="1"/>
  <c r="E1043" i="1"/>
  <c r="G1043" i="1"/>
  <c r="I1043" i="1"/>
  <c r="J1043" i="1"/>
  <c r="L1043" i="1"/>
  <c r="N1043" i="1"/>
  <c r="M1043" i="1"/>
  <c r="C1043" i="1"/>
  <c r="H1043" i="1"/>
  <c r="F1043" i="1"/>
  <c r="B1043" i="1"/>
  <c r="D1042" i="1"/>
  <c r="E1042" i="1"/>
  <c r="G1042" i="1"/>
  <c r="I1042" i="1"/>
  <c r="J1042" i="1"/>
  <c r="L1042" i="1"/>
  <c r="N1042" i="1"/>
  <c r="M1042" i="1"/>
  <c r="C1042" i="1"/>
  <c r="H1042" i="1"/>
  <c r="F1042" i="1"/>
  <c r="B1042" i="1"/>
  <c r="D1041" i="1"/>
  <c r="E1041" i="1"/>
  <c r="G1041" i="1"/>
  <c r="I1041" i="1"/>
  <c r="J1041" i="1"/>
  <c r="L1041" i="1"/>
  <c r="N1041" i="1"/>
  <c r="M1041" i="1"/>
  <c r="C1041" i="1"/>
  <c r="H1041" i="1"/>
  <c r="F1041" i="1"/>
  <c r="B1041" i="1"/>
  <c r="D1040" i="1"/>
  <c r="E1040" i="1"/>
  <c r="G1040" i="1"/>
  <c r="I1040" i="1"/>
  <c r="J1040" i="1"/>
  <c r="L1040" i="1"/>
  <c r="N1040" i="1"/>
  <c r="M1040" i="1"/>
  <c r="C1040" i="1"/>
  <c r="H1040" i="1"/>
  <c r="F1040" i="1"/>
  <c r="B1040" i="1"/>
  <c r="D1039" i="1"/>
  <c r="E1039" i="1"/>
  <c r="G1039" i="1"/>
  <c r="I1039" i="1"/>
  <c r="J1039" i="1"/>
  <c r="L1039" i="1"/>
  <c r="N1039" i="1"/>
  <c r="M1039" i="1"/>
  <c r="C1039" i="1"/>
  <c r="H1039" i="1"/>
  <c r="F1039" i="1"/>
  <c r="B1039" i="1"/>
  <c r="D1038" i="1"/>
  <c r="E1038" i="1"/>
  <c r="G1038" i="1"/>
  <c r="I1038" i="1"/>
  <c r="J1038" i="1"/>
  <c r="L1038" i="1"/>
  <c r="N1038" i="1"/>
  <c r="M1038" i="1"/>
  <c r="C1038" i="1"/>
  <c r="H1038" i="1"/>
  <c r="F1038" i="1"/>
  <c r="B1038" i="1"/>
  <c r="D1037" i="1"/>
  <c r="E1037" i="1"/>
  <c r="G1037" i="1"/>
  <c r="I1037" i="1"/>
  <c r="J1037" i="1"/>
  <c r="L1037" i="1"/>
  <c r="N1037" i="1"/>
  <c r="M1037" i="1"/>
  <c r="C1037" i="1"/>
  <c r="H1037" i="1"/>
  <c r="F1037" i="1"/>
  <c r="B1037" i="1"/>
  <c r="D1036" i="1"/>
  <c r="E1036" i="1"/>
  <c r="G1036" i="1"/>
  <c r="I1036" i="1"/>
  <c r="J1036" i="1"/>
  <c r="L1036" i="1"/>
  <c r="N1036" i="1"/>
  <c r="M1036" i="1"/>
  <c r="C1036" i="1"/>
  <c r="H1036" i="1"/>
  <c r="F1036" i="1"/>
  <c r="B1036" i="1"/>
  <c r="D1035" i="1"/>
  <c r="E1035" i="1"/>
  <c r="G1035" i="1"/>
  <c r="I1035" i="1"/>
  <c r="J1035" i="1"/>
  <c r="L1035" i="1"/>
  <c r="N1035" i="1"/>
  <c r="M1035" i="1"/>
  <c r="C1035" i="1"/>
  <c r="H1035" i="1"/>
  <c r="F1035" i="1"/>
  <c r="B1035" i="1"/>
  <c r="D1034" i="1"/>
  <c r="E1034" i="1"/>
  <c r="G1034" i="1"/>
  <c r="I1034" i="1"/>
  <c r="J1034" i="1"/>
  <c r="L1034" i="1"/>
  <c r="N1034" i="1"/>
  <c r="M1034" i="1"/>
  <c r="C1034" i="1"/>
  <c r="H1034" i="1"/>
  <c r="F1034" i="1"/>
  <c r="B1034" i="1"/>
  <c r="D1033" i="1"/>
  <c r="E1033" i="1"/>
  <c r="G1033" i="1"/>
  <c r="I1033" i="1"/>
  <c r="J1033" i="1"/>
  <c r="L1033" i="1"/>
  <c r="N1033" i="1"/>
  <c r="M1033" i="1"/>
  <c r="C1033" i="1"/>
  <c r="H1033" i="1"/>
  <c r="F1033" i="1"/>
  <c r="B1033" i="1"/>
  <c r="D1032" i="1"/>
  <c r="E1032" i="1"/>
  <c r="G1032" i="1"/>
  <c r="I1032" i="1"/>
  <c r="J1032" i="1"/>
  <c r="L1032" i="1"/>
  <c r="N1032" i="1"/>
  <c r="M1032" i="1"/>
  <c r="C1032" i="1"/>
  <c r="H1032" i="1"/>
  <c r="F1032" i="1"/>
  <c r="B1032" i="1"/>
  <c r="D1031" i="1"/>
  <c r="E1031" i="1"/>
  <c r="G1031" i="1"/>
  <c r="I1031" i="1"/>
  <c r="J1031" i="1"/>
  <c r="L1031" i="1"/>
  <c r="N1031" i="1"/>
  <c r="M1031" i="1"/>
  <c r="C1031" i="1"/>
  <c r="H1031" i="1"/>
  <c r="F1031" i="1"/>
  <c r="B1031" i="1"/>
  <c r="D1030" i="1"/>
  <c r="E1030" i="1"/>
  <c r="G1030" i="1"/>
  <c r="I1030" i="1"/>
  <c r="J1030" i="1"/>
  <c r="L1030" i="1"/>
  <c r="N1030" i="1"/>
  <c r="M1030" i="1"/>
  <c r="C1030" i="1"/>
  <c r="H1030" i="1"/>
  <c r="F1030" i="1"/>
  <c r="B1030" i="1"/>
  <c r="D1029" i="1"/>
  <c r="E1029" i="1"/>
  <c r="G1029" i="1"/>
  <c r="I1029" i="1"/>
  <c r="J1029" i="1"/>
  <c r="L1029" i="1"/>
  <c r="N1029" i="1"/>
  <c r="M1029" i="1"/>
  <c r="C1029" i="1"/>
  <c r="H1029" i="1"/>
  <c r="F1029" i="1"/>
  <c r="B1029" i="1"/>
  <c r="D1028" i="1"/>
  <c r="E1028" i="1"/>
  <c r="G1028" i="1"/>
  <c r="I1028" i="1"/>
  <c r="J1028" i="1"/>
  <c r="L1028" i="1"/>
  <c r="N1028" i="1"/>
  <c r="M1028" i="1"/>
  <c r="C1028" i="1"/>
  <c r="H1028" i="1"/>
  <c r="F1028" i="1"/>
  <c r="B1028" i="1"/>
  <c r="D1027" i="1"/>
  <c r="E1027" i="1"/>
  <c r="G1027" i="1"/>
  <c r="I1027" i="1"/>
  <c r="J1027" i="1"/>
  <c r="L1027" i="1"/>
  <c r="N1027" i="1"/>
  <c r="M1027" i="1"/>
  <c r="C1027" i="1"/>
  <c r="H1027" i="1"/>
  <c r="F1027" i="1"/>
  <c r="B1027" i="1"/>
  <c r="D1026" i="1"/>
  <c r="E1026" i="1"/>
  <c r="G1026" i="1"/>
  <c r="I1026" i="1"/>
  <c r="J1026" i="1"/>
  <c r="L1026" i="1"/>
  <c r="N1026" i="1"/>
  <c r="M1026" i="1"/>
  <c r="C1026" i="1"/>
  <c r="H1026" i="1"/>
  <c r="F1026" i="1"/>
  <c r="B1026" i="1"/>
  <c r="D1025" i="1"/>
  <c r="E1025" i="1"/>
  <c r="G1025" i="1"/>
  <c r="I1025" i="1"/>
  <c r="J1025" i="1"/>
  <c r="L1025" i="1"/>
  <c r="N1025" i="1"/>
  <c r="M1025" i="1"/>
  <c r="C1025" i="1"/>
  <c r="H1025" i="1"/>
  <c r="F1025" i="1"/>
  <c r="B1025" i="1"/>
  <c r="D1024" i="1"/>
  <c r="E1024" i="1"/>
  <c r="G1024" i="1"/>
  <c r="I1024" i="1"/>
  <c r="J1024" i="1"/>
  <c r="L1024" i="1"/>
  <c r="N1024" i="1"/>
  <c r="M1024" i="1"/>
  <c r="C1024" i="1"/>
  <c r="H1024" i="1"/>
  <c r="F1024" i="1"/>
  <c r="B1024" i="1"/>
  <c r="D1023" i="1"/>
  <c r="E1023" i="1"/>
  <c r="G1023" i="1"/>
  <c r="I1023" i="1"/>
  <c r="J1023" i="1"/>
  <c r="L1023" i="1"/>
  <c r="N1023" i="1"/>
  <c r="M1023" i="1"/>
  <c r="C1023" i="1"/>
  <c r="H1023" i="1"/>
  <c r="F1023" i="1"/>
  <c r="B1023" i="1"/>
  <c r="D1022" i="1"/>
  <c r="E1022" i="1"/>
  <c r="G1022" i="1"/>
  <c r="I1022" i="1"/>
  <c r="J1022" i="1"/>
  <c r="L1022" i="1"/>
  <c r="N1022" i="1"/>
  <c r="M1022" i="1"/>
  <c r="C1022" i="1"/>
  <c r="H1022" i="1"/>
  <c r="F1022" i="1"/>
  <c r="B1022" i="1"/>
  <c r="D1021" i="1"/>
  <c r="E1021" i="1"/>
  <c r="G1021" i="1"/>
  <c r="I1021" i="1"/>
  <c r="J1021" i="1"/>
  <c r="L1021" i="1"/>
  <c r="N1021" i="1"/>
  <c r="M1021" i="1"/>
  <c r="C1021" i="1"/>
  <c r="H1021" i="1"/>
  <c r="F1021" i="1"/>
  <c r="B1021" i="1"/>
  <c r="D1020" i="1"/>
  <c r="E1020" i="1"/>
  <c r="G1020" i="1"/>
  <c r="I1020" i="1"/>
  <c r="J1020" i="1"/>
  <c r="L1020" i="1"/>
  <c r="N1020" i="1"/>
  <c r="M1020" i="1"/>
  <c r="C1020" i="1"/>
  <c r="H1020" i="1"/>
  <c r="F1020" i="1"/>
  <c r="B1020" i="1"/>
  <c r="D1019" i="1"/>
  <c r="E1019" i="1"/>
  <c r="G1019" i="1"/>
  <c r="I1019" i="1"/>
  <c r="J1019" i="1"/>
  <c r="L1019" i="1"/>
  <c r="N1019" i="1"/>
  <c r="M1019" i="1"/>
  <c r="C1019" i="1"/>
  <c r="H1019" i="1"/>
  <c r="F1019" i="1"/>
  <c r="B1019" i="1"/>
  <c r="D1018" i="1"/>
  <c r="E1018" i="1"/>
  <c r="G1018" i="1"/>
  <c r="I1018" i="1"/>
  <c r="J1018" i="1"/>
  <c r="L1018" i="1"/>
  <c r="N1018" i="1"/>
  <c r="M1018" i="1"/>
  <c r="C1018" i="1"/>
  <c r="H1018" i="1"/>
  <c r="F1018" i="1"/>
  <c r="B1018" i="1"/>
  <c r="D1017" i="1"/>
  <c r="E1017" i="1"/>
  <c r="G1017" i="1"/>
  <c r="I1017" i="1"/>
  <c r="J1017" i="1"/>
  <c r="L1017" i="1"/>
  <c r="N1017" i="1"/>
  <c r="M1017" i="1"/>
  <c r="C1017" i="1"/>
  <c r="H1017" i="1"/>
  <c r="F1017" i="1"/>
  <c r="B1017" i="1"/>
  <c r="D1016" i="1"/>
  <c r="E1016" i="1"/>
  <c r="G1016" i="1"/>
  <c r="I1016" i="1"/>
  <c r="J1016" i="1"/>
  <c r="L1016" i="1"/>
  <c r="N1016" i="1"/>
  <c r="M1016" i="1"/>
  <c r="C1016" i="1"/>
  <c r="H1016" i="1"/>
  <c r="F1016" i="1"/>
  <c r="B1016" i="1"/>
  <c r="D1015" i="1"/>
  <c r="E1015" i="1"/>
  <c r="G1015" i="1"/>
  <c r="I1015" i="1"/>
  <c r="J1015" i="1"/>
  <c r="L1015" i="1"/>
  <c r="N1015" i="1"/>
  <c r="M1015" i="1"/>
  <c r="C1015" i="1"/>
  <c r="H1015" i="1"/>
  <c r="F1015" i="1"/>
  <c r="B1015" i="1"/>
  <c r="D1014" i="1"/>
  <c r="E1014" i="1"/>
  <c r="G1014" i="1"/>
  <c r="I1014" i="1"/>
  <c r="J1014" i="1"/>
  <c r="L1014" i="1"/>
  <c r="N1014" i="1"/>
  <c r="M1014" i="1"/>
  <c r="C1014" i="1"/>
  <c r="H1014" i="1"/>
  <c r="F1014" i="1"/>
  <c r="B1014" i="1"/>
  <c r="D1013" i="1"/>
  <c r="E1013" i="1"/>
  <c r="G1013" i="1"/>
  <c r="I1013" i="1"/>
  <c r="J1013" i="1"/>
  <c r="L1013" i="1"/>
  <c r="N1013" i="1"/>
  <c r="M1013" i="1"/>
  <c r="C1013" i="1"/>
  <c r="H1013" i="1"/>
  <c r="F1013" i="1"/>
  <c r="B1013" i="1"/>
  <c r="D1012" i="1"/>
  <c r="E1012" i="1"/>
  <c r="G1012" i="1"/>
  <c r="I1012" i="1"/>
  <c r="J1012" i="1"/>
  <c r="L1012" i="1"/>
  <c r="N1012" i="1"/>
  <c r="M1012" i="1"/>
  <c r="C1012" i="1"/>
  <c r="H1012" i="1"/>
  <c r="F1012" i="1"/>
  <c r="B1012" i="1"/>
  <c r="D1011" i="1"/>
  <c r="E1011" i="1"/>
  <c r="G1011" i="1"/>
  <c r="I1011" i="1"/>
  <c r="J1011" i="1"/>
  <c r="L1011" i="1"/>
  <c r="N1011" i="1"/>
  <c r="M1011" i="1"/>
  <c r="C1011" i="1"/>
  <c r="H1011" i="1"/>
  <c r="F1011" i="1"/>
  <c r="B1011" i="1"/>
  <c r="D1010" i="1"/>
  <c r="E1010" i="1"/>
  <c r="G1010" i="1"/>
  <c r="I1010" i="1"/>
  <c r="J1010" i="1"/>
  <c r="L1010" i="1"/>
  <c r="N1010" i="1"/>
  <c r="M1010" i="1"/>
  <c r="C1010" i="1"/>
  <c r="H1010" i="1"/>
  <c r="F1010" i="1"/>
  <c r="B1010" i="1"/>
  <c r="D1009" i="1"/>
  <c r="E1009" i="1"/>
  <c r="G1009" i="1"/>
  <c r="I1009" i="1"/>
  <c r="J1009" i="1"/>
  <c r="L1009" i="1"/>
  <c r="N1009" i="1"/>
  <c r="M1009" i="1"/>
  <c r="C1009" i="1"/>
  <c r="H1009" i="1"/>
  <c r="F1009" i="1"/>
  <c r="B1009" i="1"/>
  <c r="D1008" i="1"/>
  <c r="E1008" i="1"/>
  <c r="G1008" i="1"/>
  <c r="I1008" i="1"/>
  <c r="J1008" i="1"/>
  <c r="L1008" i="1"/>
  <c r="N1008" i="1"/>
  <c r="M1008" i="1"/>
  <c r="C1008" i="1"/>
  <c r="H1008" i="1"/>
  <c r="F1008" i="1"/>
  <c r="B1008" i="1"/>
  <c r="D1007" i="1"/>
  <c r="E1007" i="1"/>
  <c r="G1007" i="1"/>
  <c r="I1007" i="1"/>
  <c r="J1007" i="1"/>
  <c r="L1007" i="1"/>
  <c r="N1007" i="1"/>
  <c r="M1007" i="1"/>
  <c r="C1007" i="1"/>
  <c r="H1007" i="1"/>
  <c r="F1007" i="1"/>
  <c r="B1007" i="1"/>
  <c r="D1006" i="1"/>
  <c r="E1006" i="1"/>
  <c r="G1006" i="1"/>
  <c r="I1006" i="1"/>
  <c r="J1006" i="1"/>
  <c r="L1006" i="1"/>
  <c r="N1006" i="1"/>
  <c r="M1006" i="1"/>
  <c r="C1006" i="1"/>
  <c r="H1006" i="1"/>
  <c r="F1006" i="1"/>
  <c r="B1006" i="1"/>
  <c r="D1005" i="1"/>
  <c r="E1005" i="1"/>
  <c r="G1005" i="1"/>
  <c r="I1005" i="1"/>
  <c r="J1005" i="1"/>
  <c r="L1005" i="1"/>
  <c r="N1005" i="1"/>
  <c r="M1005" i="1"/>
  <c r="C1005" i="1"/>
  <c r="H1005" i="1"/>
  <c r="F1005" i="1"/>
  <c r="B1005" i="1"/>
  <c r="D1004" i="1"/>
  <c r="E1004" i="1"/>
  <c r="G1004" i="1"/>
  <c r="I1004" i="1"/>
  <c r="J1004" i="1"/>
  <c r="L1004" i="1"/>
  <c r="N1004" i="1"/>
  <c r="M1004" i="1"/>
  <c r="C1004" i="1"/>
  <c r="H1004" i="1"/>
  <c r="F1004" i="1"/>
  <c r="B1004" i="1"/>
  <c r="D1003" i="1"/>
  <c r="E1003" i="1"/>
  <c r="G1003" i="1"/>
  <c r="I1003" i="1"/>
  <c r="J1003" i="1"/>
  <c r="L1003" i="1"/>
  <c r="N1003" i="1"/>
  <c r="M1003" i="1"/>
  <c r="C1003" i="1"/>
  <c r="H1003" i="1"/>
  <c r="F1003" i="1"/>
  <c r="B1003" i="1"/>
  <c r="D1002" i="1"/>
  <c r="E1002" i="1"/>
  <c r="G1002" i="1"/>
  <c r="I1002" i="1"/>
  <c r="J1002" i="1"/>
  <c r="L1002" i="1"/>
  <c r="N1002" i="1"/>
  <c r="M1002" i="1"/>
  <c r="C1002" i="1"/>
  <c r="H1002" i="1"/>
  <c r="F1002" i="1"/>
  <c r="B1002" i="1"/>
  <c r="D1001" i="1"/>
  <c r="E1001" i="1"/>
  <c r="G1001" i="1"/>
  <c r="I1001" i="1"/>
  <c r="J1001" i="1"/>
  <c r="L1001" i="1"/>
  <c r="N1001" i="1"/>
  <c r="M1001" i="1"/>
  <c r="C1001" i="1"/>
  <c r="H1001" i="1"/>
  <c r="F1001" i="1"/>
  <c r="B1001" i="1"/>
  <c r="D1000" i="1"/>
  <c r="E1000" i="1"/>
  <c r="G1000" i="1"/>
  <c r="I1000" i="1"/>
  <c r="J1000" i="1"/>
  <c r="L1000" i="1"/>
  <c r="N1000" i="1"/>
  <c r="M1000" i="1"/>
  <c r="C1000" i="1"/>
  <c r="H1000" i="1"/>
  <c r="F1000" i="1"/>
  <c r="B1000" i="1"/>
  <c r="D999" i="1"/>
  <c r="E999" i="1"/>
  <c r="G999" i="1"/>
  <c r="I999" i="1"/>
  <c r="J999" i="1"/>
  <c r="L999" i="1"/>
  <c r="N999" i="1"/>
  <c r="M999" i="1"/>
  <c r="C999" i="1"/>
  <c r="H999" i="1"/>
  <c r="F999" i="1"/>
  <c r="B999" i="1"/>
  <c r="D998" i="1"/>
  <c r="E998" i="1"/>
  <c r="G998" i="1"/>
  <c r="I998" i="1"/>
  <c r="J998" i="1"/>
  <c r="L998" i="1"/>
  <c r="N998" i="1"/>
  <c r="M998" i="1"/>
  <c r="C998" i="1"/>
  <c r="H998" i="1"/>
  <c r="F998" i="1"/>
  <c r="B998" i="1"/>
  <c r="D997" i="1"/>
  <c r="E997" i="1"/>
  <c r="G997" i="1"/>
  <c r="I997" i="1"/>
  <c r="J997" i="1"/>
  <c r="L997" i="1"/>
  <c r="N997" i="1"/>
  <c r="M997" i="1"/>
  <c r="C997" i="1"/>
  <c r="H997" i="1"/>
  <c r="F997" i="1"/>
  <c r="B997" i="1"/>
  <c r="D996" i="1"/>
  <c r="E996" i="1"/>
  <c r="G996" i="1"/>
  <c r="I996" i="1"/>
  <c r="J996" i="1"/>
  <c r="L996" i="1"/>
  <c r="N996" i="1"/>
  <c r="M996" i="1"/>
  <c r="C996" i="1"/>
  <c r="H996" i="1"/>
  <c r="F996" i="1"/>
  <c r="B996" i="1"/>
  <c r="D995" i="1"/>
  <c r="E995" i="1"/>
  <c r="G995" i="1"/>
  <c r="I995" i="1"/>
  <c r="J995" i="1"/>
  <c r="L995" i="1"/>
  <c r="N995" i="1"/>
  <c r="M995" i="1"/>
  <c r="C995" i="1"/>
  <c r="H995" i="1"/>
  <c r="F995" i="1"/>
  <c r="B995" i="1"/>
  <c r="D994" i="1"/>
  <c r="E994" i="1"/>
  <c r="G994" i="1"/>
  <c r="I994" i="1"/>
  <c r="J994" i="1"/>
  <c r="L994" i="1"/>
  <c r="N994" i="1"/>
  <c r="M994" i="1"/>
  <c r="C994" i="1"/>
  <c r="H994" i="1"/>
  <c r="F994" i="1"/>
  <c r="B994" i="1"/>
  <c r="D993" i="1"/>
  <c r="E993" i="1"/>
  <c r="G993" i="1"/>
  <c r="I993" i="1"/>
  <c r="J993" i="1"/>
  <c r="L993" i="1"/>
  <c r="N993" i="1"/>
  <c r="M993" i="1"/>
  <c r="C993" i="1"/>
  <c r="H993" i="1"/>
  <c r="F993" i="1"/>
  <c r="B993" i="1"/>
  <c r="D992" i="1"/>
  <c r="E992" i="1"/>
  <c r="G992" i="1"/>
  <c r="I992" i="1"/>
  <c r="J992" i="1"/>
  <c r="L992" i="1"/>
  <c r="N992" i="1"/>
  <c r="M992" i="1"/>
  <c r="C992" i="1"/>
  <c r="H992" i="1"/>
  <c r="F992" i="1"/>
  <c r="B992" i="1"/>
  <c r="D991" i="1"/>
  <c r="E991" i="1"/>
  <c r="G991" i="1"/>
  <c r="I991" i="1"/>
  <c r="J991" i="1"/>
  <c r="L991" i="1"/>
  <c r="N991" i="1"/>
  <c r="M991" i="1"/>
  <c r="C991" i="1"/>
  <c r="H991" i="1"/>
  <c r="F991" i="1"/>
  <c r="B991" i="1"/>
  <c r="D990" i="1"/>
  <c r="E990" i="1"/>
  <c r="G990" i="1"/>
  <c r="I990" i="1"/>
  <c r="J990" i="1"/>
  <c r="L990" i="1"/>
  <c r="N990" i="1"/>
  <c r="M990" i="1"/>
  <c r="C990" i="1"/>
  <c r="H990" i="1"/>
  <c r="F990" i="1"/>
  <c r="B990" i="1"/>
  <c r="D989" i="1"/>
  <c r="E989" i="1"/>
  <c r="G989" i="1"/>
  <c r="I989" i="1"/>
  <c r="J989" i="1"/>
  <c r="L989" i="1"/>
  <c r="N989" i="1"/>
  <c r="M989" i="1"/>
  <c r="C989" i="1"/>
  <c r="H989" i="1"/>
  <c r="F989" i="1"/>
  <c r="B989" i="1"/>
  <c r="D988" i="1"/>
  <c r="E988" i="1"/>
  <c r="G988" i="1"/>
  <c r="I988" i="1"/>
  <c r="J988" i="1"/>
  <c r="L988" i="1"/>
  <c r="N988" i="1"/>
  <c r="M988" i="1"/>
  <c r="C988" i="1"/>
  <c r="H988" i="1"/>
  <c r="F988" i="1"/>
  <c r="B988" i="1"/>
  <c r="D987" i="1"/>
  <c r="E987" i="1"/>
  <c r="G987" i="1"/>
  <c r="I987" i="1"/>
  <c r="J987" i="1"/>
  <c r="L987" i="1"/>
  <c r="N987" i="1"/>
  <c r="M987" i="1"/>
  <c r="C987" i="1"/>
  <c r="H987" i="1"/>
  <c r="F987" i="1"/>
  <c r="B987" i="1"/>
  <c r="D986" i="1"/>
  <c r="E986" i="1"/>
  <c r="G986" i="1"/>
  <c r="I986" i="1"/>
  <c r="J986" i="1"/>
  <c r="L986" i="1"/>
  <c r="N986" i="1"/>
  <c r="M986" i="1"/>
  <c r="C986" i="1"/>
  <c r="H986" i="1"/>
  <c r="F986" i="1"/>
  <c r="B986" i="1"/>
  <c r="D985" i="1"/>
  <c r="E985" i="1"/>
  <c r="G985" i="1"/>
  <c r="I985" i="1"/>
  <c r="J985" i="1"/>
  <c r="L985" i="1"/>
  <c r="N985" i="1"/>
  <c r="M985" i="1"/>
  <c r="C985" i="1"/>
  <c r="H985" i="1"/>
  <c r="F985" i="1"/>
  <c r="B985" i="1"/>
  <c r="D984" i="1"/>
  <c r="E984" i="1"/>
  <c r="G984" i="1"/>
  <c r="I984" i="1"/>
  <c r="J984" i="1"/>
  <c r="L984" i="1"/>
  <c r="N984" i="1"/>
  <c r="M984" i="1"/>
  <c r="C984" i="1"/>
  <c r="H984" i="1"/>
  <c r="F984" i="1"/>
  <c r="B984" i="1"/>
  <c r="D983" i="1"/>
  <c r="E983" i="1"/>
  <c r="G983" i="1"/>
  <c r="I983" i="1"/>
  <c r="J983" i="1"/>
  <c r="L983" i="1"/>
  <c r="N983" i="1"/>
  <c r="M983" i="1"/>
  <c r="C983" i="1"/>
  <c r="H983" i="1"/>
  <c r="F983" i="1"/>
  <c r="B983" i="1"/>
  <c r="D982" i="1"/>
  <c r="E982" i="1"/>
  <c r="G982" i="1"/>
  <c r="I982" i="1"/>
  <c r="J982" i="1"/>
  <c r="L982" i="1"/>
  <c r="N982" i="1"/>
  <c r="M982" i="1"/>
  <c r="C982" i="1"/>
  <c r="H982" i="1"/>
  <c r="F982" i="1"/>
  <c r="B982" i="1"/>
  <c r="D981" i="1"/>
  <c r="E981" i="1"/>
  <c r="G981" i="1"/>
  <c r="I981" i="1"/>
  <c r="J981" i="1"/>
  <c r="L981" i="1"/>
  <c r="N981" i="1"/>
  <c r="M981" i="1"/>
  <c r="C981" i="1"/>
  <c r="H981" i="1"/>
  <c r="F981" i="1"/>
  <c r="B981" i="1"/>
  <c r="D980" i="1"/>
  <c r="E980" i="1"/>
  <c r="G980" i="1"/>
  <c r="I980" i="1"/>
  <c r="J980" i="1"/>
  <c r="L980" i="1"/>
  <c r="N980" i="1"/>
  <c r="M980" i="1"/>
  <c r="C980" i="1"/>
  <c r="H980" i="1"/>
  <c r="F980" i="1"/>
  <c r="B980" i="1"/>
  <c r="D979" i="1"/>
  <c r="E979" i="1"/>
  <c r="G979" i="1"/>
  <c r="I979" i="1"/>
  <c r="J979" i="1"/>
  <c r="L979" i="1"/>
  <c r="N979" i="1"/>
  <c r="M979" i="1"/>
  <c r="C979" i="1"/>
  <c r="H979" i="1"/>
  <c r="F979" i="1"/>
  <c r="B979" i="1"/>
  <c r="D978" i="1"/>
  <c r="E978" i="1"/>
  <c r="G978" i="1"/>
  <c r="I978" i="1"/>
  <c r="J978" i="1"/>
  <c r="L978" i="1"/>
  <c r="N978" i="1"/>
  <c r="M978" i="1"/>
  <c r="C978" i="1"/>
  <c r="H978" i="1"/>
  <c r="F978" i="1"/>
  <c r="B978" i="1"/>
  <c r="D977" i="1"/>
  <c r="E977" i="1"/>
  <c r="G977" i="1"/>
  <c r="I977" i="1"/>
  <c r="J977" i="1"/>
  <c r="L977" i="1"/>
  <c r="N977" i="1"/>
  <c r="M977" i="1"/>
  <c r="C977" i="1"/>
  <c r="H977" i="1"/>
  <c r="F977" i="1"/>
  <c r="B977" i="1"/>
  <c r="D976" i="1"/>
  <c r="E976" i="1"/>
  <c r="G976" i="1"/>
  <c r="I976" i="1"/>
  <c r="J976" i="1"/>
  <c r="L976" i="1"/>
  <c r="N976" i="1"/>
  <c r="M976" i="1"/>
  <c r="C976" i="1"/>
  <c r="H976" i="1"/>
  <c r="F976" i="1"/>
  <c r="B976" i="1"/>
  <c r="D975" i="1"/>
  <c r="E975" i="1"/>
  <c r="G975" i="1"/>
  <c r="I975" i="1"/>
  <c r="J975" i="1"/>
  <c r="L975" i="1"/>
  <c r="N975" i="1"/>
  <c r="M975" i="1"/>
  <c r="C975" i="1"/>
  <c r="H975" i="1"/>
  <c r="F975" i="1"/>
  <c r="B975" i="1"/>
  <c r="D974" i="1"/>
  <c r="E974" i="1"/>
  <c r="G974" i="1"/>
  <c r="I974" i="1"/>
  <c r="J974" i="1"/>
  <c r="L974" i="1"/>
  <c r="N974" i="1"/>
  <c r="M974" i="1"/>
  <c r="C974" i="1"/>
  <c r="H974" i="1"/>
  <c r="F974" i="1"/>
  <c r="B974" i="1"/>
  <c r="D973" i="1"/>
  <c r="E973" i="1"/>
  <c r="G973" i="1"/>
  <c r="I973" i="1"/>
  <c r="J973" i="1"/>
  <c r="L973" i="1"/>
  <c r="N973" i="1"/>
  <c r="M973" i="1"/>
  <c r="C973" i="1"/>
  <c r="H973" i="1"/>
  <c r="F973" i="1"/>
  <c r="B973" i="1"/>
  <c r="D972" i="1"/>
  <c r="E972" i="1"/>
  <c r="G972" i="1"/>
  <c r="I972" i="1"/>
  <c r="J972" i="1"/>
  <c r="L972" i="1"/>
  <c r="N972" i="1"/>
  <c r="M972" i="1"/>
  <c r="C972" i="1"/>
  <c r="H972" i="1"/>
  <c r="F972" i="1"/>
  <c r="B972" i="1"/>
  <c r="D971" i="1"/>
  <c r="E971" i="1"/>
  <c r="G971" i="1"/>
  <c r="I971" i="1"/>
  <c r="J971" i="1"/>
  <c r="L971" i="1"/>
  <c r="N971" i="1"/>
  <c r="M971" i="1"/>
  <c r="C971" i="1"/>
  <c r="H971" i="1"/>
  <c r="F971" i="1"/>
  <c r="B971" i="1"/>
  <c r="D970" i="1"/>
  <c r="E970" i="1"/>
  <c r="G970" i="1"/>
  <c r="I970" i="1"/>
  <c r="J970" i="1"/>
  <c r="L970" i="1"/>
  <c r="N970" i="1"/>
  <c r="M970" i="1"/>
  <c r="C970" i="1"/>
  <c r="H970" i="1"/>
  <c r="F970" i="1"/>
  <c r="B970" i="1"/>
  <c r="D969" i="1"/>
  <c r="E969" i="1"/>
  <c r="G969" i="1"/>
  <c r="I969" i="1"/>
  <c r="J969" i="1"/>
  <c r="L969" i="1"/>
  <c r="N969" i="1"/>
  <c r="M969" i="1"/>
  <c r="C969" i="1"/>
  <c r="H969" i="1"/>
  <c r="F969" i="1"/>
  <c r="B969" i="1"/>
  <c r="D968" i="1"/>
  <c r="E968" i="1"/>
  <c r="G968" i="1"/>
  <c r="I968" i="1"/>
  <c r="J968" i="1"/>
  <c r="L968" i="1"/>
  <c r="N968" i="1"/>
  <c r="M968" i="1"/>
  <c r="C968" i="1"/>
  <c r="H968" i="1"/>
  <c r="F968" i="1"/>
  <c r="B968" i="1"/>
  <c r="D967" i="1"/>
  <c r="E967" i="1"/>
  <c r="G967" i="1"/>
  <c r="I967" i="1"/>
  <c r="J967" i="1"/>
  <c r="L967" i="1"/>
  <c r="N967" i="1"/>
  <c r="M967" i="1"/>
  <c r="C967" i="1"/>
  <c r="H967" i="1"/>
  <c r="F967" i="1"/>
  <c r="B967" i="1"/>
  <c r="D966" i="1"/>
  <c r="E966" i="1"/>
  <c r="G966" i="1"/>
  <c r="I966" i="1"/>
  <c r="J966" i="1"/>
  <c r="L966" i="1"/>
  <c r="N966" i="1"/>
  <c r="M966" i="1"/>
  <c r="C966" i="1"/>
  <c r="H966" i="1"/>
  <c r="F966" i="1"/>
  <c r="B966" i="1"/>
  <c r="D965" i="1"/>
  <c r="E965" i="1"/>
  <c r="G965" i="1"/>
  <c r="I965" i="1"/>
  <c r="J965" i="1"/>
  <c r="L965" i="1"/>
  <c r="N965" i="1"/>
  <c r="M965" i="1"/>
  <c r="C965" i="1"/>
  <c r="H965" i="1"/>
  <c r="F965" i="1"/>
  <c r="B965" i="1"/>
  <c r="D964" i="1"/>
  <c r="E964" i="1"/>
  <c r="G964" i="1"/>
  <c r="I964" i="1"/>
  <c r="J964" i="1"/>
  <c r="L964" i="1"/>
  <c r="N964" i="1"/>
  <c r="M964" i="1"/>
  <c r="C964" i="1"/>
  <c r="H964" i="1"/>
  <c r="F964" i="1"/>
  <c r="B964" i="1"/>
  <c r="D963" i="1"/>
  <c r="E963" i="1"/>
  <c r="G963" i="1"/>
  <c r="I963" i="1"/>
  <c r="J963" i="1"/>
  <c r="L963" i="1"/>
  <c r="N963" i="1"/>
  <c r="M963" i="1"/>
  <c r="C963" i="1"/>
  <c r="H963" i="1"/>
  <c r="F963" i="1"/>
  <c r="B963" i="1"/>
  <c r="D962" i="1"/>
  <c r="E962" i="1"/>
  <c r="G962" i="1"/>
  <c r="I962" i="1"/>
  <c r="J962" i="1"/>
  <c r="L962" i="1"/>
  <c r="N962" i="1"/>
  <c r="M962" i="1"/>
  <c r="C962" i="1"/>
  <c r="H962" i="1"/>
  <c r="F962" i="1"/>
  <c r="B962" i="1"/>
  <c r="D961" i="1"/>
  <c r="E961" i="1"/>
  <c r="G961" i="1"/>
  <c r="I961" i="1"/>
  <c r="J961" i="1"/>
  <c r="L961" i="1"/>
  <c r="N961" i="1"/>
  <c r="M961" i="1"/>
  <c r="C961" i="1"/>
  <c r="H961" i="1"/>
  <c r="F961" i="1"/>
  <c r="B961" i="1"/>
  <c r="D960" i="1"/>
  <c r="E960" i="1"/>
  <c r="G960" i="1"/>
  <c r="I960" i="1"/>
  <c r="J960" i="1"/>
  <c r="L960" i="1"/>
  <c r="N960" i="1"/>
  <c r="M960" i="1"/>
  <c r="C960" i="1"/>
  <c r="H960" i="1"/>
  <c r="F960" i="1"/>
  <c r="B960" i="1"/>
  <c r="D959" i="1"/>
  <c r="E959" i="1"/>
  <c r="G959" i="1"/>
  <c r="I959" i="1"/>
  <c r="J959" i="1"/>
  <c r="L959" i="1"/>
  <c r="N959" i="1"/>
  <c r="M959" i="1"/>
  <c r="C959" i="1"/>
  <c r="H959" i="1"/>
  <c r="F959" i="1"/>
  <c r="B959" i="1"/>
  <c r="D958" i="1"/>
  <c r="E958" i="1"/>
  <c r="G958" i="1"/>
  <c r="I958" i="1"/>
  <c r="J958" i="1"/>
  <c r="L958" i="1"/>
  <c r="N958" i="1"/>
  <c r="M958" i="1"/>
  <c r="C958" i="1"/>
  <c r="H958" i="1"/>
  <c r="F958" i="1"/>
  <c r="B958" i="1"/>
  <c r="D957" i="1"/>
  <c r="E957" i="1"/>
  <c r="G957" i="1"/>
  <c r="I957" i="1"/>
  <c r="J957" i="1"/>
  <c r="L957" i="1"/>
  <c r="N957" i="1"/>
  <c r="M957" i="1"/>
  <c r="C957" i="1"/>
  <c r="H957" i="1"/>
  <c r="F957" i="1"/>
  <c r="B957" i="1"/>
  <c r="D956" i="1"/>
  <c r="E956" i="1"/>
  <c r="G956" i="1"/>
  <c r="I956" i="1"/>
  <c r="J956" i="1"/>
  <c r="L956" i="1"/>
  <c r="N956" i="1"/>
  <c r="M956" i="1"/>
  <c r="C956" i="1"/>
  <c r="H956" i="1"/>
  <c r="F956" i="1"/>
  <c r="B956" i="1"/>
  <c r="D955" i="1"/>
  <c r="E955" i="1"/>
  <c r="G955" i="1"/>
  <c r="I955" i="1"/>
  <c r="J955" i="1"/>
  <c r="L955" i="1"/>
  <c r="N955" i="1"/>
  <c r="M955" i="1"/>
  <c r="C955" i="1"/>
  <c r="H955" i="1"/>
  <c r="F955" i="1"/>
  <c r="B955" i="1"/>
  <c r="D954" i="1"/>
  <c r="E954" i="1"/>
  <c r="G954" i="1"/>
  <c r="I954" i="1"/>
  <c r="J954" i="1"/>
  <c r="L954" i="1"/>
  <c r="N954" i="1"/>
  <c r="M954" i="1"/>
  <c r="C954" i="1"/>
  <c r="H954" i="1"/>
  <c r="F954" i="1"/>
  <c r="B954" i="1"/>
  <c r="D953" i="1"/>
  <c r="E953" i="1"/>
  <c r="G953" i="1"/>
  <c r="I953" i="1"/>
  <c r="J953" i="1"/>
  <c r="L953" i="1"/>
  <c r="N953" i="1"/>
  <c r="M953" i="1"/>
  <c r="C953" i="1"/>
  <c r="H953" i="1"/>
  <c r="F953" i="1"/>
  <c r="B953" i="1"/>
  <c r="D952" i="1"/>
  <c r="E952" i="1"/>
  <c r="G952" i="1"/>
  <c r="I952" i="1"/>
  <c r="J952" i="1"/>
  <c r="L952" i="1"/>
  <c r="N952" i="1"/>
  <c r="M952" i="1"/>
  <c r="C952" i="1"/>
  <c r="H952" i="1"/>
  <c r="F952" i="1"/>
  <c r="B952" i="1"/>
  <c r="D951" i="1"/>
  <c r="E951" i="1"/>
  <c r="G951" i="1"/>
  <c r="I951" i="1"/>
  <c r="J951" i="1"/>
  <c r="L951" i="1"/>
  <c r="N951" i="1"/>
  <c r="M951" i="1"/>
  <c r="C951" i="1"/>
  <c r="H951" i="1"/>
  <c r="F951" i="1"/>
  <c r="B951" i="1"/>
  <c r="D950" i="1"/>
  <c r="E950" i="1"/>
  <c r="G950" i="1"/>
  <c r="I950" i="1"/>
  <c r="J950" i="1"/>
  <c r="L950" i="1"/>
  <c r="N950" i="1"/>
  <c r="M950" i="1"/>
  <c r="C950" i="1"/>
  <c r="H950" i="1"/>
  <c r="F950" i="1"/>
  <c r="B950" i="1"/>
  <c r="D949" i="1"/>
  <c r="E949" i="1"/>
  <c r="G949" i="1"/>
  <c r="I949" i="1"/>
  <c r="J949" i="1"/>
  <c r="L949" i="1"/>
  <c r="N949" i="1"/>
  <c r="M949" i="1"/>
  <c r="C949" i="1"/>
  <c r="H949" i="1"/>
  <c r="F949" i="1"/>
  <c r="B949" i="1"/>
  <c r="D948" i="1"/>
  <c r="E948" i="1"/>
  <c r="G948" i="1"/>
  <c r="I948" i="1"/>
  <c r="J948" i="1"/>
  <c r="L948" i="1"/>
  <c r="N948" i="1"/>
  <c r="M948" i="1"/>
  <c r="C948" i="1"/>
  <c r="H948" i="1"/>
  <c r="F948" i="1"/>
  <c r="B948" i="1"/>
  <c r="D947" i="1"/>
  <c r="E947" i="1"/>
  <c r="G947" i="1"/>
  <c r="I947" i="1"/>
  <c r="J947" i="1"/>
  <c r="L947" i="1"/>
  <c r="N947" i="1"/>
  <c r="M947" i="1"/>
  <c r="C947" i="1"/>
  <c r="H947" i="1"/>
  <c r="F947" i="1"/>
  <c r="B947" i="1"/>
  <c r="D946" i="1"/>
  <c r="E946" i="1"/>
  <c r="G946" i="1"/>
  <c r="I946" i="1"/>
  <c r="J946" i="1"/>
  <c r="L946" i="1"/>
  <c r="N946" i="1"/>
  <c r="M946" i="1"/>
  <c r="C946" i="1"/>
  <c r="H946" i="1"/>
  <c r="F946" i="1"/>
  <c r="B946" i="1"/>
  <c r="D945" i="1"/>
  <c r="E945" i="1"/>
  <c r="G945" i="1"/>
  <c r="I945" i="1"/>
  <c r="J945" i="1"/>
  <c r="L945" i="1"/>
  <c r="N945" i="1"/>
  <c r="M945" i="1"/>
  <c r="C945" i="1"/>
  <c r="H945" i="1"/>
  <c r="F945" i="1"/>
  <c r="B945" i="1"/>
  <c r="D944" i="1"/>
  <c r="E944" i="1"/>
  <c r="G944" i="1"/>
  <c r="I944" i="1"/>
  <c r="J944" i="1"/>
  <c r="L944" i="1"/>
  <c r="N944" i="1"/>
  <c r="M944" i="1"/>
  <c r="C944" i="1"/>
  <c r="H944" i="1"/>
  <c r="F944" i="1"/>
  <c r="B944" i="1"/>
  <c r="D943" i="1"/>
  <c r="E943" i="1"/>
  <c r="G943" i="1"/>
  <c r="I943" i="1"/>
  <c r="J943" i="1"/>
  <c r="L943" i="1"/>
  <c r="N943" i="1"/>
  <c r="M943" i="1"/>
  <c r="C943" i="1"/>
  <c r="H943" i="1"/>
  <c r="F943" i="1"/>
  <c r="B943" i="1"/>
  <c r="D942" i="1"/>
  <c r="E942" i="1"/>
  <c r="G942" i="1"/>
  <c r="I942" i="1"/>
  <c r="J942" i="1"/>
  <c r="L942" i="1"/>
  <c r="N942" i="1"/>
  <c r="M942" i="1"/>
  <c r="C942" i="1"/>
  <c r="H942" i="1"/>
  <c r="F942" i="1"/>
  <c r="B942" i="1"/>
  <c r="D941" i="1"/>
  <c r="E941" i="1"/>
  <c r="G941" i="1"/>
  <c r="I941" i="1"/>
  <c r="J941" i="1"/>
  <c r="L941" i="1"/>
  <c r="N941" i="1"/>
  <c r="M941" i="1"/>
  <c r="C941" i="1"/>
  <c r="H941" i="1"/>
  <c r="F941" i="1"/>
  <c r="B941" i="1"/>
  <c r="D940" i="1"/>
  <c r="E940" i="1"/>
  <c r="G940" i="1"/>
  <c r="I940" i="1"/>
  <c r="J940" i="1"/>
  <c r="L940" i="1"/>
  <c r="N940" i="1"/>
  <c r="M940" i="1"/>
  <c r="C940" i="1"/>
  <c r="H940" i="1"/>
  <c r="F940" i="1"/>
  <c r="B940" i="1"/>
  <c r="D939" i="1"/>
  <c r="E939" i="1"/>
  <c r="G939" i="1"/>
  <c r="I939" i="1"/>
  <c r="J939" i="1"/>
  <c r="L939" i="1"/>
  <c r="N939" i="1"/>
  <c r="M939" i="1"/>
  <c r="C939" i="1"/>
  <c r="H939" i="1"/>
  <c r="F939" i="1"/>
  <c r="B939" i="1"/>
  <c r="D938" i="1"/>
  <c r="E938" i="1"/>
  <c r="G938" i="1"/>
  <c r="I938" i="1"/>
  <c r="J938" i="1"/>
  <c r="L938" i="1"/>
  <c r="N938" i="1"/>
  <c r="M938" i="1"/>
  <c r="C938" i="1"/>
  <c r="H938" i="1"/>
  <c r="F938" i="1"/>
  <c r="B938" i="1"/>
  <c r="D937" i="1"/>
  <c r="E937" i="1"/>
  <c r="G937" i="1"/>
  <c r="I937" i="1"/>
  <c r="J937" i="1"/>
  <c r="L937" i="1"/>
  <c r="N937" i="1"/>
  <c r="M937" i="1"/>
  <c r="C937" i="1"/>
  <c r="H937" i="1"/>
  <c r="F937" i="1"/>
  <c r="B937" i="1"/>
  <c r="D936" i="1"/>
  <c r="E936" i="1"/>
  <c r="G936" i="1"/>
  <c r="I936" i="1"/>
  <c r="J936" i="1"/>
  <c r="L936" i="1"/>
  <c r="N936" i="1"/>
  <c r="M936" i="1"/>
  <c r="C936" i="1"/>
  <c r="H936" i="1"/>
  <c r="F936" i="1"/>
  <c r="B936" i="1"/>
  <c r="D935" i="1"/>
  <c r="E935" i="1"/>
  <c r="G935" i="1"/>
  <c r="I935" i="1"/>
  <c r="J935" i="1"/>
  <c r="L935" i="1"/>
  <c r="N935" i="1"/>
  <c r="M935" i="1"/>
  <c r="C935" i="1"/>
  <c r="H935" i="1"/>
  <c r="F935" i="1"/>
  <c r="B935" i="1"/>
  <c r="D934" i="1"/>
  <c r="E934" i="1"/>
  <c r="G934" i="1"/>
  <c r="I934" i="1"/>
  <c r="J934" i="1"/>
  <c r="L934" i="1"/>
  <c r="N934" i="1"/>
  <c r="M934" i="1"/>
  <c r="C934" i="1"/>
  <c r="H934" i="1"/>
  <c r="F934" i="1"/>
  <c r="B934" i="1"/>
  <c r="D933" i="1"/>
  <c r="E933" i="1"/>
  <c r="G933" i="1"/>
  <c r="I933" i="1"/>
  <c r="J933" i="1"/>
  <c r="L933" i="1"/>
  <c r="N933" i="1"/>
  <c r="M933" i="1"/>
  <c r="C933" i="1"/>
  <c r="H933" i="1"/>
  <c r="F933" i="1"/>
  <c r="B933" i="1"/>
  <c r="D932" i="1"/>
  <c r="E932" i="1"/>
  <c r="G932" i="1"/>
  <c r="I932" i="1"/>
  <c r="J932" i="1"/>
  <c r="L932" i="1"/>
  <c r="N932" i="1"/>
  <c r="M932" i="1"/>
  <c r="C932" i="1"/>
  <c r="H932" i="1"/>
  <c r="F932" i="1"/>
  <c r="B932" i="1"/>
  <c r="D931" i="1"/>
  <c r="E931" i="1"/>
  <c r="G931" i="1"/>
  <c r="I931" i="1"/>
  <c r="J931" i="1"/>
  <c r="L931" i="1"/>
  <c r="N931" i="1"/>
  <c r="M931" i="1"/>
  <c r="C931" i="1"/>
  <c r="H931" i="1"/>
  <c r="F931" i="1"/>
  <c r="B931" i="1"/>
  <c r="D930" i="1"/>
  <c r="E930" i="1"/>
  <c r="G930" i="1"/>
  <c r="I930" i="1"/>
  <c r="J930" i="1"/>
  <c r="L930" i="1"/>
  <c r="N930" i="1"/>
  <c r="M930" i="1"/>
  <c r="C930" i="1"/>
  <c r="H930" i="1"/>
  <c r="F930" i="1"/>
  <c r="B930" i="1"/>
  <c r="D929" i="1"/>
  <c r="E929" i="1"/>
  <c r="G929" i="1"/>
  <c r="I929" i="1"/>
  <c r="J929" i="1"/>
  <c r="L929" i="1"/>
  <c r="N929" i="1"/>
  <c r="M929" i="1"/>
  <c r="C929" i="1"/>
  <c r="H929" i="1"/>
  <c r="F929" i="1"/>
  <c r="B929" i="1"/>
  <c r="D928" i="1"/>
  <c r="E928" i="1"/>
  <c r="G928" i="1"/>
  <c r="I928" i="1"/>
  <c r="J928" i="1"/>
  <c r="L928" i="1"/>
  <c r="N928" i="1"/>
  <c r="M928" i="1"/>
  <c r="C928" i="1"/>
  <c r="H928" i="1"/>
  <c r="F928" i="1"/>
  <c r="B928" i="1"/>
  <c r="D927" i="1"/>
  <c r="E927" i="1"/>
  <c r="G927" i="1"/>
  <c r="I927" i="1"/>
  <c r="J927" i="1"/>
  <c r="L927" i="1"/>
  <c r="N927" i="1"/>
  <c r="M927" i="1"/>
  <c r="C927" i="1"/>
  <c r="H927" i="1"/>
  <c r="F927" i="1"/>
  <c r="B927" i="1"/>
  <c r="D926" i="1"/>
  <c r="E926" i="1"/>
  <c r="G926" i="1"/>
  <c r="I926" i="1"/>
  <c r="J926" i="1"/>
  <c r="L926" i="1"/>
  <c r="N926" i="1"/>
  <c r="M926" i="1"/>
  <c r="C926" i="1"/>
  <c r="H926" i="1"/>
  <c r="F926" i="1"/>
  <c r="B926" i="1"/>
  <c r="D925" i="1"/>
  <c r="E925" i="1"/>
  <c r="G925" i="1"/>
  <c r="I925" i="1"/>
  <c r="J925" i="1"/>
  <c r="L925" i="1"/>
  <c r="N925" i="1"/>
  <c r="M925" i="1"/>
  <c r="C925" i="1"/>
  <c r="H925" i="1"/>
  <c r="F925" i="1"/>
  <c r="B925" i="1"/>
  <c r="D924" i="1"/>
  <c r="E924" i="1"/>
  <c r="G924" i="1"/>
  <c r="I924" i="1"/>
  <c r="J924" i="1"/>
  <c r="L924" i="1"/>
  <c r="N924" i="1"/>
  <c r="M924" i="1"/>
  <c r="C924" i="1"/>
  <c r="H924" i="1"/>
  <c r="F924" i="1"/>
  <c r="B924" i="1"/>
  <c r="D923" i="1"/>
  <c r="E923" i="1"/>
  <c r="G923" i="1"/>
  <c r="I923" i="1"/>
  <c r="J923" i="1"/>
  <c r="L923" i="1"/>
  <c r="N923" i="1"/>
  <c r="M923" i="1"/>
  <c r="C923" i="1"/>
  <c r="H923" i="1"/>
  <c r="F923" i="1"/>
  <c r="B923" i="1"/>
  <c r="D922" i="1"/>
  <c r="E922" i="1"/>
  <c r="G922" i="1"/>
  <c r="I922" i="1"/>
  <c r="J922" i="1"/>
  <c r="L922" i="1"/>
  <c r="N922" i="1"/>
  <c r="M922" i="1"/>
  <c r="C922" i="1"/>
  <c r="H922" i="1"/>
  <c r="F922" i="1"/>
  <c r="B922" i="1"/>
  <c r="D921" i="1"/>
  <c r="E921" i="1"/>
  <c r="G921" i="1"/>
  <c r="I921" i="1"/>
  <c r="J921" i="1"/>
  <c r="L921" i="1"/>
  <c r="N921" i="1"/>
  <c r="M921" i="1"/>
  <c r="C921" i="1"/>
  <c r="H921" i="1"/>
  <c r="F921" i="1"/>
  <c r="B921" i="1"/>
  <c r="D920" i="1"/>
  <c r="E920" i="1"/>
  <c r="G920" i="1"/>
  <c r="I920" i="1"/>
  <c r="J920" i="1"/>
  <c r="L920" i="1"/>
  <c r="N920" i="1"/>
  <c r="M920" i="1"/>
  <c r="C920" i="1"/>
  <c r="H920" i="1"/>
  <c r="F920" i="1"/>
  <c r="B920" i="1"/>
  <c r="D919" i="1"/>
  <c r="E919" i="1"/>
  <c r="G919" i="1"/>
  <c r="I919" i="1"/>
  <c r="J919" i="1"/>
  <c r="L919" i="1"/>
  <c r="N919" i="1"/>
  <c r="M919" i="1"/>
  <c r="C919" i="1"/>
  <c r="H919" i="1"/>
  <c r="F919" i="1"/>
  <c r="B919" i="1"/>
  <c r="D918" i="1"/>
  <c r="E918" i="1"/>
  <c r="G918" i="1"/>
  <c r="I918" i="1"/>
  <c r="J918" i="1"/>
  <c r="L918" i="1"/>
  <c r="N918" i="1"/>
  <c r="M918" i="1"/>
  <c r="C918" i="1"/>
  <c r="H918" i="1"/>
  <c r="F918" i="1"/>
  <c r="B918" i="1"/>
  <c r="D917" i="1"/>
  <c r="E917" i="1"/>
  <c r="G917" i="1"/>
  <c r="I917" i="1"/>
  <c r="J917" i="1"/>
  <c r="L917" i="1"/>
  <c r="N917" i="1"/>
  <c r="M917" i="1"/>
  <c r="C917" i="1"/>
  <c r="H917" i="1"/>
  <c r="F917" i="1"/>
  <c r="B917" i="1"/>
  <c r="D916" i="1"/>
  <c r="E916" i="1"/>
  <c r="G916" i="1"/>
  <c r="I916" i="1"/>
  <c r="J916" i="1"/>
  <c r="L916" i="1"/>
  <c r="N916" i="1"/>
  <c r="M916" i="1"/>
  <c r="C916" i="1"/>
  <c r="H916" i="1"/>
  <c r="F916" i="1"/>
  <c r="B916" i="1"/>
  <c r="D915" i="1"/>
  <c r="E915" i="1"/>
  <c r="G915" i="1"/>
  <c r="I915" i="1"/>
  <c r="J915" i="1"/>
  <c r="L915" i="1"/>
  <c r="N915" i="1"/>
  <c r="M915" i="1"/>
  <c r="C915" i="1"/>
  <c r="H915" i="1"/>
  <c r="F915" i="1"/>
  <c r="B915" i="1"/>
  <c r="D914" i="1"/>
  <c r="E914" i="1"/>
  <c r="G914" i="1"/>
  <c r="I914" i="1"/>
  <c r="J914" i="1"/>
  <c r="L914" i="1"/>
  <c r="N914" i="1"/>
  <c r="M914" i="1"/>
  <c r="C914" i="1"/>
  <c r="H914" i="1"/>
  <c r="F914" i="1"/>
  <c r="B914" i="1"/>
  <c r="D913" i="1"/>
  <c r="E913" i="1"/>
  <c r="G913" i="1"/>
  <c r="I913" i="1"/>
  <c r="J913" i="1"/>
  <c r="L913" i="1"/>
  <c r="N913" i="1"/>
  <c r="M913" i="1"/>
  <c r="C913" i="1"/>
  <c r="H913" i="1"/>
  <c r="F913" i="1"/>
  <c r="B913" i="1"/>
  <c r="D912" i="1"/>
  <c r="E912" i="1"/>
  <c r="G912" i="1"/>
  <c r="I912" i="1"/>
  <c r="J912" i="1"/>
  <c r="L912" i="1"/>
  <c r="N912" i="1"/>
  <c r="M912" i="1"/>
  <c r="C912" i="1"/>
  <c r="H912" i="1"/>
  <c r="F912" i="1"/>
  <c r="B912" i="1"/>
  <c r="D911" i="1"/>
  <c r="E911" i="1"/>
  <c r="G911" i="1"/>
  <c r="I911" i="1"/>
  <c r="J911" i="1"/>
  <c r="L911" i="1"/>
  <c r="N911" i="1"/>
  <c r="M911" i="1"/>
  <c r="C911" i="1"/>
  <c r="H911" i="1"/>
  <c r="F911" i="1"/>
  <c r="B911" i="1"/>
  <c r="D910" i="1"/>
  <c r="E910" i="1"/>
  <c r="G910" i="1"/>
  <c r="I910" i="1"/>
  <c r="J910" i="1"/>
  <c r="L910" i="1"/>
  <c r="N910" i="1"/>
  <c r="M910" i="1"/>
  <c r="C910" i="1"/>
  <c r="H910" i="1"/>
  <c r="F910" i="1"/>
  <c r="B910" i="1"/>
  <c r="D909" i="1"/>
  <c r="E909" i="1"/>
  <c r="G909" i="1"/>
  <c r="I909" i="1"/>
  <c r="J909" i="1"/>
  <c r="L909" i="1"/>
  <c r="N909" i="1"/>
  <c r="M909" i="1"/>
  <c r="C909" i="1"/>
  <c r="H909" i="1"/>
  <c r="F909" i="1"/>
  <c r="B909" i="1"/>
  <c r="D908" i="1"/>
  <c r="E908" i="1"/>
  <c r="G908" i="1"/>
  <c r="I908" i="1"/>
  <c r="J908" i="1"/>
  <c r="L908" i="1"/>
  <c r="N908" i="1"/>
  <c r="M908" i="1"/>
  <c r="C908" i="1"/>
  <c r="H908" i="1"/>
  <c r="F908" i="1"/>
  <c r="B908" i="1"/>
  <c r="D907" i="1"/>
  <c r="E907" i="1"/>
  <c r="G907" i="1"/>
  <c r="I907" i="1"/>
  <c r="J907" i="1"/>
  <c r="L907" i="1"/>
  <c r="N907" i="1"/>
  <c r="M907" i="1"/>
  <c r="C907" i="1"/>
  <c r="H907" i="1"/>
  <c r="F907" i="1"/>
  <c r="B907" i="1"/>
  <c r="D906" i="1"/>
  <c r="E906" i="1"/>
  <c r="G906" i="1"/>
  <c r="I906" i="1"/>
  <c r="J906" i="1"/>
  <c r="L906" i="1"/>
  <c r="N906" i="1"/>
  <c r="M906" i="1"/>
  <c r="C906" i="1"/>
  <c r="H906" i="1"/>
  <c r="F906" i="1"/>
  <c r="B906" i="1"/>
  <c r="D905" i="1"/>
  <c r="E905" i="1"/>
  <c r="G905" i="1"/>
  <c r="I905" i="1"/>
  <c r="J905" i="1"/>
  <c r="L905" i="1"/>
  <c r="N905" i="1"/>
  <c r="M905" i="1"/>
  <c r="C905" i="1"/>
  <c r="H905" i="1"/>
  <c r="F905" i="1"/>
  <c r="B905" i="1"/>
  <c r="D904" i="1"/>
  <c r="E904" i="1"/>
  <c r="G904" i="1"/>
  <c r="I904" i="1"/>
  <c r="J904" i="1"/>
  <c r="L904" i="1"/>
  <c r="N904" i="1"/>
  <c r="M904" i="1"/>
  <c r="C904" i="1"/>
  <c r="H904" i="1"/>
  <c r="F904" i="1"/>
  <c r="B904" i="1"/>
  <c r="D903" i="1"/>
  <c r="E903" i="1"/>
  <c r="G903" i="1"/>
  <c r="I903" i="1"/>
  <c r="J903" i="1"/>
  <c r="L903" i="1"/>
  <c r="N903" i="1"/>
  <c r="M903" i="1"/>
  <c r="C903" i="1"/>
  <c r="H903" i="1"/>
  <c r="F903" i="1"/>
  <c r="B903" i="1"/>
  <c r="D902" i="1"/>
  <c r="E902" i="1"/>
  <c r="G902" i="1"/>
  <c r="I902" i="1"/>
  <c r="J902" i="1"/>
  <c r="L902" i="1"/>
  <c r="N902" i="1"/>
  <c r="M902" i="1"/>
  <c r="C902" i="1"/>
  <c r="H902" i="1"/>
  <c r="F902" i="1"/>
  <c r="B902" i="1"/>
  <c r="D901" i="1"/>
  <c r="E901" i="1"/>
  <c r="G901" i="1"/>
  <c r="I901" i="1"/>
  <c r="J901" i="1"/>
  <c r="L901" i="1"/>
  <c r="N901" i="1"/>
  <c r="M901" i="1"/>
  <c r="C901" i="1"/>
  <c r="H901" i="1"/>
  <c r="F901" i="1"/>
  <c r="B901" i="1"/>
  <c r="D900" i="1"/>
  <c r="E900" i="1"/>
  <c r="G900" i="1"/>
  <c r="I900" i="1"/>
  <c r="J900" i="1"/>
  <c r="L900" i="1"/>
  <c r="N900" i="1"/>
  <c r="M900" i="1"/>
  <c r="C900" i="1"/>
  <c r="H900" i="1"/>
  <c r="F900" i="1"/>
  <c r="B900" i="1"/>
  <c r="D899" i="1"/>
  <c r="E899" i="1"/>
  <c r="G899" i="1"/>
  <c r="I899" i="1"/>
  <c r="J899" i="1"/>
  <c r="L899" i="1"/>
  <c r="N899" i="1"/>
  <c r="M899" i="1"/>
  <c r="C899" i="1"/>
  <c r="H899" i="1"/>
  <c r="F899" i="1"/>
  <c r="B899" i="1"/>
  <c r="D898" i="1"/>
  <c r="E898" i="1"/>
  <c r="G898" i="1"/>
  <c r="I898" i="1"/>
  <c r="J898" i="1"/>
  <c r="L898" i="1"/>
  <c r="N898" i="1"/>
  <c r="M898" i="1"/>
  <c r="C898" i="1"/>
  <c r="H898" i="1"/>
  <c r="F898" i="1"/>
  <c r="B898" i="1"/>
  <c r="D897" i="1"/>
  <c r="E897" i="1"/>
  <c r="G897" i="1"/>
  <c r="I897" i="1"/>
  <c r="J897" i="1"/>
  <c r="L897" i="1"/>
  <c r="N897" i="1"/>
  <c r="M897" i="1"/>
  <c r="C897" i="1"/>
  <c r="H897" i="1"/>
  <c r="F897" i="1"/>
  <c r="B897" i="1"/>
  <c r="D896" i="1"/>
  <c r="E896" i="1"/>
  <c r="G896" i="1"/>
  <c r="I896" i="1"/>
  <c r="J896" i="1"/>
  <c r="L896" i="1"/>
  <c r="N896" i="1"/>
  <c r="M896" i="1"/>
  <c r="C896" i="1"/>
  <c r="H896" i="1"/>
  <c r="F896" i="1"/>
  <c r="B896" i="1"/>
  <c r="D895" i="1"/>
  <c r="E895" i="1"/>
  <c r="G895" i="1"/>
  <c r="I895" i="1"/>
  <c r="J895" i="1"/>
  <c r="L895" i="1"/>
  <c r="N895" i="1"/>
  <c r="M895" i="1"/>
  <c r="C895" i="1"/>
  <c r="H895" i="1"/>
  <c r="F895" i="1"/>
  <c r="B895" i="1"/>
  <c r="D894" i="1"/>
  <c r="E894" i="1"/>
  <c r="G894" i="1"/>
  <c r="I894" i="1"/>
  <c r="J894" i="1"/>
  <c r="L894" i="1"/>
  <c r="N894" i="1"/>
  <c r="M894" i="1"/>
  <c r="C894" i="1"/>
  <c r="H894" i="1"/>
  <c r="F894" i="1"/>
  <c r="B894" i="1"/>
  <c r="D893" i="1"/>
  <c r="E893" i="1"/>
  <c r="G893" i="1"/>
  <c r="I893" i="1"/>
  <c r="J893" i="1"/>
  <c r="L893" i="1"/>
  <c r="N893" i="1"/>
  <c r="M893" i="1"/>
  <c r="C893" i="1"/>
  <c r="H893" i="1"/>
  <c r="F893" i="1"/>
  <c r="B893" i="1"/>
  <c r="D892" i="1"/>
  <c r="E892" i="1"/>
  <c r="G892" i="1"/>
  <c r="I892" i="1"/>
  <c r="J892" i="1"/>
  <c r="L892" i="1"/>
  <c r="N892" i="1"/>
  <c r="M892" i="1"/>
  <c r="C892" i="1"/>
  <c r="H892" i="1"/>
  <c r="F892" i="1"/>
  <c r="B892" i="1"/>
  <c r="D891" i="1"/>
  <c r="E891" i="1"/>
  <c r="G891" i="1"/>
  <c r="I891" i="1"/>
  <c r="J891" i="1"/>
  <c r="L891" i="1"/>
  <c r="N891" i="1"/>
  <c r="M891" i="1"/>
  <c r="C891" i="1"/>
  <c r="H891" i="1"/>
  <c r="F891" i="1"/>
  <c r="B891" i="1"/>
  <c r="D890" i="1"/>
  <c r="E890" i="1"/>
  <c r="G890" i="1"/>
  <c r="I890" i="1"/>
  <c r="J890" i="1"/>
  <c r="L890" i="1"/>
  <c r="N890" i="1"/>
  <c r="M890" i="1"/>
  <c r="C890" i="1"/>
  <c r="H890" i="1"/>
  <c r="F890" i="1"/>
  <c r="B890" i="1"/>
  <c r="D889" i="1"/>
  <c r="E889" i="1"/>
  <c r="G889" i="1"/>
  <c r="I889" i="1"/>
  <c r="J889" i="1"/>
  <c r="L889" i="1"/>
  <c r="N889" i="1"/>
  <c r="M889" i="1"/>
  <c r="C889" i="1"/>
  <c r="H889" i="1"/>
  <c r="F889" i="1"/>
  <c r="B889" i="1"/>
  <c r="D888" i="1"/>
  <c r="E888" i="1"/>
  <c r="G888" i="1"/>
  <c r="I888" i="1"/>
  <c r="J888" i="1"/>
  <c r="L888" i="1"/>
  <c r="N888" i="1"/>
  <c r="M888" i="1"/>
  <c r="C888" i="1"/>
  <c r="H888" i="1"/>
  <c r="F888" i="1"/>
  <c r="B888" i="1"/>
  <c r="D887" i="1"/>
  <c r="E887" i="1"/>
  <c r="G887" i="1"/>
  <c r="I887" i="1"/>
  <c r="J887" i="1"/>
  <c r="L887" i="1"/>
  <c r="N887" i="1"/>
  <c r="M887" i="1"/>
  <c r="C887" i="1"/>
  <c r="H887" i="1"/>
  <c r="F887" i="1"/>
  <c r="B887" i="1"/>
  <c r="D886" i="1"/>
  <c r="E886" i="1"/>
  <c r="G886" i="1"/>
  <c r="I886" i="1"/>
  <c r="J886" i="1"/>
  <c r="L886" i="1"/>
  <c r="N886" i="1"/>
  <c r="M886" i="1"/>
  <c r="C886" i="1"/>
  <c r="H886" i="1"/>
  <c r="F886" i="1"/>
  <c r="B886" i="1"/>
  <c r="D885" i="1"/>
  <c r="E885" i="1"/>
  <c r="G885" i="1"/>
  <c r="I885" i="1"/>
  <c r="J885" i="1"/>
  <c r="L885" i="1"/>
  <c r="N885" i="1"/>
  <c r="M885" i="1"/>
  <c r="C885" i="1"/>
  <c r="H885" i="1"/>
  <c r="F885" i="1"/>
  <c r="B885" i="1"/>
  <c r="D884" i="1"/>
  <c r="E884" i="1"/>
  <c r="G884" i="1"/>
  <c r="I884" i="1"/>
  <c r="J884" i="1"/>
  <c r="L884" i="1"/>
  <c r="N884" i="1"/>
  <c r="M884" i="1"/>
  <c r="C884" i="1"/>
  <c r="H884" i="1"/>
  <c r="F884" i="1"/>
  <c r="B884" i="1"/>
  <c r="D883" i="1"/>
  <c r="E883" i="1"/>
  <c r="G883" i="1"/>
  <c r="I883" i="1"/>
  <c r="J883" i="1"/>
  <c r="L883" i="1"/>
  <c r="N883" i="1"/>
  <c r="M883" i="1"/>
  <c r="C883" i="1"/>
  <c r="H883" i="1"/>
  <c r="F883" i="1"/>
  <c r="B883" i="1"/>
  <c r="D882" i="1"/>
  <c r="E882" i="1"/>
  <c r="G882" i="1"/>
  <c r="I882" i="1"/>
  <c r="J882" i="1"/>
  <c r="L882" i="1"/>
  <c r="N882" i="1"/>
  <c r="M882" i="1"/>
  <c r="C882" i="1"/>
  <c r="H882" i="1"/>
  <c r="F882" i="1"/>
  <c r="B882" i="1"/>
  <c r="D881" i="1"/>
  <c r="E881" i="1"/>
  <c r="G881" i="1"/>
  <c r="I881" i="1"/>
  <c r="J881" i="1"/>
  <c r="L881" i="1"/>
  <c r="N881" i="1"/>
  <c r="M881" i="1"/>
  <c r="C881" i="1"/>
  <c r="H881" i="1"/>
  <c r="F881" i="1"/>
  <c r="B881" i="1"/>
  <c r="D880" i="1"/>
  <c r="E880" i="1"/>
  <c r="G880" i="1"/>
  <c r="I880" i="1"/>
  <c r="J880" i="1"/>
  <c r="L880" i="1"/>
  <c r="N880" i="1"/>
  <c r="M880" i="1"/>
  <c r="C880" i="1"/>
  <c r="H880" i="1"/>
  <c r="F880" i="1"/>
  <c r="B880" i="1"/>
  <c r="D879" i="1"/>
  <c r="E879" i="1"/>
  <c r="G879" i="1"/>
  <c r="I879" i="1"/>
  <c r="J879" i="1"/>
  <c r="L879" i="1"/>
  <c r="N879" i="1"/>
  <c r="M879" i="1"/>
  <c r="C879" i="1"/>
  <c r="H879" i="1"/>
  <c r="F879" i="1"/>
  <c r="B879" i="1"/>
  <c r="D878" i="1"/>
  <c r="E878" i="1"/>
  <c r="G878" i="1"/>
  <c r="I878" i="1"/>
  <c r="J878" i="1"/>
  <c r="L878" i="1"/>
  <c r="N878" i="1"/>
  <c r="M878" i="1"/>
  <c r="C878" i="1"/>
  <c r="H878" i="1"/>
  <c r="F878" i="1"/>
  <c r="B878" i="1"/>
  <c r="D877" i="1"/>
  <c r="E877" i="1"/>
  <c r="G877" i="1"/>
  <c r="I877" i="1"/>
  <c r="J877" i="1"/>
  <c r="L877" i="1"/>
  <c r="N877" i="1"/>
  <c r="M877" i="1"/>
  <c r="C877" i="1"/>
  <c r="H877" i="1"/>
  <c r="F877" i="1"/>
  <c r="B877" i="1"/>
  <c r="D876" i="1"/>
  <c r="E876" i="1"/>
  <c r="G876" i="1"/>
  <c r="I876" i="1"/>
  <c r="J876" i="1"/>
  <c r="L876" i="1"/>
  <c r="N876" i="1"/>
  <c r="M876" i="1"/>
  <c r="C876" i="1"/>
  <c r="H876" i="1"/>
  <c r="F876" i="1"/>
  <c r="B876" i="1"/>
  <c r="D875" i="1"/>
  <c r="E875" i="1"/>
  <c r="G875" i="1"/>
  <c r="I875" i="1"/>
  <c r="J875" i="1"/>
  <c r="L875" i="1"/>
  <c r="N875" i="1"/>
  <c r="M875" i="1"/>
  <c r="C875" i="1"/>
  <c r="H875" i="1"/>
  <c r="F875" i="1"/>
  <c r="B875" i="1"/>
  <c r="D874" i="1"/>
  <c r="E874" i="1"/>
  <c r="G874" i="1"/>
  <c r="I874" i="1"/>
  <c r="J874" i="1"/>
  <c r="L874" i="1"/>
  <c r="N874" i="1"/>
  <c r="M874" i="1"/>
  <c r="C874" i="1"/>
  <c r="H874" i="1"/>
  <c r="F874" i="1"/>
  <c r="B874" i="1"/>
  <c r="D873" i="1"/>
  <c r="E873" i="1"/>
  <c r="G873" i="1"/>
  <c r="I873" i="1"/>
  <c r="J873" i="1"/>
  <c r="L873" i="1"/>
  <c r="N873" i="1"/>
  <c r="M873" i="1"/>
  <c r="C873" i="1"/>
  <c r="H873" i="1"/>
  <c r="F873" i="1"/>
  <c r="B873" i="1"/>
  <c r="D872" i="1"/>
  <c r="E872" i="1"/>
  <c r="G872" i="1"/>
  <c r="I872" i="1"/>
  <c r="J872" i="1"/>
  <c r="L872" i="1"/>
  <c r="N872" i="1"/>
  <c r="M872" i="1"/>
  <c r="C872" i="1"/>
  <c r="H872" i="1"/>
  <c r="F872" i="1"/>
  <c r="B872" i="1"/>
  <c r="D871" i="1"/>
  <c r="E871" i="1"/>
  <c r="G871" i="1"/>
  <c r="I871" i="1"/>
  <c r="J871" i="1"/>
  <c r="L871" i="1"/>
  <c r="N871" i="1"/>
  <c r="M871" i="1"/>
  <c r="C871" i="1"/>
  <c r="H871" i="1"/>
  <c r="F871" i="1"/>
  <c r="B871" i="1"/>
  <c r="D870" i="1"/>
  <c r="E870" i="1"/>
  <c r="G870" i="1"/>
  <c r="I870" i="1"/>
  <c r="J870" i="1"/>
  <c r="L870" i="1"/>
  <c r="N870" i="1"/>
  <c r="M870" i="1"/>
  <c r="C870" i="1"/>
  <c r="H870" i="1"/>
  <c r="F870" i="1"/>
  <c r="B870" i="1"/>
  <c r="D869" i="1"/>
  <c r="E869" i="1"/>
  <c r="G869" i="1"/>
  <c r="I869" i="1"/>
  <c r="J869" i="1"/>
  <c r="L869" i="1"/>
  <c r="N869" i="1"/>
  <c r="M869" i="1"/>
  <c r="C869" i="1"/>
  <c r="H869" i="1"/>
  <c r="F869" i="1"/>
  <c r="B869" i="1"/>
  <c r="D868" i="1"/>
  <c r="E868" i="1"/>
  <c r="G868" i="1"/>
  <c r="I868" i="1"/>
  <c r="J868" i="1"/>
  <c r="L868" i="1"/>
  <c r="N868" i="1"/>
  <c r="M868" i="1"/>
  <c r="C868" i="1"/>
  <c r="H868" i="1"/>
  <c r="F868" i="1"/>
  <c r="B868" i="1"/>
  <c r="D867" i="1"/>
  <c r="E867" i="1"/>
  <c r="G867" i="1"/>
  <c r="I867" i="1"/>
  <c r="J867" i="1"/>
  <c r="L867" i="1"/>
  <c r="N867" i="1"/>
  <c r="M867" i="1"/>
  <c r="C867" i="1"/>
  <c r="H867" i="1"/>
  <c r="F867" i="1"/>
  <c r="B867" i="1"/>
  <c r="D866" i="1"/>
  <c r="E866" i="1"/>
  <c r="G866" i="1"/>
  <c r="I866" i="1"/>
  <c r="J866" i="1"/>
  <c r="L866" i="1"/>
  <c r="N866" i="1"/>
  <c r="M866" i="1"/>
  <c r="C866" i="1"/>
  <c r="H866" i="1"/>
  <c r="F866" i="1"/>
  <c r="B866" i="1"/>
  <c r="D865" i="1"/>
  <c r="E865" i="1"/>
  <c r="G865" i="1"/>
  <c r="I865" i="1"/>
  <c r="J865" i="1"/>
  <c r="L865" i="1"/>
  <c r="N865" i="1"/>
  <c r="M865" i="1"/>
  <c r="C865" i="1"/>
  <c r="H865" i="1"/>
  <c r="F865" i="1"/>
  <c r="B865" i="1"/>
  <c r="D864" i="1"/>
  <c r="E864" i="1"/>
  <c r="G864" i="1"/>
  <c r="I864" i="1"/>
  <c r="J864" i="1"/>
  <c r="L864" i="1"/>
  <c r="N864" i="1"/>
  <c r="M864" i="1"/>
  <c r="C864" i="1"/>
  <c r="H864" i="1"/>
  <c r="F864" i="1"/>
  <c r="B864" i="1"/>
  <c r="D863" i="1"/>
  <c r="E863" i="1"/>
  <c r="G863" i="1"/>
  <c r="I863" i="1"/>
  <c r="J863" i="1"/>
  <c r="L863" i="1"/>
  <c r="N863" i="1"/>
  <c r="M863" i="1"/>
  <c r="C863" i="1"/>
  <c r="H863" i="1"/>
  <c r="F863" i="1"/>
  <c r="B863" i="1"/>
  <c r="D862" i="1"/>
  <c r="E862" i="1"/>
  <c r="G862" i="1"/>
  <c r="I862" i="1"/>
  <c r="J862" i="1"/>
  <c r="L862" i="1"/>
  <c r="N862" i="1"/>
  <c r="M862" i="1"/>
  <c r="C862" i="1"/>
  <c r="H862" i="1"/>
  <c r="F862" i="1"/>
  <c r="B862" i="1"/>
  <c r="D861" i="1"/>
  <c r="E861" i="1"/>
  <c r="G861" i="1"/>
  <c r="I861" i="1"/>
  <c r="J861" i="1"/>
  <c r="L861" i="1"/>
  <c r="N861" i="1"/>
  <c r="M861" i="1"/>
  <c r="C861" i="1"/>
  <c r="H861" i="1"/>
  <c r="F861" i="1"/>
  <c r="B861" i="1"/>
  <c r="D860" i="1"/>
  <c r="E860" i="1"/>
  <c r="G860" i="1"/>
  <c r="I860" i="1"/>
  <c r="J860" i="1"/>
  <c r="L860" i="1"/>
  <c r="N860" i="1"/>
  <c r="M860" i="1"/>
  <c r="C860" i="1"/>
  <c r="H860" i="1"/>
  <c r="F860" i="1"/>
  <c r="B860" i="1"/>
  <c r="D859" i="1"/>
  <c r="E859" i="1"/>
  <c r="G859" i="1"/>
  <c r="I859" i="1"/>
  <c r="J859" i="1"/>
  <c r="L859" i="1"/>
  <c r="N859" i="1"/>
  <c r="M859" i="1"/>
  <c r="C859" i="1"/>
  <c r="H859" i="1"/>
  <c r="F859" i="1"/>
  <c r="B859" i="1"/>
  <c r="D858" i="1"/>
  <c r="E858" i="1"/>
  <c r="G858" i="1"/>
  <c r="I858" i="1"/>
  <c r="J858" i="1"/>
  <c r="L858" i="1"/>
  <c r="N858" i="1"/>
  <c r="M858" i="1"/>
  <c r="C858" i="1"/>
  <c r="H858" i="1"/>
  <c r="F858" i="1"/>
  <c r="B858" i="1"/>
  <c r="D857" i="1"/>
  <c r="E857" i="1"/>
  <c r="G857" i="1"/>
  <c r="I857" i="1"/>
  <c r="J857" i="1"/>
  <c r="L857" i="1"/>
  <c r="N857" i="1"/>
  <c r="M857" i="1"/>
  <c r="C857" i="1"/>
  <c r="H857" i="1"/>
  <c r="F857" i="1"/>
  <c r="B857" i="1"/>
  <c r="D856" i="1"/>
  <c r="E856" i="1"/>
  <c r="G856" i="1"/>
  <c r="I856" i="1"/>
  <c r="J856" i="1"/>
  <c r="L856" i="1"/>
  <c r="N856" i="1"/>
  <c r="M856" i="1"/>
  <c r="C856" i="1"/>
  <c r="H856" i="1"/>
  <c r="F856" i="1"/>
  <c r="B856" i="1"/>
  <c r="D855" i="1"/>
  <c r="E855" i="1"/>
  <c r="G855" i="1"/>
  <c r="I855" i="1"/>
  <c r="J855" i="1"/>
  <c r="L855" i="1"/>
  <c r="N855" i="1"/>
  <c r="M855" i="1"/>
  <c r="C855" i="1"/>
  <c r="H855" i="1"/>
  <c r="F855" i="1"/>
  <c r="B855" i="1"/>
  <c r="D854" i="1"/>
  <c r="E854" i="1"/>
  <c r="G854" i="1"/>
  <c r="I854" i="1"/>
  <c r="J854" i="1"/>
  <c r="L854" i="1"/>
  <c r="N854" i="1"/>
  <c r="M854" i="1"/>
  <c r="C854" i="1"/>
  <c r="H854" i="1"/>
  <c r="F854" i="1"/>
  <c r="B854" i="1"/>
  <c r="D853" i="1"/>
  <c r="E853" i="1"/>
  <c r="G853" i="1"/>
  <c r="I853" i="1"/>
  <c r="J853" i="1"/>
  <c r="L853" i="1"/>
  <c r="N853" i="1"/>
  <c r="M853" i="1"/>
  <c r="C853" i="1"/>
  <c r="H853" i="1"/>
  <c r="F853" i="1"/>
  <c r="B853" i="1"/>
  <c r="D852" i="1"/>
  <c r="E852" i="1"/>
  <c r="G852" i="1"/>
  <c r="I852" i="1"/>
  <c r="J852" i="1"/>
  <c r="L852" i="1"/>
  <c r="N852" i="1"/>
  <c r="M852" i="1"/>
  <c r="C852" i="1"/>
  <c r="H852" i="1"/>
  <c r="F852" i="1"/>
  <c r="B852" i="1"/>
  <c r="D851" i="1"/>
  <c r="E851" i="1"/>
  <c r="G851" i="1"/>
  <c r="I851" i="1"/>
  <c r="J851" i="1"/>
  <c r="L851" i="1"/>
  <c r="N851" i="1"/>
  <c r="M851" i="1"/>
  <c r="C851" i="1"/>
  <c r="H851" i="1"/>
  <c r="F851" i="1"/>
  <c r="B851" i="1"/>
  <c r="D850" i="1"/>
  <c r="E850" i="1"/>
  <c r="G850" i="1"/>
  <c r="I850" i="1"/>
  <c r="J850" i="1"/>
  <c r="L850" i="1"/>
  <c r="N850" i="1"/>
  <c r="M850" i="1"/>
  <c r="C850" i="1"/>
  <c r="H850" i="1"/>
  <c r="F850" i="1"/>
  <c r="B850" i="1"/>
  <c r="D849" i="1"/>
  <c r="E849" i="1"/>
  <c r="G849" i="1"/>
  <c r="I849" i="1"/>
  <c r="J849" i="1"/>
  <c r="L849" i="1"/>
  <c r="N849" i="1"/>
  <c r="M849" i="1"/>
  <c r="C849" i="1"/>
  <c r="H849" i="1"/>
  <c r="F849" i="1"/>
  <c r="B849" i="1"/>
  <c r="D848" i="1"/>
  <c r="E848" i="1"/>
  <c r="G848" i="1"/>
  <c r="I848" i="1"/>
  <c r="J848" i="1"/>
  <c r="L848" i="1"/>
  <c r="N848" i="1"/>
  <c r="M848" i="1"/>
  <c r="C848" i="1"/>
  <c r="H848" i="1"/>
  <c r="F848" i="1"/>
  <c r="B848" i="1"/>
  <c r="D847" i="1"/>
  <c r="E847" i="1"/>
  <c r="G847" i="1"/>
  <c r="I847" i="1"/>
  <c r="J847" i="1"/>
  <c r="L847" i="1"/>
  <c r="N847" i="1"/>
  <c r="M847" i="1"/>
  <c r="C847" i="1"/>
  <c r="H847" i="1"/>
  <c r="F847" i="1"/>
  <c r="B847" i="1"/>
  <c r="D846" i="1"/>
  <c r="E846" i="1"/>
  <c r="G846" i="1"/>
  <c r="I846" i="1"/>
  <c r="J846" i="1"/>
  <c r="L846" i="1"/>
  <c r="N846" i="1"/>
  <c r="M846" i="1"/>
  <c r="C846" i="1"/>
  <c r="H846" i="1"/>
  <c r="F846" i="1"/>
  <c r="B846" i="1"/>
  <c r="D845" i="1"/>
  <c r="E845" i="1"/>
  <c r="G845" i="1"/>
  <c r="I845" i="1"/>
  <c r="J845" i="1"/>
  <c r="L845" i="1"/>
  <c r="N845" i="1"/>
  <c r="M845" i="1"/>
  <c r="C845" i="1"/>
  <c r="H845" i="1"/>
  <c r="F845" i="1"/>
  <c r="B845" i="1"/>
  <c r="D844" i="1"/>
  <c r="E844" i="1"/>
  <c r="G844" i="1"/>
  <c r="I844" i="1"/>
  <c r="J844" i="1"/>
  <c r="L844" i="1"/>
  <c r="N844" i="1"/>
  <c r="M844" i="1"/>
  <c r="C844" i="1"/>
  <c r="H844" i="1"/>
  <c r="F844" i="1"/>
  <c r="B844" i="1"/>
  <c r="D843" i="1"/>
  <c r="E843" i="1"/>
  <c r="G843" i="1"/>
  <c r="I843" i="1"/>
  <c r="J843" i="1"/>
  <c r="L843" i="1"/>
  <c r="N843" i="1"/>
  <c r="M843" i="1"/>
  <c r="C843" i="1"/>
  <c r="H843" i="1"/>
  <c r="F843" i="1"/>
  <c r="B843" i="1"/>
  <c r="D842" i="1"/>
  <c r="E842" i="1"/>
  <c r="G842" i="1"/>
  <c r="I842" i="1"/>
  <c r="J842" i="1"/>
  <c r="L842" i="1"/>
  <c r="N842" i="1"/>
  <c r="M842" i="1"/>
  <c r="C842" i="1"/>
  <c r="H842" i="1"/>
  <c r="F842" i="1"/>
  <c r="B842" i="1"/>
  <c r="D841" i="1"/>
  <c r="E841" i="1"/>
  <c r="G841" i="1"/>
  <c r="I841" i="1"/>
  <c r="J841" i="1"/>
  <c r="L841" i="1"/>
  <c r="N841" i="1"/>
  <c r="M841" i="1"/>
  <c r="C841" i="1"/>
  <c r="H841" i="1"/>
  <c r="F841" i="1"/>
  <c r="B841" i="1"/>
  <c r="D840" i="1"/>
  <c r="E840" i="1"/>
  <c r="G840" i="1"/>
  <c r="I840" i="1"/>
  <c r="J840" i="1"/>
  <c r="L840" i="1"/>
  <c r="N840" i="1"/>
  <c r="M840" i="1"/>
  <c r="C840" i="1"/>
  <c r="H840" i="1"/>
  <c r="F840" i="1"/>
  <c r="B840" i="1"/>
  <c r="D839" i="1"/>
  <c r="E839" i="1"/>
  <c r="G839" i="1"/>
  <c r="I839" i="1"/>
  <c r="J839" i="1"/>
  <c r="L839" i="1"/>
  <c r="N839" i="1"/>
  <c r="M839" i="1"/>
  <c r="C839" i="1"/>
  <c r="H839" i="1"/>
  <c r="F839" i="1"/>
  <c r="B839" i="1"/>
  <c r="D838" i="1"/>
  <c r="E838" i="1"/>
  <c r="G838" i="1"/>
  <c r="I838" i="1"/>
  <c r="J838" i="1"/>
  <c r="L838" i="1"/>
  <c r="N838" i="1"/>
  <c r="M838" i="1"/>
  <c r="C838" i="1"/>
  <c r="H838" i="1"/>
  <c r="F838" i="1"/>
  <c r="B838" i="1"/>
  <c r="D837" i="1"/>
  <c r="E837" i="1"/>
  <c r="G837" i="1"/>
  <c r="I837" i="1"/>
  <c r="J837" i="1"/>
  <c r="L837" i="1"/>
  <c r="N837" i="1"/>
  <c r="M837" i="1"/>
  <c r="C837" i="1"/>
  <c r="H837" i="1"/>
  <c r="F837" i="1"/>
  <c r="B837" i="1"/>
  <c r="D836" i="1"/>
  <c r="E836" i="1"/>
  <c r="G836" i="1"/>
  <c r="I836" i="1"/>
  <c r="J836" i="1"/>
  <c r="L836" i="1"/>
  <c r="N836" i="1"/>
  <c r="M836" i="1"/>
  <c r="C836" i="1"/>
  <c r="H836" i="1"/>
  <c r="F836" i="1"/>
  <c r="B836" i="1"/>
  <c r="D835" i="1"/>
  <c r="E835" i="1"/>
  <c r="G835" i="1"/>
  <c r="I835" i="1"/>
  <c r="J835" i="1"/>
  <c r="L835" i="1"/>
  <c r="N835" i="1"/>
  <c r="M835" i="1"/>
  <c r="C835" i="1"/>
  <c r="H835" i="1"/>
  <c r="F835" i="1"/>
  <c r="B835" i="1"/>
  <c r="D834" i="1"/>
  <c r="E834" i="1"/>
  <c r="G834" i="1"/>
  <c r="I834" i="1"/>
  <c r="J834" i="1"/>
  <c r="L834" i="1"/>
  <c r="N834" i="1"/>
  <c r="M834" i="1"/>
  <c r="C834" i="1"/>
  <c r="H834" i="1"/>
  <c r="F834" i="1"/>
  <c r="B834" i="1"/>
  <c r="D833" i="1"/>
  <c r="E833" i="1"/>
  <c r="G833" i="1"/>
  <c r="I833" i="1"/>
  <c r="J833" i="1"/>
  <c r="L833" i="1"/>
  <c r="N833" i="1"/>
  <c r="M833" i="1"/>
  <c r="C833" i="1"/>
  <c r="H833" i="1"/>
  <c r="F833" i="1"/>
  <c r="B833" i="1"/>
  <c r="D832" i="1"/>
  <c r="E832" i="1"/>
  <c r="G832" i="1"/>
  <c r="I832" i="1"/>
  <c r="J832" i="1"/>
  <c r="L832" i="1"/>
  <c r="N832" i="1"/>
  <c r="M832" i="1"/>
  <c r="C832" i="1"/>
  <c r="H832" i="1"/>
  <c r="F832" i="1"/>
  <c r="B832" i="1"/>
  <c r="D831" i="1"/>
  <c r="E831" i="1"/>
  <c r="G831" i="1"/>
  <c r="I831" i="1"/>
  <c r="J831" i="1"/>
  <c r="L831" i="1"/>
  <c r="N831" i="1"/>
  <c r="M831" i="1"/>
  <c r="C831" i="1"/>
  <c r="H831" i="1"/>
  <c r="F831" i="1"/>
  <c r="B831" i="1"/>
  <c r="D830" i="1"/>
  <c r="E830" i="1"/>
  <c r="G830" i="1"/>
  <c r="I830" i="1"/>
  <c r="J830" i="1"/>
  <c r="L830" i="1"/>
  <c r="N830" i="1"/>
  <c r="M830" i="1"/>
  <c r="C830" i="1"/>
  <c r="H830" i="1"/>
  <c r="F830" i="1"/>
  <c r="B830" i="1"/>
  <c r="D829" i="1"/>
  <c r="E829" i="1"/>
  <c r="G829" i="1"/>
  <c r="I829" i="1"/>
  <c r="J829" i="1"/>
  <c r="L829" i="1"/>
  <c r="N829" i="1"/>
  <c r="M829" i="1"/>
  <c r="C829" i="1"/>
  <c r="H829" i="1"/>
  <c r="F829" i="1"/>
  <c r="B829" i="1"/>
  <c r="D828" i="1"/>
  <c r="E828" i="1"/>
  <c r="G828" i="1"/>
  <c r="I828" i="1"/>
  <c r="J828" i="1"/>
  <c r="L828" i="1"/>
  <c r="N828" i="1"/>
  <c r="M828" i="1"/>
  <c r="C828" i="1"/>
  <c r="H828" i="1"/>
  <c r="F828" i="1"/>
  <c r="B828" i="1"/>
  <c r="D827" i="1"/>
  <c r="E827" i="1"/>
  <c r="G827" i="1"/>
  <c r="I827" i="1"/>
  <c r="J827" i="1"/>
  <c r="L827" i="1"/>
  <c r="N827" i="1"/>
  <c r="M827" i="1"/>
  <c r="C827" i="1"/>
  <c r="H827" i="1"/>
  <c r="F827" i="1"/>
  <c r="B827" i="1"/>
  <c r="D826" i="1"/>
  <c r="E826" i="1"/>
  <c r="G826" i="1"/>
  <c r="I826" i="1"/>
  <c r="J826" i="1"/>
  <c r="L826" i="1"/>
  <c r="N826" i="1"/>
  <c r="M826" i="1"/>
  <c r="C826" i="1"/>
  <c r="H826" i="1"/>
  <c r="F826" i="1"/>
  <c r="B826" i="1"/>
  <c r="D825" i="1"/>
  <c r="E825" i="1"/>
  <c r="G825" i="1"/>
  <c r="I825" i="1"/>
  <c r="J825" i="1"/>
  <c r="L825" i="1"/>
  <c r="N825" i="1"/>
  <c r="M825" i="1"/>
  <c r="C825" i="1"/>
  <c r="H825" i="1"/>
  <c r="F825" i="1"/>
  <c r="B825" i="1"/>
  <c r="D824" i="1"/>
  <c r="E824" i="1"/>
  <c r="G824" i="1"/>
  <c r="I824" i="1"/>
  <c r="J824" i="1"/>
  <c r="L824" i="1"/>
  <c r="N824" i="1"/>
  <c r="M824" i="1"/>
  <c r="C824" i="1"/>
  <c r="H824" i="1"/>
  <c r="F824" i="1"/>
  <c r="B824" i="1"/>
  <c r="D823" i="1"/>
  <c r="E823" i="1"/>
  <c r="G823" i="1"/>
  <c r="I823" i="1"/>
  <c r="J823" i="1"/>
  <c r="L823" i="1"/>
  <c r="N823" i="1"/>
  <c r="M823" i="1"/>
  <c r="C823" i="1"/>
  <c r="H823" i="1"/>
  <c r="F823" i="1"/>
  <c r="B823" i="1"/>
  <c r="D822" i="1"/>
  <c r="E822" i="1"/>
  <c r="G822" i="1"/>
  <c r="I822" i="1"/>
  <c r="J822" i="1"/>
  <c r="L822" i="1"/>
  <c r="N822" i="1"/>
  <c r="M822" i="1"/>
  <c r="C822" i="1"/>
  <c r="H822" i="1"/>
  <c r="F822" i="1"/>
  <c r="B822" i="1"/>
  <c r="D821" i="1"/>
  <c r="E821" i="1"/>
  <c r="G821" i="1"/>
  <c r="I821" i="1"/>
  <c r="J821" i="1"/>
  <c r="L821" i="1"/>
  <c r="N821" i="1"/>
  <c r="M821" i="1"/>
  <c r="C821" i="1"/>
  <c r="H821" i="1"/>
  <c r="F821" i="1"/>
  <c r="B821" i="1"/>
  <c r="D820" i="1"/>
  <c r="E820" i="1"/>
  <c r="G820" i="1"/>
  <c r="I820" i="1"/>
  <c r="J820" i="1"/>
  <c r="L820" i="1"/>
  <c r="N820" i="1"/>
  <c r="M820" i="1"/>
  <c r="C820" i="1"/>
  <c r="H820" i="1"/>
  <c r="F820" i="1"/>
  <c r="B820" i="1"/>
  <c r="D819" i="1"/>
  <c r="E819" i="1"/>
  <c r="G819" i="1"/>
  <c r="I819" i="1"/>
  <c r="J819" i="1"/>
  <c r="L819" i="1"/>
  <c r="N819" i="1"/>
  <c r="M819" i="1"/>
  <c r="C819" i="1"/>
  <c r="H819" i="1"/>
  <c r="F819" i="1"/>
  <c r="B819" i="1"/>
  <c r="D818" i="1"/>
  <c r="E818" i="1"/>
  <c r="G818" i="1"/>
  <c r="I818" i="1"/>
  <c r="J818" i="1"/>
  <c r="L818" i="1"/>
  <c r="N818" i="1"/>
  <c r="M818" i="1"/>
  <c r="C818" i="1"/>
  <c r="H818" i="1"/>
  <c r="F818" i="1"/>
  <c r="B818" i="1"/>
  <c r="D817" i="1"/>
  <c r="E817" i="1"/>
  <c r="G817" i="1"/>
  <c r="I817" i="1"/>
  <c r="J817" i="1"/>
  <c r="L817" i="1"/>
  <c r="N817" i="1"/>
  <c r="M817" i="1"/>
  <c r="C817" i="1"/>
  <c r="H817" i="1"/>
  <c r="F817" i="1"/>
  <c r="B817" i="1"/>
  <c r="D816" i="1"/>
  <c r="E816" i="1"/>
  <c r="G816" i="1"/>
  <c r="I816" i="1"/>
  <c r="J816" i="1"/>
  <c r="L816" i="1"/>
  <c r="N816" i="1"/>
  <c r="M816" i="1"/>
  <c r="C816" i="1"/>
  <c r="H816" i="1"/>
  <c r="F816" i="1"/>
  <c r="B816" i="1"/>
  <c r="D815" i="1"/>
  <c r="E815" i="1"/>
  <c r="G815" i="1"/>
  <c r="I815" i="1"/>
  <c r="J815" i="1"/>
  <c r="L815" i="1"/>
  <c r="N815" i="1"/>
  <c r="M815" i="1"/>
  <c r="C815" i="1"/>
  <c r="H815" i="1"/>
  <c r="F815" i="1"/>
  <c r="B815" i="1"/>
  <c r="D814" i="1"/>
  <c r="E814" i="1"/>
  <c r="G814" i="1"/>
  <c r="I814" i="1"/>
  <c r="J814" i="1"/>
  <c r="L814" i="1"/>
  <c r="N814" i="1"/>
  <c r="M814" i="1"/>
  <c r="C814" i="1"/>
  <c r="H814" i="1"/>
  <c r="F814" i="1"/>
  <c r="B814" i="1"/>
  <c r="D813" i="1"/>
  <c r="E813" i="1"/>
  <c r="G813" i="1"/>
  <c r="I813" i="1"/>
  <c r="J813" i="1"/>
  <c r="L813" i="1"/>
  <c r="N813" i="1"/>
  <c r="M813" i="1"/>
  <c r="C813" i="1"/>
  <c r="H813" i="1"/>
  <c r="F813" i="1"/>
  <c r="B813" i="1"/>
  <c r="D812" i="1"/>
  <c r="E812" i="1"/>
  <c r="G812" i="1"/>
  <c r="I812" i="1"/>
  <c r="J812" i="1"/>
  <c r="L812" i="1"/>
  <c r="N812" i="1"/>
  <c r="M812" i="1"/>
  <c r="C812" i="1"/>
  <c r="H812" i="1"/>
  <c r="F812" i="1"/>
  <c r="B812" i="1"/>
  <c r="D811" i="1"/>
  <c r="E811" i="1"/>
  <c r="G811" i="1"/>
  <c r="I811" i="1"/>
  <c r="J811" i="1"/>
  <c r="L811" i="1"/>
  <c r="N811" i="1"/>
  <c r="M811" i="1"/>
  <c r="C811" i="1"/>
  <c r="H811" i="1"/>
  <c r="F811" i="1"/>
  <c r="B811" i="1"/>
  <c r="D810" i="1"/>
  <c r="E810" i="1"/>
  <c r="G810" i="1"/>
  <c r="I810" i="1"/>
  <c r="J810" i="1"/>
  <c r="L810" i="1"/>
  <c r="N810" i="1"/>
  <c r="M810" i="1"/>
  <c r="C810" i="1"/>
  <c r="H810" i="1"/>
  <c r="F810" i="1"/>
  <c r="B810" i="1"/>
  <c r="D809" i="1"/>
  <c r="E809" i="1"/>
  <c r="G809" i="1"/>
  <c r="I809" i="1"/>
  <c r="J809" i="1"/>
  <c r="L809" i="1"/>
  <c r="N809" i="1"/>
  <c r="M809" i="1"/>
  <c r="C809" i="1"/>
  <c r="H809" i="1"/>
  <c r="F809" i="1"/>
  <c r="B809" i="1"/>
  <c r="D808" i="1"/>
  <c r="E808" i="1"/>
  <c r="G808" i="1"/>
  <c r="I808" i="1"/>
  <c r="J808" i="1"/>
  <c r="L808" i="1"/>
  <c r="N808" i="1"/>
  <c r="M808" i="1"/>
  <c r="C808" i="1"/>
  <c r="H808" i="1"/>
  <c r="F808" i="1"/>
  <c r="B808" i="1"/>
  <c r="D807" i="1"/>
  <c r="E807" i="1"/>
  <c r="G807" i="1"/>
  <c r="I807" i="1"/>
  <c r="J807" i="1"/>
  <c r="L807" i="1"/>
  <c r="N807" i="1"/>
  <c r="M807" i="1"/>
  <c r="C807" i="1"/>
  <c r="H807" i="1"/>
  <c r="F807" i="1"/>
  <c r="B807" i="1"/>
  <c r="D806" i="1"/>
  <c r="E806" i="1"/>
  <c r="G806" i="1"/>
  <c r="I806" i="1"/>
  <c r="J806" i="1"/>
  <c r="L806" i="1"/>
  <c r="N806" i="1"/>
  <c r="M806" i="1"/>
  <c r="C806" i="1"/>
  <c r="H806" i="1"/>
  <c r="F806" i="1"/>
  <c r="B806" i="1"/>
  <c r="D805" i="1"/>
  <c r="E805" i="1"/>
  <c r="G805" i="1"/>
  <c r="I805" i="1"/>
  <c r="J805" i="1"/>
  <c r="L805" i="1"/>
  <c r="N805" i="1"/>
  <c r="M805" i="1"/>
  <c r="C805" i="1"/>
  <c r="H805" i="1"/>
  <c r="F805" i="1"/>
  <c r="B805" i="1"/>
  <c r="D804" i="1"/>
  <c r="E804" i="1"/>
  <c r="G804" i="1"/>
  <c r="I804" i="1"/>
  <c r="J804" i="1"/>
  <c r="L804" i="1"/>
  <c r="N804" i="1"/>
  <c r="M804" i="1"/>
  <c r="C804" i="1"/>
  <c r="H804" i="1"/>
  <c r="F804" i="1"/>
  <c r="B804" i="1"/>
  <c r="D803" i="1"/>
  <c r="E803" i="1"/>
  <c r="G803" i="1"/>
  <c r="I803" i="1"/>
  <c r="J803" i="1"/>
  <c r="L803" i="1"/>
  <c r="N803" i="1"/>
  <c r="M803" i="1"/>
  <c r="C803" i="1"/>
  <c r="H803" i="1"/>
  <c r="F803" i="1"/>
  <c r="B803" i="1"/>
  <c r="D802" i="1"/>
  <c r="E802" i="1"/>
  <c r="G802" i="1"/>
  <c r="I802" i="1"/>
  <c r="J802" i="1"/>
  <c r="L802" i="1"/>
  <c r="N802" i="1"/>
  <c r="M802" i="1"/>
  <c r="C802" i="1"/>
  <c r="H802" i="1"/>
  <c r="F802" i="1"/>
  <c r="B802" i="1"/>
  <c r="D801" i="1"/>
  <c r="E801" i="1"/>
  <c r="G801" i="1"/>
  <c r="I801" i="1"/>
  <c r="J801" i="1"/>
  <c r="L801" i="1"/>
  <c r="N801" i="1"/>
  <c r="M801" i="1"/>
  <c r="C801" i="1"/>
  <c r="H801" i="1"/>
  <c r="F801" i="1"/>
  <c r="B801" i="1"/>
  <c r="D800" i="1"/>
  <c r="E800" i="1"/>
  <c r="G800" i="1"/>
  <c r="I800" i="1"/>
  <c r="J800" i="1"/>
  <c r="L800" i="1"/>
  <c r="N800" i="1"/>
  <c r="M800" i="1"/>
  <c r="C800" i="1"/>
  <c r="H800" i="1"/>
  <c r="F800" i="1"/>
  <c r="B800" i="1"/>
  <c r="D799" i="1"/>
  <c r="E799" i="1"/>
  <c r="G799" i="1"/>
  <c r="I799" i="1"/>
  <c r="J799" i="1"/>
  <c r="L799" i="1"/>
  <c r="N799" i="1"/>
  <c r="M799" i="1"/>
  <c r="C799" i="1"/>
  <c r="H799" i="1"/>
  <c r="F799" i="1"/>
  <c r="B799" i="1"/>
  <c r="D798" i="1"/>
  <c r="E798" i="1"/>
  <c r="G798" i="1"/>
  <c r="I798" i="1"/>
  <c r="J798" i="1"/>
  <c r="L798" i="1"/>
  <c r="N798" i="1"/>
  <c r="M798" i="1"/>
  <c r="C798" i="1"/>
  <c r="H798" i="1"/>
  <c r="F798" i="1"/>
  <c r="B798" i="1"/>
  <c r="D797" i="1"/>
  <c r="E797" i="1"/>
  <c r="G797" i="1"/>
  <c r="I797" i="1"/>
  <c r="J797" i="1"/>
  <c r="L797" i="1"/>
  <c r="N797" i="1"/>
  <c r="M797" i="1"/>
  <c r="C797" i="1"/>
  <c r="H797" i="1"/>
  <c r="F797" i="1"/>
  <c r="B797" i="1"/>
  <c r="D796" i="1"/>
  <c r="E796" i="1"/>
  <c r="G796" i="1"/>
  <c r="I796" i="1"/>
  <c r="J796" i="1"/>
  <c r="L796" i="1"/>
  <c r="N796" i="1"/>
  <c r="M796" i="1"/>
  <c r="C796" i="1"/>
  <c r="H796" i="1"/>
  <c r="F796" i="1"/>
  <c r="B796" i="1"/>
  <c r="D795" i="1"/>
  <c r="E795" i="1"/>
  <c r="G795" i="1"/>
  <c r="I795" i="1"/>
  <c r="J795" i="1"/>
  <c r="L795" i="1"/>
  <c r="N795" i="1"/>
  <c r="M795" i="1"/>
  <c r="C795" i="1"/>
  <c r="H795" i="1"/>
  <c r="F795" i="1"/>
  <c r="B795" i="1"/>
  <c r="D794" i="1"/>
  <c r="E794" i="1"/>
  <c r="G794" i="1"/>
  <c r="I794" i="1"/>
  <c r="J794" i="1"/>
  <c r="L794" i="1"/>
  <c r="N794" i="1"/>
  <c r="M794" i="1"/>
  <c r="C794" i="1"/>
  <c r="H794" i="1"/>
  <c r="F794" i="1"/>
  <c r="B794" i="1"/>
  <c r="D793" i="1"/>
  <c r="E793" i="1"/>
  <c r="G793" i="1"/>
  <c r="I793" i="1"/>
  <c r="J793" i="1"/>
  <c r="L793" i="1"/>
  <c r="N793" i="1"/>
  <c r="M793" i="1"/>
  <c r="C793" i="1"/>
  <c r="H793" i="1"/>
  <c r="F793" i="1"/>
  <c r="B793" i="1"/>
  <c r="D792" i="1"/>
  <c r="E792" i="1"/>
  <c r="G792" i="1"/>
  <c r="I792" i="1"/>
  <c r="J792" i="1"/>
  <c r="L792" i="1"/>
  <c r="N792" i="1"/>
  <c r="M792" i="1"/>
  <c r="C792" i="1"/>
  <c r="H792" i="1"/>
  <c r="F792" i="1"/>
  <c r="B792" i="1"/>
  <c r="D791" i="1"/>
  <c r="E791" i="1"/>
  <c r="G791" i="1"/>
  <c r="I791" i="1"/>
  <c r="J791" i="1"/>
  <c r="L791" i="1"/>
  <c r="N791" i="1"/>
  <c r="M791" i="1"/>
  <c r="C791" i="1"/>
  <c r="H791" i="1"/>
  <c r="F791" i="1"/>
  <c r="B791" i="1"/>
  <c r="D790" i="1"/>
  <c r="E790" i="1"/>
  <c r="G790" i="1"/>
  <c r="I790" i="1"/>
  <c r="J790" i="1"/>
  <c r="L790" i="1"/>
  <c r="N790" i="1"/>
  <c r="M790" i="1"/>
  <c r="C790" i="1"/>
  <c r="H790" i="1"/>
  <c r="F790" i="1"/>
  <c r="B790" i="1"/>
  <c r="D789" i="1"/>
  <c r="E789" i="1"/>
  <c r="G789" i="1"/>
  <c r="I789" i="1"/>
  <c r="J789" i="1"/>
  <c r="L789" i="1"/>
  <c r="N789" i="1"/>
  <c r="M789" i="1"/>
  <c r="C789" i="1"/>
  <c r="H789" i="1"/>
  <c r="F789" i="1"/>
  <c r="B789" i="1"/>
  <c r="D788" i="1"/>
  <c r="E788" i="1"/>
  <c r="G788" i="1"/>
  <c r="I788" i="1"/>
  <c r="J788" i="1"/>
  <c r="L788" i="1"/>
  <c r="N788" i="1"/>
  <c r="M788" i="1"/>
  <c r="C788" i="1"/>
  <c r="H788" i="1"/>
  <c r="F788" i="1"/>
  <c r="B788" i="1"/>
  <c r="D787" i="1"/>
  <c r="E787" i="1"/>
  <c r="G787" i="1"/>
  <c r="I787" i="1"/>
  <c r="J787" i="1"/>
  <c r="L787" i="1"/>
  <c r="N787" i="1"/>
  <c r="M787" i="1"/>
  <c r="C787" i="1"/>
  <c r="H787" i="1"/>
  <c r="F787" i="1"/>
  <c r="B787" i="1"/>
  <c r="D786" i="1"/>
  <c r="E786" i="1"/>
  <c r="G786" i="1"/>
  <c r="I786" i="1"/>
  <c r="J786" i="1"/>
  <c r="L786" i="1"/>
  <c r="N786" i="1"/>
  <c r="M786" i="1"/>
  <c r="C786" i="1"/>
  <c r="H786" i="1"/>
  <c r="F786" i="1"/>
  <c r="B786" i="1"/>
  <c r="D785" i="1"/>
  <c r="E785" i="1"/>
  <c r="G785" i="1"/>
  <c r="I785" i="1"/>
  <c r="J785" i="1"/>
  <c r="L785" i="1"/>
  <c r="N785" i="1"/>
  <c r="M785" i="1"/>
  <c r="C785" i="1"/>
  <c r="H785" i="1"/>
  <c r="F785" i="1"/>
  <c r="B785" i="1"/>
  <c r="D784" i="1"/>
  <c r="E784" i="1"/>
  <c r="G784" i="1"/>
  <c r="I784" i="1"/>
  <c r="J784" i="1"/>
  <c r="L784" i="1"/>
  <c r="N784" i="1"/>
  <c r="M784" i="1"/>
  <c r="C784" i="1"/>
  <c r="H784" i="1"/>
  <c r="F784" i="1"/>
  <c r="B784" i="1"/>
  <c r="D783" i="1"/>
  <c r="E783" i="1"/>
  <c r="G783" i="1"/>
  <c r="I783" i="1"/>
  <c r="J783" i="1"/>
  <c r="L783" i="1"/>
  <c r="N783" i="1"/>
  <c r="M783" i="1"/>
  <c r="C783" i="1"/>
  <c r="H783" i="1"/>
  <c r="F783" i="1"/>
  <c r="B783" i="1"/>
  <c r="D782" i="1"/>
  <c r="E782" i="1"/>
  <c r="G782" i="1"/>
  <c r="I782" i="1"/>
  <c r="J782" i="1"/>
  <c r="L782" i="1"/>
  <c r="N782" i="1"/>
  <c r="M782" i="1"/>
  <c r="C782" i="1"/>
  <c r="H782" i="1"/>
  <c r="F782" i="1"/>
  <c r="B782" i="1"/>
  <c r="D781" i="1"/>
  <c r="E781" i="1"/>
  <c r="G781" i="1"/>
  <c r="I781" i="1"/>
  <c r="J781" i="1"/>
  <c r="L781" i="1"/>
  <c r="N781" i="1"/>
  <c r="M781" i="1"/>
  <c r="C781" i="1"/>
  <c r="H781" i="1"/>
  <c r="F781" i="1"/>
  <c r="B781" i="1"/>
  <c r="D780" i="1"/>
  <c r="E780" i="1"/>
  <c r="G780" i="1"/>
  <c r="I780" i="1"/>
  <c r="J780" i="1"/>
  <c r="L780" i="1"/>
  <c r="N780" i="1"/>
  <c r="M780" i="1"/>
  <c r="C780" i="1"/>
  <c r="H780" i="1"/>
  <c r="F780" i="1"/>
  <c r="B780" i="1"/>
  <c r="D779" i="1"/>
  <c r="E779" i="1"/>
  <c r="G779" i="1"/>
  <c r="I779" i="1"/>
  <c r="J779" i="1"/>
  <c r="L779" i="1"/>
  <c r="N779" i="1"/>
  <c r="M779" i="1"/>
  <c r="C779" i="1"/>
  <c r="H779" i="1"/>
  <c r="F779" i="1"/>
  <c r="B779" i="1"/>
  <c r="D778" i="1"/>
  <c r="E778" i="1"/>
  <c r="G778" i="1"/>
  <c r="I778" i="1"/>
  <c r="J778" i="1"/>
  <c r="L778" i="1"/>
  <c r="N778" i="1"/>
  <c r="M778" i="1"/>
  <c r="C778" i="1"/>
  <c r="H778" i="1"/>
  <c r="F778" i="1"/>
  <c r="B778" i="1"/>
  <c r="D777" i="1"/>
  <c r="E777" i="1"/>
  <c r="G777" i="1"/>
  <c r="I777" i="1"/>
  <c r="J777" i="1"/>
  <c r="L777" i="1"/>
  <c r="N777" i="1"/>
  <c r="M777" i="1"/>
  <c r="C777" i="1"/>
  <c r="H777" i="1"/>
  <c r="F777" i="1"/>
  <c r="B777" i="1"/>
  <c r="D776" i="1"/>
  <c r="E776" i="1"/>
  <c r="G776" i="1"/>
  <c r="I776" i="1"/>
  <c r="J776" i="1"/>
  <c r="L776" i="1"/>
  <c r="N776" i="1"/>
  <c r="M776" i="1"/>
  <c r="C776" i="1"/>
  <c r="H776" i="1"/>
  <c r="F776" i="1"/>
  <c r="B776" i="1"/>
  <c r="D775" i="1"/>
  <c r="E775" i="1"/>
  <c r="G775" i="1"/>
  <c r="I775" i="1"/>
  <c r="J775" i="1"/>
  <c r="L775" i="1"/>
  <c r="N775" i="1"/>
  <c r="M775" i="1"/>
  <c r="C775" i="1"/>
  <c r="H775" i="1"/>
  <c r="F775" i="1"/>
  <c r="B775" i="1"/>
  <c r="D774" i="1"/>
  <c r="E774" i="1"/>
  <c r="G774" i="1"/>
  <c r="I774" i="1"/>
  <c r="J774" i="1"/>
  <c r="L774" i="1"/>
  <c r="N774" i="1"/>
  <c r="M774" i="1"/>
  <c r="C774" i="1"/>
  <c r="H774" i="1"/>
  <c r="F774" i="1"/>
  <c r="B774" i="1"/>
  <c r="D773" i="1"/>
  <c r="E773" i="1"/>
  <c r="G773" i="1"/>
  <c r="I773" i="1"/>
  <c r="J773" i="1"/>
  <c r="L773" i="1"/>
  <c r="N773" i="1"/>
  <c r="M773" i="1"/>
  <c r="C773" i="1"/>
  <c r="H773" i="1"/>
  <c r="F773" i="1"/>
  <c r="B773" i="1"/>
  <c r="D772" i="1"/>
  <c r="E772" i="1"/>
  <c r="G772" i="1"/>
  <c r="I772" i="1"/>
  <c r="J772" i="1"/>
  <c r="L772" i="1"/>
  <c r="N772" i="1"/>
  <c r="M772" i="1"/>
  <c r="C772" i="1"/>
  <c r="H772" i="1"/>
  <c r="F772" i="1"/>
  <c r="B772" i="1"/>
  <c r="D771" i="1"/>
  <c r="E771" i="1"/>
  <c r="G771" i="1"/>
  <c r="I771" i="1"/>
  <c r="J771" i="1"/>
  <c r="L771" i="1"/>
  <c r="N771" i="1"/>
  <c r="M771" i="1"/>
  <c r="C771" i="1"/>
  <c r="H771" i="1"/>
  <c r="F771" i="1"/>
  <c r="B771" i="1"/>
  <c r="D770" i="1"/>
  <c r="E770" i="1"/>
  <c r="G770" i="1"/>
  <c r="I770" i="1"/>
  <c r="J770" i="1"/>
  <c r="L770" i="1"/>
  <c r="N770" i="1"/>
  <c r="M770" i="1"/>
  <c r="C770" i="1"/>
  <c r="H770" i="1"/>
  <c r="F770" i="1"/>
  <c r="B770" i="1"/>
  <c r="D769" i="1"/>
  <c r="E769" i="1"/>
  <c r="G769" i="1"/>
  <c r="I769" i="1"/>
  <c r="J769" i="1"/>
  <c r="L769" i="1"/>
  <c r="N769" i="1"/>
  <c r="M769" i="1"/>
  <c r="C769" i="1"/>
  <c r="H769" i="1"/>
  <c r="F769" i="1"/>
  <c r="B769" i="1"/>
  <c r="D768" i="1"/>
  <c r="E768" i="1"/>
  <c r="G768" i="1"/>
  <c r="I768" i="1"/>
  <c r="J768" i="1"/>
  <c r="L768" i="1"/>
  <c r="N768" i="1"/>
  <c r="M768" i="1"/>
  <c r="C768" i="1"/>
  <c r="H768" i="1"/>
  <c r="F768" i="1"/>
  <c r="B768" i="1"/>
  <c r="D767" i="1"/>
  <c r="E767" i="1"/>
  <c r="G767" i="1"/>
  <c r="I767" i="1"/>
  <c r="J767" i="1"/>
  <c r="L767" i="1"/>
  <c r="N767" i="1"/>
  <c r="M767" i="1"/>
  <c r="C767" i="1"/>
  <c r="H767" i="1"/>
  <c r="F767" i="1"/>
  <c r="B767" i="1"/>
  <c r="D766" i="1"/>
  <c r="E766" i="1"/>
  <c r="G766" i="1"/>
  <c r="I766" i="1"/>
  <c r="J766" i="1"/>
  <c r="L766" i="1"/>
  <c r="N766" i="1"/>
  <c r="M766" i="1"/>
  <c r="C766" i="1"/>
  <c r="H766" i="1"/>
  <c r="F766" i="1"/>
  <c r="B766" i="1"/>
  <c r="D765" i="1"/>
  <c r="E765" i="1"/>
  <c r="G765" i="1"/>
  <c r="I765" i="1"/>
  <c r="J765" i="1"/>
  <c r="L765" i="1"/>
  <c r="N765" i="1"/>
  <c r="M765" i="1"/>
  <c r="C765" i="1"/>
  <c r="H765" i="1"/>
  <c r="F765" i="1"/>
  <c r="B765" i="1"/>
  <c r="D764" i="1"/>
  <c r="E764" i="1"/>
  <c r="G764" i="1"/>
  <c r="I764" i="1"/>
  <c r="J764" i="1"/>
  <c r="L764" i="1"/>
  <c r="N764" i="1"/>
  <c r="M764" i="1"/>
  <c r="C764" i="1"/>
  <c r="H764" i="1"/>
  <c r="F764" i="1"/>
  <c r="B764" i="1"/>
  <c r="D763" i="1"/>
  <c r="E763" i="1"/>
  <c r="G763" i="1"/>
  <c r="I763" i="1"/>
  <c r="J763" i="1"/>
  <c r="L763" i="1"/>
  <c r="N763" i="1"/>
  <c r="M763" i="1"/>
  <c r="C763" i="1"/>
  <c r="H763" i="1"/>
  <c r="F763" i="1"/>
  <c r="B763" i="1"/>
  <c r="D762" i="1"/>
  <c r="E762" i="1"/>
  <c r="G762" i="1"/>
  <c r="I762" i="1"/>
  <c r="J762" i="1"/>
  <c r="L762" i="1"/>
  <c r="N762" i="1"/>
  <c r="M762" i="1"/>
  <c r="C762" i="1"/>
  <c r="H762" i="1"/>
  <c r="F762" i="1"/>
  <c r="B762" i="1"/>
  <c r="D761" i="1"/>
  <c r="E761" i="1"/>
  <c r="G761" i="1"/>
  <c r="I761" i="1"/>
  <c r="J761" i="1"/>
  <c r="L761" i="1"/>
  <c r="N761" i="1"/>
  <c r="M761" i="1"/>
  <c r="C761" i="1"/>
  <c r="H761" i="1"/>
  <c r="F761" i="1"/>
  <c r="B761" i="1"/>
  <c r="D760" i="1"/>
  <c r="E760" i="1"/>
  <c r="G760" i="1"/>
  <c r="I760" i="1"/>
  <c r="J760" i="1"/>
  <c r="L760" i="1"/>
  <c r="N760" i="1"/>
  <c r="M760" i="1"/>
  <c r="C760" i="1"/>
  <c r="H760" i="1"/>
  <c r="F760" i="1"/>
  <c r="B760" i="1"/>
  <c r="D759" i="1"/>
  <c r="E759" i="1"/>
  <c r="G759" i="1"/>
  <c r="I759" i="1"/>
  <c r="J759" i="1"/>
  <c r="L759" i="1"/>
  <c r="N759" i="1"/>
  <c r="M759" i="1"/>
  <c r="C759" i="1"/>
  <c r="H759" i="1"/>
  <c r="F759" i="1"/>
  <c r="B759" i="1"/>
  <c r="D758" i="1"/>
  <c r="E758" i="1"/>
  <c r="G758" i="1"/>
  <c r="I758" i="1"/>
  <c r="J758" i="1"/>
  <c r="L758" i="1"/>
  <c r="N758" i="1"/>
  <c r="M758" i="1"/>
  <c r="C758" i="1"/>
  <c r="H758" i="1"/>
  <c r="F758" i="1"/>
  <c r="B758" i="1"/>
  <c r="D757" i="1"/>
  <c r="E757" i="1"/>
  <c r="G757" i="1"/>
  <c r="I757" i="1"/>
  <c r="J757" i="1"/>
  <c r="L757" i="1"/>
  <c r="N757" i="1"/>
  <c r="M757" i="1"/>
  <c r="C757" i="1"/>
  <c r="H757" i="1"/>
  <c r="F757" i="1"/>
  <c r="B757" i="1"/>
  <c r="D756" i="1"/>
  <c r="E756" i="1"/>
  <c r="G756" i="1"/>
  <c r="I756" i="1"/>
  <c r="J756" i="1"/>
  <c r="L756" i="1"/>
  <c r="N756" i="1"/>
  <c r="M756" i="1"/>
  <c r="C756" i="1"/>
  <c r="H756" i="1"/>
  <c r="F756" i="1"/>
  <c r="B756" i="1"/>
  <c r="D755" i="1"/>
  <c r="E755" i="1"/>
  <c r="G755" i="1"/>
  <c r="I755" i="1"/>
  <c r="J755" i="1"/>
  <c r="L755" i="1"/>
  <c r="N755" i="1"/>
  <c r="M755" i="1"/>
  <c r="C755" i="1"/>
  <c r="H755" i="1"/>
  <c r="F755" i="1"/>
  <c r="B755" i="1"/>
  <c r="D754" i="1"/>
  <c r="E754" i="1"/>
  <c r="G754" i="1"/>
  <c r="I754" i="1"/>
  <c r="J754" i="1"/>
  <c r="L754" i="1"/>
  <c r="N754" i="1"/>
  <c r="M754" i="1"/>
  <c r="C754" i="1"/>
  <c r="H754" i="1"/>
  <c r="F754" i="1"/>
  <c r="B754" i="1"/>
  <c r="D753" i="1"/>
  <c r="E753" i="1"/>
  <c r="G753" i="1"/>
  <c r="I753" i="1"/>
  <c r="J753" i="1"/>
  <c r="L753" i="1"/>
  <c r="N753" i="1"/>
  <c r="M753" i="1"/>
  <c r="C753" i="1"/>
  <c r="H753" i="1"/>
  <c r="F753" i="1"/>
  <c r="B753" i="1"/>
  <c r="D752" i="1"/>
  <c r="E752" i="1"/>
  <c r="G752" i="1"/>
  <c r="I752" i="1"/>
  <c r="J752" i="1"/>
  <c r="L752" i="1"/>
  <c r="N752" i="1"/>
  <c r="M752" i="1"/>
  <c r="C752" i="1"/>
  <c r="H752" i="1"/>
  <c r="F752" i="1"/>
  <c r="B752" i="1"/>
  <c r="D751" i="1"/>
  <c r="E751" i="1"/>
  <c r="G751" i="1"/>
  <c r="I751" i="1"/>
  <c r="J751" i="1"/>
  <c r="L751" i="1"/>
  <c r="N751" i="1"/>
  <c r="M751" i="1"/>
  <c r="C751" i="1"/>
  <c r="H751" i="1"/>
  <c r="F751" i="1"/>
  <c r="B751" i="1"/>
  <c r="D750" i="1"/>
  <c r="E750" i="1"/>
  <c r="G750" i="1"/>
  <c r="I750" i="1"/>
  <c r="J750" i="1"/>
  <c r="L750" i="1"/>
  <c r="N750" i="1"/>
  <c r="M750" i="1"/>
  <c r="C750" i="1"/>
  <c r="H750" i="1"/>
  <c r="F750" i="1"/>
  <c r="B750" i="1"/>
  <c r="D749" i="1"/>
  <c r="E749" i="1"/>
  <c r="G749" i="1"/>
  <c r="I749" i="1"/>
  <c r="J749" i="1"/>
  <c r="L749" i="1"/>
  <c r="N749" i="1"/>
  <c r="M749" i="1"/>
  <c r="C749" i="1"/>
  <c r="H749" i="1"/>
  <c r="F749" i="1"/>
  <c r="B749" i="1"/>
  <c r="D748" i="1"/>
  <c r="E748" i="1"/>
  <c r="G748" i="1"/>
  <c r="I748" i="1"/>
  <c r="J748" i="1"/>
  <c r="L748" i="1"/>
  <c r="N748" i="1"/>
  <c r="M748" i="1"/>
  <c r="C748" i="1"/>
  <c r="H748" i="1"/>
  <c r="F748" i="1"/>
  <c r="B748" i="1"/>
  <c r="D747" i="1"/>
  <c r="E747" i="1"/>
  <c r="G747" i="1"/>
  <c r="I747" i="1"/>
  <c r="J747" i="1"/>
  <c r="L747" i="1"/>
  <c r="N747" i="1"/>
  <c r="M747" i="1"/>
  <c r="C747" i="1"/>
  <c r="H747" i="1"/>
  <c r="F747" i="1"/>
  <c r="B747" i="1"/>
  <c r="D746" i="1"/>
  <c r="E746" i="1"/>
  <c r="G746" i="1"/>
  <c r="I746" i="1"/>
  <c r="J746" i="1"/>
  <c r="L746" i="1"/>
  <c r="N746" i="1"/>
  <c r="M746" i="1"/>
  <c r="C746" i="1"/>
  <c r="H746" i="1"/>
  <c r="F746" i="1"/>
  <c r="B746" i="1"/>
  <c r="D745" i="1"/>
  <c r="E745" i="1"/>
  <c r="G745" i="1"/>
  <c r="I745" i="1"/>
  <c r="J745" i="1"/>
  <c r="L745" i="1"/>
  <c r="N745" i="1"/>
  <c r="M745" i="1"/>
  <c r="C745" i="1"/>
  <c r="H745" i="1"/>
  <c r="F745" i="1"/>
  <c r="B745" i="1"/>
  <c r="D744" i="1"/>
  <c r="E744" i="1"/>
  <c r="G744" i="1"/>
  <c r="I744" i="1"/>
  <c r="J744" i="1"/>
  <c r="L744" i="1"/>
  <c r="N744" i="1"/>
  <c r="M744" i="1"/>
  <c r="C744" i="1"/>
  <c r="H744" i="1"/>
  <c r="F744" i="1"/>
  <c r="B744" i="1"/>
  <c r="D743" i="1"/>
  <c r="E743" i="1"/>
  <c r="G743" i="1"/>
  <c r="I743" i="1"/>
  <c r="J743" i="1"/>
  <c r="L743" i="1"/>
  <c r="N743" i="1"/>
  <c r="M743" i="1"/>
  <c r="C743" i="1"/>
  <c r="H743" i="1"/>
  <c r="F743" i="1"/>
  <c r="B743" i="1"/>
  <c r="D742" i="1"/>
  <c r="E742" i="1"/>
  <c r="G742" i="1"/>
  <c r="I742" i="1"/>
  <c r="J742" i="1"/>
  <c r="L742" i="1"/>
  <c r="N742" i="1"/>
  <c r="M742" i="1"/>
  <c r="C742" i="1"/>
  <c r="H742" i="1"/>
  <c r="F742" i="1"/>
  <c r="B742" i="1"/>
  <c r="D741" i="1"/>
  <c r="E741" i="1"/>
  <c r="G741" i="1"/>
  <c r="I741" i="1"/>
  <c r="J741" i="1"/>
  <c r="L741" i="1"/>
  <c r="N741" i="1"/>
  <c r="M741" i="1"/>
  <c r="C741" i="1"/>
  <c r="H741" i="1"/>
  <c r="F741" i="1"/>
  <c r="B741" i="1"/>
  <c r="D740" i="1"/>
  <c r="E740" i="1"/>
  <c r="G740" i="1"/>
  <c r="I740" i="1"/>
  <c r="J740" i="1"/>
  <c r="L740" i="1"/>
  <c r="N740" i="1"/>
  <c r="M740" i="1"/>
  <c r="C740" i="1"/>
  <c r="H740" i="1"/>
  <c r="F740" i="1"/>
  <c r="B740" i="1"/>
  <c r="D739" i="1"/>
  <c r="E739" i="1"/>
  <c r="G739" i="1"/>
  <c r="I739" i="1"/>
  <c r="J739" i="1"/>
  <c r="L739" i="1"/>
  <c r="N739" i="1"/>
  <c r="M739" i="1"/>
  <c r="C739" i="1"/>
  <c r="H739" i="1"/>
  <c r="F739" i="1"/>
  <c r="B739" i="1"/>
  <c r="D738" i="1"/>
  <c r="E738" i="1"/>
  <c r="G738" i="1"/>
  <c r="I738" i="1"/>
  <c r="J738" i="1"/>
  <c r="L738" i="1"/>
  <c r="N738" i="1"/>
  <c r="M738" i="1"/>
  <c r="C738" i="1"/>
  <c r="H738" i="1"/>
  <c r="F738" i="1"/>
  <c r="B738" i="1"/>
  <c r="D737" i="1"/>
  <c r="E737" i="1"/>
  <c r="G737" i="1"/>
  <c r="I737" i="1"/>
  <c r="J737" i="1"/>
  <c r="L737" i="1"/>
  <c r="N737" i="1"/>
  <c r="M737" i="1"/>
  <c r="C737" i="1"/>
  <c r="H737" i="1"/>
  <c r="F737" i="1"/>
  <c r="B737" i="1"/>
  <c r="D736" i="1"/>
  <c r="E736" i="1"/>
  <c r="G736" i="1"/>
  <c r="I736" i="1"/>
  <c r="J736" i="1"/>
  <c r="L736" i="1"/>
  <c r="N736" i="1"/>
  <c r="M736" i="1"/>
  <c r="C736" i="1"/>
  <c r="H736" i="1"/>
  <c r="F736" i="1"/>
  <c r="B736" i="1"/>
  <c r="D735" i="1"/>
  <c r="E735" i="1"/>
  <c r="G735" i="1"/>
  <c r="I735" i="1"/>
  <c r="J735" i="1"/>
  <c r="L735" i="1"/>
  <c r="N735" i="1"/>
  <c r="M735" i="1"/>
  <c r="C735" i="1"/>
  <c r="H735" i="1"/>
  <c r="F735" i="1"/>
  <c r="B735" i="1"/>
  <c r="D734" i="1"/>
  <c r="E734" i="1"/>
  <c r="G734" i="1"/>
  <c r="I734" i="1"/>
  <c r="J734" i="1"/>
  <c r="L734" i="1"/>
  <c r="N734" i="1"/>
  <c r="M734" i="1"/>
  <c r="C734" i="1"/>
  <c r="H734" i="1"/>
  <c r="F734" i="1"/>
  <c r="B734" i="1"/>
  <c r="D733" i="1"/>
  <c r="E733" i="1"/>
  <c r="G733" i="1"/>
  <c r="I733" i="1"/>
  <c r="J733" i="1"/>
  <c r="L733" i="1"/>
  <c r="N733" i="1"/>
  <c r="M733" i="1"/>
  <c r="C733" i="1"/>
  <c r="H733" i="1"/>
  <c r="F733" i="1"/>
  <c r="B733" i="1"/>
  <c r="D732" i="1"/>
  <c r="E732" i="1"/>
  <c r="G732" i="1"/>
  <c r="I732" i="1"/>
  <c r="J732" i="1"/>
  <c r="L732" i="1"/>
  <c r="N732" i="1"/>
  <c r="M732" i="1"/>
  <c r="C732" i="1"/>
  <c r="H732" i="1"/>
  <c r="F732" i="1"/>
  <c r="B732" i="1"/>
  <c r="D731" i="1"/>
  <c r="E731" i="1"/>
  <c r="G731" i="1"/>
  <c r="I731" i="1"/>
  <c r="J731" i="1"/>
  <c r="L731" i="1"/>
  <c r="N731" i="1"/>
  <c r="M731" i="1"/>
  <c r="C731" i="1"/>
  <c r="H731" i="1"/>
  <c r="F731" i="1"/>
  <c r="B731" i="1"/>
  <c r="D730" i="1"/>
  <c r="E730" i="1"/>
  <c r="G730" i="1"/>
  <c r="I730" i="1"/>
  <c r="J730" i="1"/>
  <c r="L730" i="1"/>
  <c r="N730" i="1"/>
  <c r="M730" i="1"/>
  <c r="C730" i="1"/>
  <c r="H730" i="1"/>
  <c r="F730" i="1"/>
  <c r="B730" i="1"/>
  <c r="D729" i="1"/>
  <c r="E729" i="1"/>
  <c r="G729" i="1"/>
  <c r="I729" i="1"/>
  <c r="J729" i="1"/>
  <c r="L729" i="1"/>
  <c r="N729" i="1"/>
  <c r="M729" i="1"/>
  <c r="C729" i="1"/>
  <c r="H729" i="1"/>
  <c r="F729" i="1"/>
  <c r="B729" i="1"/>
  <c r="D728" i="1"/>
  <c r="E728" i="1"/>
  <c r="G728" i="1"/>
  <c r="I728" i="1"/>
  <c r="J728" i="1"/>
  <c r="L728" i="1"/>
  <c r="N728" i="1"/>
  <c r="M728" i="1"/>
  <c r="C728" i="1"/>
  <c r="H728" i="1"/>
  <c r="F728" i="1"/>
  <c r="B728" i="1"/>
  <c r="D727" i="1"/>
  <c r="E727" i="1"/>
  <c r="G727" i="1"/>
  <c r="I727" i="1"/>
  <c r="J727" i="1"/>
  <c r="L727" i="1"/>
  <c r="N727" i="1"/>
  <c r="M727" i="1"/>
  <c r="C727" i="1"/>
  <c r="H727" i="1"/>
  <c r="F727" i="1"/>
  <c r="B727" i="1"/>
  <c r="D726" i="1"/>
  <c r="E726" i="1"/>
  <c r="G726" i="1"/>
  <c r="I726" i="1"/>
  <c r="J726" i="1"/>
  <c r="L726" i="1"/>
  <c r="N726" i="1"/>
  <c r="M726" i="1"/>
  <c r="C726" i="1"/>
  <c r="H726" i="1"/>
  <c r="F726" i="1"/>
  <c r="B726" i="1"/>
  <c r="D725" i="1"/>
  <c r="E725" i="1"/>
  <c r="G725" i="1"/>
  <c r="I725" i="1"/>
  <c r="J725" i="1"/>
  <c r="L725" i="1"/>
  <c r="N725" i="1"/>
  <c r="M725" i="1"/>
  <c r="C725" i="1"/>
  <c r="H725" i="1"/>
  <c r="F725" i="1"/>
  <c r="B725" i="1"/>
  <c r="D724" i="1"/>
  <c r="E724" i="1"/>
  <c r="G724" i="1"/>
  <c r="I724" i="1"/>
  <c r="J724" i="1"/>
  <c r="L724" i="1"/>
  <c r="N724" i="1"/>
  <c r="M724" i="1"/>
  <c r="C724" i="1"/>
  <c r="H724" i="1"/>
  <c r="F724" i="1"/>
  <c r="B724" i="1"/>
  <c r="D723" i="1"/>
  <c r="E723" i="1"/>
  <c r="G723" i="1"/>
  <c r="I723" i="1"/>
  <c r="J723" i="1"/>
  <c r="L723" i="1"/>
  <c r="N723" i="1"/>
  <c r="M723" i="1"/>
  <c r="C723" i="1"/>
  <c r="H723" i="1"/>
  <c r="F723" i="1"/>
  <c r="B723" i="1"/>
  <c r="D722" i="1"/>
  <c r="E722" i="1"/>
  <c r="G722" i="1"/>
  <c r="I722" i="1"/>
  <c r="J722" i="1"/>
  <c r="L722" i="1"/>
  <c r="N722" i="1"/>
  <c r="M722" i="1"/>
  <c r="C722" i="1"/>
  <c r="H722" i="1"/>
  <c r="F722" i="1"/>
  <c r="B722" i="1"/>
  <c r="D721" i="1"/>
  <c r="E721" i="1"/>
  <c r="G721" i="1"/>
  <c r="I721" i="1"/>
  <c r="J721" i="1"/>
  <c r="L721" i="1"/>
  <c r="N721" i="1"/>
  <c r="M721" i="1"/>
  <c r="C721" i="1"/>
  <c r="H721" i="1"/>
  <c r="F721" i="1"/>
  <c r="B721" i="1"/>
  <c r="D720" i="1"/>
  <c r="E720" i="1"/>
  <c r="G720" i="1"/>
  <c r="I720" i="1"/>
  <c r="J720" i="1"/>
  <c r="L720" i="1"/>
  <c r="N720" i="1"/>
  <c r="M720" i="1"/>
  <c r="C720" i="1"/>
  <c r="H720" i="1"/>
  <c r="F720" i="1"/>
  <c r="B720" i="1"/>
  <c r="D719" i="1"/>
  <c r="E719" i="1"/>
  <c r="G719" i="1"/>
  <c r="I719" i="1"/>
  <c r="J719" i="1"/>
  <c r="L719" i="1"/>
  <c r="N719" i="1"/>
  <c r="M719" i="1"/>
  <c r="C719" i="1"/>
  <c r="H719" i="1"/>
  <c r="F719" i="1"/>
  <c r="B719" i="1"/>
  <c r="D718" i="1"/>
  <c r="E718" i="1"/>
  <c r="G718" i="1"/>
  <c r="I718" i="1"/>
  <c r="J718" i="1"/>
  <c r="L718" i="1"/>
  <c r="N718" i="1"/>
  <c r="M718" i="1"/>
  <c r="C718" i="1"/>
  <c r="H718" i="1"/>
  <c r="F718" i="1"/>
  <c r="B718" i="1"/>
  <c r="D717" i="1"/>
  <c r="E717" i="1"/>
  <c r="G717" i="1"/>
  <c r="I717" i="1"/>
  <c r="J717" i="1"/>
  <c r="L717" i="1"/>
  <c r="N717" i="1"/>
  <c r="M717" i="1"/>
  <c r="C717" i="1"/>
  <c r="H717" i="1"/>
  <c r="F717" i="1"/>
  <c r="B717" i="1"/>
  <c r="D716" i="1"/>
  <c r="E716" i="1"/>
  <c r="G716" i="1"/>
  <c r="I716" i="1"/>
  <c r="J716" i="1"/>
  <c r="L716" i="1"/>
  <c r="N716" i="1"/>
  <c r="M716" i="1"/>
  <c r="C716" i="1"/>
  <c r="H716" i="1"/>
  <c r="F716" i="1"/>
  <c r="B716" i="1"/>
  <c r="D715" i="1"/>
  <c r="E715" i="1"/>
  <c r="G715" i="1"/>
  <c r="I715" i="1"/>
  <c r="J715" i="1"/>
  <c r="L715" i="1"/>
  <c r="N715" i="1"/>
  <c r="M715" i="1"/>
  <c r="C715" i="1"/>
  <c r="H715" i="1"/>
  <c r="F715" i="1"/>
  <c r="B715" i="1"/>
  <c r="D714" i="1"/>
  <c r="E714" i="1"/>
  <c r="G714" i="1"/>
  <c r="I714" i="1"/>
  <c r="J714" i="1"/>
  <c r="L714" i="1"/>
  <c r="N714" i="1"/>
  <c r="M714" i="1"/>
  <c r="C714" i="1"/>
  <c r="H714" i="1"/>
  <c r="F714" i="1"/>
  <c r="B714" i="1"/>
  <c r="D713" i="1"/>
  <c r="E713" i="1"/>
  <c r="G713" i="1"/>
  <c r="I713" i="1"/>
  <c r="J713" i="1"/>
  <c r="L713" i="1"/>
  <c r="N713" i="1"/>
  <c r="M713" i="1"/>
  <c r="C713" i="1"/>
  <c r="H713" i="1"/>
  <c r="F713" i="1"/>
  <c r="B713" i="1"/>
  <c r="D712" i="1"/>
  <c r="E712" i="1"/>
  <c r="G712" i="1"/>
  <c r="I712" i="1"/>
  <c r="J712" i="1"/>
  <c r="L712" i="1"/>
  <c r="N712" i="1"/>
  <c r="M712" i="1"/>
  <c r="C712" i="1"/>
  <c r="H712" i="1"/>
  <c r="F712" i="1"/>
  <c r="B712" i="1"/>
  <c r="D711" i="1"/>
  <c r="E711" i="1"/>
  <c r="G711" i="1"/>
  <c r="I711" i="1"/>
  <c r="J711" i="1"/>
  <c r="L711" i="1"/>
  <c r="N711" i="1"/>
  <c r="M711" i="1"/>
  <c r="C711" i="1"/>
  <c r="H711" i="1"/>
  <c r="F711" i="1"/>
  <c r="B711" i="1"/>
  <c r="D710" i="1"/>
  <c r="E710" i="1"/>
  <c r="G710" i="1"/>
  <c r="I710" i="1"/>
  <c r="J710" i="1"/>
  <c r="L710" i="1"/>
  <c r="N710" i="1"/>
  <c r="M710" i="1"/>
  <c r="C710" i="1"/>
  <c r="H710" i="1"/>
  <c r="F710" i="1"/>
  <c r="B710" i="1"/>
  <c r="D709" i="1"/>
  <c r="E709" i="1"/>
  <c r="G709" i="1"/>
  <c r="I709" i="1"/>
  <c r="J709" i="1"/>
  <c r="L709" i="1"/>
  <c r="N709" i="1"/>
  <c r="M709" i="1"/>
  <c r="C709" i="1"/>
  <c r="H709" i="1"/>
  <c r="F709" i="1"/>
  <c r="B709" i="1"/>
  <c r="D708" i="1"/>
  <c r="E708" i="1"/>
  <c r="G708" i="1"/>
  <c r="I708" i="1"/>
  <c r="J708" i="1"/>
  <c r="L708" i="1"/>
  <c r="N708" i="1"/>
  <c r="M708" i="1"/>
  <c r="C708" i="1"/>
  <c r="H708" i="1"/>
  <c r="F708" i="1"/>
  <c r="B708" i="1"/>
  <c r="D707" i="1"/>
  <c r="E707" i="1"/>
  <c r="G707" i="1"/>
  <c r="I707" i="1"/>
  <c r="J707" i="1"/>
  <c r="L707" i="1"/>
  <c r="N707" i="1"/>
  <c r="M707" i="1"/>
  <c r="C707" i="1"/>
  <c r="H707" i="1"/>
  <c r="F707" i="1"/>
  <c r="B707" i="1"/>
  <c r="D706" i="1"/>
  <c r="E706" i="1"/>
  <c r="G706" i="1"/>
  <c r="I706" i="1"/>
  <c r="J706" i="1"/>
  <c r="L706" i="1"/>
  <c r="N706" i="1"/>
  <c r="M706" i="1"/>
  <c r="C706" i="1"/>
  <c r="H706" i="1"/>
  <c r="F706" i="1"/>
  <c r="B706" i="1"/>
  <c r="D705" i="1"/>
  <c r="E705" i="1"/>
  <c r="G705" i="1"/>
  <c r="I705" i="1"/>
  <c r="J705" i="1"/>
  <c r="L705" i="1"/>
  <c r="N705" i="1"/>
  <c r="M705" i="1"/>
  <c r="C705" i="1"/>
  <c r="H705" i="1"/>
  <c r="F705" i="1"/>
  <c r="B705" i="1"/>
  <c r="D704" i="1"/>
  <c r="E704" i="1"/>
  <c r="G704" i="1"/>
  <c r="I704" i="1"/>
  <c r="J704" i="1"/>
  <c r="L704" i="1"/>
  <c r="N704" i="1"/>
  <c r="M704" i="1"/>
  <c r="C704" i="1"/>
  <c r="H704" i="1"/>
  <c r="F704" i="1"/>
  <c r="B704" i="1"/>
  <c r="D703" i="1"/>
  <c r="E703" i="1"/>
  <c r="G703" i="1"/>
  <c r="I703" i="1"/>
  <c r="J703" i="1"/>
  <c r="L703" i="1"/>
  <c r="N703" i="1"/>
  <c r="M703" i="1"/>
  <c r="C703" i="1"/>
  <c r="H703" i="1"/>
  <c r="F703" i="1"/>
  <c r="B703" i="1"/>
  <c r="D702" i="1"/>
  <c r="E702" i="1"/>
  <c r="G702" i="1"/>
  <c r="I702" i="1"/>
  <c r="J702" i="1"/>
  <c r="L702" i="1"/>
  <c r="N702" i="1"/>
  <c r="M702" i="1"/>
  <c r="C702" i="1"/>
  <c r="H702" i="1"/>
  <c r="F702" i="1"/>
  <c r="B702" i="1"/>
  <c r="D701" i="1"/>
  <c r="E701" i="1"/>
  <c r="G701" i="1"/>
  <c r="I701" i="1"/>
  <c r="J701" i="1"/>
  <c r="L701" i="1"/>
  <c r="N701" i="1"/>
  <c r="M701" i="1"/>
  <c r="C701" i="1"/>
  <c r="H701" i="1"/>
  <c r="F701" i="1"/>
  <c r="B701" i="1"/>
  <c r="D700" i="1"/>
  <c r="E700" i="1"/>
  <c r="G700" i="1"/>
  <c r="I700" i="1"/>
  <c r="J700" i="1"/>
  <c r="L700" i="1"/>
  <c r="N700" i="1"/>
  <c r="M700" i="1"/>
  <c r="C700" i="1"/>
  <c r="H700" i="1"/>
  <c r="F700" i="1"/>
  <c r="B700" i="1"/>
  <c r="D699" i="1"/>
  <c r="E699" i="1"/>
  <c r="G699" i="1"/>
  <c r="I699" i="1"/>
  <c r="J699" i="1"/>
  <c r="L699" i="1"/>
  <c r="N699" i="1"/>
  <c r="M699" i="1"/>
  <c r="C699" i="1"/>
  <c r="H699" i="1"/>
  <c r="F699" i="1"/>
  <c r="B699" i="1"/>
  <c r="D698" i="1"/>
  <c r="E698" i="1"/>
  <c r="G698" i="1"/>
  <c r="I698" i="1"/>
  <c r="J698" i="1"/>
  <c r="L698" i="1"/>
  <c r="N698" i="1"/>
  <c r="M698" i="1"/>
  <c r="C698" i="1"/>
  <c r="H698" i="1"/>
  <c r="F698" i="1"/>
  <c r="B698" i="1"/>
  <c r="D697" i="1"/>
  <c r="E697" i="1"/>
  <c r="G697" i="1"/>
  <c r="I697" i="1"/>
  <c r="J697" i="1"/>
  <c r="L697" i="1"/>
  <c r="N697" i="1"/>
  <c r="M697" i="1"/>
  <c r="C697" i="1"/>
  <c r="H697" i="1"/>
  <c r="F697" i="1"/>
  <c r="B697" i="1"/>
  <c r="D696" i="1"/>
  <c r="E696" i="1"/>
  <c r="G696" i="1"/>
  <c r="I696" i="1"/>
  <c r="J696" i="1"/>
  <c r="L696" i="1"/>
  <c r="N696" i="1"/>
  <c r="M696" i="1"/>
  <c r="C696" i="1"/>
  <c r="H696" i="1"/>
  <c r="F696" i="1"/>
  <c r="B696" i="1"/>
  <c r="D695" i="1"/>
  <c r="E695" i="1"/>
  <c r="G695" i="1"/>
  <c r="I695" i="1"/>
  <c r="J695" i="1"/>
  <c r="L695" i="1"/>
  <c r="N695" i="1"/>
  <c r="M695" i="1"/>
  <c r="C695" i="1"/>
  <c r="H695" i="1"/>
  <c r="F695" i="1"/>
  <c r="B695" i="1"/>
  <c r="D694" i="1"/>
  <c r="E694" i="1"/>
  <c r="G694" i="1"/>
  <c r="I694" i="1"/>
  <c r="J694" i="1"/>
  <c r="L694" i="1"/>
  <c r="N694" i="1"/>
  <c r="M694" i="1"/>
  <c r="C694" i="1"/>
  <c r="H694" i="1"/>
  <c r="F694" i="1"/>
  <c r="B694" i="1"/>
  <c r="D693" i="1"/>
  <c r="E693" i="1"/>
  <c r="G693" i="1"/>
  <c r="I693" i="1"/>
  <c r="J693" i="1"/>
  <c r="L693" i="1"/>
  <c r="N693" i="1"/>
  <c r="M693" i="1"/>
  <c r="C693" i="1"/>
  <c r="H693" i="1"/>
  <c r="F693" i="1"/>
  <c r="B693" i="1"/>
  <c r="D692" i="1"/>
  <c r="E692" i="1"/>
  <c r="G692" i="1"/>
  <c r="I692" i="1"/>
  <c r="J692" i="1"/>
  <c r="L692" i="1"/>
  <c r="N692" i="1"/>
  <c r="M692" i="1"/>
  <c r="C692" i="1"/>
  <c r="H692" i="1"/>
  <c r="F692" i="1"/>
  <c r="B692" i="1"/>
  <c r="D691" i="1"/>
  <c r="E691" i="1"/>
  <c r="G691" i="1"/>
  <c r="I691" i="1"/>
  <c r="J691" i="1"/>
  <c r="L691" i="1"/>
  <c r="N691" i="1"/>
  <c r="M691" i="1"/>
  <c r="C691" i="1"/>
  <c r="H691" i="1"/>
  <c r="F691" i="1"/>
  <c r="B691" i="1"/>
  <c r="D690" i="1"/>
  <c r="E690" i="1"/>
  <c r="G690" i="1"/>
  <c r="I690" i="1"/>
  <c r="J690" i="1"/>
  <c r="L690" i="1"/>
  <c r="N690" i="1"/>
  <c r="M690" i="1"/>
  <c r="C690" i="1"/>
  <c r="H690" i="1"/>
  <c r="F690" i="1"/>
  <c r="B690" i="1"/>
  <c r="D689" i="1"/>
  <c r="E689" i="1"/>
  <c r="G689" i="1"/>
  <c r="I689" i="1"/>
  <c r="J689" i="1"/>
  <c r="L689" i="1"/>
  <c r="N689" i="1"/>
  <c r="M689" i="1"/>
  <c r="C689" i="1"/>
  <c r="H689" i="1"/>
  <c r="F689" i="1"/>
  <c r="B689" i="1"/>
  <c r="D688" i="1"/>
  <c r="E688" i="1"/>
  <c r="G688" i="1"/>
  <c r="I688" i="1"/>
  <c r="J688" i="1"/>
  <c r="L688" i="1"/>
  <c r="N688" i="1"/>
  <c r="M688" i="1"/>
  <c r="C688" i="1"/>
  <c r="H688" i="1"/>
  <c r="F688" i="1"/>
  <c r="B688" i="1"/>
  <c r="D687" i="1"/>
  <c r="E687" i="1"/>
  <c r="G687" i="1"/>
  <c r="I687" i="1"/>
  <c r="J687" i="1"/>
  <c r="L687" i="1"/>
  <c r="N687" i="1"/>
  <c r="M687" i="1"/>
  <c r="C687" i="1"/>
  <c r="H687" i="1"/>
  <c r="F687" i="1"/>
  <c r="B687" i="1"/>
  <c r="D686" i="1"/>
  <c r="E686" i="1"/>
  <c r="G686" i="1"/>
  <c r="I686" i="1"/>
  <c r="J686" i="1"/>
  <c r="L686" i="1"/>
  <c r="N686" i="1"/>
  <c r="M686" i="1"/>
  <c r="C686" i="1"/>
  <c r="H686" i="1"/>
  <c r="F686" i="1"/>
  <c r="B686" i="1"/>
  <c r="D685" i="1"/>
  <c r="E685" i="1"/>
  <c r="G685" i="1"/>
  <c r="I685" i="1"/>
  <c r="J685" i="1"/>
  <c r="L685" i="1"/>
  <c r="N685" i="1"/>
  <c r="M685" i="1"/>
  <c r="C685" i="1"/>
  <c r="H685" i="1"/>
  <c r="F685" i="1"/>
  <c r="B685" i="1"/>
  <c r="D684" i="1"/>
  <c r="E684" i="1"/>
  <c r="G684" i="1"/>
  <c r="I684" i="1"/>
  <c r="J684" i="1"/>
  <c r="L684" i="1"/>
  <c r="N684" i="1"/>
  <c r="M684" i="1"/>
  <c r="C684" i="1"/>
  <c r="H684" i="1"/>
  <c r="F684" i="1"/>
  <c r="B684" i="1"/>
  <c r="D683" i="1"/>
  <c r="E683" i="1"/>
  <c r="G683" i="1"/>
  <c r="I683" i="1"/>
  <c r="J683" i="1"/>
  <c r="L683" i="1"/>
  <c r="N683" i="1"/>
  <c r="M683" i="1"/>
  <c r="C683" i="1"/>
  <c r="H683" i="1"/>
  <c r="F683" i="1"/>
  <c r="B683" i="1"/>
  <c r="D682" i="1"/>
  <c r="E682" i="1"/>
  <c r="G682" i="1"/>
  <c r="I682" i="1"/>
  <c r="J682" i="1"/>
  <c r="L682" i="1"/>
  <c r="N682" i="1"/>
  <c r="M682" i="1"/>
  <c r="C682" i="1"/>
  <c r="H682" i="1"/>
  <c r="F682" i="1"/>
  <c r="B682" i="1"/>
  <c r="D681" i="1"/>
  <c r="E681" i="1"/>
  <c r="G681" i="1"/>
  <c r="I681" i="1"/>
  <c r="J681" i="1"/>
  <c r="L681" i="1"/>
  <c r="N681" i="1"/>
  <c r="M681" i="1"/>
  <c r="C681" i="1"/>
  <c r="H681" i="1"/>
  <c r="F681" i="1"/>
  <c r="B681" i="1"/>
  <c r="D680" i="1"/>
  <c r="E680" i="1"/>
  <c r="G680" i="1"/>
  <c r="I680" i="1"/>
  <c r="J680" i="1"/>
  <c r="L680" i="1"/>
  <c r="N680" i="1"/>
  <c r="M680" i="1"/>
  <c r="C680" i="1"/>
  <c r="H680" i="1"/>
  <c r="F680" i="1"/>
  <c r="B680" i="1"/>
  <c r="D679" i="1"/>
  <c r="E679" i="1"/>
  <c r="G679" i="1"/>
  <c r="I679" i="1"/>
  <c r="J679" i="1"/>
  <c r="L679" i="1"/>
  <c r="N679" i="1"/>
  <c r="M679" i="1"/>
  <c r="C679" i="1"/>
  <c r="H679" i="1"/>
  <c r="F679" i="1"/>
  <c r="B679" i="1"/>
  <c r="D678" i="1"/>
  <c r="E678" i="1"/>
  <c r="G678" i="1"/>
  <c r="I678" i="1"/>
  <c r="J678" i="1"/>
  <c r="L678" i="1"/>
  <c r="N678" i="1"/>
  <c r="M678" i="1"/>
  <c r="C678" i="1"/>
  <c r="H678" i="1"/>
  <c r="F678" i="1"/>
  <c r="B678" i="1"/>
  <c r="D677" i="1"/>
  <c r="E677" i="1"/>
  <c r="G677" i="1"/>
  <c r="I677" i="1"/>
  <c r="J677" i="1"/>
  <c r="L677" i="1"/>
  <c r="N677" i="1"/>
  <c r="M677" i="1"/>
  <c r="C677" i="1"/>
  <c r="H677" i="1"/>
  <c r="F677" i="1"/>
  <c r="B677" i="1"/>
  <c r="D676" i="1"/>
  <c r="E676" i="1"/>
  <c r="G676" i="1"/>
  <c r="I676" i="1"/>
  <c r="J676" i="1"/>
  <c r="L676" i="1"/>
  <c r="N676" i="1"/>
  <c r="M676" i="1"/>
  <c r="C676" i="1"/>
  <c r="H676" i="1"/>
  <c r="F676" i="1"/>
  <c r="B676" i="1"/>
  <c r="D675" i="1"/>
  <c r="E675" i="1"/>
  <c r="G675" i="1"/>
  <c r="I675" i="1"/>
  <c r="J675" i="1"/>
  <c r="L675" i="1"/>
  <c r="N675" i="1"/>
  <c r="M675" i="1"/>
  <c r="C675" i="1"/>
  <c r="H675" i="1"/>
  <c r="F675" i="1"/>
  <c r="B675" i="1"/>
  <c r="D674" i="1"/>
  <c r="E674" i="1"/>
  <c r="G674" i="1"/>
  <c r="I674" i="1"/>
  <c r="J674" i="1"/>
  <c r="L674" i="1"/>
  <c r="N674" i="1"/>
  <c r="M674" i="1"/>
  <c r="C674" i="1"/>
  <c r="H674" i="1"/>
  <c r="F674" i="1"/>
  <c r="B674" i="1"/>
  <c r="D673" i="1"/>
  <c r="E673" i="1"/>
  <c r="G673" i="1"/>
  <c r="I673" i="1"/>
  <c r="J673" i="1"/>
  <c r="L673" i="1"/>
  <c r="N673" i="1"/>
  <c r="M673" i="1"/>
  <c r="C673" i="1"/>
  <c r="H673" i="1"/>
  <c r="F673" i="1"/>
  <c r="B673" i="1"/>
  <c r="D672" i="1"/>
  <c r="E672" i="1"/>
  <c r="G672" i="1"/>
  <c r="I672" i="1"/>
  <c r="J672" i="1"/>
  <c r="L672" i="1"/>
  <c r="N672" i="1"/>
  <c r="M672" i="1"/>
  <c r="C672" i="1"/>
  <c r="H672" i="1"/>
  <c r="F672" i="1"/>
  <c r="B672" i="1"/>
  <c r="D671" i="1"/>
  <c r="E671" i="1"/>
  <c r="G671" i="1"/>
  <c r="I671" i="1"/>
  <c r="J671" i="1"/>
  <c r="L671" i="1"/>
  <c r="N671" i="1"/>
  <c r="M671" i="1"/>
  <c r="C671" i="1"/>
  <c r="H671" i="1"/>
  <c r="F671" i="1"/>
  <c r="B671" i="1"/>
  <c r="D670" i="1"/>
  <c r="E670" i="1"/>
  <c r="G670" i="1"/>
  <c r="I670" i="1"/>
  <c r="J670" i="1"/>
  <c r="L670" i="1"/>
  <c r="N670" i="1"/>
  <c r="M670" i="1"/>
  <c r="C670" i="1"/>
  <c r="H670" i="1"/>
  <c r="F670" i="1"/>
  <c r="B670" i="1"/>
  <c r="D669" i="1"/>
  <c r="E669" i="1"/>
  <c r="G669" i="1"/>
  <c r="I669" i="1"/>
  <c r="J669" i="1"/>
  <c r="L669" i="1"/>
  <c r="N669" i="1"/>
  <c r="M669" i="1"/>
  <c r="C669" i="1"/>
  <c r="H669" i="1"/>
  <c r="F669" i="1"/>
  <c r="B669" i="1"/>
  <c r="D668" i="1"/>
  <c r="E668" i="1"/>
  <c r="G668" i="1"/>
  <c r="I668" i="1"/>
  <c r="J668" i="1"/>
  <c r="L668" i="1"/>
  <c r="N668" i="1"/>
  <c r="M668" i="1"/>
  <c r="C668" i="1"/>
  <c r="H668" i="1"/>
  <c r="F668" i="1"/>
  <c r="B668" i="1"/>
  <c r="D667" i="1"/>
  <c r="E667" i="1"/>
  <c r="G667" i="1"/>
  <c r="I667" i="1"/>
  <c r="J667" i="1"/>
  <c r="L667" i="1"/>
  <c r="N667" i="1"/>
  <c r="M667" i="1"/>
  <c r="C667" i="1"/>
  <c r="H667" i="1"/>
  <c r="F667" i="1"/>
  <c r="B667" i="1"/>
  <c r="D666" i="1"/>
  <c r="E666" i="1"/>
  <c r="G666" i="1"/>
  <c r="I666" i="1"/>
  <c r="J666" i="1"/>
  <c r="L666" i="1"/>
  <c r="N666" i="1"/>
  <c r="M666" i="1"/>
  <c r="C666" i="1"/>
  <c r="H666" i="1"/>
  <c r="F666" i="1"/>
  <c r="B666" i="1"/>
  <c r="D665" i="1"/>
  <c r="E665" i="1"/>
  <c r="G665" i="1"/>
  <c r="I665" i="1"/>
  <c r="J665" i="1"/>
  <c r="L665" i="1"/>
  <c r="N665" i="1"/>
  <c r="M665" i="1"/>
  <c r="C665" i="1"/>
  <c r="H665" i="1"/>
  <c r="F665" i="1"/>
  <c r="B665" i="1"/>
  <c r="D664" i="1"/>
  <c r="E664" i="1"/>
  <c r="G664" i="1"/>
  <c r="I664" i="1"/>
  <c r="J664" i="1"/>
  <c r="L664" i="1"/>
  <c r="N664" i="1"/>
  <c r="M664" i="1"/>
  <c r="C664" i="1"/>
  <c r="H664" i="1"/>
  <c r="F664" i="1"/>
  <c r="B664" i="1"/>
  <c r="D663" i="1"/>
  <c r="E663" i="1"/>
  <c r="G663" i="1"/>
  <c r="I663" i="1"/>
  <c r="J663" i="1"/>
  <c r="L663" i="1"/>
  <c r="N663" i="1"/>
  <c r="M663" i="1"/>
  <c r="C663" i="1"/>
  <c r="H663" i="1"/>
  <c r="F663" i="1"/>
  <c r="B663" i="1"/>
  <c r="D662" i="1"/>
  <c r="E662" i="1"/>
  <c r="G662" i="1"/>
  <c r="I662" i="1"/>
  <c r="J662" i="1"/>
  <c r="L662" i="1"/>
  <c r="N662" i="1"/>
  <c r="M662" i="1"/>
  <c r="C662" i="1"/>
  <c r="H662" i="1"/>
  <c r="F662" i="1"/>
  <c r="B662" i="1"/>
  <c r="D661" i="1"/>
  <c r="E661" i="1"/>
  <c r="G661" i="1"/>
  <c r="I661" i="1"/>
  <c r="J661" i="1"/>
  <c r="L661" i="1"/>
  <c r="N661" i="1"/>
  <c r="M661" i="1"/>
  <c r="C661" i="1"/>
  <c r="H661" i="1"/>
  <c r="F661" i="1"/>
  <c r="B661" i="1"/>
  <c r="D660" i="1"/>
  <c r="E660" i="1"/>
  <c r="G660" i="1"/>
  <c r="I660" i="1"/>
  <c r="J660" i="1"/>
  <c r="L660" i="1"/>
  <c r="N660" i="1"/>
  <c r="M660" i="1"/>
  <c r="C660" i="1"/>
  <c r="H660" i="1"/>
  <c r="F660" i="1"/>
  <c r="B660" i="1"/>
  <c r="D659" i="1"/>
  <c r="E659" i="1"/>
  <c r="G659" i="1"/>
  <c r="I659" i="1"/>
  <c r="J659" i="1"/>
  <c r="L659" i="1"/>
  <c r="N659" i="1"/>
  <c r="M659" i="1"/>
  <c r="C659" i="1"/>
  <c r="H659" i="1"/>
  <c r="F659" i="1"/>
  <c r="B659" i="1"/>
  <c r="D658" i="1"/>
  <c r="E658" i="1"/>
  <c r="G658" i="1"/>
  <c r="I658" i="1"/>
  <c r="J658" i="1"/>
  <c r="L658" i="1"/>
  <c r="N658" i="1"/>
  <c r="M658" i="1"/>
  <c r="C658" i="1"/>
  <c r="H658" i="1"/>
  <c r="F658" i="1"/>
  <c r="B658" i="1"/>
  <c r="D657" i="1"/>
  <c r="E657" i="1"/>
  <c r="G657" i="1"/>
  <c r="I657" i="1"/>
  <c r="J657" i="1"/>
  <c r="L657" i="1"/>
  <c r="N657" i="1"/>
  <c r="M657" i="1"/>
  <c r="C657" i="1"/>
  <c r="H657" i="1"/>
  <c r="F657" i="1"/>
  <c r="B657" i="1"/>
  <c r="D656" i="1"/>
  <c r="E656" i="1"/>
  <c r="G656" i="1"/>
  <c r="I656" i="1"/>
  <c r="J656" i="1"/>
  <c r="L656" i="1"/>
  <c r="N656" i="1"/>
  <c r="M656" i="1"/>
  <c r="C656" i="1"/>
  <c r="H656" i="1"/>
  <c r="F656" i="1"/>
  <c r="B656" i="1"/>
  <c r="D655" i="1"/>
  <c r="E655" i="1"/>
  <c r="G655" i="1"/>
  <c r="I655" i="1"/>
  <c r="J655" i="1"/>
  <c r="L655" i="1"/>
  <c r="N655" i="1"/>
  <c r="M655" i="1"/>
  <c r="C655" i="1"/>
  <c r="H655" i="1"/>
  <c r="F655" i="1"/>
  <c r="B655" i="1"/>
  <c r="D654" i="1"/>
  <c r="E654" i="1"/>
  <c r="G654" i="1"/>
  <c r="I654" i="1"/>
  <c r="J654" i="1"/>
  <c r="L654" i="1"/>
  <c r="N654" i="1"/>
  <c r="M654" i="1"/>
  <c r="C654" i="1"/>
  <c r="H654" i="1"/>
  <c r="F654" i="1"/>
  <c r="B654" i="1"/>
  <c r="D653" i="1"/>
  <c r="E653" i="1"/>
  <c r="G653" i="1"/>
  <c r="I653" i="1"/>
  <c r="J653" i="1"/>
  <c r="L653" i="1"/>
  <c r="N653" i="1"/>
  <c r="M653" i="1"/>
  <c r="C653" i="1"/>
  <c r="H653" i="1"/>
  <c r="F653" i="1"/>
  <c r="B653" i="1"/>
  <c r="D652" i="1"/>
  <c r="E652" i="1"/>
  <c r="G652" i="1"/>
  <c r="I652" i="1"/>
  <c r="J652" i="1"/>
  <c r="L652" i="1"/>
  <c r="N652" i="1"/>
  <c r="M652" i="1"/>
  <c r="C652" i="1"/>
  <c r="H652" i="1"/>
  <c r="F652" i="1"/>
  <c r="B652" i="1"/>
  <c r="D651" i="1"/>
  <c r="E651" i="1"/>
  <c r="G651" i="1"/>
  <c r="I651" i="1"/>
  <c r="J651" i="1"/>
  <c r="L651" i="1"/>
  <c r="N651" i="1"/>
  <c r="M651" i="1"/>
  <c r="C651" i="1"/>
  <c r="H651" i="1"/>
  <c r="F651" i="1"/>
  <c r="B651" i="1"/>
  <c r="D650" i="1"/>
  <c r="E650" i="1"/>
  <c r="G650" i="1"/>
  <c r="I650" i="1"/>
  <c r="J650" i="1"/>
  <c r="L650" i="1"/>
  <c r="N650" i="1"/>
  <c r="M650" i="1"/>
  <c r="C650" i="1"/>
  <c r="H650" i="1"/>
  <c r="F650" i="1"/>
  <c r="B650" i="1"/>
  <c r="D649" i="1"/>
  <c r="E649" i="1"/>
  <c r="G649" i="1"/>
  <c r="I649" i="1"/>
  <c r="J649" i="1"/>
  <c r="L649" i="1"/>
  <c r="N649" i="1"/>
  <c r="M649" i="1"/>
  <c r="C649" i="1"/>
  <c r="H649" i="1"/>
  <c r="F649" i="1"/>
  <c r="B649" i="1"/>
  <c r="D648" i="1"/>
  <c r="E648" i="1"/>
  <c r="G648" i="1"/>
  <c r="I648" i="1"/>
  <c r="J648" i="1"/>
  <c r="L648" i="1"/>
  <c r="N648" i="1"/>
  <c r="M648" i="1"/>
  <c r="C648" i="1"/>
  <c r="H648" i="1"/>
  <c r="F648" i="1"/>
  <c r="B648" i="1"/>
  <c r="D647" i="1"/>
  <c r="E647" i="1"/>
  <c r="G647" i="1"/>
  <c r="I647" i="1"/>
  <c r="J647" i="1"/>
  <c r="L647" i="1"/>
  <c r="N647" i="1"/>
  <c r="M647" i="1"/>
  <c r="C647" i="1"/>
  <c r="H647" i="1"/>
  <c r="F647" i="1"/>
  <c r="B647" i="1"/>
  <c r="D646" i="1"/>
  <c r="E646" i="1"/>
  <c r="G646" i="1"/>
  <c r="I646" i="1"/>
  <c r="J646" i="1"/>
  <c r="L646" i="1"/>
  <c r="N646" i="1"/>
  <c r="M646" i="1"/>
  <c r="C646" i="1"/>
  <c r="H646" i="1"/>
  <c r="F646" i="1"/>
  <c r="B646" i="1"/>
  <c r="D645" i="1"/>
  <c r="E645" i="1"/>
  <c r="G645" i="1"/>
  <c r="I645" i="1"/>
  <c r="J645" i="1"/>
  <c r="L645" i="1"/>
  <c r="N645" i="1"/>
  <c r="M645" i="1"/>
  <c r="C645" i="1"/>
  <c r="H645" i="1"/>
  <c r="F645" i="1"/>
  <c r="B645" i="1"/>
  <c r="D644" i="1"/>
  <c r="E644" i="1"/>
  <c r="G644" i="1"/>
  <c r="I644" i="1"/>
  <c r="J644" i="1"/>
  <c r="L644" i="1"/>
  <c r="N644" i="1"/>
  <c r="M644" i="1"/>
  <c r="C644" i="1"/>
  <c r="H644" i="1"/>
  <c r="F644" i="1"/>
  <c r="B644" i="1"/>
  <c r="D643" i="1"/>
  <c r="E643" i="1"/>
  <c r="G643" i="1"/>
  <c r="I643" i="1"/>
  <c r="J643" i="1"/>
  <c r="L643" i="1"/>
  <c r="N643" i="1"/>
  <c r="M643" i="1"/>
  <c r="C643" i="1"/>
  <c r="H643" i="1"/>
  <c r="F643" i="1"/>
  <c r="B643" i="1"/>
  <c r="D642" i="1"/>
  <c r="E642" i="1"/>
  <c r="G642" i="1"/>
  <c r="I642" i="1"/>
  <c r="J642" i="1"/>
  <c r="L642" i="1"/>
  <c r="N642" i="1"/>
  <c r="M642" i="1"/>
  <c r="C642" i="1"/>
  <c r="H642" i="1"/>
  <c r="F642" i="1"/>
  <c r="B642" i="1"/>
  <c r="D641" i="1"/>
  <c r="E641" i="1"/>
  <c r="G641" i="1"/>
  <c r="I641" i="1"/>
  <c r="J641" i="1"/>
  <c r="L641" i="1"/>
  <c r="N641" i="1"/>
  <c r="M641" i="1"/>
  <c r="C641" i="1"/>
  <c r="H641" i="1"/>
  <c r="F641" i="1"/>
  <c r="B641" i="1"/>
  <c r="D640" i="1"/>
  <c r="E640" i="1"/>
  <c r="G640" i="1"/>
  <c r="I640" i="1"/>
  <c r="J640" i="1"/>
  <c r="L640" i="1"/>
  <c r="N640" i="1"/>
  <c r="M640" i="1"/>
  <c r="C640" i="1"/>
  <c r="H640" i="1"/>
  <c r="F640" i="1"/>
  <c r="B640" i="1"/>
  <c r="D639" i="1"/>
  <c r="E639" i="1"/>
  <c r="G639" i="1"/>
  <c r="I639" i="1"/>
  <c r="J639" i="1"/>
  <c r="L639" i="1"/>
  <c r="N639" i="1"/>
  <c r="M639" i="1"/>
  <c r="C639" i="1"/>
  <c r="H639" i="1"/>
  <c r="F639" i="1"/>
  <c r="B639" i="1"/>
  <c r="D638" i="1"/>
  <c r="E638" i="1"/>
  <c r="G638" i="1"/>
  <c r="I638" i="1"/>
  <c r="J638" i="1"/>
  <c r="L638" i="1"/>
  <c r="N638" i="1"/>
  <c r="M638" i="1"/>
  <c r="C638" i="1"/>
  <c r="H638" i="1"/>
  <c r="F638" i="1"/>
  <c r="B638" i="1"/>
  <c r="D637" i="1"/>
  <c r="E637" i="1"/>
  <c r="G637" i="1"/>
  <c r="I637" i="1"/>
  <c r="J637" i="1"/>
  <c r="L637" i="1"/>
  <c r="N637" i="1"/>
  <c r="M637" i="1"/>
  <c r="C637" i="1"/>
  <c r="H637" i="1"/>
  <c r="F637" i="1"/>
  <c r="B637" i="1"/>
  <c r="D636" i="1"/>
  <c r="E636" i="1"/>
  <c r="G636" i="1"/>
  <c r="I636" i="1"/>
  <c r="J636" i="1"/>
  <c r="L636" i="1"/>
  <c r="N636" i="1"/>
  <c r="M636" i="1"/>
  <c r="C636" i="1"/>
  <c r="H636" i="1"/>
  <c r="F636" i="1"/>
  <c r="B636" i="1"/>
  <c r="D635" i="1"/>
  <c r="E635" i="1"/>
  <c r="G635" i="1"/>
  <c r="I635" i="1"/>
  <c r="J635" i="1"/>
  <c r="L635" i="1"/>
  <c r="N635" i="1"/>
  <c r="M635" i="1"/>
  <c r="C635" i="1"/>
  <c r="H635" i="1"/>
  <c r="F635" i="1"/>
  <c r="B635" i="1"/>
  <c r="D634" i="1"/>
  <c r="E634" i="1"/>
  <c r="G634" i="1"/>
  <c r="I634" i="1"/>
  <c r="J634" i="1"/>
  <c r="L634" i="1"/>
  <c r="N634" i="1"/>
  <c r="M634" i="1"/>
  <c r="C634" i="1"/>
  <c r="H634" i="1"/>
  <c r="F634" i="1"/>
  <c r="B634" i="1"/>
  <c r="D633" i="1"/>
  <c r="E633" i="1"/>
  <c r="G633" i="1"/>
  <c r="I633" i="1"/>
  <c r="J633" i="1"/>
  <c r="L633" i="1"/>
  <c r="N633" i="1"/>
  <c r="M633" i="1"/>
  <c r="C633" i="1"/>
  <c r="H633" i="1"/>
  <c r="F633" i="1"/>
  <c r="B633" i="1"/>
  <c r="D632" i="1"/>
  <c r="E632" i="1"/>
  <c r="G632" i="1"/>
  <c r="I632" i="1"/>
  <c r="J632" i="1"/>
  <c r="L632" i="1"/>
  <c r="N632" i="1"/>
  <c r="M632" i="1"/>
  <c r="C632" i="1"/>
  <c r="H632" i="1"/>
  <c r="F632" i="1"/>
  <c r="B632" i="1"/>
  <c r="D631" i="1"/>
  <c r="E631" i="1"/>
  <c r="G631" i="1"/>
  <c r="I631" i="1"/>
  <c r="J631" i="1"/>
  <c r="L631" i="1"/>
  <c r="N631" i="1"/>
  <c r="M631" i="1"/>
  <c r="C631" i="1"/>
  <c r="H631" i="1"/>
  <c r="F631" i="1"/>
  <c r="B631" i="1"/>
  <c r="D630" i="1"/>
  <c r="E630" i="1"/>
  <c r="G630" i="1"/>
  <c r="I630" i="1"/>
  <c r="J630" i="1"/>
  <c r="L630" i="1"/>
  <c r="N630" i="1"/>
  <c r="M630" i="1"/>
  <c r="C630" i="1"/>
  <c r="H630" i="1"/>
  <c r="F630" i="1"/>
  <c r="B630" i="1"/>
  <c r="D629" i="1"/>
  <c r="E629" i="1"/>
  <c r="G629" i="1"/>
  <c r="I629" i="1"/>
  <c r="J629" i="1"/>
  <c r="L629" i="1"/>
  <c r="N629" i="1"/>
  <c r="M629" i="1"/>
  <c r="C629" i="1"/>
  <c r="H629" i="1"/>
  <c r="F629" i="1"/>
  <c r="B629" i="1"/>
  <c r="D628" i="1"/>
  <c r="E628" i="1"/>
  <c r="G628" i="1"/>
  <c r="I628" i="1"/>
  <c r="J628" i="1"/>
  <c r="L628" i="1"/>
  <c r="N628" i="1"/>
  <c r="M628" i="1"/>
  <c r="C628" i="1"/>
  <c r="H628" i="1"/>
  <c r="F628" i="1"/>
  <c r="B628" i="1"/>
  <c r="D627" i="1"/>
  <c r="E627" i="1"/>
  <c r="G627" i="1"/>
  <c r="I627" i="1"/>
  <c r="J627" i="1"/>
  <c r="L627" i="1"/>
  <c r="N627" i="1"/>
  <c r="M627" i="1"/>
  <c r="C627" i="1"/>
  <c r="H627" i="1"/>
  <c r="F627" i="1"/>
  <c r="B627" i="1"/>
  <c r="D626" i="1"/>
  <c r="E626" i="1"/>
  <c r="G626" i="1"/>
  <c r="I626" i="1"/>
  <c r="J626" i="1"/>
  <c r="L626" i="1"/>
  <c r="N626" i="1"/>
  <c r="M626" i="1"/>
  <c r="C626" i="1"/>
  <c r="H626" i="1"/>
  <c r="F626" i="1"/>
  <c r="B626" i="1"/>
  <c r="D625" i="1"/>
  <c r="E625" i="1"/>
  <c r="G625" i="1"/>
  <c r="I625" i="1"/>
  <c r="J625" i="1"/>
  <c r="L625" i="1"/>
  <c r="N625" i="1"/>
  <c r="M625" i="1"/>
  <c r="C625" i="1"/>
  <c r="H625" i="1"/>
  <c r="F625" i="1"/>
  <c r="B625" i="1"/>
  <c r="D624" i="1"/>
  <c r="E624" i="1"/>
  <c r="G624" i="1"/>
  <c r="I624" i="1"/>
  <c r="J624" i="1"/>
  <c r="L624" i="1"/>
  <c r="N624" i="1"/>
  <c r="M624" i="1"/>
  <c r="C624" i="1"/>
  <c r="H624" i="1"/>
  <c r="F624" i="1"/>
  <c r="B624" i="1"/>
  <c r="D623" i="1"/>
  <c r="E623" i="1"/>
  <c r="G623" i="1"/>
  <c r="I623" i="1"/>
  <c r="J623" i="1"/>
  <c r="L623" i="1"/>
  <c r="N623" i="1"/>
  <c r="M623" i="1"/>
  <c r="C623" i="1"/>
  <c r="H623" i="1"/>
  <c r="F623" i="1"/>
  <c r="B623" i="1"/>
  <c r="D622" i="1"/>
  <c r="E622" i="1"/>
  <c r="G622" i="1"/>
  <c r="I622" i="1"/>
  <c r="J622" i="1"/>
  <c r="L622" i="1"/>
  <c r="N622" i="1"/>
  <c r="M622" i="1"/>
  <c r="C622" i="1"/>
  <c r="H622" i="1"/>
  <c r="F622" i="1"/>
  <c r="B622" i="1"/>
  <c r="D621" i="1"/>
  <c r="E621" i="1"/>
  <c r="G621" i="1"/>
  <c r="I621" i="1"/>
  <c r="J621" i="1"/>
  <c r="L621" i="1"/>
  <c r="N621" i="1"/>
  <c r="M621" i="1"/>
  <c r="C621" i="1"/>
  <c r="H621" i="1"/>
  <c r="F621" i="1"/>
  <c r="B621" i="1"/>
  <c r="D620" i="1"/>
  <c r="E620" i="1"/>
  <c r="G620" i="1"/>
  <c r="I620" i="1"/>
  <c r="J620" i="1"/>
  <c r="L620" i="1"/>
  <c r="N620" i="1"/>
  <c r="M620" i="1"/>
  <c r="C620" i="1"/>
  <c r="H620" i="1"/>
  <c r="F620" i="1"/>
  <c r="B620" i="1"/>
  <c r="D619" i="1"/>
  <c r="E619" i="1"/>
  <c r="G619" i="1"/>
  <c r="I619" i="1"/>
  <c r="J619" i="1"/>
  <c r="L619" i="1"/>
  <c r="N619" i="1"/>
  <c r="M619" i="1"/>
  <c r="C619" i="1"/>
  <c r="H619" i="1"/>
  <c r="F619" i="1"/>
  <c r="B619" i="1"/>
  <c r="D618" i="1"/>
  <c r="E618" i="1"/>
  <c r="G618" i="1"/>
  <c r="I618" i="1"/>
  <c r="J618" i="1"/>
  <c r="L618" i="1"/>
  <c r="N618" i="1"/>
  <c r="M618" i="1"/>
  <c r="C618" i="1"/>
  <c r="H618" i="1"/>
  <c r="F618" i="1"/>
  <c r="B618" i="1"/>
  <c r="D617" i="1"/>
  <c r="E617" i="1"/>
  <c r="G617" i="1"/>
  <c r="I617" i="1"/>
  <c r="J617" i="1"/>
  <c r="L617" i="1"/>
  <c r="N617" i="1"/>
  <c r="M617" i="1"/>
  <c r="C617" i="1"/>
  <c r="H617" i="1"/>
  <c r="F617" i="1"/>
  <c r="B617" i="1"/>
  <c r="D616" i="1"/>
  <c r="E616" i="1"/>
  <c r="G616" i="1"/>
  <c r="I616" i="1"/>
  <c r="J616" i="1"/>
  <c r="L616" i="1"/>
  <c r="N616" i="1"/>
  <c r="M616" i="1"/>
  <c r="C616" i="1"/>
  <c r="H616" i="1"/>
  <c r="F616" i="1"/>
  <c r="B616" i="1"/>
  <c r="D615" i="1"/>
  <c r="E615" i="1"/>
  <c r="G615" i="1"/>
  <c r="I615" i="1"/>
  <c r="J615" i="1"/>
  <c r="L615" i="1"/>
  <c r="N615" i="1"/>
  <c r="M615" i="1"/>
  <c r="C615" i="1"/>
  <c r="H615" i="1"/>
  <c r="F615" i="1"/>
  <c r="B615" i="1"/>
  <c r="D614" i="1"/>
  <c r="E614" i="1"/>
  <c r="G614" i="1"/>
  <c r="I614" i="1"/>
  <c r="J614" i="1"/>
  <c r="L614" i="1"/>
  <c r="N614" i="1"/>
  <c r="M614" i="1"/>
  <c r="C614" i="1"/>
  <c r="H614" i="1"/>
  <c r="F614" i="1"/>
  <c r="B614" i="1"/>
  <c r="D613" i="1"/>
  <c r="E613" i="1"/>
  <c r="G613" i="1"/>
  <c r="I613" i="1"/>
  <c r="J613" i="1"/>
  <c r="L613" i="1"/>
  <c r="N613" i="1"/>
  <c r="M613" i="1"/>
  <c r="C613" i="1"/>
  <c r="H613" i="1"/>
  <c r="F613" i="1"/>
  <c r="B613" i="1"/>
  <c r="D612" i="1"/>
  <c r="E612" i="1"/>
  <c r="G612" i="1"/>
  <c r="I612" i="1"/>
  <c r="J612" i="1"/>
  <c r="L612" i="1"/>
  <c r="N612" i="1"/>
  <c r="M612" i="1"/>
  <c r="C612" i="1"/>
  <c r="H612" i="1"/>
  <c r="F612" i="1"/>
  <c r="B612" i="1"/>
  <c r="D611" i="1"/>
  <c r="E611" i="1"/>
  <c r="G611" i="1"/>
  <c r="I611" i="1"/>
  <c r="J611" i="1"/>
  <c r="L611" i="1"/>
  <c r="N611" i="1"/>
  <c r="M611" i="1"/>
  <c r="C611" i="1"/>
  <c r="H611" i="1"/>
  <c r="F611" i="1"/>
  <c r="B611" i="1"/>
  <c r="D610" i="1"/>
  <c r="E610" i="1"/>
  <c r="G610" i="1"/>
  <c r="I610" i="1"/>
  <c r="J610" i="1"/>
  <c r="L610" i="1"/>
  <c r="N610" i="1"/>
  <c r="M610" i="1"/>
  <c r="C610" i="1"/>
  <c r="H610" i="1"/>
  <c r="F610" i="1"/>
  <c r="B610" i="1"/>
  <c r="D609" i="1"/>
  <c r="E609" i="1"/>
  <c r="G609" i="1"/>
  <c r="I609" i="1"/>
  <c r="J609" i="1"/>
  <c r="L609" i="1"/>
  <c r="N609" i="1"/>
  <c r="M609" i="1"/>
  <c r="C609" i="1"/>
  <c r="H609" i="1"/>
  <c r="F609" i="1"/>
  <c r="B609" i="1"/>
  <c r="D608" i="1"/>
  <c r="E608" i="1"/>
  <c r="G608" i="1"/>
  <c r="I608" i="1"/>
  <c r="J608" i="1"/>
  <c r="L608" i="1"/>
  <c r="N608" i="1"/>
  <c r="M608" i="1"/>
  <c r="C608" i="1"/>
  <c r="H608" i="1"/>
  <c r="F608" i="1"/>
  <c r="B608" i="1"/>
  <c r="D607" i="1"/>
  <c r="E607" i="1"/>
  <c r="G607" i="1"/>
  <c r="I607" i="1"/>
  <c r="J607" i="1"/>
  <c r="L607" i="1"/>
  <c r="N607" i="1"/>
  <c r="M607" i="1"/>
  <c r="C607" i="1"/>
  <c r="H607" i="1"/>
  <c r="F607" i="1"/>
  <c r="B607" i="1"/>
  <c r="D606" i="1"/>
  <c r="E606" i="1"/>
  <c r="G606" i="1"/>
  <c r="I606" i="1"/>
  <c r="J606" i="1"/>
  <c r="L606" i="1"/>
  <c r="N606" i="1"/>
  <c r="M606" i="1"/>
  <c r="C606" i="1"/>
  <c r="H606" i="1"/>
  <c r="F606" i="1"/>
  <c r="B606" i="1"/>
  <c r="D605" i="1"/>
  <c r="E605" i="1"/>
  <c r="G605" i="1"/>
  <c r="I605" i="1"/>
  <c r="J605" i="1"/>
  <c r="L605" i="1"/>
  <c r="N605" i="1"/>
  <c r="M605" i="1"/>
  <c r="C605" i="1"/>
  <c r="H605" i="1"/>
  <c r="F605" i="1"/>
  <c r="B605" i="1"/>
  <c r="D604" i="1"/>
  <c r="E604" i="1"/>
  <c r="G604" i="1"/>
  <c r="I604" i="1"/>
  <c r="J604" i="1"/>
  <c r="L604" i="1"/>
  <c r="N604" i="1"/>
  <c r="M604" i="1"/>
  <c r="C604" i="1"/>
  <c r="H604" i="1"/>
  <c r="F604" i="1"/>
  <c r="B604" i="1"/>
  <c r="D603" i="1"/>
  <c r="E603" i="1"/>
  <c r="G603" i="1"/>
  <c r="I603" i="1"/>
  <c r="J603" i="1"/>
  <c r="L603" i="1"/>
  <c r="N603" i="1"/>
  <c r="M603" i="1"/>
  <c r="C603" i="1"/>
  <c r="H603" i="1"/>
  <c r="F603" i="1"/>
  <c r="B603" i="1"/>
  <c r="D602" i="1"/>
  <c r="E602" i="1"/>
  <c r="G602" i="1"/>
  <c r="I602" i="1"/>
  <c r="J602" i="1"/>
  <c r="L602" i="1"/>
  <c r="N602" i="1"/>
  <c r="M602" i="1"/>
  <c r="C602" i="1"/>
  <c r="H602" i="1"/>
  <c r="F602" i="1"/>
  <c r="B602" i="1"/>
  <c r="D601" i="1"/>
  <c r="E601" i="1"/>
  <c r="G601" i="1"/>
  <c r="I601" i="1"/>
  <c r="J601" i="1"/>
  <c r="L601" i="1"/>
  <c r="N601" i="1"/>
  <c r="M601" i="1"/>
  <c r="C601" i="1"/>
  <c r="H601" i="1"/>
  <c r="F601" i="1"/>
  <c r="B601" i="1"/>
  <c r="D600" i="1"/>
  <c r="E600" i="1"/>
  <c r="G600" i="1"/>
  <c r="I600" i="1"/>
  <c r="J600" i="1"/>
  <c r="L600" i="1"/>
  <c r="N600" i="1"/>
  <c r="M600" i="1"/>
  <c r="C600" i="1"/>
  <c r="H600" i="1"/>
  <c r="F600" i="1"/>
  <c r="B600" i="1"/>
  <c r="D599" i="1"/>
  <c r="E599" i="1"/>
  <c r="G599" i="1"/>
  <c r="I599" i="1"/>
  <c r="J599" i="1"/>
  <c r="L599" i="1"/>
  <c r="N599" i="1"/>
  <c r="M599" i="1"/>
  <c r="C599" i="1"/>
  <c r="H599" i="1"/>
  <c r="F599" i="1"/>
  <c r="B599" i="1"/>
  <c r="D598" i="1"/>
  <c r="E598" i="1"/>
  <c r="G598" i="1"/>
  <c r="I598" i="1"/>
  <c r="J598" i="1"/>
  <c r="L598" i="1"/>
  <c r="N598" i="1"/>
  <c r="M598" i="1"/>
  <c r="C598" i="1"/>
  <c r="H598" i="1"/>
  <c r="F598" i="1"/>
  <c r="B598" i="1"/>
  <c r="D597" i="1"/>
  <c r="E597" i="1"/>
  <c r="G597" i="1"/>
  <c r="I597" i="1"/>
  <c r="J597" i="1"/>
  <c r="L597" i="1"/>
  <c r="N597" i="1"/>
  <c r="M597" i="1"/>
  <c r="C597" i="1"/>
  <c r="H597" i="1"/>
  <c r="F597" i="1"/>
  <c r="B597" i="1"/>
  <c r="D596" i="1"/>
  <c r="E596" i="1"/>
  <c r="G596" i="1"/>
  <c r="I596" i="1"/>
  <c r="J596" i="1"/>
  <c r="L596" i="1"/>
  <c r="N596" i="1"/>
  <c r="M596" i="1"/>
  <c r="C596" i="1"/>
  <c r="H596" i="1"/>
  <c r="F596" i="1"/>
  <c r="B596" i="1"/>
  <c r="D595" i="1"/>
  <c r="E595" i="1"/>
  <c r="G595" i="1"/>
  <c r="I595" i="1"/>
  <c r="J595" i="1"/>
  <c r="L595" i="1"/>
  <c r="N595" i="1"/>
  <c r="M595" i="1"/>
  <c r="C595" i="1"/>
  <c r="H595" i="1"/>
  <c r="F595" i="1"/>
  <c r="B595" i="1"/>
  <c r="D594" i="1"/>
  <c r="E594" i="1"/>
  <c r="G594" i="1"/>
  <c r="I594" i="1"/>
  <c r="J594" i="1"/>
  <c r="L594" i="1"/>
  <c r="N594" i="1"/>
  <c r="M594" i="1"/>
  <c r="C594" i="1"/>
  <c r="H594" i="1"/>
  <c r="F594" i="1"/>
  <c r="B594" i="1"/>
  <c r="D593" i="1"/>
  <c r="E593" i="1"/>
  <c r="G593" i="1"/>
  <c r="I593" i="1"/>
  <c r="J593" i="1"/>
  <c r="L593" i="1"/>
  <c r="N593" i="1"/>
  <c r="M593" i="1"/>
  <c r="C593" i="1"/>
  <c r="H593" i="1"/>
  <c r="F593" i="1"/>
  <c r="B593" i="1"/>
  <c r="D592" i="1"/>
  <c r="E592" i="1"/>
  <c r="G592" i="1"/>
  <c r="I592" i="1"/>
  <c r="J592" i="1"/>
  <c r="L592" i="1"/>
  <c r="N592" i="1"/>
  <c r="M592" i="1"/>
  <c r="C592" i="1"/>
  <c r="H592" i="1"/>
  <c r="F592" i="1"/>
  <c r="B592" i="1"/>
  <c r="D591" i="1"/>
  <c r="E591" i="1"/>
  <c r="G591" i="1"/>
  <c r="I591" i="1"/>
  <c r="J591" i="1"/>
  <c r="L591" i="1"/>
  <c r="N591" i="1"/>
  <c r="M591" i="1"/>
  <c r="C591" i="1"/>
  <c r="H591" i="1"/>
  <c r="F591" i="1"/>
  <c r="B591" i="1"/>
  <c r="D590" i="1"/>
  <c r="E590" i="1"/>
  <c r="G590" i="1"/>
  <c r="I590" i="1"/>
  <c r="J590" i="1"/>
  <c r="L590" i="1"/>
  <c r="N590" i="1"/>
  <c r="M590" i="1"/>
  <c r="C590" i="1"/>
  <c r="H590" i="1"/>
  <c r="F590" i="1"/>
  <c r="B590" i="1"/>
  <c r="D589" i="1"/>
  <c r="E589" i="1"/>
  <c r="G589" i="1"/>
  <c r="I589" i="1"/>
  <c r="J589" i="1"/>
  <c r="L589" i="1"/>
  <c r="N589" i="1"/>
  <c r="M589" i="1"/>
  <c r="C589" i="1"/>
  <c r="H589" i="1"/>
  <c r="F589" i="1"/>
  <c r="B589" i="1"/>
  <c r="D588" i="1"/>
  <c r="E588" i="1"/>
  <c r="G588" i="1"/>
  <c r="I588" i="1"/>
  <c r="J588" i="1"/>
  <c r="L588" i="1"/>
  <c r="N588" i="1"/>
  <c r="M588" i="1"/>
  <c r="C588" i="1"/>
  <c r="H588" i="1"/>
  <c r="F588" i="1"/>
  <c r="B588" i="1"/>
  <c r="D587" i="1"/>
  <c r="E587" i="1"/>
  <c r="G587" i="1"/>
  <c r="I587" i="1"/>
  <c r="J587" i="1"/>
  <c r="L587" i="1"/>
  <c r="N587" i="1"/>
  <c r="M587" i="1"/>
  <c r="C587" i="1"/>
  <c r="H587" i="1"/>
  <c r="F587" i="1"/>
  <c r="B587" i="1"/>
  <c r="D586" i="1"/>
  <c r="E586" i="1"/>
  <c r="G586" i="1"/>
  <c r="I586" i="1"/>
  <c r="J586" i="1"/>
  <c r="L586" i="1"/>
  <c r="N586" i="1"/>
  <c r="M586" i="1"/>
  <c r="C586" i="1"/>
  <c r="H586" i="1"/>
  <c r="F586" i="1"/>
  <c r="B586" i="1"/>
  <c r="D585" i="1"/>
  <c r="E585" i="1"/>
  <c r="G585" i="1"/>
  <c r="I585" i="1"/>
  <c r="J585" i="1"/>
  <c r="L585" i="1"/>
  <c r="N585" i="1"/>
  <c r="M585" i="1"/>
  <c r="C585" i="1"/>
  <c r="H585" i="1"/>
  <c r="F585" i="1"/>
  <c r="B585" i="1"/>
  <c r="D584" i="1"/>
  <c r="E584" i="1"/>
  <c r="G584" i="1"/>
  <c r="I584" i="1"/>
  <c r="J584" i="1"/>
  <c r="L584" i="1"/>
  <c r="N584" i="1"/>
  <c r="M584" i="1"/>
  <c r="C584" i="1"/>
  <c r="H584" i="1"/>
  <c r="F584" i="1"/>
  <c r="B584" i="1"/>
  <c r="D583" i="1"/>
  <c r="E583" i="1"/>
  <c r="G583" i="1"/>
  <c r="I583" i="1"/>
  <c r="J583" i="1"/>
  <c r="L583" i="1"/>
  <c r="N583" i="1"/>
  <c r="M583" i="1"/>
  <c r="C583" i="1"/>
  <c r="H583" i="1"/>
  <c r="F583" i="1"/>
  <c r="B583" i="1"/>
  <c r="D582" i="1"/>
  <c r="E582" i="1"/>
  <c r="G582" i="1"/>
  <c r="I582" i="1"/>
  <c r="J582" i="1"/>
  <c r="L582" i="1"/>
  <c r="N582" i="1"/>
  <c r="M582" i="1"/>
  <c r="C582" i="1"/>
  <c r="H582" i="1"/>
  <c r="F582" i="1"/>
  <c r="B582" i="1"/>
  <c r="D581" i="1"/>
  <c r="E581" i="1"/>
  <c r="G581" i="1"/>
  <c r="I581" i="1"/>
  <c r="J581" i="1"/>
  <c r="L581" i="1"/>
  <c r="N581" i="1"/>
  <c r="M581" i="1"/>
  <c r="C581" i="1"/>
  <c r="H581" i="1"/>
  <c r="F581" i="1"/>
  <c r="B581" i="1"/>
  <c r="D580" i="1"/>
  <c r="E580" i="1"/>
  <c r="G580" i="1"/>
  <c r="I580" i="1"/>
  <c r="J580" i="1"/>
  <c r="L580" i="1"/>
  <c r="N580" i="1"/>
  <c r="M580" i="1"/>
  <c r="C580" i="1"/>
  <c r="H580" i="1"/>
  <c r="F580" i="1"/>
  <c r="B580" i="1"/>
  <c r="D579" i="1"/>
  <c r="E579" i="1"/>
  <c r="G579" i="1"/>
  <c r="I579" i="1"/>
  <c r="J579" i="1"/>
  <c r="L579" i="1"/>
  <c r="N579" i="1"/>
  <c r="M579" i="1"/>
  <c r="C579" i="1"/>
  <c r="H579" i="1"/>
  <c r="F579" i="1"/>
  <c r="B579" i="1"/>
  <c r="D578" i="1"/>
  <c r="E578" i="1"/>
  <c r="G578" i="1"/>
  <c r="I578" i="1"/>
  <c r="J578" i="1"/>
  <c r="L578" i="1"/>
  <c r="N578" i="1"/>
  <c r="M578" i="1"/>
  <c r="C578" i="1"/>
  <c r="H578" i="1"/>
  <c r="F578" i="1"/>
  <c r="B578" i="1"/>
  <c r="D577" i="1"/>
  <c r="E577" i="1"/>
  <c r="G577" i="1"/>
  <c r="I577" i="1"/>
  <c r="J577" i="1"/>
  <c r="L577" i="1"/>
  <c r="N577" i="1"/>
  <c r="M577" i="1"/>
  <c r="C577" i="1"/>
  <c r="H577" i="1"/>
  <c r="F577" i="1"/>
  <c r="B577" i="1"/>
  <c r="D576" i="1"/>
  <c r="E576" i="1"/>
  <c r="G576" i="1"/>
  <c r="I576" i="1"/>
  <c r="J576" i="1"/>
  <c r="L576" i="1"/>
  <c r="N576" i="1"/>
  <c r="M576" i="1"/>
  <c r="C576" i="1"/>
  <c r="H576" i="1"/>
  <c r="F576" i="1"/>
  <c r="B576" i="1"/>
  <c r="D575" i="1"/>
  <c r="E575" i="1"/>
  <c r="G575" i="1"/>
  <c r="I575" i="1"/>
  <c r="J575" i="1"/>
  <c r="L575" i="1"/>
  <c r="N575" i="1"/>
  <c r="M575" i="1"/>
  <c r="C575" i="1"/>
  <c r="H575" i="1"/>
  <c r="F575" i="1"/>
  <c r="B575" i="1"/>
  <c r="D574" i="1"/>
  <c r="E574" i="1"/>
  <c r="G574" i="1"/>
  <c r="I574" i="1"/>
  <c r="J574" i="1"/>
  <c r="L574" i="1"/>
  <c r="N574" i="1"/>
  <c r="M574" i="1"/>
  <c r="C574" i="1"/>
  <c r="H574" i="1"/>
  <c r="F574" i="1"/>
  <c r="B574" i="1"/>
  <c r="D573" i="1"/>
  <c r="E573" i="1"/>
  <c r="G573" i="1"/>
  <c r="I573" i="1"/>
  <c r="J573" i="1"/>
  <c r="L573" i="1"/>
  <c r="N573" i="1"/>
  <c r="M573" i="1"/>
  <c r="C573" i="1"/>
  <c r="H573" i="1"/>
  <c r="F573" i="1"/>
  <c r="B573" i="1"/>
  <c r="D572" i="1"/>
  <c r="E572" i="1"/>
  <c r="G572" i="1"/>
  <c r="I572" i="1"/>
  <c r="J572" i="1"/>
  <c r="L572" i="1"/>
  <c r="N572" i="1"/>
  <c r="M572" i="1"/>
  <c r="C572" i="1"/>
  <c r="H572" i="1"/>
  <c r="F572" i="1"/>
  <c r="B572" i="1"/>
  <c r="D571" i="1"/>
  <c r="E571" i="1"/>
  <c r="G571" i="1"/>
  <c r="I571" i="1"/>
  <c r="J571" i="1"/>
  <c r="L571" i="1"/>
  <c r="N571" i="1"/>
  <c r="M571" i="1"/>
  <c r="C571" i="1"/>
  <c r="H571" i="1"/>
  <c r="F571" i="1"/>
  <c r="B571" i="1"/>
  <c r="D570" i="1"/>
  <c r="E570" i="1"/>
  <c r="G570" i="1"/>
  <c r="I570" i="1"/>
  <c r="J570" i="1"/>
  <c r="L570" i="1"/>
  <c r="N570" i="1"/>
  <c r="M570" i="1"/>
  <c r="C570" i="1"/>
  <c r="H570" i="1"/>
  <c r="F570" i="1"/>
  <c r="B570" i="1"/>
  <c r="D569" i="1"/>
  <c r="E569" i="1"/>
  <c r="G569" i="1"/>
  <c r="I569" i="1"/>
  <c r="J569" i="1"/>
  <c r="L569" i="1"/>
  <c r="N569" i="1"/>
  <c r="M569" i="1"/>
  <c r="C569" i="1"/>
  <c r="H569" i="1"/>
  <c r="F569" i="1"/>
  <c r="B569" i="1"/>
  <c r="D568" i="1"/>
  <c r="E568" i="1"/>
  <c r="G568" i="1"/>
  <c r="I568" i="1"/>
  <c r="J568" i="1"/>
  <c r="L568" i="1"/>
  <c r="N568" i="1"/>
  <c r="M568" i="1"/>
  <c r="C568" i="1"/>
  <c r="H568" i="1"/>
  <c r="F568" i="1"/>
  <c r="B568" i="1"/>
  <c r="D567" i="1"/>
  <c r="E567" i="1"/>
  <c r="G567" i="1"/>
  <c r="I567" i="1"/>
  <c r="J567" i="1"/>
  <c r="L567" i="1"/>
  <c r="N567" i="1"/>
  <c r="M567" i="1"/>
  <c r="C567" i="1"/>
  <c r="H567" i="1"/>
  <c r="F567" i="1"/>
  <c r="B567" i="1"/>
  <c r="D566" i="1"/>
  <c r="E566" i="1"/>
  <c r="G566" i="1"/>
  <c r="I566" i="1"/>
  <c r="J566" i="1"/>
  <c r="L566" i="1"/>
  <c r="N566" i="1"/>
  <c r="M566" i="1"/>
  <c r="C566" i="1"/>
  <c r="H566" i="1"/>
  <c r="F566" i="1"/>
  <c r="B566" i="1"/>
  <c r="D565" i="1"/>
  <c r="E565" i="1"/>
  <c r="G565" i="1"/>
  <c r="I565" i="1"/>
  <c r="J565" i="1"/>
  <c r="L565" i="1"/>
  <c r="N565" i="1"/>
  <c r="M565" i="1"/>
  <c r="C565" i="1"/>
  <c r="H565" i="1"/>
  <c r="F565" i="1"/>
  <c r="B565" i="1"/>
  <c r="D564" i="1"/>
  <c r="E564" i="1"/>
  <c r="G564" i="1"/>
  <c r="I564" i="1"/>
  <c r="J564" i="1"/>
  <c r="L564" i="1"/>
  <c r="N564" i="1"/>
  <c r="M564" i="1"/>
  <c r="C564" i="1"/>
  <c r="H564" i="1"/>
  <c r="F564" i="1"/>
  <c r="B564" i="1"/>
  <c r="D563" i="1"/>
  <c r="E563" i="1"/>
  <c r="G563" i="1"/>
  <c r="I563" i="1"/>
  <c r="J563" i="1"/>
  <c r="L563" i="1"/>
  <c r="N563" i="1"/>
  <c r="M563" i="1"/>
  <c r="C563" i="1"/>
  <c r="H563" i="1"/>
  <c r="F563" i="1"/>
  <c r="B563" i="1"/>
  <c r="D562" i="1"/>
  <c r="E562" i="1"/>
  <c r="G562" i="1"/>
  <c r="I562" i="1"/>
  <c r="J562" i="1"/>
  <c r="L562" i="1"/>
  <c r="N562" i="1"/>
  <c r="M562" i="1"/>
  <c r="C562" i="1"/>
  <c r="H562" i="1"/>
  <c r="F562" i="1"/>
  <c r="B562" i="1"/>
  <c r="D561" i="1"/>
  <c r="E561" i="1"/>
  <c r="G561" i="1"/>
  <c r="I561" i="1"/>
  <c r="J561" i="1"/>
  <c r="L561" i="1"/>
  <c r="N561" i="1"/>
  <c r="M561" i="1"/>
  <c r="C561" i="1"/>
  <c r="H561" i="1"/>
  <c r="F561" i="1"/>
  <c r="B561" i="1"/>
  <c r="D560" i="1"/>
  <c r="E560" i="1"/>
  <c r="G560" i="1"/>
  <c r="I560" i="1"/>
  <c r="J560" i="1"/>
  <c r="L560" i="1"/>
  <c r="N560" i="1"/>
  <c r="M560" i="1"/>
  <c r="C560" i="1"/>
  <c r="H560" i="1"/>
  <c r="F560" i="1"/>
  <c r="B560" i="1"/>
  <c r="D559" i="1"/>
  <c r="E559" i="1"/>
  <c r="G559" i="1"/>
  <c r="I559" i="1"/>
  <c r="J559" i="1"/>
  <c r="L559" i="1"/>
  <c r="N559" i="1"/>
  <c r="M559" i="1"/>
  <c r="C559" i="1"/>
  <c r="H559" i="1"/>
  <c r="F559" i="1"/>
  <c r="B559" i="1"/>
  <c r="D558" i="1"/>
  <c r="E558" i="1"/>
  <c r="G558" i="1"/>
  <c r="I558" i="1"/>
  <c r="J558" i="1"/>
  <c r="L558" i="1"/>
  <c r="N558" i="1"/>
  <c r="M558" i="1"/>
  <c r="C558" i="1"/>
  <c r="H558" i="1"/>
  <c r="F558" i="1"/>
  <c r="B558" i="1"/>
  <c r="D557" i="1"/>
  <c r="E557" i="1"/>
  <c r="G557" i="1"/>
  <c r="I557" i="1"/>
  <c r="J557" i="1"/>
  <c r="L557" i="1"/>
  <c r="N557" i="1"/>
  <c r="M557" i="1"/>
  <c r="C557" i="1"/>
  <c r="H557" i="1"/>
  <c r="F557" i="1"/>
  <c r="B557" i="1"/>
  <c r="D556" i="1"/>
  <c r="E556" i="1"/>
  <c r="G556" i="1"/>
  <c r="I556" i="1"/>
  <c r="J556" i="1"/>
  <c r="L556" i="1"/>
  <c r="N556" i="1"/>
  <c r="M556" i="1"/>
  <c r="C556" i="1"/>
  <c r="H556" i="1"/>
  <c r="F556" i="1"/>
  <c r="B556" i="1"/>
  <c r="D555" i="1"/>
  <c r="E555" i="1"/>
  <c r="G555" i="1"/>
  <c r="I555" i="1"/>
  <c r="J555" i="1"/>
  <c r="L555" i="1"/>
  <c r="N555" i="1"/>
  <c r="M555" i="1"/>
  <c r="C555" i="1"/>
  <c r="H555" i="1"/>
  <c r="F555" i="1"/>
  <c r="B555" i="1"/>
  <c r="D554" i="1"/>
  <c r="E554" i="1"/>
  <c r="G554" i="1"/>
  <c r="I554" i="1"/>
  <c r="J554" i="1"/>
  <c r="L554" i="1"/>
  <c r="N554" i="1"/>
  <c r="M554" i="1"/>
  <c r="C554" i="1"/>
  <c r="H554" i="1"/>
  <c r="F554" i="1"/>
  <c r="B554" i="1"/>
  <c r="D553" i="1"/>
  <c r="E553" i="1"/>
  <c r="G553" i="1"/>
  <c r="I553" i="1"/>
  <c r="J553" i="1"/>
  <c r="L553" i="1"/>
  <c r="N553" i="1"/>
  <c r="M553" i="1"/>
  <c r="C553" i="1"/>
  <c r="H553" i="1"/>
  <c r="F553" i="1"/>
  <c r="B553" i="1"/>
  <c r="D552" i="1"/>
  <c r="E552" i="1"/>
  <c r="G552" i="1"/>
  <c r="I552" i="1"/>
  <c r="J552" i="1"/>
  <c r="L552" i="1"/>
  <c r="N552" i="1"/>
  <c r="M552" i="1"/>
  <c r="C552" i="1"/>
  <c r="H552" i="1"/>
  <c r="F552" i="1"/>
  <c r="B552" i="1"/>
  <c r="D551" i="1"/>
  <c r="E551" i="1"/>
  <c r="G551" i="1"/>
  <c r="I551" i="1"/>
  <c r="J551" i="1"/>
  <c r="L551" i="1"/>
  <c r="N551" i="1"/>
  <c r="M551" i="1"/>
  <c r="C551" i="1"/>
  <c r="H551" i="1"/>
  <c r="F551" i="1"/>
  <c r="B551" i="1"/>
  <c r="D550" i="1"/>
  <c r="E550" i="1"/>
  <c r="G550" i="1"/>
  <c r="I550" i="1"/>
  <c r="J550" i="1"/>
  <c r="L550" i="1"/>
  <c r="N550" i="1"/>
  <c r="M550" i="1"/>
  <c r="C550" i="1"/>
  <c r="H550" i="1"/>
  <c r="F550" i="1"/>
  <c r="B550" i="1"/>
  <c r="D549" i="1"/>
  <c r="E549" i="1"/>
  <c r="G549" i="1"/>
  <c r="I549" i="1"/>
  <c r="J549" i="1"/>
  <c r="L549" i="1"/>
  <c r="N549" i="1"/>
  <c r="M549" i="1"/>
  <c r="C549" i="1"/>
  <c r="H549" i="1"/>
  <c r="F549" i="1"/>
  <c r="B549" i="1"/>
  <c r="D548" i="1"/>
  <c r="E548" i="1"/>
  <c r="G548" i="1"/>
  <c r="I548" i="1"/>
  <c r="J548" i="1"/>
  <c r="L548" i="1"/>
  <c r="N548" i="1"/>
  <c r="M548" i="1"/>
  <c r="C548" i="1"/>
  <c r="H548" i="1"/>
  <c r="F548" i="1"/>
  <c r="B548" i="1"/>
  <c r="D547" i="1"/>
  <c r="E547" i="1"/>
  <c r="G547" i="1"/>
  <c r="I547" i="1"/>
  <c r="J547" i="1"/>
  <c r="L547" i="1"/>
  <c r="N547" i="1"/>
  <c r="M547" i="1"/>
  <c r="C547" i="1"/>
  <c r="H547" i="1"/>
  <c r="F547" i="1"/>
  <c r="B547" i="1"/>
  <c r="D546" i="1"/>
  <c r="E546" i="1"/>
  <c r="G546" i="1"/>
  <c r="I546" i="1"/>
  <c r="J546" i="1"/>
  <c r="L546" i="1"/>
  <c r="N546" i="1"/>
  <c r="M546" i="1"/>
  <c r="C546" i="1"/>
  <c r="H546" i="1"/>
  <c r="F546" i="1"/>
  <c r="B546" i="1"/>
  <c r="D545" i="1"/>
  <c r="E545" i="1"/>
  <c r="G545" i="1"/>
  <c r="I545" i="1"/>
  <c r="J545" i="1"/>
  <c r="L545" i="1"/>
  <c r="N545" i="1"/>
  <c r="M545" i="1"/>
  <c r="C545" i="1"/>
  <c r="H545" i="1"/>
  <c r="F545" i="1"/>
  <c r="B545" i="1"/>
  <c r="D544" i="1"/>
  <c r="E544" i="1"/>
  <c r="G544" i="1"/>
  <c r="I544" i="1"/>
  <c r="J544" i="1"/>
  <c r="L544" i="1"/>
  <c r="N544" i="1"/>
  <c r="M544" i="1"/>
  <c r="C544" i="1"/>
  <c r="H544" i="1"/>
  <c r="F544" i="1"/>
  <c r="B544" i="1"/>
  <c r="D543" i="1"/>
  <c r="E543" i="1"/>
  <c r="G543" i="1"/>
  <c r="I543" i="1"/>
  <c r="J543" i="1"/>
  <c r="L543" i="1"/>
  <c r="N543" i="1"/>
  <c r="M543" i="1"/>
  <c r="C543" i="1"/>
  <c r="H543" i="1"/>
  <c r="F543" i="1"/>
  <c r="B543" i="1"/>
  <c r="D542" i="1"/>
  <c r="E542" i="1"/>
  <c r="G542" i="1"/>
  <c r="I542" i="1"/>
  <c r="J542" i="1"/>
  <c r="L542" i="1"/>
  <c r="N542" i="1"/>
  <c r="M542" i="1"/>
  <c r="C542" i="1"/>
  <c r="H542" i="1"/>
  <c r="F542" i="1"/>
  <c r="B542" i="1"/>
  <c r="D541" i="1"/>
  <c r="E541" i="1"/>
  <c r="G541" i="1"/>
  <c r="I541" i="1"/>
  <c r="J541" i="1"/>
  <c r="L541" i="1"/>
  <c r="N541" i="1"/>
  <c r="M541" i="1"/>
  <c r="C541" i="1"/>
  <c r="H541" i="1"/>
  <c r="F541" i="1"/>
  <c r="B541" i="1"/>
  <c r="D540" i="1"/>
  <c r="E540" i="1"/>
  <c r="G540" i="1"/>
  <c r="I540" i="1"/>
  <c r="J540" i="1"/>
  <c r="L540" i="1"/>
  <c r="N540" i="1"/>
  <c r="M540" i="1"/>
  <c r="C540" i="1"/>
  <c r="H540" i="1"/>
  <c r="F540" i="1"/>
  <c r="B540" i="1"/>
  <c r="D539" i="1"/>
  <c r="E539" i="1"/>
  <c r="G539" i="1"/>
  <c r="I539" i="1"/>
  <c r="J539" i="1"/>
  <c r="L539" i="1"/>
  <c r="N539" i="1"/>
  <c r="M539" i="1"/>
  <c r="C539" i="1"/>
  <c r="H539" i="1"/>
  <c r="F539" i="1"/>
  <c r="B539" i="1"/>
  <c r="D538" i="1"/>
  <c r="E538" i="1"/>
  <c r="G538" i="1"/>
  <c r="I538" i="1"/>
  <c r="J538" i="1"/>
  <c r="L538" i="1"/>
  <c r="N538" i="1"/>
  <c r="M538" i="1"/>
  <c r="C538" i="1"/>
  <c r="H538" i="1"/>
  <c r="F538" i="1"/>
  <c r="B538" i="1"/>
  <c r="D537" i="1"/>
  <c r="E537" i="1"/>
  <c r="G537" i="1"/>
  <c r="I537" i="1"/>
  <c r="J537" i="1"/>
  <c r="L537" i="1"/>
  <c r="N537" i="1"/>
  <c r="M537" i="1"/>
  <c r="C537" i="1"/>
  <c r="H537" i="1"/>
  <c r="F537" i="1"/>
  <c r="B537" i="1"/>
  <c r="D536" i="1"/>
  <c r="E536" i="1"/>
  <c r="G536" i="1"/>
  <c r="I536" i="1"/>
  <c r="J536" i="1"/>
  <c r="L536" i="1"/>
  <c r="N536" i="1"/>
  <c r="M536" i="1"/>
  <c r="C536" i="1"/>
  <c r="H536" i="1"/>
  <c r="F536" i="1"/>
  <c r="B536" i="1"/>
  <c r="D535" i="1"/>
  <c r="E535" i="1"/>
  <c r="G535" i="1"/>
  <c r="I535" i="1"/>
  <c r="J535" i="1"/>
  <c r="L535" i="1"/>
  <c r="N535" i="1"/>
  <c r="M535" i="1"/>
  <c r="C535" i="1"/>
  <c r="H535" i="1"/>
  <c r="F535" i="1"/>
  <c r="B535" i="1"/>
  <c r="D534" i="1"/>
  <c r="E534" i="1"/>
  <c r="G534" i="1"/>
  <c r="I534" i="1"/>
  <c r="J534" i="1"/>
  <c r="L534" i="1"/>
  <c r="N534" i="1"/>
  <c r="M534" i="1"/>
  <c r="C534" i="1"/>
  <c r="H534" i="1"/>
  <c r="F534" i="1"/>
  <c r="B534" i="1"/>
  <c r="D533" i="1"/>
  <c r="E533" i="1"/>
  <c r="G533" i="1"/>
  <c r="I533" i="1"/>
  <c r="J533" i="1"/>
  <c r="L533" i="1"/>
  <c r="N533" i="1"/>
  <c r="M533" i="1"/>
  <c r="C533" i="1"/>
  <c r="H533" i="1"/>
  <c r="F533" i="1"/>
  <c r="B533" i="1"/>
  <c r="D532" i="1"/>
  <c r="E532" i="1"/>
  <c r="G532" i="1"/>
  <c r="I532" i="1"/>
  <c r="J532" i="1"/>
  <c r="L532" i="1"/>
  <c r="N532" i="1"/>
  <c r="M532" i="1"/>
  <c r="C532" i="1"/>
  <c r="H532" i="1"/>
  <c r="F532" i="1"/>
  <c r="B532" i="1"/>
  <c r="D531" i="1"/>
  <c r="E531" i="1"/>
  <c r="G531" i="1"/>
  <c r="I531" i="1"/>
  <c r="J531" i="1"/>
  <c r="L531" i="1"/>
  <c r="N531" i="1"/>
  <c r="M531" i="1"/>
  <c r="C531" i="1"/>
  <c r="H531" i="1"/>
  <c r="F531" i="1"/>
  <c r="B531" i="1"/>
  <c r="D530" i="1"/>
  <c r="E530" i="1"/>
  <c r="G530" i="1"/>
  <c r="I530" i="1"/>
  <c r="J530" i="1"/>
  <c r="L530" i="1"/>
  <c r="N530" i="1"/>
  <c r="M530" i="1"/>
  <c r="C530" i="1"/>
  <c r="H530" i="1"/>
  <c r="F530" i="1"/>
  <c r="B530" i="1"/>
  <c r="D529" i="1"/>
  <c r="E529" i="1"/>
  <c r="G529" i="1"/>
  <c r="I529" i="1"/>
  <c r="J529" i="1"/>
  <c r="L529" i="1"/>
  <c r="N529" i="1"/>
  <c r="M529" i="1"/>
  <c r="C529" i="1"/>
  <c r="H529" i="1"/>
  <c r="F529" i="1"/>
  <c r="B529" i="1"/>
  <c r="D528" i="1"/>
  <c r="E528" i="1"/>
  <c r="G528" i="1"/>
  <c r="I528" i="1"/>
  <c r="J528" i="1"/>
  <c r="L528" i="1"/>
  <c r="N528" i="1"/>
  <c r="M528" i="1"/>
  <c r="C528" i="1"/>
  <c r="H528" i="1"/>
  <c r="F528" i="1"/>
  <c r="B528" i="1"/>
  <c r="D527" i="1"/>
  <c r="E527" i="1"/>
  <c r="G527" i="1"/>
  <c r="I527" i="1"/>
  <c r="J527" i="1"/>
  <c r="L527" i="1"/>
  <c r="N527" i="1"/>
  <c r="M527" i="1"/>
  <c r="C527" i="1"/>
  <c r="H527" i="1"/>
  <c r="F527" i="1"/>
  <c r="B527" i="1"/>
  <c r="D526" i="1"/>
  <c r="E526" i="1"/>
  <c r="G526" i="1"/>
  <c r="I526" i="1"/>
  <c r="J526" i="1"/>
  <c r="L526" i="1"/>
  <c r="N526" i="1"/>
  <c r="M526" i="1"/>
  <c r="C526" i="1"/>
  <c r="H526" i="1"/>
  <c r="F526" i="1"/>
  <c r="B526" i="1"/>
  <c r="D525" i="1"/>
  <c r="E525" i="1"/>
  <c r="G525" i="1"/>
  <c r="I525" i="1"/>
  <c r="J525" i="1"/>
  <c r="L525" i="1"/>
  <c r="N525" i="1"/>
  <c r="M525" i="1"/>
  <c r="C525" i="1"/>
  <c r="H525" i="1"/>
  <c r="F525" i="1"/>
  <c r="B525" i="1"/>
  <c r="D524" i="1"/>
  <c r="E524" i="1"/>
  <c r="G524" i="1"/>
  <c r="I524" i="1"/>
  <c r="J524" i="1"/>
  <c r="L524" i="1"/>
  <c r="N524" i="1"/>
  <c r="M524" i="1"/>
  <c r="C524" i="1"/>
  <c r="H524" i="1"/>
  <c r="F524" i="1"/>
  <c r="B524" i="1"/>
  <c r="D523" i="1"/>
  <c r="E523" i="1"/>
  <c r="G523" i="1"/>
  <c r="I523" i="1"/>
  <c r="J523" i="1"/>
  <c r="L523" i="1"/>
  <c r="N523" i="1"/>
  <c r="M523" i="1"/>
  <c r="C523" i="1"/>
  <c r="H523" i="1"/>
  <c r="F523" i="1"/>
  <c r="B523" i="1"/>
  <c r="D522" i="1"/>
  <c r="E522" i="1"/>
  <c r="G522" i="1"/>
  <c r="I522" i="1"/>
  <c r="J522" i="1"/>
  <c r="L522" i="1"/>
  <c r="N522" i="1"/>
  <c r="M522" i="1"/>
  <c r="C522" i="1"/>
  <c r="H522" i="1"/>
  <c r="F522" i="1"/>
  <c r="B522" i="1"/>
  <c r="D521" i="1"/>
  <c r="E521" i="1"/>
  <c r="G521" i="1"/>
  <c r="I521" i="1"/>
  <c r="J521" i="1"/>
  <c r="L521" i="1"/>
  <c r="N521" i="1"/>
  <c r="M521" i="1"/>
  <c r="C521" i="1"/>
  <c r="H521" i="1"/>
  <c r="F521" i="1"/>
  <c r="B521" i="1"/>
  <c r="D520" i="1"/>
  <c r="E520" i="1"/>
  <c r="G520" i="1"/>
  <c r="I520" i="1"/>
  <c r="J520" i="1"/>
  <c r="L520" i="1"/>
  <c r="N520" i="1"/>
  <c r="M520" i="1"/>
  <c r="C520" i="1"/>
  <c r="H520" i="1"/>
  <c r="F520" i="1"/>
  <c r="B520" i="1"/>
  <c r="D519" i="1"/>
  <c r="E519" i="1"/>
  <c r="G519" i="1"/>
  <c r="I519" i="1"/>
  <c r="J519" i="1"/>
  <c r="L519" i="1"/>
  <c r="N519" i="1"/>
  <c r="M519" i="1"/>
  <c r="C519" i="1"/>
  <c r="H519" i="1"/>
  <c r="F519" i="1"/>
  <c r="B519" i="1"/>
  <c r="D518" i="1"/>
  <c r="E518" i="1"/>
  <c r="G518" i="1"/>
  <c r="I518" i="1"/>
  <c r="J518" i="1"/>
  <c r="L518" i="1"/>
  <c r="N518" i="1"/>
  <c r="M518" i="1"/>
  <c r="C518" i="1"/>
  <c r="H518" i="1"/>
  <c r="F518" i="1"/>
  <c r="B518" i="1"/>
  <c r="D517" i="1"/>
  <c r="E517" i="1"/>
  <c r="G517" i="1"/>
  <c r="I517" i="1"/>
  <c r="J517" i="1"/>
  <c r="L517" i="1"/>
  <c r="N517" i="1"/>
  <c r="M517" i="1"/>
  <c r="C517" i="1"/>
  <c r="H517" i="1"/>
  <c r="F517" i="1"/>
  <c r="B517" i="1"/>
  <c r="D516" i="1"/>
  <c r="E516" i="1"/>
  <c r="G516" i="1"/>
  <c r="I516" i="1"/>
  <c r="J516" i="1"/>
  <c r="L516" i="1"/>
  <c r="N516" i="1"/>
  <c r="M516" i="1"/>
  <c r="C516" i="1"/>
  <c r="H516" i="1"/>
  <c r="F516" i="1"/>
  <c r="B516" i="1"/>
  <c r="D515" i="1"/>
  <c r="E515" i="1"/>
  <c r="G515" i="1"/>
  <c r="I515" i="1"/>
  <c r="J515" i="1"/>
  <c r="L515" i="1"/>
  <c r="N515" i="1"/>
  <c r="M515" i="1"/>
  <c r="C515" i="1"/>
  <c r="H515" i="1"/>
  <c r="F515" i="1"/>
  <c r="B515" i="1"/>
  <c r="D514" i="1"/>
  <c r="E514" i="1"/>
  <c r="G514" i="1"/>
  <c r="I514" i="1"/>
  <c r="J514" i="1"/>
  <c r="L514" i="1"/>
  <c r="N514" i="1"/>
  <c r="M514" i="1"/>
  <c r="C514" i="1"/>
  <c r="H514" i="1"/>
  <c r="F514" i="1"/>
  <c r="B514" i="1"/>
  <c r="D513" i="1"/>
  <c r="E513" i="1"/>
  <c r="G513" i="1"/>
  <c r="I513" i="1"/>
  <c r="J513" i="1"/>
  <c r="L513" i="1"/>
  <c r="N513" i="1"/>
  <c r="M513" i="1"/>
  <c r="C513" i="1"/>
  <c r="H513" i="1"/>
  <c r="F513" i="1"/>
  <c r="B513" i="1"/>
  <c r="D512" i="1"/>
  <c r="E512" i="1"/>
  <c r="G512" i="1"/>
  <c r="I512" i="1"/>
  <c r="J512" i="1"/>
  <c r="L512" i="1"/>
  <c r="N512" i="1"/>
  <c r="M512" i="1"/>
  <c r="C512" i="1"/>
  <c r="H512" i="1"/>
  <c r="F512" i="1"/>
  <c r="B512" i="1"/>
  <c r="D511" i="1"/>
  <c r="E511" i="1"/>
  <c r="G511" i="1"/>
  <c r="I511" i="1"/>
  <c r="J511" i="1"/>
  <c r="L511" i="1"/>
  <c r="N511" i="1"/>
  <c r="M511" i="1"/>
  <c r="C511" i="1"/>
  <c r="H511" i="1"/>
  <c r="F511" i="1"/>
  <c r="B511" i="1"/>
  <c r="D510" i="1"/>
  <c r="E510" i="1"/>
  <c r="G510" i="1"/>
  <c r="I510" i="1"/>
  <c r="J510" i="1"/>
  <c r="L510" i="1"/>
  <c r="N510" i="1"/>
  <c r="M510" i="1"/>
  <c r="C510" i="1"/>
  <c r="H510" i="1"/>
  <c r="F510" i="1"/>
  <c r="B510" i="1"/>
  <c r="D509" i="1"/>
  <c r="E509" i="1"/>
  <c r="G509" i="1"/>
  <c r="I509" i="1"/>
  <c r="J509" i="1"/>
  <c r="L509" i="1"/>
  <c r="N509" i="1"/>
  <c r="M509" i="1"/>
  <c r="C509" i="1"/>
  <c r="H509" i="1"/>
  <c r="F509" i="1"/>
  <c r="B509" i="1"/>
  <c r="D508" i="1"/>
  <c r="E508" i="1"/>
  <c r="G508" i="1"/>
  <c r="I508" i="1"/>
  <c r="J508" i="1"/>
  <c r="L508" i="1"/>
  <c r="N508" i="1"/>
  <c r="M508" i="1"/>
  <c r="C508" i="1"/>
  <c r="H508" i="1"/>
  <c r="F508" i="1"/>
  <c r="B508" i="1"/>
  <c r="D507" i="1"/>
  <c r="E507" i="1"/>
  <c r="G507" i="1"/>
  <c r="I507" i="1"/>
  <c r="J507" i="1"/>
  <c r="L507" i="1"/>
  <c r="N507" i="1"/>
  <c r="M507" i="1"/>
  <c r="C507" i="1"/>
  <c r="H507" i="1"/>
  <c r="F507" i="1"/>
  <c r="B507" i="1"/>
  <c r="D506" i="1"/>
  <c r="E506" i="1"/>
  <c r="G506" i="1"/>
  <c r="I506" i="1"/>
  <c r="J506" i="1"/>
  <c r="L506" i="1"/>
  <c r="N506" i="1"/>
  <c r="M506" i="1"/>
  <c r="C506" i="1"/>
  <c r="H506" i="1"/>
  <c r="F506" i="1"/>
  <c r="B506" i="1"/>
  <c r="D505" i="1"/>
  <c r="E505" i="1"/>
  <c r="G505" i="1"/>
  <c r="I505" i="1"/>
  <c r="J505" i="1"/>
  <c r="L505" i="1"/>
  <c r="N505" i="1"/>
  <c r="M505" i="1"/>
  <c r="C505" i="1"/>
  <c r="H505" i="1"/>
  <c r="F505" i="1"/>
  <c r="B505" i="1"/>
  <c r="D504" i="1"/>
  <c r="E504" i="1"/>
  <c r="G504" i="1"/>
  <c r="I504" i="1"/>
  <c r="J504" i="1"/>
  <c r="L504" i="1"/>
  <c r="N504" i="1"/>
  <c r="M504" i="1"/>
  <c r="C504" i="1"/>
  <c r="H504" i="1"/>
  <c r="F504" i="1"/>
  <c r="B504" i="1"/>
  <c r="D503" i="1"/>
  <c r="E503" i="1"/>
  <c r="G503" i="1"/>
  <c r="I503" i="1"/>
  <c r="J503" i="1"/>
  <c r="L503" i="1"/>
  <c r="N503" i="1"/>
  <c r="M503" i="1"/>
  <c r="C503" i="1"/>
  <c r="H503" i="1"/>
  <c r="F503" i="1"/>
  <c r="B503" i="1"/>
  <c r="D502" i="1"/>
  <c r="E502" i="1"/>
  <c r="G502" i="1"/>
  <c r="I502" i="1"/>
  <c r="J502" i="1"/>
  <c r="L502" i="1"/>
  <c r="N502" i="1"/>
  <c r="M502" i="1"/>
  <c r="C502" i="1"/>
  <c r="H502" i="1"/>
  <c r="F502" i="1"/>
  <c r="B502" i="1"/>
  <c r="D501" i="1"/>
  <c r="E501" i="1"/>
  <c r="G501" i="1"/>
  <c r="I501" i="1"/>
  <c r="J501" i="1"/>
  <c r="L501" i="1"/>
  <c r="N501" i="1"/>
  <c r="M501" i="1"/>
  <c r="C501" i="1"/>
  <c r="H501" i="1"/>
  <c r="F501" i="1"/>
  <c r="B501" i="1"/>
  <c r="D500" i="1"/>
  <c r="E500" i="1"/>
  <c r="G500" i="1"/>
  <c r="I500" i="1"/>
  <c r="J500" i="1"/>
  <c r="L500" i="1"/>
  <c r="N500" i="1"/>
  <c r="M500" i="1"/>
  <c r="C500" i="1"/>
  <c r="H500" i="1"/>
  <c r="F500" i="1"/>
  <c r="B500" i="1"/>
  <c r="D499" i="1"/>
  <c r="E499" i="1"/>
  <c r="G499" i="1"/>
  <c r="I499" i="1"/>
  <c r="J499" i="1"/>
  <c r="L499" i="1"/>
  <c r="N499" i="1"/>
  <c r="M499" i="1"/>
  <c r="C499" i="1"/>
  <c r="H499" i="1"/>
  <c r="F499" i="1"/>
  <c r="B499" i="1"/>
  <c r="D498" i="1"/>
  <c r="E498" i="1"/>
  <c r="G498" i="1"/>
  <c r="I498" i="1"/>
  <c r="J498" i="1"/>
  <c r="L498" i="1"/>
  <c r="N498" i="1"/>
  <c r="M498" i="1"/>
  <c r="C498" i="1"/>
  <c r="H498" i="1"/>
  <c r="F498" i="1"/>
  <c r="B498" i="1"/>
  <c r="D497" i="1"/>
  <c r="E497" i="1"/>
  <c r="G497" i="1"/>
  <c r="I497" i="1"/>
  <c r="J497" i="1"/>
  <c r="L497" i="1"/>
  <c r="N497" i="1"/>
  <c r="M497" i="1"/>
  <c r="C497" i="1"/>
  <c r="H497" i="1"/>
  <c r="F497" i="1"/>
  <c r="B497" i="1"/>
  <c r="D496" i="1"/>
  <c r="E496" i="1"/>
  <c r="G496" i="1"/>
  <c r="I496" i="1"/>
  <c r="J496" i="1"/>
  <c r="L496" i="1"/>
  <c r="N496" i="1"/>
  <c r="M496" i="1"/>
  <c r="C496" i="1"/>
  <c r="H496" i="1"/>
  <c r="F496" i="1"/>
  <c r="B496" i="1"/>
  <c r="D495" i="1"/>
  <c r="E495" i="1"/>
  <c r="G495" i="1"/>
  <c r="I495" i="1"/>
  <c r="J495" i="1"/>
  <c r="L495" i="1"/>
  <c r="N495" i="1"/>
  <c r="M495" i="1"/>
  <c r="C495" i="1"/>
  <c r="H495" i="1"/>
  <c r="F495" i="1"/>
  <c r="B495" i="1"/>
  <c r="D494" i="1"/>
  <c r="E494" i="1"/>
  <c r="G494" i="1"/>
  <c r="I494" i="1"/>
  <c r="J494" i="1"/>
  <c r="L494" i="1"/>
  <c r="N494" i="1"/>
  <c r="M494" i="1"/>
  <c r="C494" i="1"/>
  <c r="H494" i="1"/>
  <c r="F494" i="1"/>
  <c r="B494" i="1"/>
  <c r="D493" i="1"/>
  <c r="E493" i="1"/>
  <c r="G493" i="1"/>
  <c r="I493" i="1"/>
  <c r="J493" i="1"/>
  <c r="L493" i="1"/>
  <c r="N493" i="1"/>
  <c r="M493" i="1"/>
  <c r="C493" i="1"/>
  <c r="H493" i="1"/>
  <c r="F493" i="1"/>
  <c r="B493" i="1"/>
  <c r="D492" i="1"/>
  <c r="E492" i="1"/>
  <c r="G492" i="1"/>
  <c r="I492" i="1"/>
  <c r="J492" i="1"/>
  <c r="L492" i="1"/>
  <c r="N492" i="1"/>
  <c r="M492" i="1"/>
  <c r="C492" i="1"/>
  <c r="H492" i="1"/>
  <c r="F492" i="1"/>
  <c r="B492" i="1"/>
  <c r="D491" i="1"/>
  <c r="E491" i="1"/>
  <c r="G491" i="1"/>
  <c r="I491" i="1"/>
  <c r="J491" i="1"/>
  <c r="L491" i="1"/>
  <c r="N491" i="1"/>
  <c r="M491" i="1"/>
  <c r="C491" i="1"/>
  <c r="H491" i="1"/>
  <c r="F491" i="1"/>
  <c r="B491" i="1"/>
  <c r="D490" i="1"/>
  <c r="E490" i="1"/>
  <c r="G490" i="1"/>
  <c r="I490" i="1"/>
  <c r="J490" i="1"/>
  <c r="L490" i="1"/>
  <c r="N490" i="1"/>
  <c r="M490" i="1"/>
  <c r="C490" i="1"/>
  <c r="H490" i="1"/>
  <c r="F490" i="1"/>
  <c r="B490" i="1"/>
  <c r="D489" i="1"/>
  <c r="E489" i="1"/>
  <c r="G489" i="1"/>
  <c r="I489" i="1"/>
  <c r="J489" i="1"/>
  <c r="L489" i="1"/>
  <c r="N489" i="1"/>
  <c r="M489" i="1"/>
  <c r="C489" i="1"/>
  <c r="H489" i="1"/>
  <c r="F489" i="1"/>
  <c r="B489" i="1"/>
  <c r="D488" i="1"/>
  <c r="E488" i="1"/>
  <c r="G488" i="1"/>
  <c r="I488" i="1"/>
  <c r="J488" i="1"/>
  <c r="L488" i="1"/>
  <c r="N488" i="1"/>
  <c r="M488" i="1"/>
  <c r="C488" i="1"/>
  <c r="H488" i="1"/>
  <c r="F488" i="1"/>
  <c r="B488" i="1"/>
  <c r="D487" i="1"/>
  <c r="E487" i="1"/>
  <c r="G487" i="1"/>
  <c r="I487" i="1"/>
  <c r="J487" i="1"/>
  <c r="L487" i="1"/>
  <c r="N487" i="1"/>
  <c r="M487" i="1"/>
  <c r="C487" i="1"/>
  <c r="H487" i="1"/>
  <c r="F487" i="1"/>
  <c r="B487" i="1"/>
  <c r="D486" i="1"/>
  <c r="E486" i="1"/>
  <c r="G486" i="1"/>
  <c r="I486" i="1"/>
  <c r="J486" i="1"/>
  <c r="L486" i="1"/>
  <c r="N486" i="1"/>
  <c r="M486" i="1"/>
  <c r="C486" i="1"/>
  <c r="H486" i="1"/>
  <c r="F486" i="1"/>
  <c r="B486" i="1"/>
  <c r="D485" i="1"/>
  <c r="E485" i="1"/>
  <c r="G485" i="1"/>
  <c r="I485" i="1"/>
  <c r="J485" i="1"/>
  <c r="L485" i="1"/>
  <c r="N485" i="1"/>
  <c r="M485" i="1"/>
  <c r="C485" i="1"/>
  <c r="H485" i="1"/>
  <c r="F485" i="1"/>
  <c r="B485" i="1"/>
  <c r="D484" i="1"/>
  <c r="E484" i="1"/>
  <c r="G484" i="1"/>
  <c r="I484" i="1"/>
  <c r="J484" i="1"/>
  <c r="L484" i="1"/>
  <c r="N484" i="1"/>
  <c r="M484" i="1"/>
  <c r="C484" i="1"/>
  <c r="H484" i="1"/>
  <c r="F484" i="1"/>
  <c r="B484" i="1"/>
  <c r="D483" i="1"/>
  <c r="E483" i="1"/>
  <c r="G483" i="1"/>
  <c r="I483" i="1"/>
  <c r="J483" i="1"/>
  <c r="L483" i="1"/>
  <c r="N483" i="1"/>
  <c r="M483" i="1"/>
  <c r="C483" i="1"/>
  <c r="H483" i="1"/>
  <c r="F483" i="1"/>
  <c r="B483" i="1"/>
  <c r="D482" i="1"/>
  <c r="E482" i="1"/>
  <c r="G482" i="1"/>
  <c r="I482" i="1"/>
  <c r="J482" i="1"/>
  <c r="L482" i="1"/>
  <c r="N482" i="1"/>
  <c r="M482" i="1"/>
  <c r="C482" i="1"/>
  <c r="H482" i="1"/>
  <c r="F482" i="1"/>
  <c r="B482" i="1"/>
  <c r="D481" i="1"/>
  <c r="E481" i="1"/>
  <c r="G481" i="1"/>
  <c r="I481" i="1"/>
  <c r="J481" i="1"/>
  <c r="L481" i="1"/>
  <c r="N481" i="1"/>
  <c r="M481" i="1"/>
  <c r="C481" i="1"/>
  <c r="H481" i="1"/>
  <c r="F481" i="1"/>
  <c r="B481" i="1"/>
  <c r="D480" i="1"/>
  <c r="E480" i="1"/>
  <c r="G480" i="1"/>
  <c r="I480" i="1"/>
  <c r="J480" i="1"/>
  <c r="L480" i="1"/>
  <c r="N480" i="1"/>
  <c r="M480" i="1"/>
  <c r="C480" i="1"/>
  <c r="H480" i="1"/>
  <c r="F480" i="1"/>
  <c r="B480" i="1"/>
  <c r="D479" i="1"/>
  <c r="E479" i="1"/>
  <c r="G479" i="1"/>
  <c r="I479" i="1"/>
  <c r="J479" i="1"/>
  <c r="L479" i="1"/>
  <c r="N479" i="1"/>
  <c r="M479" i="1"/>
  <c r="C479" i="1"/>
  <c r="H479" i="1"/>
  <c r="F479" i="1"/>
  <c r="B479" i="1"/>
  <c r="D478" i="1"/>
  <c r="E478" i="1"/>
  <c r="G478" i="1"/>
  <c r="I478" i="1"/>
  <c r="J478" i="1"/>
  <c r="L478" i="1"/>
  <c r="N478" i="1"/>
  <c r="M478" i="1"/>
  <c r="C478" i="1"/>
  <c r="H478" i="1"/>
  <c r="F478" i="1"/>
  <c r="B478" i="1"/>
  <c r="D477" i="1"/>
  <c r="E477" i="1"/>
  <c r="G477" i="1"/>
  <c r="I477" i="1"/>
  <c r="J477" i="1"/>
  <c r="L477" i="1"/>
  <c r="N477" i="1"/>
  <c r="M477" i="1"/>
  <c r="C477" i="1"/>
  <c r="H477" i="1"/>
  <c r="F477" i="1"/>
  <c r="B477" i="1"/>
  <c r="D476" i="1"/>
  <c r="E476" i="1"/>
  <c r="G476" i="1"/>
  <c r="I476" i="1"/>
  <c r="J476" i="1"/>
  <c r="L476" i="1"/>
  <c r="N476" i="1"/>
  <c r="M476" i="1"/>
  <c r="C476" i="1"/>
  <c r="H476" i="1"/>
  <c r="F476" i="1"/>
  <c r="B476" i="1"/>
  <c r="D475" i="1"/>
  <c r="E475" i="1"/>
  <c r="G475" i="1"/>
  <c r="I475" i="1"/>
  <c r="J475" i="1"/>
  <c r="L475" i="1"/>
  <c r="N475" i="1"/>
  <c r="M475" i="1"/>
  <c r="C475" i="1"/>
  <c r="H475" i="1"/>
  <c r="F475" i="1"/>
  <c r="B475" i="1"/>
  <c r="D474" i="1"/>
  <c r="E474" i="1"/>
  <c r="G474" i="1"/>
  <c r="I474" i="1"/>
  <c r="J474" i="1"/>
  <c r="L474" i="1"/>
  <c r="N474" i="1"/>
  <c r="M474" i="1"/>
  <c r="C474" i="1"/>
  <c r="H474" i="1"/>
  <c r="F474" i="1"/>
  <c r="B474" i="1"/>
  <c r="D473" i="1"/>
  <c r="E473" i="1"/>
  <c r="G473" i="1"/>
  <c r="I473" i="1"/>
  <c r="J473" i="1"/>
  <c r="L473" i="1"/>
  <c r="N473" i="1"/>
  <c r="M473" i="1"/>
  <c r="C473" i="1"/>
  <c r="H473" i="1"/>
  <c r="F473" i="1"/>
  <c r="B473" i="1"/>
  <c r="D472" i="1"/>
  <c r="E472" i="1"/>
  <c r="G472" i="1"/>
  <c r="I472" i="1"/>
  <c r="J472" i="1"/>
  <c r="L472" i="1"/>
  <c r="N472" i="1"/>
  <c r="M472" i="1"/>
  <c r="C472" i="1"/>
  <c r="H472" i="1"/>
  <c r="F472" i="1"/>
  <c r="B472" i="1"/>
  <c r="D471" i="1"/>
  <c r="E471" i="1"/>
  <c r="G471" i="1"/>
  <c r="I471" i="1"/>
  <c r="J471" i="1"/>
  <c r="L471" i="1"/>
  <c r="N471" i="1"/>
  <c r="M471" i="1"/>
  <c r="C471" i="1"/>
  <c r="H471" i="1"/>
  <c r="F471" i="1"/>
  <c r="B471" i="1"/>
  <c r="D470" i="1"/>
  <c r="E470" i="1"/>
  <c r="G470" i="1"/>
  <c r="I470" i="1"/>
  <c r="J470" i="1"/>
  <c r="L470" i="1"/>
  <c r="N470" i="1"/>
  <c r="M470" i="1"/>
  <c r="C470" i="1"/>
  <c r="H470" i="1"/>
  <c r="F470" i="1"/>
  <c r="B470" i="1"/>
  <c r="D469" i="1"/>
  <c r="E469" i="1"/>
  <c r="G469" i="1"/>
  <c r="I469" i="1"/>
  <c r="J469" i="1"/>
  <c r="L469" i="1"/>
  <c r="N469" i="1"/>
  <c r="M469" i="1"/>
  <c r="C469" i="1"/>
  <c r="H469" i="1"/>
  <c r="F469" i="1"/>
  <c r="B469" i="1"/>
  <c r="D468" i="1"/>
  <c r="E468" i="1"/>
  <c r="G468" i="1"/>
  <c r="I468" i="1"/>
  <c r="J468" i="1"/>
  <c r="L468" i="1"/>
  <c r="N468" i="1"/>
  <c r="M468" i="1"/>
  <c r="C468" i="1"/>
  <c r="H468" i="1"/>
  <c r="F468" i="1"/>
  <c r="B468" i="1"/>
  <c r="D467" i="1"/>
  <c r="E467" i="1"/>
  <c r="G467" i="1"/>
  <c r="I467" i="1"/>
  <c r="J467" i="1"/>
  <c r="L467" i="1"/>
  <c r="N467" i="1"/>
  <c r="M467" i="1"/>
  <c r="C467" i="1"/>
  <c r="H467" i="1"/>
  <c r="F467" i="1"/>
  <c r="B467" i="1"/>
  <c r="D466" i="1"/>
  <c r="E466" i="1"/>
  <c r="G466" i="1"/>
  <c r="I466" i="1"/>
  <c r="J466" i="1"/>
  <c r="L466" i="1"/>
  <c r="N466" i="1"/>
  <c r="M466" i="1"/>
  <c r="C466" i="1"/>
  <c r="H466" i="1"/>
  <c r="F466" i="1"/>
  <c r="B466" i="1"/>
  <c r="D465" i="1"/>
  <c r="E465" i="1"/>
  <c r="G465" i="1"/>
  <c r="I465" i="1"/>
  <c r="J465" i="1"/>
  <c r="L465" i="1"/>
  <c r="N465" i="1"/>
  <c r="M465" i="1"/>
  <c r="C465" i="1"/>
  <c r="H465" i="1"/>
  <c r="F465" i="1"/>
  <c r="B465" i="1"/>
  <c r="D464" i="1"/>
  <c r="E464" i="1"/>
  <c r="G464" i="1"/>
  <c r="I464" i="1"/>
  <c r="J464" i="1"/>
  <c r="L464" i="1"/>
  <c r="N464" i="1"/>
  <c r="M464" i="1"/>
  <c r="C464" i="1"/>
  <c r="H464" i="1"/>
  <c r="F464" i="1"/>
  <c r="B464" i="1"/>
  <c r="D463" i="1"/>
  <c r="E463" i="1"/>
  <c r="G463" i="1"/>
  <c r="I463" i="1"/>
  <c r="J463" i="1"/>
  <c r="L463" i="1"/>
  <c r="N463" i="1"/>
  <c r="M463" i="1"/>
  <c r="C463" i="1"/>
  <c r="H463" i="1"/>
  <c r="F463" i="1"/>
  <c r="B463" i="1"/>
  <c r="D462" i="1"/>
  <c r="E462" i="1"/>
  <c r="G462" i="1"/>
  <c r="I462" i="1"/>
  <c r="J462" i="1"/>
  <c r="L462" i="1"/>
  <c r="N462" i="1"/>
  <c r="M462" i="1"/>
  <c r="C462" i="1"/>
  <c r="H462" i="1"/>
  <c r="F462" i="1"/>
  <c r="B462" i="1"/>
  <c r="D461" i="1"/>
  <c r="E461" i="1"/>
  <c r="G461" i="1"/>
  <c r="I461" i="1"/>
  <c r="J461" i="1"/>
  <c r="L461" i="1"/>
  <c r="N461" i="1"/>
  <c r="M461" i="1"/>
  <c r="C461" i="1"/>
  <c r="H461" i="1"/>
  <c r="F461" i="1"/>
  <c r="B461" i="1"/>
  <c r="D460" i="1"/>
  <c r="E460" i="1"/>
  <c r="G460" i="1"/>
  <c r="I460" i="1"/>
  <c r="J460" i="1"/>
  <c r="L460" i="1"/>
  <c r="N460" i="1"/>
  <c r="M460" i="1"/>
  <c r="C460" i="1"/>
  <c r="H460" i="1"/>
  <c r="F460" i="1"/>
  <c r="B460" i="1"/>
  <c r="D459" i="1"/>
  <c r="E459" i="1"/>
  <c r="G459" i="1"/>
  <c r="I459" i="1"/>
  <c r="J459" i="1"/>
  <c r="L459" i="1"/>
  <c r="N459" i="1"/>
  <c r="M459" i="1"/>
  <c r="C459" i="1"/>
  <c r="H459" i="1"/>
  <c r="F459" i="1"/>
  <c r="B459" i="1"/>
  <c r="D458" i="1"/>
  <c r="E458" i="1"/>
  <c r="G458" i="1"/>
  <c r="I458" i="1"/>
  <c r="J458" i="1"/>
  <c r="L458" i="1"/>
  <c r="N458" i="1"/>
  <c r="M458" i="1"/>
  <c r="C458" i="1"/>
  <c r="H458" i="1"/>
  <c r="F458" i="1"/>
  <c r="B458" i="1"/>
  <c r="D457" i="1"/>
  <c r="E457" i="1"/>
  <c r="G457" i="1"/>
  <c r="I457" i="1"/>
  <c r="J457" i="1"/>
  <c r="L457" i="1"/>
  <c r="N457" i="1"/>
  <c r="M457" i="1"/>
  <c r="C457" i="1"/>
  <c r="H457" i="1"/>
  <c r="F457" i="1"/>
  <c r="B457" i="1"/>
  <c r="D456" i="1"/>
  <c r="E456" i="1"/>
  <c r="G456" i="1"/>
  <c r="I456" i="1"/>
  <c r="J456" i="1"/>
  <c r="L456" i="1"/>
  <c r="N456" i="1"/>
  <c r="M456" i="1"/>
  <c r="C456" i="1"/>
  <c r="H456" i="1"/>
  <c r="F456" i="1"/>
  <c r="B456" i="1"/>
  <c r="D455" i="1"/>
  <c r="E455" i="1"/>
  <c r="G455" i="1"/>
  <c r="I455" i="1"/>
  <c r="J455" i="1"/>
  <c r="L455" i="1"/>
  <c r="N455" i="1"/>
  <c r="M455" i="1"/>
  <c r="C455" i="1"/>
  <c r="H455" i="1"/>
  <c r="F455" i="1"/>
  <c r="B455" i="1"/>
  <c r="D454" i="1"/>
  <c r="E454" i="1"/>
  <c r="G454" i="1"/>
  <c r="I454" i="1"/>
  <c r="J454" i="1"/>
  <c r="L454" i="1"/>
  <c r="N454" i="1"/>
  <c r="M454" i="1"/>
  <c r="C454" i="1"/>
  <c r="H454" i="1"/>
  <c r="F454" i="1"/>
  <c r="B454" i="1"/>
  <c r="D453" i="1"/>
  <c r="E453" i="1"/>
  <c r="G453" i="1"/>
  <c r="I453" i="1"/>
  <c r="J453" i="1"/>
  <c r="L453" i="1"/>
  <c r="N453" i="1"/>
  <c r="M453" i="1"/>
  <c r="C453" i="1"/>
  <c r="H453" i="1"/>
  <c r="F453" i="1"/>
  <c r="B453" i="1"/>
  <c r="D452" i="1"/>
  <c r="E452" i="1"/>
  <c r="G452" i="1"/>
  <c r="I452" i="1"/>
  <c r="J452" i="1"/>
  <c r="L452" i="1"/>
  <c r="N452" i="1"/>
  <c r="M452" i="1"/>
  <c r="C452" i="1"/>
  <c r="H452" i="1"/>
  <c r="F452" i="1"/>
  <c r="B452" i="1"/>
  <c r="D451" i="1"/>
  <c r="E451" i="1"/>
  <c r="G451" i="1"/>
  <c r="I451" i="1"/>
  <c r="J451" i="1"/>
  <c r="L451" i="1"/>
  <c r="N451" i="1"/>
  <c r="M451" i="1"/>
  <c r="C451" i="1"/>
  <c r="H451" i="1"/>
  <c r="F451" i="1"/>
  <c r="B451" i="1"/>
  <c r="D450" i="1"/>
  <c r="E450" i="1"/>
  <c r="G450" i="1"/>
  <c r="I450" i="1"/>
  <c r="J450" i="1"/>
  <c r="L450" i="1"/>
  <c r="N450" i="1"/>
  <c r="M450" i="1"/>
  <c r="C450" i="1"/>
  <c r="H450" i="1"/>
  <c r="F450" i="1"/>
  <c r="B450" i="1"/>
  <c r="D449" i="1"/>
  <c r="E449" i="1"/>
  <c r="G449" i="1"/>
  <c r="I449" i="1"/>
  <c r="J449" i="1"/>
  <c r="L449" i="1"/>
  <c r="N449" i="1"/>
  <c r="M449" i="1"/>
  <c r="C449" i="1"/>
  <c r="H449" i="1"/>
  <c r="F449" i="1"/>
  <c r="B449" i="1"/>
  <c r="D448" i="1"/>
  <c r="E448" i="1"/>
  <c r="G448" i="1"/>
  <c r="I448" i="1"/>
  <c r="J448" i="1"/>
  <c r="L448" i="1"/>
  <c r="N448" i="1"/>
  <c r="M448" i="1"/>
  <c r="C448" i="1"/>
  <c r="H448" i="1"/>
  <c r="F448" i="1"/>
  <c r="B448" i="1"/>
  <c r="D447" i="1"/>
  <c r="E447" i="1"/>
  <c r="G447" i="1"/>
  <c r="I447" i="1"/>
  <c r="J447" i="1"/>
  <c r="L447" i="1"/>
  <c r="N447" i="1"/>
  <c r="M447" i="1"/>
  <c r="C447" i="1"/>
  <c r="H447" i="1"/>
  <c r="F447" i="1"/>
  <c r="B447" i="1"/>
  <c r="D446" i="1"/>
  <c r="E446" i="1"/>
  <c r="G446" i="1"/>
  <c r="I446" i="1"/>
  <c r="J446" i="1"/>
  <c r="L446" i="1"/>
  <c r="N446" i="1"/>
  <c r="M446" i="1"/>
  <c r="C446" i="1"/>
  <c r="H446" i="1"/>
  <c r="F446" i="1"/>
  <c r="B446" i="1"/>
  <c r="D445" i="1"/>
  <c r="E445" i="1"/>
  <c r="G445" i="1"/>
  <c r="I445" i="1"/>
  <c r="J445" i="1"/>
  <c r="L445" i="1"/>
  <c r="N445" i="1"/>
  <c r="M445" i="1"/>
  <c r="C445" i="1"/>
  <c r="H445" i="1"/>
  <c r="F445" i="1"/>
  <c r="B445" i="1"/>
  <c r="D444" i="1"/>
  <c r="E444" i="1"/>
  <c r="G444" i="1"/>
  <c r="I444" i="1"/>
  <c r="J444" i="1"/>
  <c r="L444" i="1"/>
  <c r="N444" i="1"/>
  <c r="M444" i="1"/>
  <c r="C444" i="1"/>
  <c r="H444" i="1"/>
  <c r="F444" i="1"/>
  <c r="B444" i="1"/>
  <c r="D443" i="1"/>
  <c r="E443" i="1"/>
  <c r="G443" i="1"/>
  <c r="I443" i="1"/>
  <c r="J443" i="1"/>
  <c r="L443" i="1"/>
  <c r="N443" i="1"/>
  <c r="M443" i="1"/>
  <c r="C443" i="1"/>
  <c r="H443" i="1"/>
  <c r="F443" i="1"/>
  <c r="B443" i="1"/>
  <c r="D442" i="1"/>
  <c r="E442" i="1"/>
  <c r="G442" i="1"/>
  <c r="I442" i="1"/>
  <c r="J442" i="1"/>
  <c r="L442" i="1"/>
  <c r="N442" i="1"/>
  <c r="M442" i="1"/>
  <c r="C442" i="1"/>
  <c r="H442" i="1"/>
  <c r="F442" i="1"/>
  <c r="B442" i="1"/>
  <c r="D441" i="1"/>
  <c r="E441" i="1"/>
  <c r="G441" i="1"/>
  <c r="I441" i="1"/>
  <c r="J441" i="1"/>
  <c r="L441" i="1"/>
  <c r="N441" i="1"/>
  <c r="M441" i="1"/>
  <c r="C441" i="1"/>
  <c r="H441" i="1"/>
  <c r="F441" i="1"/>
  <c r="B441" i="1"/>
  <c r="D440" i="1"/>
  <c r="E440" i="1"/>
  <c r="G440" i="1"/>
  <c r="I440" i="1"/>
  <c r="J440" i="1"/>
  <c r="L440" i="1"/>
  <c r="N440" i="1"/>
  <c r="M440" i="1"/>
  <c r="C440" i="1"/>
  <c r="H440" i="1"/>
  <c r="F440" i="1"/>
  <c r="B440" i="1"/>
  <c r="D439" i="1"/>
  <c r="E439" i="1"/>
  <c r="G439" i="1"/>
  <c r="I439" i="1"/>
  <c r="J439" i="1"/>
  <c r="L439" i="1"/>
  <c r="N439" i="1"/>
  <c r="M439" i="1"/>
  <c r="C439" i="1"/>
  <c r="H439" i="1"/>
  <c r="F439" i="1"/>
  <c r="B439" i="1"/>
  <c r="D438" i="1"/>
  <c r="E438" i="1"/>
  <c r="G438" i="1"/>
  <c r="I438" i="1"/>
  <c r="J438" i="1"/>
  <c r="L438" i="1"/>
  <c r="N438" i="1"/>
  <c r="M438" i="1"/>
  <c r="C438" i="1"/>
  <c r="H438" i="1"/>
  <c r="F438" i="1"/>
  <c r="B438" i="1"/>
  <c r="D437" i="1"/>
  <c r="E437" i="1"/>
  <c r="G437" i="1"/>
  <c r="I437" i="1"/>
  <c r="J437" i="1"/>
  <c r="L437" i="1"/>
  <c r="N437" i="1"/>
  <c r="M437" i="1"/>
  <c r="C437" i="1"/>
  <c r="H437" i="1"/>
  <c r="F437" i="1"/>
  <c r="B437" i="1"/>
  <c r="D436" i="1"/>
  <c r="E436" i="1"/>
  <c r="G436" i="1"/>
  <c r="I436" i="1"/>
  <c r="J436" i="1"/>
  <c r="L436" i="1"/>
  <c r="N436" i="1"/>
  <c r="M436" i="1"/>
  <c r="C436" i="1"/>
  <c r="H436" i="1"/>
  <c r="F436" i="1"/>
  <c r="B436" i="1"/>
  <c r="D435" i="1"/>
  <c r="E435" i="1"/>
  <c r="G435" i="1"/>
  <c r="I435" i="1"/>
  <c r="J435" i="1"/>
  <c r="L435" i="1"/>
  <c r="N435" i="1"/>
  <c r="M435" i="1"/>
  <c r="C435" i="1"/>
  <c r="H435" i="1"/>
  <c r="F435" i="1"/>
  <c r="B435" i="1"/>
  <c r="D434" i="1"/>
  <c r="E434" i="1"/>
  <c r="G434" i="1"/>
  <c r="I434" i="1"/>
  <c r="J434" i="1"/>
  <c r="L434" i="1"/>
  <c r="N434" i="1"/>
  <c r="M434" i="1"/>
  <c r="C434" i="1"/>
  <c r="H434" i="1"/>
  <c r="F434" i="1"/>
  <c r="B434" i="1"/>
  <c r="D433" i="1"/>
  <c r="E433" i="1"/>
  <c r="G433" i="1"/>
  <c r="I433" i="1"/>
  <c r="J433" i="1"/>
  <c r="L433" i="1"/>
  <c r="N433" i="1"/>
  <c r="M433" i="1"/>
  <c r="C433" i="1"/>
  <c r="H433" i="1"/>
  <c r="F433" i="1"/>
  <c r="B433" i="1"/>
  <c r="D432" i="1"/>
  <c r="E432" i="1"/>
  <c r="G432" i="1"/>
  <c r="I432" i="1"/>
  <c r="J432" i="1"/>
  <c r="L432" i="1"/>
  <c r="N432" i="1"/>
  <c r="M432" i="1"/>
  <c r="C432" i="1"/>
  <c r="H432" i="1"/>
  <c r="F432" i="1"/>
  <c r="B432" i="1"/>
  <c r="D431" i="1"/>
  <c r="E431" i="1"/>
  <c r="G431" i="1"/>
  <c r="I431" i="1"/>
  <c r="J431" i="1"/>
  <c r="L431" i="1"/>
  <c r="N431" i="1"/>
  <c r="M431" i="1"/>
  <c r="C431" i="1"/>
  <c r="H431" i="1"/>
  <c r="F431" i="1"/>
  <c r="B431" i="1"/>
  <c r="D430" i="1"/>
  <c r="E430" i="1"/>
  <c r="G430" i="1"/>
  <c r="I430" i="1"/>
  <c r="J430" i="1"/>
  <c r="L430" i="1"/>
  <c r="N430" i="1"/>
  <c r="M430" i="1"/>
  <c r="C430" i="1"/>
  <c r="H430" i="1"/>
  <c r="F430" i="1"/>
  <c r="B430" i="1"/>
  <c r="D429" i="1"/>
  <c r="E429" i="1"/>
  <c r="G429" i="1"/>
  <c r="I429" i="1"/>
  <c r="J429" i="1"/>
  <c r="L429" i="1"/>
  <c r="N429" i="1"/>
  <c r="M429" i="1"/>
  <c r="C429" i="1"/>
  <c r="H429" i="1"/>
  <c r="F429" i="1"/>
  <c r="B429" i="1"/>
  <c r="D428" i="1"/>
  <c r="E428" i="1"/>
  <c r="G428" i="1"/>
  <c r="I428" i="1"/>
  <c r="J428" i="1"/>
  <c r="L428" i="1"/>
  <c r="N428" i="1"/>
  <c r="M428" i="1"/>
  <c r="C428" i="1"/>
  <c r="H428" i="1"/>
  <c r="F428" i="1"/>
  <c r="B428" i="1"/>
  <c r="D427" i="1"/>
  <c r="E427" i="1"/>
  <c r="G427" i="1"/>
  <c r="I427" i="1"/>
  <c r="J427" i="1"/>
  <c r="L427" i="1"/>
  <c r="N427" i="1"/>
  <c r="M427" i="1"/>
  <c r="C427" i="1"/>
  <c r="H427" i="1"/>
  <c r="F427" i="1"/>
  <c r="B427" i="1"/>
  <c r="D426" i="1"/>
  <c r="E426" i="1"/>
  <c r="G426" i="1"/>
  <c r="I426" i="1"/>
  <c r="J426" i="1"/>
  <c r="L426" i="1"/>
  <c r="N426" i="1"/>
  <c r="M426" i="1"/>
  <c r="C426" i="1"/>
  <c r="H426" i="1"/>
  <c r="F426" i="1"/>
  <c r="B426" i="1"/>
  <c r="D425" i="1"/>
  <c r="E425" i="1"/>
  <c r="G425" i="1"/>
  <c r="I425" i="1"/>
  <c r="J425" i="1"/>
  <c r="L425" i="1"/>
  <c r="N425" i="1"/>
  <c r="M425" i="1"/>
  <c r="C425" i="1"/>
  <c r="H425" i="1"/>
  <c r="F425" i="1"/>
  <c r="B425" i="1"/>
  <c r="D424" i="1"/>
  <c r="E424" i="1"/>
  <c r="G424" i="1"/>
  <c r="I424" i="1"/>
  <c r="J424" i="1"/>
  <c r="L424" i="1"/>
  <c r="N424" i="1"/>
  <c r="M424" i="1"/>
  <c r="C424" i="1"/>
  <c r="H424" i="1"/>
  <c r="F424" i="1"/>
  <c r="B424" i="1"/>
  <c r="D423" i="1"/>
  <c r="E423" i="1"/>
  <c r="G423" i="1"/>
  <c r="I423" i="1"/>
  <c r="J423" i="1"/>
  <c r="L423" i="1"/>
  <c r="N423" i="1"/>
  <c r="M423" i="1"/>
  <c r="C423" i="1"/>
  <c r="H423" i="1"/>
  <c r="F423" i="1"/>
  <c r="B423" i="1"/>
  <c r="D422" i="1"/>
  <c r="E422" i="1"/>
  <c r="G422" i="1"/>
  <c r="I422" i="1"/>
  <c r="J422" i="1"/>
  <c r="L422" i="1"/>
  <c r="N422" i="1"/>
  <c r="M422" i="1"/>
  <c r="C422" i="1"/>
  <c r="H422" i="1"/>
  <c r="F422" i="1"/>
  <c r="B422" i="1"/>
  <c r="D421" i="1"/>
  <c r="E421" i="1"/>
  <c r="G421" i="1"/>
  <c r="I421" i="1"/>
  <c r="J421" i="1"/>
  <c r="L421" i="1"/>
  <c r="N421" i="1"/>
  <c r="M421" i="1"/>
  <c r="C421" i="1"/>
  <c r="H421" i="1"/>
  <c r="F421" i="1"/>
  <c r="B421" i="1"/>
  <c r="D420" i="1"/>
  <c r="E420" i="1"/>
  <c r="G420" i="1"/>
  <c r="I420" i="1"/>
  <c r="J420" i="1"/>
  <c r="L420" i="1"/>
  <c r="N420" i="1"/>
  <c r="M420" i="1"/>
  <c r="C420" i="1"/>
  <c r="H420" i="1"/>
  <c r="F420" i="1"/>
  <c r="B420" i="1"/>
  <c r="D419" i="1"/>
  <c r="E419" i="1"/>
  <c r="G419" i="1"/>
  <c r="I419" i="1"/>
  <c r="J419" i="1"/>
  <c r="L419" i="1"/>
  <c r="N419" i="1"/>
  <c r="M419" i="1"/>
  <c r="C419" i="1"/>
  <c r="H419" i="1"/>
  <c r="F419" i="1"/>
  <c r="B419" i="1"/>
  <c r="D418" i="1"/>
  <c r="E418" i="1"/>
  <c r="G418" i="1"/>
  <c r="I418" i="1"/>
  <c r="J418" i="1"/>
  <c r="L418" i="1"/>
  <c r="N418" i="1"/>
  <c r="M418" i="1"/>
  <c r="C418" i="1"/>
  <c r="H418" i="1"/>
  <c r="F418" i="1"/>
  <c r="B418" i="1"/>
  <c r="D417" i="1"/>
  <c r="E417" i="1"/>
  <c r="G417" i="1"/>
  <c r="I417" i="1"/>
  <c r="J417" i="1"/>
  <c r="L417" i="1"/>
  <c r="N417" i="1"/>
  <c r="M417" i="1"/>
  <c r="C417" i="1"/>
  <c r="H417" i="1"/>
  <c r="F417" i="1"/>
  <c r="B417" i="1"/>
  <c r="D416" i="1"/>
  <c r="E416" i="1"/>
  <c r="G416" i="1"/>
  <c r="I416" i="1"/>
  <c r="J416" i="1"/>
  <c r="L416" i="1"/>
  <c r="N416" i="1"/>
  <c r="M416" i="1"/>
  <c r="C416" i="1"/>
  <c r="H416" i="1"/>
  <c r="F416" i="1"/>
  <c r="B416" i="1"/>
  <c r="D415" i="1"/>
  <c r="E415" i="1"/>
  <c r="G415" i="1"/>
  <c r="I415" i="1"/>
  <c r="J415" i="1"/>
  <c r="L415" i="1"/>
  <c r="N415" i="1"/>
  <c r="M415" i="1"/>
  <c r="C415" i="1"/>
  <c r="H415" i="1"/>
  <c r="F415" i="1"/>
  <c r="B415" i="1"/>
  <c r="D414" i="1"/>
  <c r="E414" i="1"/>
  <c r="G414" i="1"/>
  <c r="I414" i="1"/>
  <c r="J414" i="1"/>
  <c r="L414" i="1"/>
  <c r="N414" i="1"/>
  <c r="M414" i="1"/>
  <c r="C414" i="1"/>
  <c r="H414" i="1"/>
  <c r="F414" i="1"/>
  <c r="B414" i="1"/>
  <c r="D413" i="1"/>
  <c r="E413" i="1"/>
  <c r="G413" i="1"/>
  <c r="I413" i="1"/>
  <c r="J413" i="1"/>
  <c r="L413" i="1"/>
  <c r="N413" i="1"/>
  <c r="M413" i="1"/>
  <c r="C413" i="1"/>
  <c r="H413" i="1"/>
  <c r="F413" i="1"/>
  <c r="B413" i="1"/>
  <c r="D412" i="1"/>
  <c r="E412" i="1"/>
  <c r="G412" i="1"/>
  <c r="I412" i="1"/>
  <c r="J412" i="1"/>
  <c r="L412" i="1"/>
  <c r="N412" i="1"/>
  <c r="M412" i="1"/>
  <c r="C412" i="1"/>
  <c r="H412" i="1"/>
  <c r="F412" i="1"/>
  <c r="B412" i="1"/>
  <c r="D411" i="1"/>
  <c r="E411" i="1"/>
  <c r="G411" i="1"/>
  <c r="I411" i="1"/>
  <c r="J411" i="1"/>
  <c r="L411" i="1"/>
  <c r="N411" i="1"/>
  <c r="M411" i="1"/>
  <c r="C411" i="1"/>
  <c r="H411" i="1"/>
  <c r="F411" i="1"/>
  <c r="B411" i="1"/>
  <c r="D410" i="1"/>
  <c r="E410" i="1"/>
  <c r="G410" i="1"/>
  <c r="I410" i="1"/>
  <c r="J410" i="1"/>
  <c r="L410" i="1"/>
  <c r="N410" i="1"/>
  <c r="M410" i="1"/>
  <c r="C410" i="1"/>
  <c r="H410" i="1"/>
  <c r="F410" i="1"/>
  <c r="B410" i="1"/>
  <c r="D409" i="1"/>
  <c r="E409" i="1"/>
  <c r="G409" i="1"/>
  <c r="I409" i="1"/>
  <c r="J409" i="1"/>
  <c r="L409" i="1"/>
  <c r="N409" i="1"/>
  <c r="M409" i="1"/>
  <c r="C409" i="1"/>
  <c r="H409" i="1"/>
  <c r="F409" i="1"/>
  <c r="B409" i="1"/>
  <c r="D408" i="1"/>
  <c r="E408" i="1"/>
  <c r="G408" i="1"/>
  <c r="I408" i="1"/>
  <c r="J408" i="1"/>
  <c r="L408" i="1"/>
  <c r="N408" i="1"/>
  <c r="M408" i="1"/>
  <c r="C408" i="1"/>
  <c r="H408" i="1"/>
  <c r="F408" i="1"/>
  <c r="B408" i="1"/>
  <c r="D407" i="1"/>
  <c r="E407" i="1"/>
  <c r="G407" i="1"/>
  <c r="I407" i="1"/>
  <c r="J407" i="1"/>
  <c r="L407" i="1"/>
  <c r="N407" i="1"/>
  <c r="M407" i="1"/>
  <c r="C407" i="1"/>
  <c r="H407" i="1"/>
  <c r="F407" i="1"/>
  <c r="B407" i="1"/>
  <c r="D406" i="1"/>
  <c r="E406" i="1"/>
  <c r="G406" i="1"/>
  <c r="I406" i="1"/>
  <c r="J406" i="1"/>
  <c r="L406" i="1"/>
  <c r="N406" i="1"/>
  <c r="M406" i="1"/>
  <c r="C406" i="1"/>
  <c r="H406" i="1"/>
  <c r="F406" i="1"/>
  <c r="B406" i="1"/>
  <c r="D405" i="1"/>
  <c r="E405" i="1"/>
  <c r="G405" i="1"/>
  <c r="I405" i="1"/>
  <c r="J405" i="1"/>
  <c r="L405" i="1"/>
  <c r="N405" i="1"/>
  <c r="M405" i="1"/>
  <c r="C405" i="1"/>
  <c r="H405" i="1"/>
  <c r="F405" i="1"/>
  <c r="B405" i="1"/>
  <c r="D404" i="1"/>
  <c r="E404" i="1"/>
  <c r="G404" i="1"/>
  <c r="I404" i="1"/>
  <c r="J404" i="1"/>
  <c r="L404" i="1"/>
  <c r="N404" i="1"/>
  <c r="M404" i="1"/>
  <c r="C404" i="1"/>
  <c r="H404" i="1"/>
  <c r="F404" i="1"/>
  <c r="B404" i="1"/>
  <c r="D403" i="1"/>
  <c r="E403" i="1"/>
  <c r="G403" i="1"/>
  <c r="I403" i="1"/>
  <c r="J403" i="1"/>
  <c r="L403" i="1"/>
  <c r="N403" i="1"/>
  <c r="M403" i="1"/>
  <c r="C403" i="1"/>
  <c r="H403" i="1"/>
  <c r="F403" i="1"/>
  <c r="B403" i="1"/>
  <c r="D402" i="1"/>
  <c r="E402" i="1"/>
  <c r="G402" i="1"/>
  <c r="I402" i="1"/>
  <c r="J402" i="1"/>
  <c r="L402" i="1"/>
  <c r="N402" i="1"/>
  <c r="M402" i="1"/>
  <c r="C402" i="1"/>
  <c r="H402" i="1"/>
  <c r="F402" i="1"/>
  <c r="B402" i="1"/>
  <c r="D401" i="1"/>
  <c r="E401" i="1"/>
  <c r="G401" i="1"/>
  <c r="I401" i="1"/>
  <c r="J401" i="1"/>
  <c r="L401" i="1"/>
  <c r="N401" i="1"/>
  <c r="M401" i="1"/>
  <c r="C401" i="1"/>
  <c r="H401" i="1"/>
  <c r="F401" i="1"/>
  <c r="B401" i="1"/>
  <c r="D400" i="1"/>
  <c r="E400" i="1"/>
  <c r="G400" i="1"/>
  <c r="I400" i="1"/>
  <c r="J400" i="1"/>
  <c r="L400" i="1"/>
  <c r="N400" i="1"/>
  <c r="M400" i="1"/>
  <c r="C400" i="1"/>
  <c r="H400" i="1"/>
  <c r="F400" i="1"/>
  <c r="B400" i="1"/>
  <c r="D399" i="1"/>
  <c r="E399" i="1"/>
  <c r="G399" i="1"/>
  <c r="I399" i="1"/>
  <c r="J399" i="1"/>
  <c r="L399" i="1"/>
  <c r="N399" i="1"/>
  <c r="M399" i="1"/>
  <c r="C399" i="1"/>
  <c r="H399" i="1"/>
  <c r="F399" i="1"/>
  <c r="B399" i="1"/>
  <c r="D398" i="1"/>
  <c r="E398" i="1"/>
  <c r="G398" i="1"/>
  <c r="I398" i="1"/>
  <c r="J398" i="1"/>
  <c r="L398" i="1"/>
  <c r="N398" i="1"/>
  <c r="M398" i="1"/>
  <c r="C398" i="1"/>
  <c r="H398" i="1"/>
  <c r="F398" i="1"/>
  <c r="B398" i="1"/>
  <c r="D397" i="1"/>
  <c r="E397" i="1"/>
  <c r="G397" i="1"/>
  <c r="I397" i="1"/>
  <c r="J397" i="1"/>
  <c r="L397" i="1"/>
  <c r="N397" i="1"/>
  <c r="M397" i="1"/>
  <c r="C397" i="1"/>
  <c r="H397" i="1"/>
  <c r="F397" i="1"/>
  <c r="B397" i="1"/>
  <c r="D396" i="1"/>
  <c r="E396" i="1"/>
  <c r="G396" i="1"/>
  <c r="I396" i="1"/>
  <c r="J396" i="1"/>
  <c r="L396" i="1"/>
  <c r="N396" i="1"/>
  <c r="M396" i="1"/>
  <c r="C396" i="1"/>
  <c r="H396" i="1"/>
  <c r="F396" i="1"/>
  <c r="B396" i="1"/>
  <c r="D395" i="1"/>
  <c r="E395" i="1"/>
  <c r="G395" i="1"/>
  <c r="I395" i="1"/>
  <c r="J395" i="1"/>
  <c r="L395" i="1"/>
  <c r="N395" i="1"/>
  <c r="M395" i="1"/>
  <c r="C395" i="1"/>
  <c r="H395" i="1"/>
  <c r="F395" i="1"/>
  <c r="B395" i="1"/>
  <c r="D394" i="1"/>
  <c r="E394" i="1"/>
  <c r="G394" i="1"/>
  <c r="I394" i="1"/>
  <c r="J394" i="1"/>
  <c r="L394" i="1"/>
  <c r="N394" i="1"/>
  <c r="M394" i="1"/>
  <c r="C394" i="1"/>
  <c r="H394" i="1"/>
  <c r="F394" i="1"/>
  <c r="B394" i="1"/>
  <c r="D393" i="1"/>
  <c r="E393" i="1"/>
  <c r="G393" i="1"/>
  <c r="I393" i="1"/>
  <c r="J393" i="1"/>
  <c r="L393" i="1"/>
  <c r="N393" i="1"/>
  <c r="M393" i="1"/>
  <c r="C393" i="1"/>
  <c r="H393" i="1"/>
  <c r="F393" i="1"/>
  <c r="B393" i="1"/>
  <c r="D392" i="1"/>
  <c r="E392" i="1"/>
  <c r="G392" i="1"/>
  <c r="I392" i="1"/>
  <c r="J392" i="1"/>
  <c r="L392" i="1"/>
  <c r="N392" i="1"/>
  <c r="M392" i="1"/>
  <c r="C392" i="1"/>
  <c r="H392" i="1"/>
  <c r="F392" i="1"/>
  <c r="B392" i="1"/>
  <c r="D391" i="1"/>
  <c r="E391" i="1"/>
  <c r="G391" i="1"/>
  <c r="I391" i="1"/>
  <c r="J391" i="1"/>
  <c r="L391" i="1"/>
  <c r="N391" i="1"/>
  <c r="M391" i="1"/>
  <c r="C391" i="1"/>
  <c r="H391" i="1"/>
  <c r="F391" i="1"/>
  <c r="B391" i="1"/>
  <c r="D390" i="1"/>
  <c r="E390" i="1"/>
  <c r="G390" i="1"/>
  <c r="I390" i="1"/>
  <c r="J390" i="1"/>
  <c r="L390" i="1"/>
  <c r="N390" i="1"/>
  <c r="M390" i="1"/>
  <c r="C390" i="1"/>
  <c r="H390" i="1"/>
  <c r="F390" i="1"/>
  <c r="B390" i="1"/>
  <c r="D389" i="1"/>
  <c r="E389" i="1"/>
  <c r="G389" i="1"/>
  <c r="I389" i="1"/>
  <c r="J389" i="1"/>
  <c r="L389" i="1"/>
  <c r="N389" i="1"/>
  <c r="M389" i="1"/>
  <c r="C389" i="1"/>
  <c r="H389" i="1"/>
  <c r="F389" i="1"/>
  <c r="B389" i="1"/>
  <c r="D388" i="1"/>
  <c r="E388" i="1"/>
  <c r="G388" i="1"/>
  <c r="I388" i="1"/>
  <c r="J388" i="1"/>
  <c r="L388" i="1"/>
  <c r="N388" i="1"/>
  <c r="M388" i="1"/>
  <c r="C388" i="1"/>
  <c r="H388" i="1"/>
  <c r="F388" i="1"/>
  <c r="B388" i="1"/>
  <c r="D387" i="1"/>
  <c r="E387" i="1"/>
  <c r="G387" i="1"/>
  <c r="I387" i="1"/>
  <c r="J387" i="1"/>
  <c r="L387" i="1"/>
  <c r="N387" i="1"/>
  <c r="M387" i="1"/>
  <c r="C387" i="1"/>
  <c r="H387" i="1"/>
  <c r="F387" i="1"/>
  <c r="B387" i="1"/>
  <c r="D386" i="1"/>
  <c r="E386" i="1"/>
  <c r="G386" i="1"/>
  <c r="I386" i="1"/>
  <c r="J386" i="1"/>
  <c r="L386" i="1"/>
  <c r="N386" i="1"/>
  <c r="M386" i="1"/>
  <c r="C386" i="1"/>
  <c r="H386" i="1"/>
  <c r="F386" i="1"/>
  <c r="B386" i="1"/>
  <c r="D385" i="1"/>
  <c r="E385" i="1"/>
  <c r="G385" i="1"/>
  <c r="I385" i="1"/>
  <c r="J385" i="1"/>
  <c r="L385" i="1"/>
  <c r="N385" i="1"/>
  <c r="M385" i="1"/>
  <c r="C385" i="1"/>
  <c r="H385" i="1"/>
  <c r="F385" i="1"/>
  <c r="B385" i="1"/>
  <c r="D384" i="1"/>
  <c r="E384" i="1"/>
  <c r="G384" i="1"/>
  <c r="I384" i="1"/>
  <c r="J384" i="1"/>
  <c r="L384" i="1"/>
  <c r="N384" i="1"/>
  <c r="M384" i="1"/>
  <c r="C384" i="1"/>
  <c r="H384" i="1"/>
  <c r="F384" i="1"/>
  <c r="B384" i="1"/>
  <c r="D383" i="1"/>
  <c r="E383" i="1"/>
  <c r="G383" i="1"/>
  <c r="I383" i="1"/>
  <c r="J383" i="1"/>
  <c r="L383" i="1"/>
  <c r="N383" i="1"/>
  <c r="M383" i="1"/>
  <c r="C383" i="1"/>
  <c r="H383" i="1"/>
  <c r="F383" i="1"/>
  <c r="B383" i="1"/>
  <c r="D382" i="1"/>
  <c r="E382" i="1"/>
  <c r="G382" i="1"/>
  <c r="I382" i="1"/>
  <c r="J382" i="1"/>
  <c r="L382" i="1"/>
  <c r="N382" i="1"/>
  <c r="M382" i="1"/>
  <c r="C382" i="1"/>
  <c r="H382" i="1"/>
  <c r="F382" i="1"/>
  <c r="B382" i="1"/>
  <c r="D381" i="1"/>
  <c r="E381" i="1"/>
  <c r="G381" i="1"/>
  <c r="I381" i="1"/>
  <c r="J381" i="1"/>
  <c r="L381" i="1"/>
  <c r="N381" i="1"/>
  <c r="M381" i="1"/>
  <c r="C381" i="1"/>
  <c r="H381" i="1"/>
  <c r="F381" i="1"/>
  <c r="B381" i="1"/>
  <c r="D380" i="1"/>
  <c r="E380" i="1"/>
  <c r="G380" i="1"/>
  <c r="I380" i="1"/>
  <c r="J380" i="1"/>
  <c r="L380" i="1"/>
  <c r="N380" i="1"/>
  <c r="M380" i="1"/>
  <c r="C380" i="1"/>
  <c r="H380" i="1"/>
  <c r="F380" i="1"/>
  <c r="B380" i="1"/>
  <c r="D379" i="1"/>
  <c r="E379" i="1"/>
  <c r="G379" i="1"/>
  <c r="I379" i="1"/>
  <c r="J379" i="1"/>
  <c r="L379" i="1"/>
  <c r="N379" i="1"/>
  <c r="M379" i="1"/>
  <c r="C379" i="1"/>
  <c r="H379" i="1"/>
  <c r="F379" i="1"/>
  <c r="B379" i="1"/>
  <c r="D378" i="1"/>
  <c r="E378" i="1"/>
  <c r="G378" i="1"/>
  <c r="I378" i="1"/>
  <c r="J378" i="1"/>
  <c r="L378" i="1"/>
  <c r="N378" i="1"/>
  <c r="M378" i="1"/>
  <c r="C378" i="1"/>
  <c r="H378" i="1"/>
  <c r="F378" i="1"/>
  <c r="B378" i="1"/>
  <c r="D377" i="1"/>
  <c r="E377" i="1"/>
  <c r="G377" i="1"/>
  <c r="I377" i="1"/>
  <c r="J377" i="1"/>
  <c r="L377" i="1"/>
  <c r="N377" i="1"/>
  <c r="M377" i="1"/>
  <c r="C377" i="1"/>
  <c r="H377" i="1"/>
  <c r="F377" i="1"/>
  <c r="B377" i="1"/>
  <c r="D376" i="1"/>
  <c r="E376" i="1"/>
  <c r="G376" i="1"/>
  <c r="I376" i="1"/>
  <c r="J376" i="1"/>
  <c r="L376" i="1"/>
  <c r="N376" i="1"/>
  <c r="M376" i="1"/>
  <c r="C376" i="1"/>
  <c r="H376" i="1"/>
  <c r="F376" i="1"/>
  <c r="B376" i="1"/>
  <c r="D375" i="1"/>
  <c r="E375" i="1"/>
  <c r="G375" i="1"/>
  <c r="I375" i="1"/>
  <c r="J375" i="1"/>
  <c r="L375" i="1"/>
  <c r="N375" i="1"/>
  <c r="M375" i="1"/>
  <c r="C375" i="1"/>
  <c r="H375" i="1"/>
  <c r="F375" i="1"/>
  <c r="B375" i="1"/>
  <c r="D374" i="1"/>
  <c r="E374" i="1"/>
  <c r="G374" i="1"/>
  <c r="I374" i="1"/>
  <c r="J374" i="1"/>
  <c r="L374" i="1"/>
  <c r="N374" i="1"/>
  <c r="M374" i="1"/>
  <c r="C374" i="1"/>
  <c r="H374" i="1"/>
  <c r="F374" i="1"/>
  <c r="B374" i="1"/>
  <c r="D373" i="1"/>
  <c r="E373" i="1"/>
  <c r="G373" i="1"/>
  <c r="I373" i="1"/>
  <c r="J373" i="1"/>
  <c r="L373" i="1"/>
  <c r="N373" i="1"/>
  <c r="M373" i="1"/>
  <c r="C373" i="1"/>
  <c r="H373" i="1"/>
  <c r="F373" i="1"/>
  <c r="B373" i="1"/>
  <c r="D372" i="1"/>
  <c r="E372" i="1"/>
  <c r="G372" i="1"/>
  <c r="I372" i="1"/>
  <c r="J372" i="1"/>
  <c r="L372" i="1"/>
  <c r="N372" i="1"/>
  <c r="M372" i="1"/>
  <c r="C372" i="1"/>
  <c r="H372" i="1"/>
  <c r="F372" i="1"/>
  <c r="B372" i="1"/>
  <c r="D371" i="1"/>
  <c r="E371" i="1"/>
  <c r="G371" i="1"/>
  <c r="I371" i="1"/>
  <c r="J371" i="1"/>
  <c r="L371" i="1"/>
  <c r="N371" i="1"/>
  <c r="M371" i="1"/>
  <c r="C371" i="1"/>
  <c r="H371" i="1"/>
  <c r="F371" i="1"/>
  <c r="B371" i="1"/>
  <c r="D370" i="1"/>
  <c r="E370" i="1"/>
  <c r="G370" i="1"/>
  <c r="I370" i="1"/>
  <c r="J370" i="1"/>
  <c r="L370" i="1"/>
  <c r="N370" i="1"/>
  <c r="M370" i="1"/>
  <c r="C370" i="1"/>
  <c r="H370" i="1"/>
  <c r="F370" i="1"/>
  <c r="B370" i="1"/>
  <c r="D369" i="1"/>
  <c r="E369" i="1"/>
  <c r="G369" i="1"/>
  <c r="I369" i="1"/>
  <c r="J369" i="1"/>
  <c r="L369" i="1"/>
  <c r="N369" i="1"/>
  <c r="M369" i="1"/>
  <c r="C369" i="1"/>
  <c r="H369" i="1"/>
  <c r="F369" i="1"/>
  <c r="B369" i="1"/>
  <c r="D368" i="1"/>
  <c r="E368" i="1"/>
  <c r="G368" i="1"/>
  <c r="I368" i="1"/>
  <c r="J368" i="1"/>
  <c r="L368" i="1"/>
  <c r="N368" i="1"/>
  <c r="M368" i="1"/>
  <c r="C368" i="1"/>
  <c r="H368" i="1"/>
  <c r="F368" i="1"/>
  <c r="B368" i="1"/>
  <c r="D367" i="1"/>
  <c r="E367" i="1"/>
  <c r="G367" i="1"/>
  <c r="I367" i="1"/>
  <c r="J367" i="1"/>
  <c r="L367" i="1"/>
  <c r="N367" i="1"/>
  <c r="M367" i="1"/>
  <c r="C367" i="1"/>
  <c r="H367" i="1"/>
  <c r="F367" i="1"/>
  <c r="B367" i="1"/>
  <c r="D366" i="1"/>
  <c r="E366" i="1"/>
  <c r="G366" i="1"/>
  <c r="I366" i="1"/>
  <c r="J366" i="1"/>
  <c r="L366" i="1"/>
  <c r="N366" i="1"/>
  <c r="M366" i="1"/>
  <c r="C366" i="1"/>
  <c r="H366" i="1"/>
  <c r="F366" i="1"/>
  <c r="B366" i="1"/>
  <c r="D365" i="1"/>
  <c r="E365" i="1"/>
  <c r="G365" i="1"/>
  <c r="I365" i="1"/>
  <c r="J365" i="1"/>
  <c r="L365" i="1"/>
  <c r="N365" i="1"/>
  <c r="M365" i="1"/>
  <c r="C365" i="1"/>
  <c r="H365" i="1"/>
  <c r="F365" i="1"/>
  <c r="B365" i="1"/>
  <c r="D364" i="1"/>
  <c r="E364" i="1"/>
  <c r="G364" i="1"/>
  <c r="I364" i="1"/>
  <c r="J364" i="1"/>
  <c r="L364" i="1"/>
  <c r="N364" i="1"/>
  <c r="M364" i="1"/>
  <c r="C364" i="1"/>
  <c r="H364" i="1"/>
  <c r="F364" i="1"/>
  <c r="B364" i="1"/>
  <c r="D363" i="1"/>
  <c r="E363" i="1"/>
  <c r="G363" i="1"/>
  <c r="I363" i="1"/>
  <c r="J363" i="1"/>
  <c r="L363" i="1"/>
  <c r="N363" i="1"/>
  <c r="M363" i="1"/>
  <c r="C363" i="1"/>
  <c r="H363" i="1"/>
  <c r="F363" i="1"/>
  <c r="B363" i="1"/>
  <c r="D362" i="1"/>
  <c r="E362" i="1"/>
  <c r="G362" i="1"/>
  <c r="I362" i="1"/>
  <c r="J362" i="1"/>
  <c r="L362" i="1"/>
  <c r="N362" i="1"/>
  <c r="M362" i="1"/>
  <c r="C362" i="1"/>
  <c r="H362" i="1"/>
  <c r="F362" i="1"/>
  <c r="B362" i="1"/>
  <c r="D361" i="1"/>
  <c r="E361" i="1"/>
  <c r="G361" i="1"/>
  <c r="I361" i="1"/>
  <c r="J361" i="1"/>
  <c r="L361" i="1"/>
  <c r="N361" i="1"/>
  <c r="M361" i="1"/>
  <c r="C361" i="1"/>
  <c r="H361" i="1"/>
  <c r="F361" i="1"/>
  <c r="B361" i="1"/>
  <c r="D360" i="1"/>
  <c r="E360" i="1"/>
  <c r="G360" i="1"/>
  <c r="I360" i="1"/>
  <c r="J360" i="1"/>
  <c r="L360" i="1"/>
  <c r="N360" i="1"/>
  <c r="M360" i="1"/>
  <c r="C360" i="1"/>
  <c r="H360" i="1"/>
  <c r="F360" i="1"/>
  <c r="B360" i="1"/>
  <c r="D359" i="1"/>
  <c r="E359" i="1"/>
  <c r="G359" i="1"/>
  <c r="I359" i="1"/>
  <c r="J359" i="1"/>
  <c r="L359" i="1"/>
  <c r="N359" i="1"/>
  <c r="M359" i="1"/>
  <c r="C359" i="1"/>
  <c r="H359" i="1"/>
  <c r="F359" i="1"/>
  <c r="B359" i="1"/>
  <c r="D358" i="1"/>
  <c r="E358" i="1"/>
  <c r="G358" i="1"/>
  <c r="I358" i="1"/>
  <c r="J358" i="1"/>
  <c r="L358" i="1"/>
  <c r="N358" i="1"/>
  <c r="M358" i="1"/>
  <c r="C358" i="1"/>
  <c r="H358" i="1"/>
  <c r="F358" i="1"/>
  <c r="B358" i="1"/>
  <c r="D357" i="1"/>
  <c r="E357" i="1"/>
  <c r="G357" i="1"/>
  <c r="I357" i="1"/>
  <c r="J357" i="1"/>
  <c r="L357" i="1"/>
  <c r="N357" i="1"/>
  <c r="M357" i="1"/>
  <c r="C357" i="1"/>
  <c r="H357" i="1"/>
  <c r="F357" i="1"/>
  <c r="B357" i="1"/>
  <c r="D356" i="1"/>
  <c r="E356" i="1"/>
  <c r="G356" i="1"/>
  <c r="I356" i="1"/>
  <c r="J356" i="1"/>
  <c r="L356" i="1"/>
  <c r="N356" i="1"/>
  <c r="M356" i="1"/>
  <c r="C356" i="1"/>
  <c r="H356" i="1"/>
  <c r="F356" i="1"/>
  <c r="B356" i="1"/>
  <c r="D355" i="1"/>
  <c r="E355" i="1"/>
  <c r="G355" i="1"/>
  <c r="I355" i="1"/>
  <c r="J355" i="1"/>
  <c r="L355" i="1"/>
  <c r="N355" i="1"/>
  <c r="M355" i="1"/>
  <c r="C355" i="1"/>
  <c r="H355" i="1"/>
  <c r="F355" i="1"/>
  <c r="B355" i="1"/>
  <c r="D354" i="1"/>
  <c r="E354" i="1"/>
  <c r="G354" i="1"/>
  <c r="I354" i="1"/>
  <c r="J354" i="1"/>
  <c r="L354" i="1"/>
  <c r="N354" i="1"/>
  <c r="M354" i="1"/>
  <c r="C354" i="1"/>
  <c r="H354" i="1"/>
  <c r="F354" i="1"/>
  <c r="B354" i="1"/>
  <c r="D353" i="1"/>
  <c r="E353" i="1"/>
  <c r="G353" i="1"/>
  <c r="I353" i="1"/>
  <c r="J353" i="1"/>
  <c r="L353" i="1"/>
  <c r="N353" i="1"/>
  <c r="M353" i="1"/>
  <c r="C353" i="1"/>
  <c r="H353" i="1"/>
  <c r="F353" i="1"/>
  <c r="B353" i="1"/>
  <c r="D352" i="1"/>
  <c r="E352" i="1"/>
  <c r="G352" i="1"/>
  <c r="I352" i="1"/>
  <c r="J352" i="1"/>
  <c r="L352" i="1"/>
  <c r="N352" i="1"/>
  <c r="M352" i="1"/>
  <c r="C352" i="1"/>
  <c r="H352" i="1"/>
  <c r="F352" i="1"/>
  <c r="B352" i="1"/>
  <c r="D351" i="1"/>
  <c r="E351" i="1"/>
  <c r="G351" i="1"/>
  <c r="I351" i="1"/>
  <c r="J351" i="1"/>
  <c r="L351" i="1"/>
  <c r="N351" i="1"/>
  <c r="M351" i="1"/>
  <c r="C351" i="1"/>
  <c r="H351" i="1"/>
  <c r="F351" i="1"/>
  <c r="B351" i="1"/>
  <c r="D350" i="1"/>
  <c r="E350" i="1"/>
  <c r="G350" i="1"/>
  <c r="I350" i="1"/>
  <c r="J350" i="1"/>
  <c r="L350" i="1"/>
  <c r="N350" i="1"/>
  <c r="M350" i="1"/>
  <c r="C350" i="1"/>
  <c r="H350" i="1"/>
  <c r="F350" i="1"/>
  <c r="B350" i="1"/>
  <c r="D349" i="1"/>
  <c r="E349" i="1"/>
  <c r="G349" i="1"/>
  <c r="I349" i="1"/>
  <c r="J349" i="1"/>
  <c r="L349" i="1"/>
  <c r="N349" i="1"/>
  <c r="M349" i="1"/>
  <c r="C349" i="1"/>
  <c r="H349" i="1"/>
  <c r="F349" i="1"/>
  <c r="B349" i="1"/>
  <c r="D348" i="1"/>
  <c r="E348" i="1"/>
  <c r="G348" i="1"/>
  <c r="I348" i="1"/>
  <c r="J348" i="1"/>
  <c r="L348" i="1"/>
  <c r="N348" i="1"/>
  <c r="M348" i="1"/>
  <c r="C348" i="1"/>
  <c r="H348" i="1"/>
  <c r="F348" i="1"/>
  <c r="B348" i="1"/>
  <c r="D347" i="1"/>
  <c r="E347" i="1"/>
  <c r="G347" i="1"/>
  <c r="I347" i="1"/>
  <c r="J347" i="1"/>
  <c r="L347" i="1"/>
  <c r="N347" i="1"/>
  <c r="M347" i="1"/>
  <c r="C347" i="1"/>
  <c r="H347" i="1"/>
  <c r="F347" i="1"/>
  <c r="B347" i="1"/>
  <c r="D346" i="1"/>
  <c r="E346" i="1"/>
  <c r="G346" i="1"/>
  <c r="I346" i="1"/>
  <c r="J346" i="1"/>
  <c r="L346" i="1"/>
  <c r="N346" i="1"/>
  <c r="M346" i="1"/>
  <c r="C346" i="1"/>
  <c r="H346" i="1"/>
  <c r="F346" i="1"/>
  <c r="B346" i="1"/>
  <c r="D345" i="1"/>
  <c r="E345" i="1"/>
  <c r="G345" i="1"/>
  <c r="I345" i="1"/>
  <c r="J345" i="1"/>
  <c r="L345" i="1"/>
  <c r="N345" i="1"/>
  <c r="M345" i="1"/>
  <c r="C345" i="1"/>
  <c r="H345" i="1"/>
  <c r="F345" i="1"/>
  <c r="B345" i="1"/>
  <c r="D344" i="1"/>
  <c r="E344" i="1"/>
  <c r="G344" i="1"/>
  <c r="I344" i="1"/>
  <c r="J344" i="1"/>
  <c r="L344" i="1"/>
  <c r="N344" i="1"/>
  <c r="M344" i="1"/>
  <c r="C344" i="1"/>
  <c r="H344" i="1"/>
  <c r="F344" i="1"/>
  <c r="B344" i="1"/>
  <c r="D343" i="1"/>
  <c r="E343" i="1"/>
  <c r="G343" i="1"/>
  <c r="I343" i="1"/>
  <c r="J343" i="1"/>
  <c r="L343" i="1"/>
  <c r="N343" i="1"/>
  <c r="M343" i="1"/>
  <c r="C343" i="1"/>
  <c r="H343" i="1"/>
  <c r="F343" i="1"/>
  <c r="B343" i="1"/>
  <c r="D342" i="1"/>
  <c r="E342" i="1"/>
  <c r="G342" i="1"/>
  <c r="I342" i="1"/>
  <c r="J342" i="1"/>
  <c r="L342" i="1"/>
  <c r="N342" i="1"/>
  <c r="M342" i="1"/>
  <c r="C342" i="1"/>
  <c r="H342" i="1"/>
  <c r="F342" i="1"/>
  <c r="B342" i="1"/>
  <c r="D341" i="1"/>
  <c r="E341" i="1"/>
  <c r="G341" i="1"/>
  <c r="I341" i="1"/>
  <c r="J341" i="1"/>
  <c r="L341" i="1"/>
  <c r="N341" i="1"/>
  <c r="M341" i="1"/>
  <c r="C341" i="1"/>
  <c r="H341" i="1"/>
  <c r="F341" i="1"/>
  <c r="B341" i="1"/>
  <c r="D340" i="1"/>
  <c r="E340" i="1"/>
  <c r="G340" i="1"/>
  <c r="I340" i="1"/>
  <c r="J340" i="1"/>
  <c r="L340" i="1"/>
  <c r="N340" i="1"/>
  <c r="M340" i="1"/>
  <c r="C340" i="1"/>
  <c r="H340" i="1"/>
  <c r="F340" i="1"/>
  <c r="B340" i="1"/>
  <c r="D339" i="1"/>
  <c r="E339" i="1"/>
  <c r="G339" i="1"/>
  <c r="I339" i="1"/>
  <c r="J339" i="1"/>
  <c r="L339" i="1"/>
  <c r="N339" i="1"/>
  <c r="M339" i="1"/>
  <c r="C339" i="1"/>
  <c r="H339" i="1"/>
  <c r="F339" i="1"/>
  <c r="B339" i="1"/>
  <c r="D338" i="1"/>
  <c r="E338" i="1"/>
  <c r="G338" i="1"/>
  <c r="I338" i="1"/>
  <c r="J338" i="1"/>
  <c r="L338" i="1"/>
  <c r="N338" i="1"/>
  <c r="M338" i="1"/>
  <c r="C338" i="1"/>
  <c r="H338" i="1"/>
  <c r="F338" i="1"/>
  <c r="B338" i="1"/>
  <c r="D337" i="1"/>
  <c r="E337" i="1"/>
  <c r="G337" i="1"/>
  <c r="I337" i="1"/>
  <c r="J337" i="1"/>
  <c r="L337" i="1"/>
  <c r="N337" i="1"/>
  <c r="M337" i="1"/>
  <c r="C337" i="1"/>
  <c r="H337" i="1"/>
  <c r="F337" i="1"/>
  <c r="B337" i="1"/>
  <c r="D336" i="1"/>
  <c r="E336" i="1"/>
  <c r="G336" i="1"/>
  <c r="I336" i="1"/>
  <c r="J336" i="1"/>
  <c r="L336" i="1"/>
  <c r="N336" i="1"/>
  <c r="M336" i="1"/>
  <c r="C336" i="1"/>
  <c r="H336" i="1"/>
  <c r="F336" i="1"/>
  <c r="B336" i="1"/>
  <c r="D335" i="1"/>
  <c r="E335" i="1"/>
  <c r="G335" i="1"/>
  <c r="I335" i="1"/>
  <c r="J335" i="1"/>
  <c r="L335" i="1"/>
  <c r="N335" i="1"/>
  <c r="M335" i="1"/>
  <c r="C335" i="1"/>
  <c r="H335" i="1"/>
  <c r="F335" i="1"/>
  <c r="B335" i="1"/>
  <c r="D334" i="1"/>
  <c r="E334" i="1"/>
  <c r="G334" i="1"/>
  <c r="I334" i="1"/>
  <c r="J334" i="1"/>
  <c r="L334" i="1"/>
  <c r="N334" i="1"/>
  <c r="M334" i="1"/>
  <c r="C334" i="1"/>
  <c r="H334" i="1"/>
  <c r="F334" i="1"/>
  <c r="B334" i="1"/>
  <c r="D333" i="1"/>
  <c r="E333" i="1"/>
  <c r="G333" i="1"/>
  <c r="I333" i="1"/>
  <c r="J333" i="1"/>
  <c r="L333" i="1"/>
  <c r="N333" i="1"/>
  <c r="M333" i="1"/>
  <c r="C333" i="1"/>
  <c r="H333" i="1"/>
  <c r="F333" i="1"/>
  <c r="B333" i="1"/>
  <c r="D332" i="1"/>
  <c r="E332" i="1"/>
  <c r="G332" i="1"/>
  <c r="I332" i="1"/>
  <c r="J332" i="1"/>
  <c r="L332" i="1"/>
  <c r="N332" i="1"/>
  <c r="M332" i="1"/>
  <c r="C332" i="1"/>
  <c r="H332" i="1"/>
  <c r="F332" i="1"/>
  <c r="B332" i="1"/>
  <c r="D331" i="1"/>
  <c r="E331" i="1"/>
  <c r="G331" i="1"/>
  <c r="I331" i="1"/>
  <c r="J331" i="1"/>
  <c r="L331" i="1"/>
  <c r="N331" i="1"/>
  <c r="M331" i="1"/>
  <c r="C331" i="1"/>
  <c r="H331" i="1"/>
  <c r="F331" i="1"/>
  <c r="B331" i="1"/>
  <c r="D330" i="1"/>
  <c r="E330" i="1"/>
  <c r="G330" i="1"/>
  <c r="I330" i="1"/>
  <c r="J330" i="1"/>
  <c r="L330" i="1"/>
  <c r="N330" i="1"/>
  <c r="M330" i="1"/>
  <c r="C330" i="1"/>
  <c r="H330" i="1"/>
  <c r="F330" i="1"/>
  <c r="B330" i="1"/>
  <c r="D329" i="1"/>
  <c r="E329" i="1"/>
  <c r="G329" i="1"/>
  <c r="I329" i="1"/>
  <c r="J329" i="1"/>
  <c r="L329" i="1"/>
  <c r="N329" i="1"/>
  <c r="M329" i="1"/>
  <c r="C329" i="1"/>
  <c r="H329" i="1"/>
  <c r="F329" i="1"/>
  <c r="B329" i="1"/>
  <c r="D328" i="1"/>
  <c r="E328" i="1"/>
  <c r="G328" i="1"/>
  <c r="I328" i="1"/>
  <c r="J328" i="1"/>
  <c r="L328" i="1"/>
  <c r="N328" i="1"/>
  <c r="M328" i="1"/>
  <c r="C328" i="1"/>
  <c r="H328" i="1"/>
  <c r="F328" i="1"/>
  <c r="B328" i="1"/>
  <c r="D327" i="1"/>
  <c r="E327" i="1"/>
  <c r="G327" i="1"/>
  <c r="I327" i="1"/>
  <c r="J327" i="1"/>
  <c r="L327" i="1"/>
  <c r="N327" i="1"/>
  <c r="M327" i="1"/>
  <c r="C327" i="1"/>
  <c r="H327" i="1"/>
  <c r="F327" i="1"/>
  <c r="B327" i="1"/>
  <c r="D326" i="1"/>
  <c r="E326" i="1"/>
  <c r="G326" i="1"/>
  <c r="I326" i="1"/>
  <c r="J326" i="1"/>
  <c r="L326" i="1"/>
  <c r="N326" i="1"/>
  <c r="M326" i="1"/>
  <c r="C326" i="1"/>
  <c r="H326" i="1"/>
  <c r="F326" i="1"/>
  <c r="B326" i="1"/>
  <c r="D325" i="1"/>
  <c r="E325" i="1"/>
  <c r="G325" i="1"/>
  <c r="I325" i="1"/>
  <c r="J325" i="1"/>
  <c r="L325" i="1"/>
  <c r="N325" i="1"/>
  <c r="M325" i="1"/>
  <c r="C325" i="1"/>
  <c r="H325" i="1"/>
  <c r="F325" i="1"/>
  <c r="B325" i="1"/>
  <c r="D324" i="1"/>
  <c r="E324" i="1"/>
  <c r="G324" i="1"/>
  <c r="I324" i="1"/>
  <c r="J324" i="1"/>
  <c r="L324" i="1"/>
  <c r="N324" i="1"/>
  <c r="M324" i="1"/>
  <c r="C324" i="1"/>
  <c r="H324" i="1"/>
  <c r="F324" i="1"/>
  <c r="B324" i="1"/>
  <c r="D323" i="1"/>
  <c r="E323" i="1"/>
  <c r="G323" i="1"/>
  <c r="I323" i="1"/>
  <c r="J323" i="1"/>
  <c r="L323" i="1"/>
  <c r="N323" i="1"/>
  <c r="M323" i="1"/>
  <c r="C323" i="1"/>
  <c r="H323" i="1"/>
  <c r="F323" i="1"/>
  <c r="B323" i="1"/>
  <c r="D322" i="1"/>
  <c r="E322" i="1"/>
  <c r="G322" i="1"/>
  <c r="I322" i="1"/>
  <c r="J322" i="1"/>
  <c r="L322" i="1"/>
  <c r="N322" i="1"/>
  <c r="M322" i="1"/>
  <c r="C322" i="1"/>
  <c r="H322" i="1"/>
  <c r="F322" i="1"/>
  <c r="B322" i="1"/>
  <c r="D321" i="1"/>
  <c r="E321" i="1"/>
  <c r="G321" i="1"/>
  <c r="I321" i="1"/>
  <c r="J321" i="1"/>
  <c r="L321" i="1"/>
  <c r="N321" i="1"/>
  <c r="M321" i="1"/>
  <c r="C321" i="1"/>
  <c r="H321" i="1"/>
  <c r="F321" i="1"/>
  <c r="B321" i="1"/>
  <c r="D320" i="1"/>
  <c r="E320" i="1"/>
  <c r="G320" i="1"/>
  <c r="I320" i="1"/>
  <c r="J320" i="1"/>
  <c r="L320" i="1"/>
  <c r="N320" i="1"/>
  <c r="M320" i="1"/>
  <c r="C320" i="1"/>
  <c r="H320" i="1"/>
  <c r="F320" i="1"/>
  <c r="B320" i="1"/>
  <c r="D319" i="1"/>
  <c r="E319" i="1"/>
  <c r="G319" i="1"/>
  <c r="I319" i="1"/>
  <c r="J319" i="1"/>
  <c r="L319" i="1"/>
  <c r="N319" i="1"/>
  <c r="M319" i="1"/>
  <c r="C319" i="1"/>
  <c r="H319" i="1"/>
  <c r="F319" i="1"/>
  <c r="B319" i="1"/>
  <c r="D318" i="1"/>
  <c r="E318" i="1"/>
  <c r="G318" i="1"/>
  <c r="I318" i="1"/>
  <c r="J318" i="1"/>
  <c r="L318" i="1"/>
  <c r="N318" i="1"/>
  <c r="M318" i="1"/>
  <c r="C318" i="1"/>
  <c r="H318" i="1"/>
  <c r="F318" i="1"/>
  <c r="B318" i="1"/>
  <c r="D317" i="1"/>
  <c r="E317" i="1"/>
  <c r="G317" i="1"/>
  <c r="I317" i="1"/>
  <c r="J317" i="1"/>
  <c r="L317" i="1"/>
  <c r="N317" i="1"/>
  <c r="M317" i="1"/>
  <c r="C317" i="1"/>
  <c r="H317" i="1"/>
  <c r="F317" i="1"/>
  <c r="B317" i="1"/>
  <c r="D316" i="1"/>
  <c r="E316" i="1"/>
  <c r="G316" i="1"/>
  <c r="I316" i="1"/>
  <c r="J316" i="1"/>
  <c r="L316" i="1"/>
  <c r="N316" i="1"/>
  <c r="M316" i="1"/>
  <c r="C316" i="1"/>
  <c r="H316" i="1"/>
  <c r="F316" i="1"/>
  <c r="B316" i="1"/>
  <c r="D315" i="1"/>
  <c r="E315" i="1"/>
  <c r="G315" i="1"/>
  <c r="I315" i="1"/>
  <c r="J315" i="1"/>
  <c r="L315" i="1"/>
  <c r="N315" i="1"/>
  <c r="M315" i="1"/>
  <c r="C315" i="1"/>
  <c r="H315" i="1"/>
  <c r="F315" i="1"/>
  <c r="B315" i="1"/>
  <c r="D314" i="1"/>
  <c r="E314" i="1"/>
  <c r="G314" i="1"/>
  <c r="I314" i="1"/>
  <c r="J314" i="1"/>
  <c r="L314" i="1"/>
  <c r="N314" i="1"/>
  <c r="M314" i="1"/>
  <c r="C314" i="1"/>
  <c r="H314" i="1"/>
  <c r="F314" i="1"/>
  <c r="B314" i="1"/>
  <c r="D313" i="1"/>
  <c r="E313" i="1"/>
  <c r="G313" i="1"/>
  <c r="I313" i="1"/>
  <c r="J313" i="1"/>
  <c r="L313" i="1"/>
  <c r="N313" i="1"/>
  <c r="M313" i="1"/>
  <c r="C313" i="1"/>
  <c r="H313" i="1"/>
  <c r="F313" i="1"/>
  <c r="B313" i="1"/>
  <c r="D312" i="1"/>
  <c r="E312" i="1"/>
  <c r="G312" i="1"/>
  <c r="I312" i="1"/>
  <c r="J312" i="1"/>
  <c r="L312" i="1"/>
  <c r="N312" i="1"/>
  <c r="M312" i="1"/>
  <c r="C312" i="1"/>
  <c r="H312" i="1"/>
  <c r="F312" i="1"/>
  <c r="B312" i="1"/>
  <c r="D311" i="1"/>
  <c r="E311" i="1"/>
  <c r="G311" i="1"/>
  <c r="I311" i="1"/>
  <c r="J311" i="1"/>
  <c r="L311" i="1"/>
  <c r="N311" i="1"/>
  <c r="M311" i="1"/>
  <c r="C311" i="1"/>
  <c r="H311" i="1"/>
  <c r="F311" i="1"/>
  <c r="B311" i="1"/>
  <c r="D310" i="1"/>
  <c r="E310" i="1"/>
  <c r="G310" i="1"/>
  <c r="I310" i="1"/>
  <c r="J310" i="1"/>
  <c r="L310" i="1"/>
  <c r="N310" i="1"/>
  <c r="M310" i="1"/>
  <c r="C310" i="1"/>
  <c r="H310" i="1"/>
  <c r="F310" i="1"/>
  <c r="B310" i="1"/>
  <c r="D309" i="1"/>
  <c r="E309" i="1"/>
  <c r="G309" i="1"/>
  <c r="I309" i="1"/>
  <c r="J309" i="1"/>
  <c r="L309" i="1"/>
  <c r="N309" i="1"/>
  <c r="M309" i="1"/>
  <c r="C309" i="1"/>
  <c r="H309" i="1"/>
  <c r="F309" i="1"/>
  <c r="B309" i="1"/>
  <c r="D308" i="1"/>
  <c r="E308" i="1"/>
  <c r="G308" i="1"/>
  <c r="I308" i="1"/>
  <c r="J308" i="1"/>
  <c r="L308" i="1"/>
  <c r="N308" i="1"/>
  <c r="M308" i="1"/>
  <c r="C308" i="1"/>
  <c r="H308" i="1"/>
  <c r="F308" i="1"/>
  <c r="B308" i="1"/>
  <c r="D307" i="1"/>
  <c r="E307" i="1"/>
  <c r="G307" i="1"/>
  <c r="I307" i="1"/>
  <c r="J307" i="1"/>
  <c r="L307" i="1"/>
  <c r="N307" i="1"/>
  <c r="M307" i="1"/>
  <c r="C307" i="1"/>
  <c r="H307" i="1"/>
  <c r="F307" i="1"/>
  <c r="B307" i="1"/>
  <c r="D306" i="1"/>
  <c r="E306" i="1"/>
  <c r="G306" i="1"/>
  <c r="I306" i="1"/>
  <c r="J306" i="1"/>
  <c r="L306" i="1"/>
  <c r="N306" i="1"/>
  <c r="M306" i="1"/>
  <c r="C306" i="1"/>
  <c r="H306" i="1"/>
  <c r="F306" i="1"/>
  <c r="B306" i="1"/>
  <c r="D305" i="1"/>
  <c r="E305" i="1"/>
  <c r="G305" i="1"/>
  <c r="I305" i="1"/>
  <c r="J305" i="1"/>
  <c r="L305" i="1"/>
  <c r="N305" i="1"/>
  <c r="M305" i="1"/>
  <c r="C305" i="1"/>
  <c r="H305" i="1"/>
  <c r="F305" i="1"/>
  <c r="B305" i="1"/>
  <c r="D304" i="1"/>
  <c r="E304" i="1"/>
  <c r="G304" i="1"/>
  <c r="I304" i="1"/>
  <c r="J304" i="1"/>
  <c r="L304" i="1"/>
  <c r="N304" i="1"/>
  <c r="M304" i="1"/>
  <c r="C304" i="1"/>
  <c r="H304" i="1"/>
  <c r="F304" i="1"/>
  <c r="B304" i="1"/>
  <c r="D303" i="1"/>
  <c r="E303" i="1"/>
  <c r="G303" i="1"/>
  <c r="I303" i="1"/>
  <c r="J303" i="1"/>
  <c r="L303" i="1"/>
  <c r="N303" i="1"/>
  <c r="M303" i="1"/>
  <c r="C303" i="1"/>
  <c r="H303" i="1"/>
  <c r="F303" i="1"/>
  <c r="B303" i="1"/>
  <c r="D302" i="1"/>
  <c r="E302" i="1"/>
  <c r="G302" i="1"/>
  <c r="I302" i="1"/>
  <c r="J302" i="1"/>
  <c r="L302" i="1"/>
  <c r="N302" i="1"/>
  <c r="M302" i="1"/>
  <c r="C302" i="1"/>
  <c r="H302" i="1"/>
  <c r="F302" i="1"/>
  <c r="B302" i="1"/>
  <c r="D301" i="1"/>
  <c r="E301" i="1"/>
  <c r="G301" i="1"/>
  <c r="I301" i="1"/>
  <c r="J301" i="1"/>
  <c r="L301" i="1"/>
  <c r="N301" i="1"/>
  <c r="M301" i="1"/>
  <c r="C301" i="1"/>
  <c r="H301" i="1"/>
  <c r="F301" i="1"/>
  <c r="B301" i="1"/>
  <c r="D300" i="1"/>
  <c r="E300" i="1"/>
  <c r="G300" i="1"/>
  <c r="I300" i="1"/>
  <c r="J300" i="1"/>
  <c r="L300" i="1"/>
  <c r="N300" i="1"/>
  <c r="M300" i="1"/>
  <c r="C300" i="1"/>
  <c r="H300" i="1"/>
  <c r="F300" i="1"/>
  <c r="B300" i="1"/>
  <c r="D299" i="1"/>
  <c r="E299" i="1"/>
  <c r="G299" i="1"/>
  <c r="I299" i="1"/>
  <c r="J299" i="1"/>
  <c r="L299" i="1"/>
  <c r="N299" i="1"/>
  <c r="M299" i="1"/>
  <c r="C299" i="1"/>
  <c r="H299" i="1"/>
  <c r="F299" i="1"/>
  <c r="B299" i="1"/>
  <c r="D298" i="1"/>
  <c r="E298" i="1"/>
  <c r="G298" i="1"/>
  <c r="I298" i="1"/>
  <c r="J298" i="1"/>
  <c r="L298" i="1"/>
  <c r="N298" i="1"/>
  <c r="M298" i="1"/>
  <c r="C298" i="1"/>
  <c r="H298" i="1"/>
  <c r="F298" i="1"/>
  <c r="B298" i="1"/>
  <c r="D297" i="1"/>
  <c r="E297" i="1"/>
  <c r="G297" i="1"/>
  <c r="I297" i="1"/>
  <c r="J297" i="1"/>
  <c r="L297" i="1"/>
  <c r="N297" i="1"/>
  <c r="M297" i="1"/>
  <c r="C297" i="1"/>
  <c r="H297" i="1"/>
  <c r="F297" i="1"/>
  <c r="B297" i="1"/>
  <c r="D296" i="1"/>
  <c r="E296" i="1"/>
  <c r="G296" i="1"/>
  <c r="I296" i="1"/>
  <c r="J296" i="1"/>
  <c r="L296" i="1"/>
  <c r="N296" i="1"/>
  <c r="M296" i="1"/>
  <c r="C296" i="1"/>
  <c r="H296" i="1"/>
  <c r="F296" i="1"/>
  <c r="B296" i="1"/>
  <c r="D295" i="1"/>
  <c r="E295" i="1"/>
  <c r="G295" i="1"/>
  <c r="I295" i="1"/>
  <c r="J295" i="1"/>
  <c r="L295" i="1"/>
  <c r="N295" i="1"/>
  <c r="M295" i="1"/>
  <c r="C295" i="1"/>
  <c r="H295" i="1"/>
  <c r="F295" i="1"/>
  <c r="B295" i="1"/>
  <c r="D294" i="1"/>
  <c r="E294" i="1"/>
  <c r="G294" i="1"/>
  <c r="I294" i="1"/>
  <c r="J294" i="1"/>
  <c r="L294" i="1"/>
  <c r="N294" i="1"/>
  <c r="M294" i="1"/>
  <c r="C294" i="1"/>
  <c r="H294" i="1"/>
  <c r="F294" i="1"/>
  <c r="B294" i="1"/>
  <c r="D293" i="1"/>
  <c r="E293" i="1"/>
  <c r="G293" i="1"/>
  <c r="I293" i="1"/>
  <c r="J293" i="1"/>
  <c r="L293" i="1"/>
  <c r="N293" i="1"/>
  <c r="M293" i="1"/>
  <c r="C293" i="1"/>
  <c r="H293" i="1"/>
  <c r="F293" i="1"/>
  <c r="B293" i="1"/>
  <c r="D292" i="1"/>
  <c r="E292" i="1"/>
  <c r="G292" i="1"/>
  <c r="I292" i="1"/>
  <c r="J292" i="1"/>
  <c r="L292" i="1"/>
  <c r="N292" i="1"/>
  <c r="M292" i="1"/>
  <c r="C292" i="1"/>
  <c r="H292" i="1"/>
  <c r="F292" i="1"/>
  <c r="B292" i="1"/>
  <c r="D291" i="1"/>
  <c r="E291" i="1"/>
  <c r="G291" i="1"/>
  <c r="I291" i="1"/>
  <c r="J291" i="1"/>
  <c r="L291" i="1"/>
  <c r="N291" i="1"/>
  <c r="M291" i="1"/>
  <c r="C291" i="1"/>
  <c r="H291" i="1"/>
  <c r="F291" i="1"/>
  <c r="B291" i="1"/>
  <c r="D290" i="1"/>
  <c r="E290" i="1"/>
  <c r="G290" i="1"/>
  <c r="I290" i="1"/>
  <c r="J290" i="1"/>
  <c r="L290" i="1"/>
  <c r="N290" i="1"/>
  <c r="M290" i="1"/>
  <c r="C290" i="1"/>
  <c r="H290" i="1"/>
  <c r="F290" i="1"/>
  <c r="B290" i="1"/>
  <c r="D289" i="1"/>
  <c r="E289" i="1"/>
  <c r="G289" i="1"/>
  <c r="I289" i="1"/>
  <c r="J289" i="1"/>
  <c r="L289" i="1"/>
  <c r="N289" i="1"/>
  <c r="M289" i="1"/>
  <c r="C289" i="1"/>
  <c r="H289" i="1"/>
  <c r="F289" i="1"/>
  <c r="B289" i="1"/>
  <c r="D288" i="1"/>
  <c r="E288" i="1"/>
  <c r="G288" i="1"/>
  <c r="I288" i="1"/>
  <c r="J288" i="1"/>
  <c r="L288" i="1"/>
  <c r="N288" i="1"/>
  <c r="M288" i="1"/>
  <c r="C288" i="1"/>
  <c r="H288" i="1"/>
  <c r="F288" i="1"/>
  <c r="B288" i="1"/>
  <c r="D287" i="1"/>
  <c r="E287" i="1"/>
  <c r="G287" i="1"/>
  <c r="I287" i="1"/>
  <c r="J287" i="1"/>
  <c r="L287" i="1"/>
  <c r="N287" i="1"/>
  <c r="M287" i="1"/>
  <c r="C287" i="1"/>
  <c r="H287" i="1"/>
  <c r="F287" i="1"/>
  <c r="B287" i="1"/>
  <c r="D286" i="1"/>
  <c r="E286" i="1"/>
  <c r="G286" i="1"/>
  <c r="I286" i="1"/>
  <c r="J286" i="1"/>
  <c r="L286" i="1"/>
  <c r="N286" i="1"/>
  <c r="M286" i="1"/>
  <c r="C286" i="1"/>
  <c r="H286" i="1"/>
  <c r="F286" i="1"/>
  <c r="B286" i="1"/>
  <c r="D285" i="1"/>
  <c r="E285" i="1"/>
  <c r="G285" i="1"/>
  <c r="I285" i="1"/>
  <c r="J285" i="1"/>
  <c r="L285" i="1"/>
  <c r="N285" i="1"/>
  <c r="M285" i="1"/>
  <c r="C285" i="1"/>
  <c r="H285" i="1"/>
  <c r="F285" i="1"/>
  <c r="B285" i="1"/>
  <c r="D284" i="1"/>
  <c r="E284" i="1"/>
  <c r="G284" i="1"/>
  <c r="I284" i="1"/>
  <c r="J284" i="1"/>
  <c r="L284" i="1"/>
  <c r="N284" i="1"/>
  <c r="M284" i="1"/>
  <c r="C284" i="1"/>
  <c r="H284" i="1"/>
  <c r="F284" i="1"/>
  <c r="B284" i="1"/>
  <c r="D283" i="1"/>
  <c r="E283" i="1"/>
  <c r="G283" i="1"/>
  <c r="I283" i="1"/>
  <c r="J283" i="1"/>
  <c r="L283" i="1"/>
  <c r="N283" i="1"/>
  <c r="M283" i="1"/>
  <c r="C283" i="1"/>
  <c r="H283" i="1"/>
  <c r="F283" i="1"/>
  <c r="B283" i="1"/>
  <c r="D282" i="1"/>
  <c r="E282" i="1"/>
  <c r="G282" i="1"/>
  <c r="I282" i="1"/>
  <c r="J282" i="1"/>
  <c r="L282" i="1"/>
  <c r="N282" i="1"/>
  <c r="M282" i="1"/>
  <c r="C282" i="1"/>
  <c r="H282" i="1"/>
  <c r="F282" i="1"/>
  <c r="B282" i="1"/>
  <c r="D281" i="1"/>
  <c r="E281" i="1"/>
  <c r="G281" i="1"/>
  <c r="I281" i="1"/>
  <c r="J281" i="1"/>
  <c r="L281" i="1"/>
  <c r="N281" i="1"/>
  <c r="M281" i="1"/>
  <c r="C281" i="1"/>
  <c r="H281" i="1"/>
  <c r="F281" i="1"/>
  <c r="B281" i="1"/>
  <c r="D280" i="1"/>
  <c r="E280" i="1"/>
  <c r="G280" i="1"/>
  <c r="I280" i="1"/>
  <c r="J280" i="1"/>
  <c r="L280" i="1"/>
  <c r="N280" i="1"/>
  <c r="M280" i="1"/>
  <c r="C280" i="1"/>
  <c r="H280" i="1"/>
  <c r="F280" i="1"/>
  <c r="B280" i="1"/>
  <c r="D279" i="1"/>
  <c r="E279" i="1"/>
  <c r="G279" i="1"/>
  <c r="I279" i="1"/>
  <c r="J279" i="1"/>
  <c r="L279" i="1"/>
  <c r="N279" i="1"/>
  <c r="M279" i="1"/>
  <c r="C279" i="1"/>
  <c r="H279" i="1"/>
  <c r="F279" i="1"/>
  <c r="B279" i="1"/>
  <c r="D278" i="1"/>
  <c r="E278" i="1"/>
  <c r="G278" i="1"/>
  <c r="I278" i="1"/>
  <c r="J278" i="1"/>
  <c r="L278" i="1"/>
  <c r="N278" i="1"/>
  <c r="M278" i="1"/>
  <c r="C278" i="1"/>
  <c r="H278" i="1"/>
  <c r="F278" i="1"/>
  <c r="B278" i="1"/>
  <c r="D277" i="1"/>
  <c r="E277" i="1"/>
  <c r="G277" i="1"/>
  <c r="I277" i="1"/>
  <c r="J277" i="1"/>
  <c r="L277" i="1"/>
  <c r="N277" i="1"/>
  <c r="M277" i="1"/>
  <c r="C277" i="1"/>
  <c r="H277" i="1"/>
  <c r="F277" i="1"/>
  <c r="B277" i="1"/>
  <c r="D276" i="1"/>
  <c r="E276" i="1"/>
  <c r="G276" i="1"/>
  <c r="I276" i="1"/>
  <c r="J276" i="1"/>
  <c r="L276" i="1"/>
  <c r="N276" i="1"/>
  <c r="M276" i="1"/>
  <c r="C276" i="1"/>
  <c r="H276" i="1"/>
  <c r="F276" i="1"/>
  <c r="B276" i="1"/>
  <c r="D275" i="1"/>
  <c r="E275" i="1"/>
  <c r="G275" i="1"/>
  <c r="I275" i="1"/>
  <c r="J275" i="1"/>
  <c r="L275" i="1"/>
  <c r="N275" i="1"/>
  <c r="M275" i="1"/>
  <c r="C275" i="1"/>
  <c r="H275" i="1"/>
  <c r="F275" i="1"/>
  <c r="B275" i="1"/>
  <c r="D274" i="1"/>
  <c r="E274" i="1"/>
  <c r="G274" i="1"/>
  <c r="I274" i="1"/>
  <c r="J274" i="1"/>
  <c r="L274" i="1"/>
  <c r="N274" i="1"/>
  <c r="M274" i="1"/>
  <c r="C274" i="1"/>
  <c r="H274" i="1"/>
  <c r="F274" i="1"/>
  <c r="B274" i="1"/>
  <c r="D273" i="1"/>
  <c r="E273" i="1"/>
  <c r="G273" i="1"/>
  <c r="I273" i="1"/>
  <c r="J273" i="1"/>
  <c r="L273" i="1"/>
  <c r="N273" i="1"/>
  <c r="M273" i="1"/>
  <c r="C273" i="1"/>
  <c r="H273" i="1"/>
  <c r="F273" i="1"/>
  <c r="B273" i="1"/>
  <c r="D272" i="1"/>
  <c r="E272" i="1"/>
  <c r="G272" i="1"/>
  <c r="I272" i="1"/>
  <c r="J272" i="1"/>
  <c r="L272" i="1"/>
  <c r="N272" i="1"/>
  <c r="M272" i="1"/>
  <c r="C272" i="1"/>
  <c r="H272" i="1"/>
  <c r="F272" i="1"/>
  <c r="B272" i="1"/>
  <c r="D271" i="1"/>
  <c r="E271" i="1"/>
  <c r="G271" i="1"/>
  <c r="I271" i="1"/>
  <c r="J271" i="1"/>
  <c r="L271" i="1"/>
  <c r="N271" i="1"/>
  <c r="M271" i="1"/>
  <c r="C271" i="1"/>
  <c r="H271" i="1"/>
  <c r="F271" i="1"/>
  <c r="B271" i="1"/>
  <c r="D270" i="1"/>
  <c r="E270" i="1"/>
  <c r="G270" i="1"/>
  <c r="I270" i="1"/>
  <c r="J270" i="1"/>
  <c r="L270" i="1"/>
  <c r="N270" i="1"/>
  <c r="M270" i="1"/>
  <c r="C270" i="1"/>
  <c r="H270" i="1"/>
  <c r="F270" i="1"/>
  <c r="B270" i="1"/>
  <c r="D269" i="1"/>
  <c r="E269" i="1"/>
  <c r="G269" i="1"/>
  <c r="I269" i="1"/>
  <c r="J269" i="1"/>
  <c r="L269" i="1"/>
  <c r="N269" i="1"/>
  <c r="M269" i="1"/>
  <c r="C269" i="1"/>
  <c r="H269" i="1"/>
  <c r="F269" i="1"/>
  <c r="B269" i="1"/>
  <c r="D268" i="1"/>
  <c r="E268" i="1"/>
  <c r="G268" i="1"/>
  <c r="I268" i="1"/>
  <c r="J268" i="1"/>
  <c r="L268" i="1"/>
  <c r="N268" i="1"/>
  <c r="M268" i="1"/>
  <c r="C268" i="1"/>
  <c r="H268" i="1"/>
  <c r="F268" i="1"/>
  <c r="B268" i="1"/>
  <c r="D267" i="1"/>
  <c r="E267" i="1"/>
  <c r="G267" i="1"/>
  <c r="I267" i="1"/>
  <c r="J267" i="1"/>
  <c r="L267" i="1"/>
  <c r="N267" i="1"/>
  <c r="M267" i="1"/>
  <c r="C267" i="1"/>
  <c r="H267" i="1"/>
  <c r="F267" i="1"/>
  <c r="B267" i="1"/>
  <c r="D266" i="1"/>
  <c r="E266" i="1"/>
  <c r="G266" i="1"/>
  <c r="I266" i="1"/>
  <c r="J266" i="1"/>
  <c r="L266" i="1"/>
  <c r="N266" i="1"/>
  <c r="M266" i="1"/>
  <c r="C266" i="1"/>
  <c r="H266" i="1"/>
  <c r="F266" i="1"/>
  <c r="B266" i="1"/>
  <c r="D265" i="1"/>
  <c r="E265" i="1"/>
  <c r="G265" i="1"/>
  <c r="I265" i="1"/>
  <c r="J265" i="1"/>
  <c r="L265" i="1"/>
  <c r="N265" i="1"/>
  <c r="M265" i="1"/>
  <c r="C265" i="1"/>
  <c r="H265" i="1"/>
  <c r="F265" i="1"/>
  <c r="B265" i="1"/>
  <c r="D264" i="1"/>
  <c r="E264" i="1"/>
  <c r="G264" i="1"/>
  <c r="I264" i="1"/>
  <c r="J264" i="1"/>
  <c r="L264" i="1"/>
  <c r="N264" i="1"/>
  <c r="M264" i="1"/>
  <c r="C264" i="1"/>
  <c r="H264" i="1"/>
  <c r="F264" i="1"/>
  <c r="B264" i="1"/>
  <c r="D263" i="1"/>
  <c r="E263" i="1"/>
  <c r="G263" i="1"/>
  <c r="I263" i="1"/>
  <c r="J263" i="1"/>
  <c r="L263" i="1"/>
  <c r="N263" i="1"/>
  <c r="M263" i="1"/>
  <c r="C263" i="1"/>
  <c r="H263" i="1"/>
  <c r="F263" i="1"/>
  <c r="B263" i="1"/>
  <c r="D262" i="1"/>
  <c r="E262" i="1"/>
  <c r="G262" i="1"/>
  <c r="I262" i="1"/>
  <c r="J262" i="1"/>
  <c r="L262" i="1"/>
  <c r="N262" i="1"/>
  <c r="M262" i="1"/>
  <c r="C262" i="1"/>
  <c r="H262" i="1"/>
  <c r="F262" i="1"/>
  <c r="B262" i="1"/>
  <c r="D261" i="1"/>
  <c r="E261" i="1"/>
  <c r="G261" i="1"/>
  <c r="I261" i="1"/>
  <c r="J261" i="1"/>
  <c r="L261" i="1"/>
  <c r="N261" i="1"/>
  <c r="M261" i="1"/>
  <c r="C261" i="1"/>
  <c r="H261" i="1"/>
  <c r="F261" i="1"/>
  <c r="B261" i="1"/>
  <c r="D260" i="1"/>
  <c r="E260" i="1"/>
  <c r="G260" i="1"/>
  <c r="I260" i="1"/>
  <c r="J260" i="1"/>
  <c r="L260" i="1"/>
  <c r="N260" i="1"/>
  <c r="M260" i="1"/>
  <c r="C260" i="1"/>
  <c r="H260" i="1"/>
  <c r="F260" i="1"/>
  <c r="B260" i="1"/>
  <c r="D259" i="1"/>
  <c r="E259" i="1"/>
  <c r="G259" i="1"/>
  <c r="I259" i="1"/>
  <c r="J259" i="1"/>
  <c r="L259" i="1"/>
  <c r="N259" i="1"/>
  <c r="M259" i="1"/>
  <c r="C259" i="1"/>
  <c r="H259" i="1"/>
  <c r="F259" i="1"/>
  <c r="B259" i="1"/>
  <c r="D258" i="1"/>
  <c r="E258" i="1"/>
  <c r="G258" i="1"/>
  <c r="I258" i="1"/>
  <c r="J258" i="1"/>
  <c r="L258" i="1"/>
  <c r="N258" i="1"/>
  <c r="M258" i="1"/>
  <c r="C258" i="1"/>
  <c r="H258" i="1"/>
  <c r="F258" i="1"/>
  <c r="B258" i="1"/>
  <c r="D257" i="1"/>
  <c r="E257" i="1"/>
  <c r="G257" i="1"/>
  <c r="I257" i="1"/>
  <c r="J257" i="1"/>
  <c r="L257" i="1"/>
  <c r="N257" i="1"/>
  <c r="M257" i="1"/>
  <c r="C257" i="1"/>
  <c r="H257" i="1"/>
  <c r="F257" i="1"/>
  <c r="B257" i="1"/>
  <c r="D256" i="1"/>
  <c r="E256" i="1"/>
  <c r="G256" i="1"/>
  <c r="I256" i="1"/>
  <c r="J256" i="1"/>
  <c r="L256" i="1"/>
  <c r="N256" i="1"/>
  <c r="M256" i="1"/>
  <c r="C256" i="1"/>
  <c r="H256" i="1"/>
  <c r="F256" i="1"/>
  <c r="B256" i="1"/>
  <c r="D255" i="1"/>
  <c r="E255" i="1"/>
  <c r="G255" i="1"/>
  <c r="I255" i="1"/>
  <c r="J255" i="1"/>
  <c r="L255" i="1"/>
  <c r="N255" i="1"/>
  <c r="M255" i="1"/>
  <c r="C255" i="1"/>
  <c r="H255" i="1"/>
  <c r="F255" i="1"/>
  <c r="B255" i="1"/>
  <c r="D254" i="1"/>
  <c r="E254" i="1"/>
  <c r="G254" i="1"/>
  <c r="I254" i="1"/>
  <c r="J254" i="1"/>
  <c r="L254" i="1"/>
  <c r="N254" i="1"/>
  <c r="M254" i="1"/>
  <c r="C254" i="1"/>
  <c r="H254" i="1"/>
  <c r="F254" i="1"/>
  <c r="B254" i="1"/>
  <c r="D253" i="1"/>
  <c r="E253" i="1"/>
  <c r="G253" i="1"/>
  <c r="I253" i="1"/>
  <c r="J253" i="1"/>
  <c r="L253" i="1"/>
  <c r="N253" i="1"/>
  <c r="M253" i="1"/>
  <c r="C253" i="1"/>
  <c r="H253" i="1"/>
  <c r="F253" i="1"/>
  <c r="B253" i="1"/>
  <c r="D252" i="1"/>
  <c r="E252" i="1"/>
  <c r="G252" i="1"/>
  <c r="I252" i="1"/>
  <c r="J252" i="1"/>
  <c r="L252" i="1"/>
  <c r="N252" i="1"/>
  <c r="M252" i="1"/>
  <c r="C252" i="1"/>
  <c r="H252" i="1"/>
  <c r="F252" i="1"/>
  <c r="B252" i="1"/>
  <c r="D251" i="1"/>
  <c r="E251" i="1"/>
  <c r="G251" i="1"/>
  <c r="I251" i="1"/>
  <c r="J251" i="1"/>
  <c r="L251" i="1"/>
  <c r="N251" i="1"/>
  <c r="M251" i="1"/>
  <c r="C251" i="1"/>
  <c r="H251" i="1"/>
  <c r="F251" i="1"/>
  <c r="B251" i="1"/>
  <c r="D250" i="1"/>
  <c r="E250" i="1"/>
  <c r="G250" i="1"/>
  <c r="I250" i="1"/>
  <c r="J250" i="1"/>
  <c r="L250" i="1"/>
  <c r="N250" i="1"/>
  <c r="M250" i="1"/>
  <c r="C250" i="1"/>
  <c r="H250" i="1"/>
  <c r="F250" i="1"/>
  <c r="B250" i="1"/>
  <c r="D249" i="1"/>
  <c r="E249" i="1"/>
  <c r="G249" i="1"/>
  <c r="I249" i="1"/>
  <c r="J249" i="1"/>
  <c r="L249" i="1"/>
  <c r="N249" i="1"/>
  <c r="M249" i="1"/>
  <c r="C249" i="1"/>
  <c r="H249" i="1"/>
  <c r="F249" i="1"/>
  <c r="B249" i="1"/>
  <c r="D248" i="1"/>
  <c r="E248" i="1"/>
  <c r="G248" i="1"/>
  <c r="I248" i="1"/>
  <c r="J248" i="1"/>
  <c r="L248" i="1"/>
  <c r="N248" i="1"/>
  <c r="M248" i="1"/>
  <c r="C248" i="1"/>
  <c r="H248" i="1"/>
  <c r="F248" i="1"/>
  <c r="B248" i="1"/>
  <c r="D247" i="1"/>
  <c r="E247" i="1"/>
  <c r="G247" i="1"/>
  <c r="I247" i="1"/>
  <c r="J247" i="1"/>
  <c r="L247" i="1"/>
  <c r="N247" i="1"/>
  <c r="M247" i="1"/>
  <c r="C247" i="1"/>
  <c r="H247" i="1"/>
  <c r="F247" i="1"/>
  <c r="B247" i="1"/>
  <c r="D246" i="1"/>
  <c r="E246" i="1"/>
  <c r="G246" i="1"/>
  <c r="I246" i="1"/>
  <c r="J246" i="1"/>
  <c r="L246" i="1"/>
  <c r="N246" i="1"/>
  <c r="M246" i="1"/>
  <c r="C246" i="1"/>
  <c r="H246" i="1"/>
  <c r="F246" i="1"/>
  <c r="B246" i="1"/>
  <c r="D245" i="1"/>
  <c r="E245" i="1"/>
  <c r="G245" i="1"/>
  <c r="I245" i="1"/>
  <c r="J245" i="1"/>
  <c r="L245" i="1"/>
  <c r="N245" i="1"/>
  <c r="M245" i="1"/>
  <c r="C245" i="1"/>
  <c r="H245" i="1"/>
  <c r="F245" i="1"/>
  <c r="B245" i="1"/>
  <c r="D244" i="1"/>
  <c r="E244" i="1"/>
  <c r="G244" i="1"/>
  <c r="I244" i="1"/>
  <c r="J244" i="1"/>
  <c r="L244" i="1"/>
  <c r="N244" i="1"/>
  <c r="M244" i="1"/>
  <c r="C244" i="1"/>
  <c r="H244" i="1"/>
  <c r="F244" i="1"/>
  <c r="B244" i="1"/>
  <c r="D243" i="1"/>
  <c r="E243" i="1"/>
  <c r="G243" i="1"/>
  <c r="I243" i="1"/>
  <c r="J243" i="1"/>
  <c r="L243" i="1"/>
  <c r="N243" i="1"/>
  <c r="M243" i="1"/>
  <c r="C243" i="1"/>
  <c r="H243" i="1"/>
  <c r="F243" i="1"/>
  <c r="B243" i="1"/>
  <c r="D242" i="1"/>
  <c r="E242" i="1"/>
  <c r="G242" i="1"/>
  <c r="I242" i="1"/>
  <c r="J242" i="1"/>
  <c r="L242" i="1"/>
  <c r="N242" i="1"/>
  <c r="M242" i="1"/>
  <c r="C242" i="1"/>
  <c r="H242" i="1"/>
  <c r="F242" i="1"/>
  <c r="B242" i="1"/>
  <c r="D241" i="1"/>
  <c r="E241" i="1"/>
  <c r="G241" i="1"/>
  <c r="I241" i="1"/>
  <c r="J241" i="1"/>
  <c r="L241" i="1"/>
  <c r="N241" i="1"/>
  <c r="M241" i="1"/>
  <c r="C241" i="1"/>
  <c r="H241" i="1"/>
  <c r="F241" i="1"/>
  <c r="B241" i="1"/>
  <c r="D240" i="1"/>
  <c r="E240" i="1"/>
  <c r="G240" i="1"/>
  <c r="I240" i="1"/>
  <c r="J240" i="1"/>
  <c r="L240" i="1"/>
  <c r="N240" i="1"/>
  <c r="M240" i="1"/>
  <c r="C240" i="1"/>
  <c r="H240" i="1"/>
  <c r="F240" i="1"/>
  <c r="B240" i="1"/>
  <c r="D239" i="1"/>
  <c r="E239" i="1"/>
  <c r="G239" i="1"/>
  <c r="I239" i="1"/>
  <c r="J239" i="1"/>
  <c r="L239" i="1"/>
  <c r="N239" i="1"/>
  <c r="M239" i="1"/>
  <c r="C239" i="1"/>
  <c r="H239" i="1"/>
  <c r="F239" i="1"/>
  <c r="B239" i="1"/>
  <c r="D238" i="1"/>
  <c r="E238" i="1"/>
  <c r="G238" i="1"/>
  <c r="I238" i="1"/>
  <c r="J238" i="1"/>
  <c r="L238" i="1"/>
  <c r="N238" i="1"/>
  <c r="M238" i="1"/>
  <c r="C238" i="1"/>
  <c r="H238" i="1"/>
  <c r="F238" i="1"/>
  <c r="B238" i="1"/>
  <c r="D237" i="1"/>
  <c r="E237" i="1"/>
  <c r="G237" i="1"/>
  <c r="I237" i="1"/>
  <c r="J237" i="1"/>
  <c r="L237" i="1"/>
  <c r="N237" i="1"/>
  <c r="M237" i="1"/>
  <c r="C237" i="1"/>
  <c r="H237" i="1"/>
  <c r="F237" i="1"/>
  <c r="B237" i="1"/>
  <c r="D236" i="1"/>
  <c r="E236" i="1"/>
  <c r="G236" i="1"/>
  <c r="I236" i="1"/>
  <c r="J236" i="1"/>
  <c r="L236" i="1"/>
  <c r="N236" i="1"/>
  <c r="M236" i="1"/>
  <c r="C236" i="1"/>
  <c r="H236" i="1"/>
  <c r="F236" i="1"/>
  <c r="B236" i="1"/>
  <c r="D235" i="1"/>
  <c r="E235" i="1"/>
  <c r="G235" i="1"/>
  <c r="I235" i="1"/>
  <c r="J235" i="1"/>
  <c r="L235" i="1"/>
  <c r="N235" i="1"/>
  <c r="M235" i="1"/>
  <c r="C235" i="1"/>
  <c r="H235" i="1"/>
  <c r="F235" i="1"/>
  <c r="B235" i="1"/>
  <c r="D234" i="1"/>
  <c r="E234" i="1"/>
  <c r="G234" i="1"/>
  <c r="I234" i="1"/>
  <c r="J234" i="1"/>
  <c r="L234" i="1"/>
  <c r="N234" i="1"/>
  <c r="M234" i="1"/>
  <c r="C234" i="1"/>
  <c r="H234" i="1"/>
  <c r="F234" i="1"/>
  <c r="B234" i="1"/>
  <c r="D233" i="1"/>
  <c r="E233" i="1"/>
  <c r="G233" i="1"/>
  <c r="I233" i="1"/>
  <c r="J233" i="1"/>
  <c r="L233" i="1"/>
  <c r="N233" i="1"/>
  <c r="M233" i="1"/>
  <c r="C233" i="1"/>
  <c r="H233" i="1"/>
  <c r="F233" i="1"/>
  <c r="B233" i="1"/>
  <c r="D232" i="1"/>
  <c r="E232" i="1"/>
  <c r="G232" i="1"/>
  <c r="I232" i="1"/>
  <c r="J232" i="1"/>
  <c r="L232" i="1"/>
  <c r="N232" i="1"/>
  <c r="M232" i="1"/>
  <c r="C232" i="1"/>
  <c r="H232" i="1"/>
  <c r="F232" i="1"/>
  <c r="B232" i="1"/>
  <c r="D231" i="1"/>
  <c r="E231" i="1"/>
  <c r="G231" i="1"/>
  <c r="I231" i="1"/>
  <c r="J231" i="1"/>
  <c r="L231" i="1"/>
  <c r="N231" i="1"/>
  <c r="M231" i="1"/>
  <c r="C231" i="1"/>
  <c r="H231" i="1"/>
  <c r="F231" i="1"/>
  <c r="B231" i="1"/>
  <c r="D230" i="1"/>
  <c r="E230" i="1"/>
  <c r="G230" i="1"/>
  <c r="I230" i="1"/>
  <c r="J230" i="1"/>
  <c r="L230" i="1"/>
  <c r="N230" i="1"/>
  <c r="M230" i="1"/>
  <c r="C230" i="1"/>
  <c r="H230" i="1"/>
  <c r="F230" i="1"/>
  <c r="B230" i="1"/>
  <c r="D229" i="1"/>
  <c r="E229" i="1"/>
  <c r="G229" i="1"/>
  <c r="I229" i="1"/>
  <c r="J229" i="1"/>
  <c r="L229" i="1"/>
  <c r="N229" i="1"/>
  <c r="M229" i="1"/>
  <c r="C229" i="1"/>
  <c r="H229" i="1"/>
  <c r="F229" i="1"/>
  <c r="B229" i="1"/>
  <c r="D228" i="1"/>
  <c r="E228" i="1"/>
  <c r="G228" i="1"/>
  <c r="I228" i="1"/>
  <c r="J228" i="1"/>
  <c r="L228" i="1"/>
  <c r="N228" i="1"/>
  <c r="M228" i="1"/>
  <c r="C228" i="1"/>
  <c r="H228" i="1"/>
  <c r="F228" i="1"/>
  <c r="B228" i="1"/>
  <c r="D227" i="1"/>
  <c r="E227" i="1"/>
  <c r="G227" i="1"/>
  <c r="I227" i="1"/>
  <c r="J227" i="1"/>
  <c r="L227" i="1"/>
  <c r="N227" i="1"/>
  <c r="M227" i="1"/>
  <c r="C227" i="1"/>
  <c r="H227" i="1"/>
  <c r="F227" i="1"/>
  <c r="B227" i="1"/>
  <c r="D226" i="1"/>
  <c r="E226" i="1"/>
  <c r="G226" i="1"/>
  <c r="I226" i="1"/>
  <c r="J226" i="1"/>
  <c r="L226" i="1"/>
  <c r="N226" i="1"/>
  <c r="M226" i="1"/>
  <c r="C226" i="1"/>
  <c r="H226" i="1"/>
  <c r="F226" i="1"/>
  <c r="B226" i="1"/>
  <c r="D225" i="1"/>
  <c r="E225" i="1"/>
  <c r="G225" i="1"/>
  <c r="I225" i="1"/>
  <c r="J225" i="1"/>
  <c r="L225" i="1"/>
  <c r="N225" i="1"/>
  <c r="M225" i="1"/>
  <c r="C225" i="1"/>
  <c r="H225" i="1"/>
  <c r="F225" i="1"/>
  <c r="B225" i="1"/>
  <c r="D224" i="1"/>
  <c r="E224" i="1"/>
  <c r="G224" i="1"/>
  <c r="I224" i="1"/>
  <c r="J224" i="1"/>
  <c r="L224" i="1"/>
  <c r="N224" i="1"/>
  <c r="M224" i="1"/>
  <c r="C224" i="1"/>
  <c r="H224" i="1"/>
  <c r="F224" i="1"/>
  <c r="B224" i="1"/>
  <c r="D223" i="1"/>
  <c r="E223" i="1"/>
  <c r="G223" i="1"/>
  <c r="I223" i="1"/>
  <c r="J223" i="1"/>
  <c r="L223" i="1"/>
  <c r="N223" i="1"/>
  <c r="M223" i="1"/>
  <c r="C223" i="1"/>
  <c r="H223" i="1"/>
  <c r="F223" i="1"/>
  <c r="B223" i="1"/>
  <c r="D222" i="1"/>
  <c r="E222" i="1"/>
  <c r="G222" i="1"/>
  <c r="I222" i="1"/>
  <c r="J222" i="1"/>
  <c r="L222" i="1"/>
  <c r="N222" i="1"/>
  <c r="M222" i="1"/>
  <c r="C222" i="1"/>
  <c r="H222" i="1"/>
  <c r="F222" i="1"/>
  <c r="B222" i="1"/>
  <c r="D221" i="1"/>
  <c r="E221" i="1"/>
  <c r="G221" i="1"/>
  <c r="I221" i="1"/>
  <c r="J221" i="1"/>
  <c r="L221" i="1"/>
  <c r="N221" i="1"/>
  <c r="M221" i="1"/>
  <c r="C221" i="1"/>
  <c r="H221" i="1"/>
  <c r="F221" i="1"/>
  <c r="B221" i="1"/>
  <c r="D220" i="1"/>
  <c r="E220" i="1"/>
  <c r="G220" i="1"/>
  <c r="I220" i="1"/>
  <c r="J220" i="1"/>
  <c r="L220" i="1"/>
  <c r="N220" i="1"/>
  <c r="M220" i="1"/>
  <c r="C220" i="1"/>
  <c r="H220" i="1"/>
  <c r="F220" i="1"/>
  <c r="B220" i="1"/>
  <c r="D219" i="1"/>
  <c r="E219" i="1"/>
  <c r="G219" i="1"/>
  <c r="I219" i="1"/>
  <c r="J219" i="1"/>
  <c r="L219" i="1"/>
  <c r="N219" i="1"/>
  <c r="M219" i="1"/>
  <c r="C219" i="1"/>
  <c r="H219" i="1"/>
  <c r="F219" i="1"/>
  <c r="B219" i="1"/>
  <c r="D218" i="1"/>
  <c r="E218" i="1"/>
  <c r="G218" i="1"/>
  <c r="I218" i="1"/>
  <c r="J218" i="1"/>
  <c r="L218" i="1"/>
  <c r="N218" i="1"/>
  <c r="M218" i="1"/>
  <c r="C218" i="1"/>
  <c r="H218" i="1"/>
  <c r="F218" i="1"/>
  <c r="B218" i="1"/>
  <c r="D217" i="1"/>
  <c r="E217" i="1"/>
  <c r="G217" i="1"/>
  <c r="I217" i="1"/>
  <c r="J217" i="1"/>
  <c r="L217" i="1"/>
  <c r="N217" i="1"/>
  <c r="M217" i="1"/>
  <c r="C217" i="1"/>
  <c r="H217" i="1"/>
  <c r="F217" i="1"/>
  <c r="B217" i="1"/>
  <c r="D216" i="1"/>
  <c r="E216" i="1"/>
  <c r="G216" i="1"/>
  <c r="I216" i="1"/>
  <c r="J216" i="1"/>
  <c r="L216" i="1"/>
  <c r="N216" i="1"/>
  <c r="M216" i="1"/>
  <c r="C216" i="1"/>
  <c r="H216" i="1"/>
  <c r="F216" i="1"/>
  <c r="B216" i="1"/>
  <c r="D215" i="1"/>
  <c r="E215" i="1"/>
  <c r="G215" i="1"/>
  <c r="I215" i="1"/>
  <c r="J215" i="1"/>
  <c r="L215" i="1"/>
  <c r="N215" i="1"/>
  <c r="M215" i="1"/>
  <c r="C215" i="1"/>
  <c r="H215" i="1"/>
  <c r="F215" i="1"/>
  <c r="B215" i="1"/>
  <c r="D214" i="1"/>
  <c r="E214" i="1"/>
  <c r="G214" i="1"/>
  <c r="I214" i="1"/>
  <c r="J214" i="1"/>
  <c r="L214" i="1"/>
  <c r="N214" i="1"/>
  <c r="M214" i="1"/>
  <c r="C214" i="1"/>
  <c r="H214" i="1"/>
  <c r="F214" i="1"/>
  <c r="B214" i="1"/>
  <c r="D213" i="1"/>
  <c r="E213" i="1"/>
  <c r="G213" i="1"/>
  <c r="I213" i="1"/>
  <c r="J213" i="1"/>
  <c r="L213" i="1"/>
  <c r="N213" i="1"/>
  <c r="M213" i="1"/>
  <c r="C213" i="1"/>
  <c r="H213" i="1"/>
  <c r="F213" i="1"/>
  <c r="B213" i="1"/>
  <c r="D212" i="1"/>
  <c r="E212" i="1"/>
  <c r="G212" i="1"/>
  <c r="I212" i="1"/>
  <c r="J212" i="1"/>
  <c r="L212" i="1"/>
  <c r="N212" i="1"/>
  <c r="M212" i="1"/>
  <c r="C212" i="1"/>
  <c r="H212" i="1"/>
  <c r="F212" i="1"/>
  <c r="B212" i="1"/>
  <c r="D211" i="1"/>
  <c r="E211" i="1"/>
  <c r="G211" i="1"/>
  <c r="I211" i="1"/>
  <c r="J211" i="1"/>
  <c r="L211" i="1"/>
  <c r="N211" i="1"/>
  <c r="M211" i="1"/>
  <c r="C211" i="1"/>
  <c r="H211" i="1"/>
  <c r="F211" i="1"/>
  <c r="B211" i="1"/>
  <c r="D210" i="1"/>
  <c r="E210" i="1"/>
  <c r="G210" i="1"/>
  <c r="I210" i="1"/>
  <c r="J210" i="1"/>
  <c r="L210" i="1"/>
  <c r="N210" i="1"/>
  <c r="M210" i="1"/>
  <c r="C210" i="1"/>
  <c r="H210" i="1"/>
  <c r="F210" i="1"/>
  <c r="B210" i="1"/>
  <c r="D209" i="1"/>
  <c r="E209" i="1"/>
  <c r="G209" i="1"/>
  <c r="I209" i="1"/>
  <c r="J209" i="1"/>
  <c r="L209" i="1"/>
  <c r="N209" i="1"/>
  <c r="M209" i="1"/>
  <c r="C209" i="1"/>
  <c r="H209" i="1"/>
  <c r="F209" i="1"/>
  <c r="B209" i="1"/>
  <c r="D208" i="1"/>
  <c r="E208" i="1"/>
  <c r="G208" i="1"/>
  <c r="I208" i="1"/>
  <c r="J208" i="1"/>
  <c r="L208" i="1"/>
  <c r="N208" i="1"/>
  <c r="M208" i="1"/>
  <c r="C208" i="1"/>
  <c r="H208" i="1"/>
  <c r="F208" i="1"/>
  <c r="B208" i="1"/>
  <c r="D207" i="1"/>
  <c r="E207" i="1"/>
  <c r="G207" i="1"/>
  <c r="I207" i="1"/>
  <c r="J207" i="1"/>
  <c r="L207" i="1"/>
  <c r="N207" i="1"/>
  <c r="M207" i="1"/>
  <c r="C207" i="1"/>
  <c r="H207" i="1"/>
  <c r="F207" i="1"/>
  <c r="B207" i="1"/>
  <c r="D206" i="1"/>
  <c r="E206" i="1"/>
  <c r="G206" i="1"/>
  <c r="I206" i="1"/>
  <c r="J206" i="1"/>
  <c r="L206" i="1"/>
  <c r="N206" i="1"/>
  <c r="M206" i="1"/>
  <c r="C206" i="1"/>
  <c r="H206" i="1"/>
  <c r="F206" i="1"/>
  <c r="B206" i="1"/>
  <c r="D205" i="1"/>
  <c r="E205" i="1"/>
  <c r="G205" i="1"/>
  <c r="I205" i="1"/>
  <c r="J205" i="1"/>
  <c r="L205" i="1"/>
  <c r="N205" i="1"/>
  <c r="M205" i="1"/>
  <c r="C205" i="1"/>
  <c r="H205" i="1"/>
  <c r="F205" i="1"/>
  <c r="B205" i="1"/>
  <c r="D204" i="1"/>
  <c r="E204" i="1"/>
  <c r="G204" i="1"/>
  <c r="I204" i="1"/>
  <c r="J204" i="1"/>
  <c r="L204" i="1"/>
  <c r="N204" i="1"/>
  <c r="M204" i="1"/>
  <c r="C204" i="1"/>
  <c r="H204" i="1"/>
  <c r="F204" i="1"/>
  <c r="B204" i="1"/>
  <c r="D203" i="1"/>
  <c r="E203" i="1"/>
  <c r="G203" i="1"/>
  <c r="I203" i="1"/>
  <c r="J203" i="1"/>
  <c r="L203" i="1"/>
  <c r="N203" i="1"/>
  <c r="M203" i="1"/>
  <c r="C203" i="1"/>
  <c r="H203" i="1"/>
  <c r="F203" i="1"/>
  <c r="B203" i="1"/>
  <c r="D202" i="1"/>
  <c r="E202" i="1"/>
  <c r="G202" i="1"/>
  <c r="I202" i="1"/>
  <c r="J202" i="1"/>
  <c r="L202" i="1"/>
  <c r="N202" i="1"/>
  <c r="M202" i="1"/>
  <c r="C202" i="1"/>
  <c r="H202" i="1"/>
  <c r="F202" i="1"/>
  <c r="B202" i="1"/>
  <c r="D201" i="1"/>
  <c r="E201" i="1"/>
  <c r="G201" i="1"/>
  <c r="I201" i="1"/>
  <c r="J201" i="1"/>
  <c r="L201" i="1"/>
  <c r="N201" i="1"/>
  <c r="M201" i="1"/>
  <c r="C201" i="1"/>
  <c r="H201" i="1"/>
  <c r="F201" i="1"/>
  <c r="B201" i="1"/>
  <c r="D200" i="1"/>
  <c r="E200" i="1"/>
  <c r="G200" i="1"/>
  <c r="I200" i="1"/>
  <c r="J200" i="1"/>
  <c r="L200" i="1"/>
  <c r="N200" i="1"/>
  <c r="M200" i="1"/>
  <c r="C200" i="1"/>
  <c r="H200" i="1"/>
  <c r="F200" i="1"/>
  <c r="B200" i="1"/>
  <c r="D199" i="1"/>
  <c r="E199" i="1"/>
  <c r="G199" i="1"/>
  <c r="I199" i="1"/>
  <c r="J199" i="1"/>
  <c r="L199" i="1"/>
  <c r="N199" i="1"/>
  <c r="M199" i="1"/>
  <c r="C199" i="1"/>
  <c r="H199" i="1"/>
  <c r="F199" i="1"/>
  <c r="B199" i="1"/>
  <c r="D198" i="1"/>
  <c r="E198" i="1"/>
  <c r="G198" i="1"/>
  <c r="I198" i="1"/>
  <c r="J198" i="1"/>
  <c r="L198" i="1"/>
  <c r="N198" i="1"/>
  <c r="M198" i="1"/>
  <c r="C198" i="1"/>
  <c r="H198" i="1"/>
  <c r="F198" i="1"/>
  <c r="B198" i="1"/>
  <c r="D197" i="1"/>
  <c r="E197" i="1"/>
  <c r="G197" i="1"/>
  <c r="I197" i="1"/>
  <c r="J197" i="1"/>
  <c r="L197" i="1"/>
  <c r="N197" i="1"/>
  <c r="M197" i="1"/>
  <c r="C197" i="1"/>
  <c r="H197" i="1"/>
  <c r="F197" i="1"/>
  <c r="B197" i="1"/>
  <c r="D196" i="1"/>
  <c r="E196" i="1"/>
  <c r="G196" i="1"/>
  <c r="I196" i="1"/>
  <c r="J196" i="1"/>
  <c r="L196" i="1"/>
  <c r="N196" i="1"/>
  <c r="M196" i="1"/>
  <c r="C196" i="1"/>
  <c r="H196" i="1"/>
  <c r="F196" i="1"/>
  <c r="B196" i="1"/>
  <c r="D195" i="1"/>
  <c r="E195" i="1"/>
  <c r="G195" i="1"/>
  <c r="I195" i="1"/>
  <c r="J195" i="1"/>
  <c r="L195" i="1"/>
  <c r="N195" i="1"/>
  <c r="M195" i="1"/>
  <c r="C195" i="1"/>
  <c r="H195" i="1"/>
  <c r="F195" i="1"/>
  <c r="B195" i="1"/>
  <c r="D194" i="1"/>
  <c r="E194" i="1"/>
  <c r="G194" i="1"/>
  <c r="I194" i="1"/>
  <c r="J194" i="1"/>
  <c r="L194" i="1"/>
  <c r="N194" i="1"/>
  <c r="M194" i="1"/>
  <c r="C194" i="1"/>
  <c r="H194" i="1"/>
  <c r="F194" i="1"/>
  <c r="B194" i="1"/>
  <c r="D193" i="1"/>
  <c r="E193" i="1"/>
  <c r="G193" i="1"/>
  <c r="I193" i="1"/>
  <c r="J193" i="1"/>
  <c r="L193" i="1"/>
  <c r="N193" i="1"/>
  <c r="M193" i="1"/>
  <c r="C193" i="1"/>
  <c r="H193" i="1"/>
  <c r="F193" i="1"/>
  <c r="B193" i="1"/>
  <c r="D192" i="1"/>
  <c r="E192" i="1"/>
  <c r="G192" i="1"/>
  <c r="I192" i="1"/>
  <c r="J192" i="1"/>
  <c r="L192" i="1"/>
  <c r="N192" i="1"/>
  <c r="M192" i="1"/>
  <c r="C192" i="1"/>
  <c r="H192" i="1"/>
  <c r="F192" i="1"/>
  <c r="B192" i="1"/>
  <c r="D191" i="1"/>
  <c r="E191" i="1"/>
  <c r="G191" i="1"/>
  <c r="I191" i="1"/>
  <c r="J191" i="1"/>
  <c r="L191" i="1"/>
  <c r="N191" i="1"/>
  <c r="M191" i="1"/>
  <c r="C191" i="1"/>
  <c r="H191" i="1"/>
  <c r="F191" i="1"/>
  <c r="B191" i="1"/>
  <c r="D190" i="1"/>
  <c r="E190" i="1"/>
  <c r="G190" i="1"/>
  <c r="I190" i="1"/>
  <c r="J190" i="1"/>
  <c r="L190" i="1"/>
  <c r="N190" i="1"/>
  <c r="M190" i="1"/>
  <c r="C190" i="1"/>
  <c r="H190" i="1"/>
  <c r="F190" i="1"/>
  <c r="B190" i="1"/>
  <c r="D189" i="1"/>
  <c r="E189" i="1"/>
  <c r="G189" i="1"/>
  <c r="I189" i="1"/>
  <c r="J189" i="1"/>
  <c r="L189" i="1"/>
  <c r="N189" i="1"/>
  <c r="M189" i="1"/>
  <c r="C189" i="1"/>
  <c r="H189" i="1"/>
  <c r="F189" i="1"/>
  <c r="B189" i="1"/>
  <c r="D188" i="1"/>
  <c r="E188" i="1"/>
  <c r="G188" i="1"/>
  <c r="I188" i="1"/>
  <c r="J188" i="1"/>
  <c r="L188" i="1"/>
  <c r="N188" i="1"/>
  <c r="M188" i="1"/>
  <c r="C188" i="1"/>
  <c r="H188" i="1"/>
  <c r="F188" i="1"/>
  <c r="B188" i="1"/>
  <c r="D187" i="1"/>
  <c r="E187" i="1"/>
  <c r="G187" i="1"/>
  <c r="I187" i="1"/>
  <c r="J187" i="1"/>
  <c r="L187" i="1"/>
  <c r="N187" i="1"/>
  <c r="M187" i="1"/>
  <c r="C187" i="1"/>
  <c r="H187" i="1"/>
  <c r="F187" i="1"/>
  <c r="B187" i="1"/>
  <c r="D186" i="1"/>
  <c r="E186" i="1"/>
  <c r="G186" i="1"/>
  <c r="I186" i="1"/>
  <c r="J186" i="1"/>
  <c r="L186" i="1"/>
  <c r="N186" i="1"/>
  <c r="M186" i="1"/>
  <c r="C186" i="1"/>
  <c r="H186" i="1"/>
  <c r="F186" i="1"/>
  <c r="B186" i="1"/>
  <c r="D185" i="1"/>
  <c r="E185" i="1"/>
  <c r="G185" i="1"/>
  <c r="I185" i="1"/>
  <c r="J185" i="1"/>
  <c r="L185" i="1"/>
  <c r="N185" i="1"/>
  <c r="M185" i="1"/>
  <c r="C185" i="1"/>
  <c r="H185" i="1"/>
  <c r="F185" i="1"/>
  <c r="B185" i="1"/>
  <c r="D184" i="1"/>
  <c r="E184" i="1"/>
  <c r="G184" i="1"/>
  <c r="I184" i="1"/>
  <c r="J184" i="1"/>
  <c r="L184" i="1"/>
  <c r="N184" i="1"/>
  <c r="M184" i="1"/>
  <c r="C184" i="1"/>
  <c r="H184" i="1"/>
  <c r="F184" i="1"/>
  <c r="B184" i="1"/>
  <c r="D183" i="1"/>
  <c r="E183" i="1"/>
  <c r="G183" i="1"/>
  <c r="I183" i="1"/>
  <c r="J183" i="1"/>
  <c r="L183" i="1"/>
  <c r="N183" i="1"/>
  <c r="M183" i="1"/>
  <c r="C183" i="1"/>
  <c r="H183" i="1"/>
  <c r="F183" i="1"/>
  <c r="B183" i="1"/>
  <c r="D182" i="1"/>
  <c r="E182" i="1"/>
  <c r="G182" i="1"/>
  <c r="I182" i="1"/>
  <c r="J182" i="1"/>
  <c r="L182" i="1"/>
  <c r="N182" i="1"/>
  <c r="M182" i="1"/>
  <c r="C182" i="1"/>
  <c r="H182" i="1"/>
  <c r="F182" i="1"/>
  <c r="B182" i="1"/>
  <c r="D181" i="1"/>
  <c r="E181" i="1"/>
  <c r="G181" i="1"/>
  <c r="I181" i="1"/>
  <c r="J181" i="1"/>
  <c r="L181" i="1"/>
  <c r="N181" i="1"/>
  <c r="M181" i="1"/>
  <c r="C181" i="1"/>
  <c r="H181" i="1"/>
  <c r="F181" i="1"/>
  <c r="B181" i="1"/>
  <c r="D180" i="1"/>
  <c r="E180" i="1"/>
  <c r="G180" i="1"/>
  <c r="I180" i="1"/>
  <c r="J180" i="1"/>
  <c r="L180" i="1"/>
  <c r="N180" i="1"/>
  <c r="M180" i="1"/>
  <c r="C180" i="1"/>
  <c r="H180" i="1"/>
  <c r="F180" i="1"/>
  <c r="B180" i="1"/>
  <c r="D179" i="1"/>
  <c r="E179" i="1"/>
  <c r="G179" i="1"/>
  <c r="I179" i="1"/>
  <c r="J179" i="1"/>
  <c r="L179" i="1"/>
  <c r="N179" i="1"/>
  <c r="M179" i="1"/>
  <c r="C179" i="1"/>
  <c r="H179" i="1"/>
  <c r="F179" i="1"/>
  <c r="B179" i="1"/>
  <c r="D178" i="1"/>
  <c r="E178" i="1"/>
  <c r="G178" i="1"/>
  <c r="I178" i="1"/>
  <c r="J178" i="1"/>
  <c r="L178" i="1"/>
  <c r="N178" i="1"/>
  <c r="M178" i="1"/>
  <c r="C178" i="1"/>
  <c r="H178" i="1"/>
  <c r="F178" i="1"/>
  <c r="B178" i="1"/>
  <c r="D177" i="1"/>
  <c r="E177" i="1"/>
  <c r="G177" i="1"/>
  <c r="I177" i="1"/>
  <c r="J177" i="1"/>
  <c r="L177" i="1"/>
  <c r="N177" i="1"/>
  <c r="M177" i="1"/>
  <c r="C177" i="1"/>
  <c r="H177" i="1"/>
  <c r="F177" i="1"/>
  <c r="B177" i="1"/>
  <c r="D176" i="1"/>
  <c r="E176" i="1"/>
  <c r="G176" i="1"/>
  <c r="I176" i="1"/>
  <c r="J176" i="1"/>
  <c r="L176" i="1"/>
  <c r="N176" i="1"/>
  <c r="M176" i="1"/>
  <c r="C176" i="1"/>
  <c r="H176" i="1"/>
  <c r="F176" i="1"/>
  <c r="B176" i="1"/>
  <c r="D175" i="1"/>
  <c r="E175" i="1"/>
  <c r="G175" i="1"/>
  <c r="I175" i="1"/>
  <c r="J175" i="1"/>
  <c r="L175" i="1"/>
  <c r="N175" i="1"/>
  <c r="M175" i="1"/>
  <c r="C175" i="1"/>
  <c r="H175" i="1"/>
  <c r="F175" i="1"/>
  <c r="B175" i="1"/>
  <c r="D174" i="1"/>
  <c r="E174" i="1"/>
  <c r="G174" i="1"/>
  <c r="I174" i="1"/>
  <c r="J174" i="1"/>
  <c r="L174" i="1"/>
  <c r="N174" i="1"/>
  <c r="M174" i="1"/>
  <c r="C174" i="1"/>
  <c r="H174" i="1"/>
  <c r="F174" i="1"/>
  <c r="B174" i="1"/>
  <c r="D173" i="1"/>
  <c r="E173" i="1"/>
  <c r="G173" i="1"/>
  <c r="I173" i="1"/>
  <c r="J173" i="1"/>
  <c r="L173" i="1"/>
  <c r="N173" i="1"/>
  <c r="M173" i="1"/>
  <c r="C173" i="1"/>
  <c r="H173" i="1"/>
  <c r="F173" i="1"/>
  <c r="B173" i="1"/>
  <c r="D172" i="1"/>
  <c r="E172" i="1"/>
  <c r="G172" i="1"/>
  <c r="I172" i="1"/>
  <c r="J172" i="1"/>
  <c r="L172" i="1"/>
  <c r="N172" i="1"/>
  <c r="M172" i="1"/>
  <c r="C172" i="1"/>
  <c r="H172" i="1"/>
  <c r="F172" i="1"/>
  <c r="B172" i="1"/>
  <c r="D171" i="1"/>
  <c r="E171" i="1"/>
  <c r="G171" i="1"/>
  <c r="I171" i="1"/>
  <c r="J171" i="1"/>
  <c r="L171" i="1"/>
  <c r="N171" i="1"/>
  <c r="M171" i="1"/>
  <c r="C171" i="1"/>
  <c r="H171" i="1"/>
  <c r="F171" i="1"/>
  <c r="B171" i="1"/>
  <c r="D170" i="1"/>
  <c r="E170" i="1"/>
  <c r="G170" i="1"/>
  <c r="I170" i="1"/>
  <c r="J170" i="1"/>
  <c r="L170" i="1"/>
  <c r="N170" i="1"/>
  <c r="M170" i="1"/>
  <c r="C170" i="1"/>
  <c r="H170" i="1"/>
  <c r="F170" i="1"/>
  <c r="B170" i="1"/>
  <c r="D169" i="1"/>
  <c r="E169" i="1"/>
  <c r="G169" i="1"/>
  <c r="I169" i="1"/>
  <c r="J169" i="1"/>
  <c r="L169" i="1"/>
  <c r="N169" i="1"/>
  <c r="M169" i="1"/>
  <c r="C169" i="1"/>
  <c r="H169" i="1"/>
  <c r="F169" i="1"/>
  <c r="B169" i="1"/>
  <c r="D168" i="1"/>
  <c r="E168" i="1"/>
  <c r="G168" i="1"/>
  <c r="I168" i="1"/>
  <c r="J168" i="1"/>
  <c r="L168" i="1"/>
  <c r="N168" i="1"/>
  <c r="M168" i="1"/>
  <c r="C168" i="1"/>
  <c r="H168" i="1"/>
  <c r="F168" i="1"/>
  <c r="B168" i="1"/>
  <c r="D167" i="1"/>
  <c r="E167" i="1"/>
  <c r="G167" i="1"/>
  <c r="I167" i="1"/>
  <c r="J167" i="1"/>
  <c r="L167" i="1"/>
  <c r="N167" i="1"/>
  <c r="M167" i="1"/>
  <c r="C167" i="1"/>
  <c r="H167" i="1"/>
  <c r="F167" i="1"/>
  <c r="B167" i="1"/>
  <c r="D166" i="1"/>
  <c r="E166" i="1"/>
  <c r="G166" i="1"/>
  <c r="I166" i="1"/>
  <c r="J166" i="1"/>
  <c r="L166" i="1"/>
  <c r="N166" i="1"/>
  <c r="M166" i="1"/>
  <c r="C166" i="1"/>
  <c r="H166" i="1"/>
  <c r="F166" i="1"/>
  <c r="B166" i="1"/>
  <c r="D165" i="1"/>
  <c r="E165" i="1"/>
  <c r="G165" i="1"/>
  <c r="I165" i="1"/>
  <c r="J165" i="1"/>
  <c r="L165" i="1"/>
  <c r="N165" i="1"/>
  <c r="M165" i="1"/>
  <c r="C165" i="1"/>
  <c r="H165" i="1"/>
  <c r="F165" i="1"/>
  <c r="B165" i="1"/>
  <c r="D164" i="1"/>
  <c r="E164" i="1"/>
  <c r="G164" i="1"/>
  <c r="I164" i="1"/>
  <c r="J164" i="1"/>
  <c r="L164" i="1"/>
  <c r="N164" i="1"/>
  <c r="M164" i="1"/>
  <c r="C164" i="1"/>
  <c r="H164" i="1"/>
  <c r="F164" i="1"/>
  <c r="B164" i="1"/>
  <c r="D163" i="1"/>
  <c r="E163" i="1"/>
  <c r="G163" i="1"/>
  <c r="I163" i="1"/>
  <c r="J163" i="1"/>
  <c r="L163" i="1"/>
  <c r="N163" i="1"/>
  <c r="M163" i="1"/>
  <c r="C163" i="1"/>
  <c r="H163" i="1"/>
  <c r="F163" i="1"/>
  <c r="B163" i="1"/>
  <c r="D162" i="1"/>
  <c r="E162" i="1"/>
  <c r="G162" i="1"/>
  <c r="I162" i="1"/>
  <c r="J162" i="1"/>
  <c r="L162" i="1"/>
  <c r="N162" i="1"/>
  <c r="M162" i="1"/>
  <c r="C162" i="1"/>
  <c r="H162" i="1"/>
  <c r="F162" i="1"/>
  <c r="B162" i="1"/>
  <c r="D161" i="1"/>
  <c r="E161" i="1"/>
  <c r="G161" i="1"/>
  <c r="I161" i="1"/>
  <c r="J161" i="1"/>
  <c r="L161" i="1"/>
  <c r="N161" i="1"/>
  <c r="M161" i="1"/>
  <c r="C161" i="1"/>
  <c r="H161" i="1"/>
  <c r="F161" i="1"/>
  <c r="B161" i="1"/>
  <c r="D160" i="1"/>
  <c r="E160" i="1"/>
  <c r="G160" i="1"/>
  <c r="I160" i="1"/>
  <c r="J160" i="1"/>
  <c r="L160" i="1"/>
  <c r="N160" i="1"/>
  <c r="M160" i="1"/>
  <c r="C160" i="1"/>
  <c r="H160" i="1"/>
  <c r="F160" i="1"/>
  <c r="B160" i="1"/>
  <c r="D159" i="1"/>
  <c r="E159" i="1"/>
  <c r="G159" i="1"/>
  <c r="I159" i="1"/>
  <c r="J159" i="1"/>
  <c r="L159" i="1"/>
  <c r="N159" i="1"/>
  <c r="M159" i="1"/>
  <c r="C159" i="1"/>
  <c r="H159" i="1"/>
  <c r="F159" i="1"/>
  <c r="B159" i="1"/>
  <c r="D158" i="1"/>
  <c r="E158" i="1"/>
  <c r="G158" i="1"/>
  <c r="I158" i="1"/>
  <c r="J158" i="1"/>
  <c r="L158" i="1"/>
  <c r="N158" i="1"/>
  <c r="M158" i="1"/>
  <c r="C158" i="1"/>
  <c r="H158" i="1"/>
  <c r="F158" i="1"/>
  <c r="B158" i="1"/>
  <c r="D157" i="1"/>
  <c r="E157" i="1"/>
  <c r="G157" i="1"/>
  <c r="I157" i="1"/>
  <c r="J157" i="1"/>
  <c r="L157" i="1"/>
  <c r="N157" i="1"/>
  <c r="M157" i="1"/>
  <c r="C157" i="1"/>
  <c r="H157" i="1"/>
  <c r="F157" i="1"/>
  <c r="B157" i="1"/>
  <c r="D156" i="1"/>
  <c r="E156" i="1"/>
  <c r="G156" i="1"/>
  <c r="I156" i="1"/>
  <c r="J156" i="1"/>
  <c r="L156" i="1"/>
  <c r="N156" i="1"/>
  <c r="M156" i="1"/>
  <c r="C156" i="1"/>
  <c r="H156" i="1"/>
  <c r="F156" i="1"/>
  <c r="B156" i="1"/>
  <c r="D155" i="1"/>
  <c r="E155" i="1"/>
  <c r="G155" i="1"/>
  <c r="I155" i="1"/>
  <c r="J155" i="1"/>
  <c r="L155" i="1"/>
  <c r="N155" i="1"/>
  <c r="M155" i="1"/>
  <c r="C155" i="1"/>
  <c r="H155" i="1"/>
  <c r="F155" i="1"/>
  <c r="B155" i="1"/>
  <c r="D154" i="1"/>
  <c r="E154" i="1"/>
  <c r="G154" i="1"/>
  <c r="I154" i="1"/>
  <c r="J154" i="1"/>
  <c r="L154" i="1"/>
  <c r="N154" i="1"/>
  <c r="M154" i="1"/>
  <c r="C154" i="1"/>
  <c r="H154" i="1"/>
  <c r="F154" i="1"/>
  <c r="B154" i="1"/>
  <c r="D153" i="1"/>
  <c r="E153" i="1"/>
  <c r="G153" i="1"/>
  <c r="I153" i="1"/>
  <c r="J153" i="1"/>
  <c r="L153" i="1"/>
  <c r="N153" i="1"/>
  <c r="M153" i="1"/>
  <c r="C153" i="1"/>
  <c r="H153" i="1"/>
  <c r="F153" i="1"/>
  <c r="B153" i="1"/>
  <c r="D152" i="1"/>
  <c r="E152" i="1"/>
  <c r="G152" i="1"/>
  <c r="I152" i="1"/>
  <c r="J152" i="1"/>
  <c r="L152" i="1"/>
  <c r="N152" i="1"/>
  <c r="M152" i="1"/>
  <c r="C152" i="1"/>
  <c r="H152" i="1"/>
  <c r="F152" i="1"/>
  <c r="B152" i="1"/>
  <c r="D151" i="1"/>
  <c r="E151" i="1"/>
  <c r="G151" i="1"/>
  <c r="I151" i="1"/>
  <c r="J151" i="1"/>
  <c r="L151" i="1"/>
  <c r="N151" i="1"/>
  <c r="M151" i="1"/>
  <c r="C151" i="1"/>
  <c r="H151" i="1"/>
  <c r="F151" i="1"/>
  <c r="B151" i="1"/>
  <c r="D150" i="1"/>
  <c r="E150" i="1"/>
  <c r="G150" i="1"/>
  <c r="I150" i="1"/>
  <c r="J150" i="1"/>
  <c r="L150" i="1"/>
  <c r="N150" i="1"/>
  <c r="M150" i="1"/>
  <c r="C150" i="1"/>
  <c r="H150" i="1"/>
  <c r="F150" i="1"/>
  <c r="B150" i="1"/>
  <c r="D149" i="1"/>
  <c r="E149" i="1"/>
  <c r="G149" i="1"/>
  <c r="I149" i="1"/>
  <c r="J149" i="1"/>
  <c r="L149" i="1"/>
  <c r="N149" i="1"/>
  <c r="M149" i="1"/>
  <c r="C149" i="1"/>
  <c r="H149" i="1"/>
  <c r="F149" i="1"/>
  <c r="B149" i="1"/>
  <c r="D148" i="1"/>
  <c r="E148" i="1"/>
  <c r="G148" i="1"/>
  <c r="I148" i="1"/>
  <c r="J148" i="1"/>
  <c r="L148" i="1"/>
  <c r="N148" i="1"/>
  <c r="M148" i="1"/>
  <c r="C148" i="1"/>
  <c r="H148" i="1"/>
  <c r="F148" i="1"/>
  <c r="B148" i="1"/>
  <c r="D147" i="1"/>
  <c r="E147" i="1"/>
  <c r="G147" i="1"/>
  <c r="I147" i="1"/>
  <c r="J147" i="1"/>
  <c r="L147" i="1"/>
  <c r="N147" i="1"/>
  <c r="M147" i="1"/>
  <c r="C147" i="1"/>
  <c r="H147" i="1"/>
  <c r="F147" i="1"/>
  <c r="B147" i="1"/>
  <c r="D146" i="1"/>
  <c r="E146" i="1"/>
  <c r="G146" i="1"/>
  <c r="I146" i="1"/>
  <c r="J146" i="1"/>
  <c r="L146" i="1"/>
  <c r="N146" i="1"/>
  <c r="M146" i="1"/>
  <c r="C146" i="1"/>
  <c r="H146" i="1"/>
  <c r="F146" i="1"/>
  <c r="B146" i="1"/>
  <c r="D145" i="1"/>
  <c r="E145" i="1"/>
  <c r="G145" i="1"/>
  <c r="I145" i="1"/>
  <c r="J145" i="1"/>
  <c r="L145" i="1"/>
  <c r="N145" i="1"/>
  <c r="M145" i="1"/>
  <c r="C145" i="1"/>
  <c r="H145" i="1"/>
  <c r="F145" i="1"/>
  <c r="B145" i="1"/>
  <c r="D144" i="1"/>
  <c r="E144" i="1"/>
  <c r="G144" i="1"/>
  <c r="I144" i="1"/>
  <c r="J144" i="1"/>
  <c r="L144" i="1"/>
  <c r="N144" i="1"/>
  <c r="M144" i="1"/>
  <c r="C144" i="1"/>
  <c r="H144" i="1"/>
  <c r="F144" i="1"/>
  <c r="B144" i="1"/>
  <c r="D143" i="1"/>
  <c r="E143" i="1"/>
  <c r="G143" i="1"/>
  <c r="I143" i="1"/>
  <c r="J143" i="1"/>
  <c r="L143" i="1"/>
  <c r="N143" i="1"/>
  <c r="M143" i="1"/>
  <c r="C143" i="1"/>
  <c r="H143" i="1"/>
  <c r="F143" i="1"/>
  <c r="B143" i="1"/>
  <c r="D142" i="1"/>
  <c r="E142" i="1"/>
  <c r="G142" i="1"/>
  <c r="I142" i="1"/>
  <c r="J142" i="1"/>
  <c r="L142" i="1"/>
  <c r="N142" i="1"/>
  <c r="M142" i="1"/>
  <c r="C142" i="1"/>
  <c r="H142" i="1"/>
  <c r="F142" i="1"/>
  <c r="B142" i="1"/>
  <c r="D141" i="1"/>
  <c r="E141" i="1"/>
  <c r="G141" i="1"/>
  <c r="I141" i="1"/>
  <c r="J141" i="1"/>
  <c r="L141" i="1"/>
  <c r="N141" i="1"/>
  <c r="M141" i="1"/>
  <c r="C141" i="1"/>
  <c r="H141" i="1"/>
  <c r="F141" i="1"/>
  <c r="B141" i="1"/>
  <c r="D140" i="1"/>
  <c r="E140" i="1"/>
  <c r="G140" i="1"/>
  <c r="I140" i="1"/>
  <c r="J140" i="1"/>
  <c r="L140" i="1"/>
  <c r="N140" i="1"/>
  <c r="M140" i="1"/>
  <c r="C140" i="1"/>
  <c r="H140" i="1"/>
  <c r="F140" i="1"/>
  <c r="B140" i="1"/>
  <c r="D139" i="1"/>
  <c r="E139" i="1"/>
  <c r="G139" i="1"/>
  <c r="I139" i="1"/>
  <c r="J139" i="1"/>
  <c r="L139" i="1"/>
  <c r="N139" i="1"/>
  <c r="M139" i="1"/>
  <c r="C139" i="1"/>
  <c r="H139" i="1"/>
  <c r="F139" i="1"/>
  <c r="B139" i="1"/>
  <c r="D138" i="1"/>
  <c r="E138" i="1"/>
  <c r="G138" i="1"/>
  <c r="I138" i="1"/>
  <c r="J138" i="1"/>
  <c r="L138" i="1"/>
  <c r="N138" i="1"/>
  <c r="M138" i="1"/>
  <c r="C138" i="1"/>
  <c r="H138" i="1"/>
  <c r="F138" i="1"/>
  <c r="B138" i="1"/>
  <c r="D137" i="1"/>
  <c r="E137" i="1"/>
  <c r="G137" i="1"/>
  <c r="I137" i="1"/>
  <c r="J137" i="1"/>
  <c r="L137" i="1"/>
  <c r="N137" i="1"/>
  <c r="M137" i="1"/>
  <c r="C137" i="1"/>
  <c r="H137" i="1"/>
  <c r="F137" i="1"/>
  <c r="B137" i="1"/>
  <c r="D136" i="1"/>
  <c r="E136" i="1"/>
  <c r="G136" i="1"/>
  <c r="I136" i="1"/>
  <c r="J136" i="1"/>
  <c r="L136" i="1"/>
  <c r="N136" i="1"/>
  <c r="M136" i="1"/>
  <c r="C136" i="1"/>
  <c r="H136" i="1"/>
  <c r="F136" i="1"/>
  <c r="B136" i="1"/>
  <c r="D135" i="1"/>
  <c r="E135" i="1"/>
  <c r="G135" i="1"/>
  <c r="I135" i="1"/>
  <c r="J135" i="1"/>
  <c r="L135" i="1"/>
  <c r="N135" i="1"/>
  <c r="M135" i="1"/>
  <c r="C135" i="1"/>
  <c r="H135" i="1"/>
  <c r="F135" i="1"/>
  <c r="B135" i="1"/>
  <c r="D134" i="1"/>
  <c r="E134" i="1"/>
  <c r="G134" i="1"/>
  <c r="I134" i="1"/>
  <c r="J134" i="1"/>
  <c r="L134" i="1"/>
  <c r="N134" i="1"/>
  <c r="M134" i="1"/>
  <c r="C134" i="1"/>
  <c r="H134" i="1"/>
  <c r="F134" i="1"/>
  <c r="B134" i="1"/>
  <c r="D133" i="1"/>
  <c r="E133" i="1"/>
  <c r="G133" i="1"/>
  <c r="I133" i="1"/>
  <c r="J133" i="1"/>
  <c r="L133" i="1"/>
  <c r="N133" i="1"/>
  <c r="M133" i="1"/>
  <c r="C133" i="1"/>
  <c r="H133" i="1"/>
  <c r="F133" i="1"/>
  <c r="B133" i="1"/>
  <c r="D132" i="1"/>
  <c r="E132" i="1"/>
  <c r="G132" i="1"/>
  <c r="I132" i="1"/>
  <c r="J132" i="1"/>
  <c r="L132" i="1"/>
  <c r="N132" i="1"/>
  <c r="M132" i="1"/>
  <c r="C132" i="1"/>
  <c r="H132" i="1"/>
  <c r="F132" i="1"/>
  <c r="B132" i="1"/>
  <c r="D131" i="1"/>
  <c r="E131" i="1"/>
  <c r="G131" i="1"/>
  <c r="I131" i="1"/>
  <c r="J131" i="1"/>
  <c r="L131" i="1"/>
  <c r="N131" i="1"/>
  <c r="M131" i="1"/>
  <c r="C131" i="1"/>
  <c r="H131" i="1"/>
  <c r="F131" i="1"/>
  <c r="B131" i="1"/>
  <c r="D130" i="1"/>
  <c r="E130" i="1"/>
  <c r="G130" i="1"/>
  <c r="I130" i="1"/>
  <c r="J130" i="1"/>
  <c r="L130" i="1"/>
  <c r="N130" i="1"/>
  <c r="M130" i="1"/>
  <c r="C130" i="1"/>
  <c r="H130" i="1"/>
  <c r="F130" i="1"/>
  <c r="B130" i="1"/>
  <c r="D129" i="1"/>
  <c r="E129" i="1"/>
  <c r="G129" i="1"/>
  <c r="I129" i="1"/>
  <c r="J129" i="1"/>
  <c r="L129" i="1"/>
  <c r="N129" i="1"/>
  <c r="M129" i="1"/>
  <c r="C129" i="1"/>
  <c r="H129" i="1"/>
  <c r="F129" i="1"/>
  <c r="B129" i="1"/>
  <c r="D128" i="1"/>
  <c r="E128" i="1"/>
  <c r="G128" i="1"/>
  <c r="I128" i="1"/>
  <c r="J128" i="1"/>
  <c r="L128" i="1"/>
  <c r="N128" i="1"/>
  <c r="M128" i="1"/>
  <c r="C128" i="1"/>
  <c r="H128" i="1"/>
  <c r="F128" i="1"/>
  <c r="B128" i="1"/>
  <c r="D127" i="1"/>
  <c r="E127" i="1"/>
  <c r="G127" i="1"/>
  <c r="I127" i="1"/>
  <c r="J127" i="1"/>
  <c r="L127" i="1"/>
  <c r="N127" i="1"/>
  <c r="M127" i="1"/>
  <c r="C127" i="1"/>
  <c r="H127" i="1"/>
  <c r="F127" i="1"/>
  <c r="B127" i="1"/>
  <c r="D126" i="1"/>
  <c r="E126" i="1"/>
  <c r="G126" i="1"/>
  <c r="I126" i="1"/>
  <c r="J126" i="1"/>
  <c r="L126" i="1"/>
  <c r="N126" i="1"/>
  <c r="M126" i="1"/>
  <c r="C126" i="1"/>
  <c r="H126" i="1"/>
  <c r="F126" i="1"/>
  <c r="B126" i="1"/>
  <c r="D125" i="1"/>
  <c r="E125" i="1"/>
  <c r="G125" i="1"/>
  <c r="I125" i="1"/>
  <c r="J125" i="1"/>
  <c r="L125" i="1"/>
  <c r="N125" i="1"/>
  <c r="M125" i="1"/>
  <c r="C125" i="1"/>
  <c r="H125" i="1"/>
  <c r="F125" i="1"/>
  <c r="B125" i="1"/>
  <c r="D124" i="1"/>
  <c r="E124" i="1"/>
  <c r="G124" i="1"/>
  <c r="I124" i="1"/>
  <c r="J124" i="1"/>
  <c r="L124" i="1"/>
  <c r="N124" i="1"/>
  <c r="M124" i="1"/>
  <c r="C124" i="1"/>
  <c r="H124" i="1"/>
  <c r="F124" i="1"/>
  <c r="B124" i="1"/>
  <c r="D123" i="1"/>
  <c r="E123" i="1"/>
  <c r="G123" i="1"/>
  <c r="I123" i="1"/>
  <c r="J123" i="1"/>
  <c r="L123" i="1"/>
  <c r="N123" i="1"/>
  <c r="M123" i="1"/>
  <c r="C123" i="1"/>
  <c r="H123" i="1"/>
  <c r="F123" i="1"/>
  <c r="B123" i="1"/>
  <c r="D122" i="1"/>
  <c r="E122" i="1"/>
  <c r="G122" i="1"/>
  <c r="I122" i="1"/>
  <c r="J122" i="1"/>
  <c r="L122" i="1"/>
  <c r="N122" i="1"/>
  <c r="M122" i="1"/>
  <c r="C122" i="1"/>
  <c r="H122" i="1"/>
  <c r="F122" i="1"/>
  <c r="B122" i="1"/>
  <c r="D121" i="1"/>
  <c r="E121" i="1"/>
  <c r="G121" i="1"/>
  <c r="I121" i="1"/>
  <c r="J121" i="1"/>
  <c r="L121" i="1"/>
  <c r="N121" i="1"/>
  <c r="M121" i="1"/>
  <c r="C121" i="1"/>
  <c r="H121" i="1"/>
  <c r="F121" i="1"/>
  <c r="B121" i="1"/>
  <c r="D120" i="1"/>
  <c r="E120" i="1"/>
  <c r="G120" i="1"/>
  <c r="I120" i="1"/>
  <c r="J120" i="1"/>
  <c r="L120" i="1"/>
  <c r="N120" i="1"/>
  <c r="M120" i="1"/>
  <c r="C120" i="1"/>
  <c r="H120" i="1"/>
  <c r="F120" i="1"/>
  <c r="B120" i="1"/>
  <c r="D119" i="1"/>
  <c r="E119" i="1"/>
  <c r="G119" i="1"/>
  <c r="I119" i="1"/>
  <c r="J119" i="1"/>
  <c r="L119" i="1"/>
  <c r="N119" i="1"/>
  <c r="M119" i="1"/>
  <c r="C119" i="1"/>
  <c r="H119" i="1"/>
  <c r="F119" i="1"/>
  <c r="B119" i="1"/>
  <c r="D118" i="1"/>
  <c r="E118" i="1"/>
  <c r="G118" i="1"/>
  <c r="I118" i="1"/>
  <c r="J118" i="1"/>
  <c r="L118" i="1"/>
  <c r="N118" i="1"/>
  <c r="M118" i="1"/>
  <c r="C118" i="1"/>
  <c r="H118" i="1"/>
  <c r="F118" i="1"/>
  <c r="B118" i="1"/>
  <c r="D117" i="1"/>
  <c r="E117" i="1"/>
  <c r="G117" i="1"/>
  <c r="I117" i="1"/>
  <c r="J117" i="1"/>
  <c r="L117" i="1"/>
  <c r="N117" i="1"/>
  <c r="M117" i="1"/>
  <c r="C117" i="1"/>
  <c r="H117" i="1"/>
  <c r="F117" i="1"/>
  <c r="B117" i="1"/>
  <c r="D116" i="1"/>
  <c r="E116" i="1"/>
  <c r="G116" i="1"/>
  <c r="I116" i="1"/>
  <c r="J116" i="1"/>
  <c r="L116" i="1"/>
  <c r="N116" i="1"/>
  <c r="M116" i="1"/>
  <c r="C116" i="1"/>
  <c r="H116" i="1"/>
  <c r="F116" i="1"/>
  <c r="B116" i="1"/>
  <c r="D115" i="1"/>
  <c r="E115" i="1"/>
  <c r="G115" i="1"/>
  <c r="I115" i="1"/>
  <c r="J115" i="1"/>
  <c r="L115" i="1"/>
  <c r="N115" i="1"/>
  <c r="M115" i="1"/>
  <c r="C115" i="1"/>
  <c r="H115" i="1"/>
  <c r="F115" i="1"/>
  <c r="B115" i="1"/>
  <c r="D114" i="1"/>
  <c r="E114" i="1"/>
  <c r="G114" i="1"/>
  <c r="I114" i="1"/>
  <c r="J114" i="1"/>
  <c r="L114" i="1"/>
  <c r="N114" i="1"/>
  <c r="M114" i="1"/>
  <c r="C114" i="1"/>
  <c r="H114" i="1"/>
  <c r="F114" i="1"/>
  <c r="B114" i="1"/>
  <c r="D113" i="1"/>
  <c r="E113" i="1"/>
  <c r="G113" i="1"/>
  <c r="I113" i="1"/>
  <c r="J113" i="1"/>
  <c r="L113" i="1"/>
  <c r="N113" i="1"/>
  <c r="M113" i="1"/>
  <c r="C113" i="1"/>
  <c r="H113" i="1"/>
  <c r="F113" i="1"/>
  <c r="B113" i="1"/>
  <c r="D112" i="1"/>
  <c r="E112" i="1"/>
  <c r="G112" i="1"/>
  <c r="I112" i="1"/>
  <c r="J112" i="1"/>
  <c r="L112" i="1"/>
  <c r="N112" i="1"/>
  <c r="M112" i="1"/>
  <c r="C112" i="1"/>
  <c r="H112" i="1"/>
  <c r="F112" i="1"/>
  <c r="B112" i="1"/>
  <c r="D111" i="1"/>
  <c r="E111" i="1"/>
  <c r="G111" i="1"/>
  <c r="I111" i="1"/>
  <c r="J111" i="1"/>
  <c r="L111" i="1"/>
  <c r="N111" i="1"/>
  <c r="M111" i="1"/>
  <c r="C111" i="1"/>
  <c r="H111" i="1"/>
  <c r="F111" i="1"/>
  <c r="B111" i="1"/>
  <c r="D110" i="1"/>
  <c r="E110" i="1"/>
  <c r="G110" i="1"/>
  <c r="I110" i="1"/>
  <c r="J110" i="1"/>
  <c r="L110" i="1"/>
  <c r="N110" i="1"/>
  <c r="M110" i="1"/>
  <c r="C110" i="1"/>
  <c r="H110" i="1"/>
  <c r="F110" i="1"/>
  <c r="B110" i="1"/>
  <c r="D109" i="1"/>
  <c r="E109" i="1"/>
  <c r="G109" i="1"/>
  <c r="I109" i="1"/>
  <c r="J109" i="1"/>
  <c r="L109" i="1"/>
  <c r="N109" i="1"/>
  <c r="M109" i="1"/>
  <c r="C109" i="1"/>
  <c r="H109" i="1"/>
  <c r="F109" i="1"/>
  <c r="B109" i="1"/>
  <c r="D108" i="1"/>
  <c r="E108" i="1"/>
  <c r="G108" i="1"/>
  <c r="I108" i="1"/>
  <c r="J108" i="1"/>
  <c r="L108" i="1"/>
  <c r="N108" i="1"/>
  <c r="M108" i="1"/>
  <c r="C108" i="1"/>
  <c r="H108" i="1"/>
  <c r="F108" i="1"/>
  <c r="B108" i="1"/>
  <c r="D107" i="1"/>
  <c r="E107" i="1"/>
  <c r="G107" i="1"/>
  <c r="I107" i="1"/>
  <c r="J107" i="1"/>
  <c r="L107" i="1"/>
  <c r="N107" i="1"/>
  <c r="M107" i="1"/>
  <c r="C107" i="1"/>
  <c r="H107" i="1"/>
  <c r="F107" i="1"/>
  <c r="B107" i="1"/>
  <c r="D106" i="1"/>
  <c r="E106" i="1"/>
  <c r="G106" i="1"/>
  <c r="I106" i="1"/>
  <c r="J106" i="1"/>
  <c r="L106" i="1"/>
  <c r="N106" i="1"/>
  <c r="M106" i="1"/>
  <c r="C106" i="1"/>
  <c r="H106" i="1"/>
  <c r="F106" i="1"/>
  <c r="B106" i="1"/>
  <c r="D105" i="1"/>
  <c r="E105" i="1"/>
  <c r="G105" i="1"/>
  <c r="I105" i="1"/>
  <c r="J105" i="1"/>
  <c r="L105" i="1"/>
  <c r="N105" i="1"/>
  <c r="M105" i="1"/>
  <c r="C105" i="1"/>
  <c r="H105" i="1"/>
  <c r="F105" i="1"/>
  <c r="B105" i="1"/>
  <c r="D104" i="1"/>
  <c r="E104" i="1"/>
  <c r="G104" i="1"/>
  <c r="I104" i="1"/>
  <c r="J104" i="1"/>
  <c r="L104" i="1"/>
  <c r="N104" i="1"/>
  <c r="M104" i="1"/>
  <c r="C104" i="1"/>
  <c r="H104" i="1"/>
  <c r="F104" i="1"/>
  <c r="B104" i="1"/>
  <c r="D103" i="1"/>
  <c r="E103" i="1"/>
  <c r="G103" i="1"/>
  <c r="I103" i="1"/>
  <c r="J103" i="1"/>
  <c r="L103" i="1"/>
  <c r="N103" i="1"/>
  <c r="M103" i="1"/>
  <c r="C103" i="1"/>
  <c r="H103" i="1"/>
  <c r="F103" i="1"/>
  <c r="B103" i="1"/>
  <c r="D102" i="1"/>
  <c r="E102" i="1"/>
  <c r="G102" i="1"/>
  <c r="I102" i="1"/>
  <c r="J102" i="1"/>
  <c r="L102" i="1"/>
  <c r="N102" i="1"/>
  <c r="M102" i="1"/>
  <c r="C102" i="1"/>
  <c r="H102" i="1"/>
  <c r="F102" i="1"/>
  <c r="B102" i="1"/>
  <c r="D101" i="1"/>
  <c r="E101" i="1"/>
  <c r="G101" i="1"/>
  <c r="I101" i="1"/>
  <c r="J101" i="1"/>
  <c r="L101" i="1"/>
  <c r="N101" i="1"/>
  <c r="M101" i="1"/>
  <c r="C101" i="1"/>
  <c r="H101" i="1"/>
  <c r="F101" i="1"/>
  <c r="B101" i="1"/>
  <c r="D100" i="1"/>
  <c r="E100" i="1"/>
  <c r="G100" i="1"/>
  <c r="I100" i="1"/>
  <c r="J100" i="1"/>
  <c r="L100" i="1"/>
  <c r="N100" i="1"/>
  <c r="M100" i="1"/>
  <c r="C100" i="1"/>
  <c r="H100" i="1"/>
  <c r="F100" i="1"/>
  <c r="B100" i="1"/>
  <c r="D99" i="1"/>
  <c r="E99" i="1"/>
  <c r="G99" i="1"/>
  <c r="I99" i="1"/>
  <c r="J99" i="1"/>
  <c r="L99" i="1"/>
  <c r="N99" i="1"/>
  <c r="M99" i="1"/>
  <c r="C99" i="1"/>
  <c r="H99" i="1"/>
  <c r="F99" i="1"/>
  <c r="B99" i="1"/>
  <c r="D98" i="1"/>
  <c r="E98" i="1"/>
  <c r="G98" i="1"/>
  <c r="I98" i="1"/>
  <c r="J98" i="1"/>
  <c r="L98" i="1"/>
  <c r="N98" i="1"/>
  <c r="M98" i="1"/>
  <c r="C98" i="1"/>
  <c r="H98" i="1"/>
  <c r="F98" i="1"/>
  <c r="B98" i="1"/>
  <c r="D97" i="1"/>
  <c r="E97" i="1"/>
  <c r="G97" i="1"/>
  <c r="I97" i="1"/>
  <c r="J97" i="1"/>
  <c r="L97" i="1"/>
  <c r="N97" i="1"/>
  <c r="M97" i="1"/>
  <c r="C97" i="1"/>
  <c r="H97" i="1"/>
  <c r="F97" i="1"/>
  <c r="B97" i="1"/>
  <c r="D96" i="1"/>
  <c r="E96" i="1"/>
  <c r="G96" i="1"/>
  <c r="I96" i="1"/>
  <c r="J96" i="1"/>
  <c r="L96" i="1"/>
  <c r="N96" i="1"/>
  <c r="M96" i="1"/>
  <c r="C96" i="1"/>
  <c r="H96" i="1"/>
  <c r="F96" i="1"/>
  <c r="B96" i="1"/>
  <c r="D95" i="1"/>
  <c r="E95" i="1"/>
  <c r="G95" i="1"/>
  <c r="I95" i="1"/>
  <c r="J95" i="1"/>
  <c r="L95" i="1"/>
  <c r="N95" i="1"/>
  <c r="M95" i="1"/>
  <c r="C95" i="1"/>
  <c r="H95" i="1"/>
  <c r="F95" i="1"/>
  <c r="B95" i="1"/>
  <c r="D94" i="1"/>
  <c r="E94" i="1"/>
  <c r="G94" i="1"/>
  <c r="I94" i="1"/>
  <c r="J94" i="1"/>
  <c r="L94" i="1"/>
  <c r="N94" i="1"/>
  <c r="M94" i="1"/>
  <c r="C94" i="1"/>
  <c r="H94" i="1"/>
  <c r="F94" i="1"/>
  <c r="B94" i="1"/>
  <c r="D93" i="1"/>
  <c r="E93" i="1"/>
  <c r="G93" i="1"/>
  <c r="I93" i="1"/>
  <c r="J93" i="1"/>
  <c r="L93" i="1"/>
  <c r="N93" i="1"/>
  <c r="M93" i="1"/>
  <c r="C93" i="1"/>
  <c r="H93" i="1"/>
  <c r="F93" i="1"/>
  <c r="B93" i="1"/>
  <c r="D92" i="1"/>
  <c r="E92" i="1"/>
  <c r="G92" i="1"/>
  <c r="I92" i="1"/>
  <c r="J92" i="1"/>
  <c r="L92" i="1"/>
  <c r="N92" i="1"/>
  <c r="M92" i="1"/>
  <c r="C92" i="1"/>
  <c r="H92" i="1"/>
  <c r="F92" i="1"/>
  <c r="B92" i="1"/>
  <c r="D91" i="1"/>
  <c r="E91" i="1"/>
  <c r="G91" i="1"/>
  <c r="I91" i="1"/>
  <c r="J91" i="1"/>
  <c r="L91" i="1"/>
  <c r="N91" i="1"/>
  <c r="M91" i="1"/>
  <c r="C91" i="1"/>
  <c r="H91" i="1"/>
  <c r="F91" i="1"/>
  <c r="B91" i="1"/>
  <c r="D90" i="1"/>
  <c r="E90" i="1"/>
  <c r="G90" i="1"/>
  <c r="I90" i="1"/>
  <c r="J90" i="1"/>
  <c r="L90" i="1"/>
  <c r="N90" i="1"/>
  <c r="M90" i="1"/>
  <c r="C90" i="1"/>
  <c r="H90" i="1"/>
  <c r="F90" i="1"/>
  <c r="B90" i="1"/>
  <c r="D89" i="1"/>
  <c r="E89" i="1"/>
  <c r="G89" i="1"/>
  <c r="I89" i="1"/>
  <c r="J89" i="1"/>
  <c r="L89" i="1"/>
  <c r="N89" i="1"/>
  <c r="M89" i="1"/>
  <c r="C89" i="1"/>
  <c r="H89" i="1"/>
  <c r="F89" i="1"/>
  <c r="B89" i="1"/>
  <c r="D88" i="1"/>
  <c r="E88" i="1"/>
  <c r="G88" i="1"/>
  <c r="I88" i="1"/>
  <c r="J88" i="1"/>
  <c r="L88" i="1"/>
  <c r="N88" i="1"/>
  <c r="M88" i="1"/>
  <c r="C88" i="1"/>
  <c r="H88" i="1"/>
  <c r="F88" i="1"/>
  <c r="B88" i="1"/>
  <c r="D87" i="1"/>
  <c r="E87" i="1"/>
  <c r="G87" i="1"/>
  <c r="I87" i="1"/>
  <c r="J87" i="1"/>
  <c r="L87" i="1"/>
  <c r="N87" i="1"/>
  <c r="M87" i="1"/>
  <c r="C87" i="1"/>
  <c r="H87" i="1"/>
  <c r="F87" i="1"/>
  <c r="B87" i="1"/>
  <c r="D86" i="1"/>
  <c r="E86" i="1"/>
  <c r="G86" i="1"/>
  <c r="I86" i="1"/>
  <c r="J86" i="1"/>
  <c r="L86" i="1"/>
  <c r="N86" i="1"/>
  <c r="M86" i="1"/>
  <c r="C86" i="1"/>
  <c r="H86" i="1"/>
  <c r="F86" i="1"/>
  <c r="B86" i="1"/>
  <c r="D85" i="1"/>
  <c r="E85" i="1"/>
  <c r="G85" i="1"/>
  <c r="I85" i="1"/>
  <c r="J85" i="1"/>
  <c r="L85" i="1"/>
  <c r="N85" i="1"/>
  <c r="M85" i="1"/>
  <c r="C85" i="1"/>
  <c r="H85" i="1"/>
  <c r="F85" i="1"/>
  <c r="B85" i="1"/>
  <c r="D84" i="1"/>
  <c r="E84" i="1"/>
  <c r="G84" i="1"/>
  <c r="I84" i="1"/>
  <c r="J84" i="1"/>
  <c r="L84" i="1"/>
  <c r="N84" i="1"/>
  <c r="M84" i="1"/>
  <c r="C84" i="1"/>
  <c r="H84" i="1"/>
  <c r="F84" i="1"/>
  <c r="B84" i="1"/>
  <c r="D83" i="1"/>
  <c r="E83" i="1"/>
  <c r="G83" i="1"/>
  <c r="I83" i="1"/>
  <c r="J83" i="1"/>
  <c r="L83" i="1"/>
  <c r="N83" i="1"/>
  <c r="M83" i="1"/>
  <c r="C83" i="1"/>
  <c r="H83" i="1"/>
  <c r="F83" i="1"/>
  <c r="B83" i="1"/>
  <c r="D82" i="1"/>
  <c r="E82" i="1"/>
  <c r="G82" i="1"/>
  <c r="I82" i="1"/>
  <c r="J82" i="1"/>
  <c r="L82" i="1"/>
  <c r="N82" i="1"/>
  <c r="M82" i="1"/>
  <c r="C82" i="1"/>
  <c r="H82" i="1"/>
  <c r="F82" i="1"/>
  <c r="B82" i="1"/>
  <c r="D81" i="1"/>
  <c r="E81" i="1"/>
  <c r="G81" i="1"/>
  <c r="I81" i="1"/>
  <c r="J81" i="1"/>
  <c r="L81" i="1"/>
  <c r="N81" i="1"/>
  <c r="M81" i="1"/>
  <c r="C81" i="1"/>
  <c r="H81" i="1"/>
  <c r="F81" i="1"/>
  <c r="B81" i="1"/>
  <c r="D80" i="1"/>
  <c r="E80" i="1"/>
  <c r="G80" i="1"/>
  <c r="I80" i="1"/>
  <c r="J80" i="1"/>
  <c r="L80" i="1"/>
  <c r="N80" i="1"/>
  <c r="M80" i="1"/>
  <c r="C80" i="1"/>
  <c r="H80" i="1"/>
  <c r="F80" i="1"/>
  <c r="B80" i="1"/>
  <c r="D79" i="1"/>
  <c r="E79" i="1"/>
  <c r="G79" i="1"/>
  <c r="I79" i="1"/>
  <c r="J79" i="1"/>
  <c r="L79" i="1"/>
  <c r="N79" i="1"/>
  <c r="M79" i="1"/>
  <c r="C79" i="1"/>
  <c r="H79" i="1"/>
  <c r="F79" i="1"/>
  <c r="B79" i="1"/>
  <c r="D78" i="1"/>
  <c r="E78" i="1"/>
  <c r="G78" i="1"/>
  <c r="I78" i="1"/>
  <c r="J78" i="1"/>
  <c r="L78" i="1"/>
  <c r="N78" i="1"/>
  <c r="M78" i="1"/>
  <c r="C78" i="1"/>
  <c r="H78" i="1"/>
  <c r="F78" i="1"/>
  <c r="B78" i="1"/>
  <c r="D77" i="1"/>
  <c r="E77" i="1"/>
  <c r="G77" i="1"/>
  <c r="I77" i="1"/>
  <c r="J77" i="1"/>
  <c r="L77" i="1"/>
  <c r="N77" i="1"/>
  <c r="M77" i="1"/>
  <c r="C77" i="1"/>
  <c r="H77" i="1"/>
  <c r="F77" i="1"/>
  <c r="B77" i="1"/>
  <c r="D76" i="1"/>
  <c r="E76" i="1"/>
  <c r="G76" i="1"/>
  <c r="I76" i="1"/>
  <c r="J76" i="1"/>
  <c r="L76" i="1"/>
  <c r="N76" i="1"/>
  <c r="M76" i="1"/>
  <c r="C76" i="1"/>
  <c r="H76" i="1"/>
  <c r="F76" i="1"/>
  <c r="B76" i="1"/>
  <c r="D75" i="1"/>
  <c r="E75" i="1"/>
  <c r="G75" i="1"/>
  <c r="I75" i="1"/>
  <c r="J75" i="1"/>
  <c r="L75" i="1"/>
  <c r="N75" i="1"/>
  <c r="M75" i="1"/>
  <c r="C75" i="1"/>
  <c r="H75" i="1"/>
  <c r="F75" i="1"/>
  <c r="B75" i="1"/>
  <c r="D74" i="1"/>
  <c r="E74" i="1"/>
  <c r="G74" i="1"/>
  <c r="I74" i="1"/>
  <c r="J74" i="1"/>
  <c r="L74" i="1"/>
  <c r="N74" i="1"/>
  <c r="M74" i="1"/>
  <c r="C74" i="1"/>
  <c r="H74" i="1"/>
  <c r="F74" i="1"/>
  <c r="B74" i="1"/>
  <c r="D73" i="1"/>
  <c r="E73" i="1"/>
  <c r="G73" i="1"/>
  <c r="I73" i="1"/>
  <c r="J73" i="1"/>
  <c r="L73" i="1"/>
  <c r="N73" i="1"/>
  <c r="M73" i="1"/>
  <c r="C73" i="1"/>
  <c r="H73" i="1"/>
  <c r="F73" i="1"/>
  <c r="B73" i="1"/>
  <c r="D72" i="1"/>
  <c r="E72" i="1"/>
  <c r="G72" i="1"/>
  <c r="I72" i="1"/>
  <c r="J72" i="1"/>
  <c r="L72" i="1"/>
  <c r="N72" i="1"/>
  <c r="M72" i="1"/>
  <c r="C72" i="1"/>
  <c r="H72" i="1"/>
  <c r="F72" i="1"/>
  <c r="B72" i="1"/>
  <c r="D71" i="1"/>
  <c r="E71" i="1"/>
  <c r="G71" i="1"/>
  <c r="I71" i="1"/>
  <c r="J71" i="1"/>
  <c r="L71" i="1"/>
  <c r="N71" i="1"/>
  <c r="M71" i="1"/>
  <c r="C71" i="1"/>
  <c r="H71" i="1"/>
  <c r="F71" i="1"/>
  <c r="B71" i="1"/>
  <c r="D70" i="1"/>
  <c r="E70" i="1"/>
  <c r="G70" i="1"/>
  <c r="I70" i="1"/>
  <c r="J70" i="1"/>
  <c r="L70" i="1"/>
  <c r="N70" i="1"/>
  <c r="M70" i="1"/>
  <c r="C70" i="1"/>
  <c r="H70" i="1"/>
  <c r="F70" i="1"/>
  <c r="B70" i="1"/>
  <c r="D69" i="1"/>
  <c r="E69" i="1"/>
  <c r="G69" i="1"/>
  <c r="I69" i="1"/>
  <c r="J69" i="1"/>
  <c r="L69" i="1"/>
  <c r="N69" i="1"/>
  <c r="M69" i="1"/>
  <c r="C69" i="1"/>
  <c r="H69" i="1"/>
  <c r="F69" i="1"/>
  <c r="B69" i="1"/>
  <c r="D68" i="1"/>
  <c r="E68" i="1"/>
  <c r="G68" i="1"/>
  <c r="I68" i="1"/>
  <c r="J68" i="1"/>
  <c r="L68" i="1"/>
  <c r="N68" i="1"/>
  <c r="M68" i="1"/>
  <c r="C68" i="1"/>
  <c r="H68" i="1"/>
  <c r="F68" i="1"/>
  <c r="B68" i="1"/>
  <c r="D67" i="1"/>
  <c r="E67" i="1"/>
  <c r="G67" i="1"/>
  <c r="I67" i="1"/>
  <c r="J67" i="1"/>
  <c r="L67" i="1"/>
  <c r="N67" i="1"/>
  <c r="M67" i="1"/>
  <c r="C67" i="1"/>
  <c r="H67" i="1"/>
  <c r="F67" i="1"/>
  <c r="B67" i="1"/>
  <c r="D66" i="1"/>
  <c r="E66" i="1"/>
  <c r="G66" i="1"/>
  <c r="I66" i="1"/>
  <c r="J66" i="1"/>
  <c r="L66" i="1"/>
  <c r="N66" i="1"/>
  <c r="M66" i="1"/>
  <c r="C66" i="1"/>
  <c r="H66" i="1"/>
  <c r="F66" i="1"/>
  <c r="B66" i="1"/>
  <c r="D65" i="1"/>
  <c r="E65" i="1"/>
  <c r="G65" i="1"/>
  <c r="I65" i="1"/>
  <c r="J65" i="1"/>
  <c r="L65" i="1"/>
  <c r="N65" i="1"/>
  <c r="M65" i="1"/>
  <c r="C65" i="1"/>
  <c r="H65" i="1"/>
  <c r="F65" i="1"/>
  <c r="B65" i="1"/>
  <c r="D64" i="1"/>
  <c r="E64" i="1"/>
  <c r="G64" i="1"/>
  <c r="I64" i="1"/>
  <c r="J64" i="1"/>
  <c r="L64" i="1"/>
  <c r="N64" i="1"/>
  <c r="M64" i="1"/>
  <c r="C64" i="1"/>
  <c r="H64" i="1"/>
  <c r="F64" i="1"/>
  <c r="B64" i="1"/>
  <c r="D63" i="1"/>
  <c r="E63" i="1"/>
  <c r="G63" i="1"/>
  <c r="I63" i="1"/>
  <c r="J63" i="1"/>
  <c r="L63" i="1"/>
  <c r="N63" i="1"/>
  <c r="M63" i="1"/>
  <c r="C63" i="1"/>
  <c r="H63" i="1"/>
  <c r="F63" i="1"/>
  <c r="B63" i="1"/>
  <c r="D62" i="1"/>
  <c r="E62" i="1"/>
  <c r="G62" i="1"/>
  <c r="I62" i="1"/>
  <c r="J62" i="1"/>
  <c r="L62" i="1"/>
  <c r="N62" i="1"/>
  <c r="M62" i="1"/>
  <c r="C62" i="1"/>
  <c r="H62" i="1"/>
  <c r="F62" i="1"/>
  <c r="B62" i="1"/>
  <c r="D61" i="1"/>
  <c r="E61" i="1"/>
  <c r="G61" i="1"/>
  <c r="I61" i="1"/>
  <c r="J61" i="1"/>
  <c r="L61" i="1"/>
  <c r="N61" i="1"/>
  <c r="M61" i="1"/>
  <c r="C61" i="1"/>
  <c r="H61" i="1"/>
  <c r="F61" i="1"/>
  <c r="B61" i="1"/>
  <c r="D60" i="1"/>
  <c r="E60" i="1"/>
  <c r="G60" i="1"/>
  <c r="I60" i="1"/>
  <c r="J60" i="1"/>
  <c r="L60" i="1"/>
  <c r="N60" i="1"/>
  <c r="M60" i="1"/>
  <c r="C60" i="1"/>
  <c r="H60" i="1"/>
  <c r="F60" i="1"/>
  <c r="B60" i="1"/>
  <c r="D59" i="1"/>
  <c r="E59" i="1"/>
  <c r="G59" i="1"/>
  <c r="I59" i="1"/>
  <c r="J59" i="1"/>
  <c r="L59" i="1"/>
  <c r="N59" i="1"/>
  <c r="M59" i="1"/>
  <c r="C59" i="1"/>
  <c r="H59" i="1"/>
  <c r="F59" i="1"/>
  <c r="B59" i="1"/>
  <c r="D58" i="1"/>
  <c r="E58" i="1"/>
  <c r="G58" i="1"/>
  <c r="I58" i="1"/>
  <c r="J58" i="1"/>
  <c r="L58" i="1"/>
  <c r="N58" i="1"/>
  <c r="M58" i="1"/>
  <c r="C58" i="1"/>
  <c r="H58" i="1"/>
  <c r="F58" i="1"/>
  <c r="B58" i="1"/>
  <c r="D57" i="1"/>
  <c r="E57" i="1"/>
  <c r="G57" i="1"/>
  <c r="I57" i="1"/>
  <c r="J57" i="1"/>
  <c r="L57" i="1"/>
  <c r="N57" i="1"/>
  <c r="M57" i="1"/>
  <c r="C57" i="1"/>
  <c r="H57" i="1"/>
  <c r="F57" i="1"/>
  <c r="B57" i="1"/>
  <c r="D56" i="1"/>
  <c r="E56" i="1"/>
  <c r="G56" i="1"/>
  <c r="I56" i="1"/>
  <c r="J56" i="1"/>
  <c r="L56" i="1"/>
  <c r="N56" i="1"/>
  <c r="M56" i="1"/>
  <c r="C56" i="1"/>
  <c r="H56" i="1"/>
  <c r="F56" i="1"/>
  <c r="B56" i="1"/>
  <c r="D55" i="1"/>
  <c r="E55" i="1"/>
  <c r="G55" i="1"/>
  <c r="I55" i="1"/>
  <c r="J55" i="1"/>
  <c r="L55" i="1"/>
  <c r="N55" i="1"/>
  <c r="M55" i="1"/>
  <c r="C55" i="1"/>
  <c r="H55" i="1"/>
  <c r="F55" i="1"/>
  <c r="B55" i="1"/>
  <c r="D54" i="1"/>
  <c r="E54" i="1"/>
  <c r="G54" i="1"/>
  <c r="I54" i="1"/>
  <c r="J54" i="1"/>
  <c r="L54" i="1"/>
  <c r="N54" i="1"/>
  <c r="M54" i="1"/>
  <c r="C54" i="1"/>
  <c r="H54" i="1"/>
  <c r="F54" i="1"/>
  <c r="B54" i="1"/>
  <c r="D53" i="1"/>
  <c r="E53" i="1"/>
  <c r="G53" i="1"/>
  <c r="I53" i="1"/>
  <c r="J53" i="1"/>
  <c r="L53" i="1"/>
  <c r="N53" i="1"/>
  <c r="M53" i="1"/>
  <c r="C53" i="1"/>
  <c r="H53" i="1"/>
  <c r="F53" i="1"/>
  <c r="B53" i="1"/>
  <c r="D52" i="1"/>
  <c r="E52" i="1"/>
  <c r="G52" i="1"/>
  <c r="I52" i="1"/>
  <c r="J52" i="1"/>
  <c r="L52" i="1"/>
  <c r="N52" i="1"/>
  <c r="M52" i="1"/>
  <c r="C52" i="1"/>
  <c r="H52" i="1"/>
  <c r="F52" i="1"/>
  <c r="B52" i="1"/>
  <c r="D51" i="1"/>
  <c r="E51" i="1"/>
  <c r="G51" i="1"/>
  <c r="I51" i="1"/>
  <c r="J51" i="1"/>
  <c r="L51" i="1"/>
  <c r="N51" i="1"/>
  <c r="M51" i="1"/>
  <c r="C51" i="1"/>
  <c r="H51" i="1"/>
  <c r="F51" i="1"/>
  <c r="B51" i="1"/>
  <c r="D50" i="1"/>
  <c r="E50" i="1"/>
  <c r="G50" i="1"/>
  <c r="I50" i="1"/>
  <c r="J50" i="1"/>
  <c r="L50" i="1"/>
  <c r="N50" i="1"/>
  <c r="M50" i="1"/>
  <c r="C50" i="1"/>
  <c r="H50" i="1"/>
  <c r="F50" i="1"/>
  <c r="B50" i="1"/>
  <c r="D49" i="1"/>
  <c r="E49" i="1"/>
  <c r="G49" i="1"/>
  <c r="I49" i="1"/>
  <c r="J49" i="1"/>
  <c r="L49" i="1"/>
  <c r="N49" i="1"/>
  <c r="M49" i="1"/>
  <c r="C49" i="1"/>
  <c r="H49" i="1"/>
  <c r="F49" i="1"/>
  <c r="B49" i="1"/>
  <c r="D48" i="1"/>
  <c r="E48" i="1"/>
  <c r="G48" i="1"/>
  <c r="I48" i="1"/>
  <c r="J48" i="1"/>
  <c r="L48" i="1"/>
  <c r="N48" i="1"/>
  <c r="M48" i="1"/>
  <c r="C48" i="1"/>
  <c r="H48" i="1"/>
  <c r="F48" i="1"/>
  <c r="B48" i="1"/>
  <c r="D47" i="1"/>
  <c r="E47" i="1"/>
  <c r="G47" i="1"/>
  <c r="I47" i="1"/>
  <c r="J47" i="1"/>
  <c r="L47" i="1"/>
  <c r="N47" i="1"/>
  <c r="M47" i="1"/>
  <c r="C47" i="1"/>
  <c r="H47" i="1"/>
  <c r="F47" i="1"/>
  <c r="B47" i="1"/>
  <c r="D46" i="1"/>
  <c r="E46" i="1"/>
  <c r="G46" i="1"/>
  <c r="I46" i="1"/>
  <c r="J46" i="1"/>
  <c r="L46" i="1"/>
  <c r="N46" i="1"/>
  <c r="M46" i="1"/>
  <c r="C46" i="1"/>
  <c r="H46" i="1"/>
  <c r="F46" i="1"/>
  <c r="B46" i="1"/>
  <c r="D45" i="1"/>
  <c r="E45" i="1"/>
  <c r="G45" i="1"/>
  <c r="I45" i="1"/>
  <c r="J45" i="1"/>
  <c r="L45" i="1"/>
  <c r="N45" i="1"/>
  <c r="M45" i="1"/>
  <c r="C45" i="1"/>
  <c r="H45" i="1"/>
  <c r="F45" i="1"/>
  <c r="B45" i="1"/>
  <c r="D44" i="1"/>
  <c r="E44" i="1"/>
  <c r="G44" i="1"/>
  <c r="I44" i="1"/>
  <c r="J44" i="1"/>
  <c r="L44" i="1"/>
  <c r="N44" i="1"/>
  <c r="M44" i="1"/>
  <c r="C44" i="1"/>
  <c r="H44" i="1"/>
  <c r="F44" i="1"/>
  <c r="B44" i="1"/>
  <c r="D43" i="1"/>
  <c r="E43" i="1"/>
  <c r="G43" i="1"/>
  <c r="I43" i="1"/>
  <c r="J43" i="1"/>
  <c r="L43" i="1"/>
  <c r="N43" i="1"/>
  <c r="M43" i="1"/>
  <c r="C43" i="1"/>
  <c r="H43" i="1"/>
  <c r="F43" i="1"/>
  <c r="B43" i="1"/>
  <c r="D42" i="1"/>
  <c r="E42" i="1"/>
  <c r="G42" i="1"/>
  <c r="I42" i="1"/>
  <c r="J42" i="1"/>
  <c r="L42" i="1"/>
  <c r="N42" i="1"/>
  <c r="M42" i="1"/>
  <c r="C42" i="1"/>
  <c r="H42" i="1"/>
  <c r="F42" i="1"/>
  <c r="B42" i="1"/>
  <c r="D41" i="1"/>
  <c r="E41" i="1"/>
  <c r="G41" i="1"/>
  <c r="I41" i="1"/>
  <c r="J41" i="1"/>
  <c r="L41" i="1"/>
  <c r="N41" i="1"/>
  <c r="M41" i="1"/>
  <c r="C41" i="1"/>
  <c r="H41" i="1"/>
  <c r="F41" i="1"/>
  <c r="B41" i="1"/>
  <c r="D40" i="1"/>
  <c r="E40" i="1"/>
  <c r="G40" i="1"/>
  <c r="I40" i="1"/>
  <c r="J40" i="1"/>
  <c r="L40" i="1"/>
  <c r="N40" i="1"/>
  <c r="M40" i="1"/>
  <c r="C40" i="1"/>
  <c r="H40" i="1"/>
  <c r="F40" i="1"/>
  <c r="B40" i="1"/>
  <c r="D39" i="1"/>
  <c r="E39" i="1"/>
  <c r="G39" i="1"/>
  <c r="I39" i="1"/>
  <c r="J39" i="1"/>
  <c r="L39" i="1"/>
  <c r="N39" i="1"/>
  <c r="M39" i="1"/>
  <c r="C39" i="1"/>
  <c r="H39" i="1"/>
  <c r="F39" i="1"/>
  <c r="B39" i="1"/>
  <c r="D38" i="1"/>
  <c r="E38" i="1"/>
  <c r="G38" i="1"/>
  <c r="I38" i="1"/>
  <c r="J38" i="1"/>
  <c r="L38" i="1"/>
  <c r="N38" i="1"/>
  <c r="M38" i="1"/>
  <c r="C38" i="1"/>
  <c r="H38" i="1"/>
  <c r="F38" i="1"/>
  <c r="B38" i="1"/>
  <c r="D37" i="1"/>
  <c r="E37" i="1"/>
  <c r="G37" i="1"/>
  <c r="I37" i="1"/>
  <c r="J37" i="1"/>
  <c r="L37" i="1"/>
  <c r="N37" i="1"/>
  <c r="M37" i="1"/>
  <c r="C37" i="1"/>
  <c r="H37" i="1"/>
  <c r="F37" i="1"/>
  <c r="B37" i="1"/>
  <c r="D36" i="1"/>
  <c r="E36" i="1"/>
  <c r="G36" i="1"/>
  <c r="I36" i="1"/>
  <c r="J36" i="1"/>
  <c r="L36" i="1"/>
  <c r="N36" i="1"/>
  <c r="M36" i="1"/>
  <c r="C36" i="1"/>
  <c r="H36" i="1"/>
  <c r="F36" i="1"/>
  <c r="B36" i="1"/>
  <c r="D35" i="1"/>
  <c r="E35" i="1"/>
  <c r="G35" i="1"/>
  <c r="I35" i="1"/>
  <c r="J35" i="1"/>
  <c r="L35" i="1"/>
  <c r="N35" i="1"/>
  <c r="M35" i="1"/>
  <c r="C35" i="1"/>
  <c r="H35" i="1"/>
  <c r="F35" i="1"/>
  <c r="B35" i="1"/>
  <c r="D34" i="1"/>
  <c r="E34" i="1"/>
  <c r="G34" i="1"/>
  <c r="I34" i="1"/>
  <c r="J34" i="1"/>
  <c r="L34" i="1"/>
  <c r="N34" i="1"/>
  <c r="M34" i="1"/>
  <c r="C34" i="1"/>
  <c r="H34" i="1"/>
  <c r="F34" i="1"/>
  <c r="B34" i="1"/>
  <c r="D33" i="1"/>
  <c r="E33" i="1"/>
  <c r="G33" i="1"/>
  <c r="I33" i="1"/>
  <c r="J33" i="1"/>
  <c r="L33" i="1"/>
  <c r="N33" i="1"/>
  <c r="M33" i="1"/>
  <c r="C33" i="1"/>
  <c r="H33" i="1"/>
  <c r="F33" i="1"/>
  <c r="B33" i="1"/>
  <c r="D32" i="1"/>
  <c r="E32" i="1"/>
  <c r="G32" i="1"/>
  <c r="I32" i="1"/>
  <c r="J32" i="1"/>
  <c r="L32" i="1"/>
  <c r="N32" i="1"/>
  <c r="M32" i="1"/>
  <c r="C32" i="1"/>
  <c r="H32" i="1"/>
  <c r="F32" i="1"/>
  <c r="B32" i="1"/>
  <c r="D31" i="1"/>
  <c r="E31" i="1"/>
  <c r="G31" i="1"/>
  <c r="I31" i="1"/>
  <c r="J31" i="1"/>
  <c r="L31" i="1"/>
  <c r="N31" i="1"/>
  <c r="M31" i="1"/>
  <c r="C31" i="1"/>
  <c r="H31" i="1"/>
  <c r="F31" i="1"/>
  <c r="B31" i="1"/>
  <c r="D30" i="1"/>
  <c r="E30" i="1"/>
  <c r="G30" i="1"/>
  <c r="I30" i="1"/>
  <c r="J30" i="1"/>
  <c r="L30" i="1"/>
  <c r="N30" i="1"/>
  <c r="M30" i="1"/>
  <c r="C30" i="1"/>
  <c r="H30" i="1"/>
  <c r="F30" i="1"/>
  <c r="B30" i="1"/>
  <c r="D29" i="1"/>
  <c r="E29" i="1"/>
  <c r="G29" i="1"/>
  <c r="I29" i="1"/>
  <c r="J29" i="1"/>
  <c r="L29" i="1"/>
  <c r="N29" i="1"/>
  <c r="M29" i="1"/>
  <c r="C29" i="1"/>
  <c r="H29" i="1"/>
  <c r="F29" i="1"/>
  <c r="B29" i="1"/>
  <c r="D28" i="1"/>
  <c r="E28" i="1"/>
  <c r="G28" i="1"/>
  <c r="I28" i="1"/>
  <c r="J28" i="1"/>
  <c r="L28" i="1"/>
  <c r="N28" i="1"/>
  <c r="M28" i="1"/>
  <c r="C28" i="1"/>
  <c r="H28" i="1"/>
  <c r="F28" i="1"/>
  <c r="B28" i="1"/>
  <c r="D27" i="1"/>
  <c r="E27" i="1"/>
  <c r="G27" i="1"/>
  <c r="I27" i="1"/>
  <c r="J27" i="1"/>
  <c r="L27" i="1"/>
  <c r="N27" i="1"/>
  <c r="M27" i="1"/>
  <c r="C27" i="1"/>
  <c r="H27" i="1"/>
  <c r="F27" i="1"/>
  <c r="B27" i="1"/>
  <c r="D26" i="1"/>
  <c r="E26" i="1"/>
  <c r="G26" i="1"/>
  <c r="I26" i="1"/>
  <c r="J26" i="1"/>
  <c r="L26" i="1"/>
  <c r="N26" i="1"/>
  <c r="M26" i="1"/>
  <c r="C26" i="1"/>
  <c r="H26" i="1"/>
  <c r="F26" i="1"/>
  <c r="B26" i="1"/>
  <c r="D25" i="1"/>
  <c r="E25" i="1"/>
  <c r="G25" i="1"/>
  <c r="I25" i="1"/>
  <c r="J25" i="1"/>
  <c r="L25" i="1"/>
  <c r="N25" i="1"/>
  <c r="M25" i="1"/>
  <c r="C25" i="1"/>
  <c r="F25" i="1"/>
  <c r="B25" i="1"/>
  <c r="D24" i="1"/>
  <c r="E24" i="1"/>
  <c r="G24" i="1"/>
  <c r="I24" i="1"/>
  <c r="J24" i="1"/>
  <c r="L24" i="1"/>
  <c r="N24" i="1"/>
  <c r="M24" i="1"/>
  <c r="C24" i="1"/>
  <c r="H24" i="1"/>
  <c r="F24" i="1"/>
  <c r="B24" i="1"/>
  <c r="D22" i="1"/>
  <c r="E22" i="1"/>
  <c r="G22" i="1"/>
  <c r="I22" i="1"/>
  <c r="J22" i="1"/>
  <c r="L22" i="1"/>
  <c r="N22" i="1"/>
  <c r="M22" i="1"/>
  <c r="C22" i="1"/>
  <c r="H22" i="1"/>
  <c r="F22" i="1"/>
  <c r="B22" i="1"/>
  <c r="D21" i="1"/>
  <c r="E21" i="1"/>
  <c r="G21" i="1"/>
  <c r="I21" i="1"/>
  <c r="J21" i="1"/>
  <c r="L21" i="1"/>
  <c r="N21" i="1"/>
  <c r="M21" i="1"/>
  <c r="C21" i="1"/>
  <c r="H21" i="1"/>
  <c r="F21" i="1"/>
  <c r="B21" i="1"/>
  <c r="D20" i="1"/>
  <c r="E20" i="1"/>
  <c r="G20" i="1"/>
  <c r="I20" i="1"/>
  <c r="J20" i="1"/>
  <c r="L20" i="1"/>
  <c r="N20" i="1"/>
  <c r="M20" i="1"/>
  <c r="C20" i="1"/>
  <c r="H20" i="1"/>
  <c r="F20" i="1"/>
  <c r="B20" i="1"/>
  <c r="D19" i="1"/>
  <c r="E19" i="1"/>
  <c r="G19" i="1"/>
  <c r="I19" i="1"/>
  <c r="J19" i="1"/>
  <c r="L19" i="1"/>
  <c r="N19" i="1"/>
  <c r="M19" i="1"/>
  <c r="C19" i="1"/>
  <c r="H19" i="1"/>
  <c r="F19" i="1"/>
  <c r="B19" i="1"/>
  <c r="D18" i="1"/>
  <c r="E18" i="1"/>
  <c r="G18" i="1"/>
  <c r="I18" i="1"/>
  <c r="J18" i="1"/>
  <c r="L18" i="1"/>
  <c r="N18" i="1"/>
  <c r="M18" i="1"/>
  <c r="C18" i="1"/>
  <c r="H18" i="1"/>
  <c r="F18" i="1"/>
  <c r="B18" i="1"/>
  <c r="D17" i="1"/>
  <c r="E17" i="1"/>
  <c r="G17" i="1"/>
  <c r="I17" i="1"/>
  <c r="J17" i="1"/>
  <c r="L17" i="1"/>
  <c r="N17" i="1"/>
  <c r="M17" i="1"/>
  <c r="C17" i="1"/>
  <c r="H17" i="1"/>
  <c r="F17" i="1"/>
  <c r="B17" i="1"/>
  <c r="D16" i="1"/>
  <c r="E16" i="1"/>
  <c r="G16" i="1"/>
  <c r="I16" i="1"/>
  <c r="J16" i="1"/>
  <c r="L16" i="1"/>
  <c r="N16" i="1"/>
  <c r="M16" i="1"/>
  <c r="C16" i="1"/>
  <c r="H16" i="1"/>
  <c r="F16" i="1"/>
  <c r="B16" i="1"/>
  <c r="D15" i="1"/>
  <c r="E15" i="1"/>
  <c r="G15" i="1"/>
  <c r="I15" i="1"/>
  <c r="J15" i="1"/>
  <c r="L15" i="1"/>
  <c r="N15" i="1"/>
  <c r="M15" i="1"/>
  <c r="C15" i="1"/>
  <c r="H15" i="1"/>
  <c r="F15" i="1"/>
  <c r="B15" i="1"/>
  <c r="D14" i="1"/>
  <c r="E14" i="1"/>
  <c r="G14" i="1"/>
  <c r="I14" i="1"/>
  <c r="J14" i="1"/>
  <c r="L14" i="1"/>
  <c r="N14" i="1"/>
  <c r="M14" i="1"/>
  <c r="C14" i="1"/>
  <c r="H14" i="1"/>
  <c r="F14" i="1"/>
  <c r="B14" i="1"/>
  <c r="D13" i="1"/>
  <c r="E13" i="1"/>
  <c r="G13" i="1"/>
  <c r="I13" i="1"/>
  <c r="J13" i="1"/>
  <c r="L13" i="1"/>
  <c r="N13" i="1"/>
  <c r="M13" i="1"/>
  <c r="C13" i="1"/>
  <c r="H13" i="1"/>
  <c r="F13" i="1"/>
  <c r="B13" i="1"/>
  <c r="D12" i="1"/>
  <c r="E12" i="1"/>
  <c r="G12" i="1"/>
  <c r="I12" i="1"/>
  <c r="J12" i="1"/>
  <c r="L12" i="1"/>
  <c r="N12" i="1"/>
  <c r="M12" i="1"/>
  <c r="C12" i="1"/>
  <c r="H12" i="1"/>
  <c r="F12" i="1"/>
  <c r="B12" i="1"/>
  <c r="D11" i="1"/>
  <c r="E11" i="1"/>
  <c r="G11" i="1"/>
  <c r="I11" i="1"/>
  <c r="J11" i="1"/>
  <c r="L11" i="1"/>
  <c r="N11" i="1"/>
  <c r="M11" i="1"/>
  <c r="C11" i="1"/>
  <c r="H11" i="1"/>
  <c r="F11" i="1"/>
  <c r="B11" i="1"/>
  <c r="D10" i="1"/>
  <c r="E10" i="1"/>
  <c r="G10" i="1"/>
  <c r="I10" i="1"/>
  <c r="J10" i="1"/>
  <c r="L10" i="1"/>
  <c r="N10" i="1"/>
  <c r="M10" i="1"/>
  <c r="C10" i="1"/>
  <c r="H10" i="1"/>
  <c r="F10" i="1"/>
  <c r="B10" i="1"/>
  <c r="D9" i="1"/>
  <c r="E9" i="1"/>
  <c r="G9" i="1"/>
  <c r="I9" i="1"/>
  <c r="J9" i="1"/>
  <c r="L9" i="1"/>
  <c r="N9" i="1"/>
  <c r="M9" i="1"/>
  <c r="C9" i="1"/>
  <c r="H9" i="1"/>
  <c r="F9" i="1"/>
  <c r="B9" i="1"/>
  <c r="D8" i="1"/>
  <c r="E8" i="1"/>
  <c r="G8" i="1"/>
  <c r="I8" i="1"/>
  <c r="J8" i="1"/>
  <c r="L8" i="1"/>
  <c r="N8" i="1"/>
  <c r="M8" i="1"/>
  <c r="C8" i="1"/>
  <c r="H8" i="1"/>
  <c r="F8" i="1"/>
  <c r="B8" i="1"/>
  <c r="D7" i="1"/>
  <c r="E7" i="1"/>
  <c r="G7" i="1"/>
  <c r="I7" i="1"/>
  <c r="J7" i="1"/>
  <c r="L7" i="1"/>
  <c r="N7" i="1"/>
  <c r="M7" i="1"/>
  <c r="C7" i="1"/>
  <c r="H7" i="1"/>
  <c r="F7" i="1"/>
  <c r="B7" i="1"/>
  <c r="D6" i="1"/>
  <c r="E6" i="1"/>
  <c r="G6" i="1"/>
  <c r="I6" i="1"/>
  <c r="J6" i="1"/>
  <c r="L6" i="1"/>
  <c r="N6" i="1"/>
  <c r="M6" i="1"/>
  <c r="C6" i="1"/>
  <c r="H6" i="1"/>
  <c r="F6" i="1"/>
  <c r="B6" i="1"/>
  <c r="D5" i="1"/>
  <c r="E5" i="1"/>
  <c r="G5" i="1"/>
  <c r="I5" i="1"/>
  <c r="J5" i="1"/>
  <c r="L5" i="1"/>
  <c r="N5" i="1"/>
  <c r="M5" i="1"/>
  <c r="C5" i="1"/>
  <c r="H5" i="1"/>
  <c r="F5" i="1"/>
  <c r="B5" i="1"/>
  <c r="D4" i="1"/>
  <c r="E4" i="1"/>
  <c r="G4" i="1"/>
  <c r="I4" i="1"/>
  <c r="J4" i="1"/>
  <c r="L4" i="1"/>
  <c r="N4" i="1"/>
  <c r="M4" i="1"/>
  <c r="C4" i="1"/>
  <c r="H4" i="1"/>
  <c r="F4" i="1"/>
  <c r="B4" i="1"/>
  <c r="D3" i="1"/>
  <c r="E3" i="1"/>
  <c r="G3" i="1"/>
  <c r="I3" i="1"/>
  <c r="J3" i="1"/>
  <c r="L3" i="1"/>
  <c r="N3" i="1"/>
  <c r="M3" i="1"/>
  <c r="C3" i="1"/>
  <c r="H3" i="1"/>
  <c r="F3" i="1"/>
  <c r="B3" i="1"/>
</calcChain>
</file>

<file path=xl/sharedStrings.xml><?xml version="1.0" encoding="utf-8"?>
<sst xmlns="http://schemas.openxmlformats.org/spreadsheetml/2006/main" count="3212" uniqueCount="1658">
  <si>
    <t>share market</t>
  </si>
  <si>
    <t xml:space="preserve">INTRADAY OHL STRATEGY </t>
  </si>
  <si>
    <t>STOCK NAME</t>
  </si>
  <si>
    <t>CMP</t>
  </si>
  <si>
    <t>OPEN</t>
  </si>
  <si>
    <t>HIGH</t>
  </si>
  <si>
    <t>LOW</t>
  </si>
  <si>
    <t>SIGNAL(BUY/SELL)</t>
  </si>
  <si>
    <t>PRE CLOSE</t>
  </si>
  <si>
    <t>GAP UP/GAP DOWN</t>
  </si>
  <si>
    <t>PIVOT</t>
  </si>
  <si>
    <t>R1</t>
  </si>
  <si>
    <t>S1</t>
  </si>
  <si>
    <t>R2</t>
  </si>
  <si>
    <t>S2</t>
  </si>
  <si>
    <t>ADANIENT</t>
  </si>
  <si>
    <t>ADANIPORTS</t>
  </si>
  <si>
    <t>APOLLOHOSP</t>
  </si>
  <si>
    <t>ASIANPAINT</t>
  </si>
  <si>
    <t>AXISBANK</t>
  </si>
  <si>
    <t>BAJAJ-AUTO</t>
  </si>
  <si>
    <t>BAJFINANCE</t>
  </si>
  <si>
    <t>BAJAJFINSV</t>
  </si>
  <si>
    <t>BPCL</t>
  </si>
  <si>
    <t>BHARTIARTL</t>
  </si>
  <si>
    <t>BRITANNIA</t>
  </si>
  <si>
    <t>CIPLA</t>
  </si>
  <si>
    <t>COALINDIA</t>
  </si>
  <si>
    <t>DIVISLAB</t>
  </si>
  <si>
    <t>DRREDDY</t>
  </si>
  <si>
    <t>EICHERMOT</t>
  </si>
  <si>
    <t>GRASIM</t>
  </si>
  <si>
    <t>HCLTECH</t>
  </si>
  <si>
    <t>HDFCBANK</t>
  </si>
  <si>
    <t>HDFCLIFE</t>
  </si>
  <si>
    <t>HEROMOTOCO</t>
  </si>
  <si>
    <t>HINDALCO</t>
  </si>
  <si>
    <t>#N/A</t>
  </si>
  <si>
    <t>HINDUNILVR</t>
  </si>
  <si>
    <t>HDFC</t>
  </si>
  <si>
    <t>ICICIBANK</t>
  </si>
  <si>
    <t>ITC</t>
  </si>
  <si>
    <t>INDUSINDBK</t>
  </si>
  <si>
    <t>INFY</t>
  </si>
  <si>
    <t>JSWSTEEL</t>
  </si>
  <si>
    <t>KOTAKBANK</t>
  </si>
  <si>
    <t>LT</t>
  </si>
  <si>
    <t>M&amp;M</t>
  </si>
  <si>
    <t>MARUTI</t>
  </si>
  <si>
    <t>NTPC</t>
  </si>
  <si>
    <t>NESTLEIND</t>
  </si>
  <si>
    <t>ONGC</t>
  </si>
  <si>
    <t>POWERGRID</t>
  </si>
  <si>
    <t>RELIANCE</t>
  </si>
  <si>
    <t>SBILIFE</t>
  </si>
  <si>
    <t>SBIN</t>
  </si>
  <si>
    <t>SUNPHARMA</t>
  </si>
  <si>
    <t>TCS</t>
  </si>
  <si>
    <t>TATACONSUM</t>
  </si>
  <si>
    <t>TATAMOTORS</t>
  </si>
  <si>
    <t>TATASTEEL</t>
  </si>
  <si>
    <t>TECHM</t>
  </si>
  <si>
    <t>ULTRACEMCO</t>
  </si>
  <si>
    <t>WIPRO</t>
  </si>
  <si>
    <t>ZEEL</t>
  </si>
  <si>
    <t>EMBASSY</t>
  </si>
  <si>
    <t>DMART</t>
  </si>
  <si>
    <t>ADANIGREEN</t>
  </si>
  <si>
    <t>TITAN</t>
  </si>
  <si>
    <t>ADANITRANS</t>
  </si>
  <si>
    <t>ATGL</t>
  </si>
  <si>
    <t>TATAMTRDVR</t>
  </si>
  <si>
    <t>HINDZINC</t>
  </si>
  <si>
    <t>PIDILITIND</t>
  </si>
  <si>
    <t>LTI</t>
  </si>
  <si>
    <t>VEDL</t>
  </si>
  <si>
    <t>IOC</t>
  </si>
  <si>
    <t>ZOMATO</t>
  </si>
  <si>
    <t>DABUR</t>
  </si>
  <si>
    <t>DLF</t>
  </si>
  <si>
    <t>SHREECEM</t>
  </si>
  <si>
    <t>GODREJCP</t>
  </si>
  <si>
    <t>SBICARD</t>
  </si>
  <si>
    <t>HAVELLS</t>
  </si>
  <si>
    <t>ICICIPRULI</t>
  </si>
  <si>
    <t>SIEMENS</t>
  </si>
  <si>
    <t>INDIGO</t>
  </si>
  <si>
    <t>AMBUJACEM</t>
  </si>
  <si>
    <t>MOTHERSUMI</t>
  </si>
  <si>
    <t>BERGEPAINT</t>
  </si>
  <si>
    <t>MINDTREE</t>
  </si>
  <si>
    <t>TATAPOWER</t>
  </si>
  <si>
    <t>SRF</t>
  </si>
  <si>
    <t>INDUSTOWER</t>
  </si>
  <si>
    <t>NAUKRI</t>
  </si>
  <si>
    <t>ICICIGI</t>
  </si>
  <si>
    <t>IRCTC</t>
  </si>
  <si>
    <t>MCDOWELL-N</t>
  </si>
  <si>
    <t>MARICO</t>
  </si>
  <si>
    <t>GAIL</t>
  </si>
  <si>
    <t>PEL</t>
  </si>
  <si>
    <t>UPL</t>
  </si>
  <si>
    <t>MUTHOOTFIN</t>
  </si>
  <si>
    <t>GLAND</t>
  </si>
  <si>
    <t>LODHA</t>
  </si>
  <si>
    <t>MPHASIS</t>
  </si>
  <si>
    <t>LTTS</t>
  </si>
  <si>
    <t>BAJAJHLDNG</t>
  </si>
  <si>
    <t>IDBI</t>
  </si>
  <si>
    <t>GODREJPROP</t>
  </si>
  <si>
    <t>TTML</t>
  </si>
  <si>
    <t>HDFCAMC</t>
  </si>
  <si>
    <t>TORNTPHARM</t>
  </si>
  <si>
    <t>PGHH</t>
  </si>
  <si>
    <t>JUBLFOOD</t>
  </si>
  <si>
    <t>JSWENERGY</t>
  </si>
  <si>
    <t>BOSCHLTD</t>
  </si>
  <si>
    <t>BEL</t>
  </si>
  <si>
    <t>ASTRAL</t>
  </si>
  <si>
    <t>ABB</t>
  </si>
  <si>
    <t>GUJGASLTD</t>
  </si>
  <si>
    <t>CHOLAFIN</t>
  </si>
  <si>
    <t>PAGEIND</t>
  </si>
  <si>
    <t>BANKBARODA</t>
  </si>
  <si>
    <t>BALKRISIND</t>
  </si>
  <si>
    <t>CADILAHC</t>
  </si>
  <si>
    <t>BANDHANBNK</t>
  </si>
  <si>
    <t>HINDPETRO</t>
  </si>
  <si>
    <t>ADANIPOWER</t>
  </si>
  <si>
    <t>PNB</t>
  </si>
  <si>
    <t>ALKEM</t>
  </si>
  <si>
    <t>HAL</t>
  </si>
  <si>
    <t>PIIND</t>
  </si>
  <si>
    <t>SONACOMS</t>
  </si>
  <si>
    <t>ACC</t>
  </si>
  <si>
    <t>BIOCON</t>
  </si>
  <si>
    <t>SAIL</t>
  </si>
  <si>
    <t>AUROPHARMA</t>
  </si>
  <si>
    <t>LUPIN</t>
  </si>
  <si>
    <t>UBL</t>
  </si>
  <si>
    <t>TATACOMM</t>
  </si>
  <si>
    <t>VOLTAS</t>
  </si>
  <si>
    <t>NMDC</t>
  </si>
  <si>
    <t>AUBANK</t>
  </si>
  <si>
    <t>CANBK</t>
  </si>
  <si>
    <t>TRENT</t>
  </si>
  <si>
    <t>IOB</t>
  </si>
  <si>
    <t>CONCOR</t>
  </si>
  <si>
    <t>ASHOKLEY</t>
  </si>
  <si>
    <t>AARTIIND</t>
  </si>
  <si>
    <t>JINDALSTEL</t>
  </si>
  <si>
    <t>COLPAL</t>
  </si>
  <si>
    <t>VBL</t>
  </si>
  <si>
    <t>MAXHEALTH</t>
  </si>
  <si>
    <t>HONAUT</t>
  </si>
  <si>
    <t>ABBOTINDIA</t>
  </si>
  <si>
    <t>DALBHARAT</t>
  </si>
  <si>
    <t>POLYCAB</t>
  </si>
  <si>
    <t>TATAELXSI</t>
  </si>
  <si>
    <t>OFSS</t>
  </si>
  <si>
    <t>MFSL</t>
  </si>
  <si>
    <t>IDEA</t>
  </si>
  <si>
    <t>DEEPAKNTR</t>
  </si>
  <si>
    <t>COFORGE</t>
  </si>
  <si>
    <t>BHARATFORG</t>
  </si>
  <si>
    <t>OBEROIRLTY</t>
  </si>
  <si>
    <t>YESBANK</t>
  </si>
  <si>
    <t>PERSISTENT</t>
  </si>
  <si>
    <t>TIINDIA</t>
  </si>
  <si>
    <t>MINDAIND</t>
  </si>
  <si>
    <t>PETRONET</t>
  </si>
  <si>
    <t>KANSAINER</t>
  </si>
  <si>
    <t>RELAXO</t>
  </si>
  <si>
    <t>SRTRANSFIN</t>
  </si>
  <si>
    <t>PFC</t>
  </si>
  <si>
    <t>IGL</t>
  </si>
  <si>
    <t>ABCAPITAL</t>
  </si>
  <si>
    <t>MRF</t>
  </si>
  <si>
    <t>DIXON</t>
  </si>
  <si>
    <t>NHPC</t>
  </si>
  <si>
    <t>UNIONBANK</t>
  </si>
  <si>
    <t>LALPATHLAB</t>
  </si>
  <si>
    <t>IDFCFIRSTB</t>
  </si>
  <si>
    <t>TVSMOTOR</t>
  </si>
  <si>
    <t>FLUOROCHEM</t>
  </si>
  <si>
    <t>IRFC</t>
  </si>
  <si>
    <t>TRIDENT</t>
  </si>
  <si>
    <t>GLAXO</t>
  </si>
  <si>
    <t>SCHAEFFLER</t>
  </si>
  <si>
    <t>ABFRL</t>
  </si>
  <si>
    <t>SUPREMEIND</t>
  </si>
  <si>
    <t>ATUL</t>
  </si>
  <si>
    <t>3MINDIA</t>
  </si>
  <si>
    <t>CROMPTON</t>
  </si>
  <si>
    <t>LAURUSLABS</t>
  </si>
  <si>
    <t>TORNTPOWER</t>
  </si>
  <si>
    <t>CLEAN</t>
  </si>
  <si>
    <t>RECLTD</t>
  </si>
  <si>
    <t>IPCALAB</t>
  </si>
  <si>
    <t>INDHOTEL</t>
  </si>
  <si>
    <t>GMRINFRA</t>
  </si>
  <si>
    <t>CUMMINSIND</t>
  </si>
  <si>
    <t>JKCEMENT</t>
  </si>
  <si>
    <t>HATSUN</t>
  </si>
  <si>
    <t>SUNDARMFIN</t>
  </si>
  <si>
    <t>KPRMILL</t>
  </si>
  <si>
    <t>RUCHI</t>
  </si>
  <si>
    <t>CGPOWER</t>
  </si>
  <si>
    <t>ISEC</t>
  </si>
  <si>
    <t>TANLA</t>
  </si>
  <si>
    <t>BATAINDIA</t>
  </si>
  <si>
    <t>SYNGENE</t>
  </si>
  <si>
    <t>ESCORTS</t>
  </si>
  <si>
    <t>TATACHEM</t>
  </si>
  <si>
    <t>GICRE</t>
  </si>
  <si>
    <t>RAJESHEXPO</t>
  </si>
  <si>
    <t>RAMCOCEM</t>
  </si>
  <si>
    <t>OIL</t>
  </si>
  <si>
    <t>ENDURANCE</t>
  </si>
  <si>
    <t>WHIRLPOOL</t>
  </si>
  <si>
    <t>THERMAX</t>
  </si>
  <si>
    <t>NIACL</t>
  </si>
  <si>
    <t>IEX</t>
  </si>
  <si>
    <t>APLAPOLLO</t>
  </si>
  <si>
    <t>DEVYANI</t>
  </si>
  <si>
    <t>NAM-INDIA</t>
  </si>
  <si>
    <t>AAVAS</t>
  </si>
  <si>
    <t>COROMANDEL</t>
  </si>
  <si>
    <t>BAYERCROP</t>
  </si>
  <si>
    <t>EMAMILTD</t>
  </si>
  <si>
    <t>BANKINDIA</t>
  </si>
  <si>
    <t>PFIZER</t>
  </si>
  <si>
    <t>LINDEINDIA</t>
  </si>
  <si>
    <t>FORTIS</t>
  </si>
  <si>
    <t>KAJARIACER</t>
  </si>
  <si>
    <t>GRINDWELL</t>
  </si>
  <si>
    <t>GODREJIND</t>
  </si>
  <si>
    <t>BHEL</t>
  </si>
  <si>
    <t>CRISIL</t>
  </si>
  <si>
    <t>VINATIORGA</t>
  </si>
  <si>
    <t>POONAWALLA</t>
  </si>
  <si>
    <t>LICHSGFIN</t>
  </si>
  <si>
    <t>INDIAMART</t>
  </si>
  <si>
    <t>FEDERALBNK</t>
  </si>
  <si>
    <t>NAVINFLUOR</t>
  </si>
  <si>
    <t>SUNTV</t>
  </si>
  <si>
    <t>NATIONALUM</t>
  </si>
  <si>
    <t>SOLARINDS</t>
  </si>
  <si>
    <t>L&amp;TFH</t>
  </si>
  <si>
    <t>M&amp;MFIN</t>
  </si>
  <si>
    <t>AJANTPHARM</t>
  </si>
  <si>
    <t>HAPPSTMNDS</t>
  </si>
  <si>
    <t>KPITTECH</t>
  </si>
  <si>
    <t>SUMICHEM</t>
  </si>
  <si>
    <t>PRESTIGE</t>
  </si>
  <si>
    <t>SKFINDIA</t>
  </si>
  <si>
    <t>BCG</t>
  </si>
  <si>
    <t>ALKYLAMINE</t>
  </si>
  <si>
    <t>CENTRALBK</t>
  </si>
  <si>
    <t>CARBORUNIV</t>
  </si>
  <si>
    <t>SUNDRMFAST</t>
  </si>
  <si>
    <t>GSPL</t>
  </si>
  <si>
    <t>AFFLE</t>
  </si>
  <si>
    <t>INDIANB</t>
  </si>
  <si>
    <t>GRINFRA</t>
  </si>
  <si>
    <t>CHAMBLFERT</t>
  </si>
  <si>
    <t>APTUS</t>
  </si>
  <si>
    <t>NUVOCO</t>
  </si>
  <si>
    <t>SANOFI</t>
  </si>
  <si>
    <t>AIAENG</t>
  </si>
  <si>
    <t>GILLETTE</t>
  </si>
  <si>
    <t>PHOENIXLTD</t>
  </si>
  <si>
    <t>BLUEDART</t>
  </si>
  <si>
    <t>NATCOPHARM</t>
  </si>
  <si>
    <t>RADICO</t>
  </si>
  <si>
    <t>SFL</t>
  </si>
  <si>
    <t>APLLTD</t>
  </si>
  <si>
    <t>METROPOLIS</t>
  </si>
  <si>
    <t>CDSL</t>
  </si>
  <si>
    <t>WABCOINDIA</t>
  </si>
  <si>
    <t>BSOFT</t>
  </si>
  <si>
    <t>UCOBANK</t>
  </si>
  <si>
    <t>KIOCL</t>
  </si>
  <si>
    <t>DCMSHRIRAM</t>
  </si>
  <si>
    <t>TIMKEN</t>
  </si>
  <si>
    <t>WELSPUNIND</t>
  </si>
  <si>
    <t>ALOKINDS</t>
  </si>
  <si>
    <t>IRB</t>
  </si>
  <si>
    <t>VTL</t>
  </si>
  <si>
    <t>EXIDEIND</t>
  </si>
  <si>
    <t>APOLLOTYRE</t>
  </si>
  <si>
    <t>GLENMARK</t>
  </si>
  <si>
    <t>CENTURYPLY</t>
  </si>
  <si>
    <t>BAJAJELEC</t>
  </si>
  <si>
    <t>IIFLWAM</t>
  </si>
  <si>
    <t>MANAPPURAM</t>
  </si>
  <si>
    <t>UTIAMC</t>
  </si>
  <si>
    <t>CAMS</t>
  </si>
  <si>
    <t>MOTILALOFS</t>
  </si>
  <si>
    <t>TTKPRESTIG</t>
  </si>
  <si>
    <t>MAHABANK</t>
  </si>
  <si>
    <t>BASF</t>
  </si>
  <si>
    <t>ASAHIINDIA</t>
  </si>
  <si>
    <t>NH</t>
  </si>
  <si>
    <t>JBCHEPHARM</t>
  </si>
  <si>
    <t>SUVENPHAR</t>
  </si>
  <si>
    <t>MEDPLUS</t>
  </si>
  <si>
    <t>MAGMA</t>
  </si>
  <si>
    <t>REDINGTON</t>
  </si>
  <si>
    <t>KEC</t>
  </si>
  <si>
    <t>FSL</t>
  </si>
  <si>
    <t>HINDCOPPER</t>
  </si>
  <si>
    <t>SJVN</t>
  </si>
  <si>
    <t>LXCHEM</t>
  </si>
  <si>
    <t>FINPIPE</t>
  </si>
  <si>
    <t>CESC</t>
  </si>
  <si>
    <t>CASTROLIND</t>
  </si>
  <si>
    <t>CHOLAHLDNG</t>
  </si>
  <si>
    <t>BALAMINES</t>
  </si>
  <si>
    <t>QUESS</t>
  </si>
  <si>
    <t>SHRIRAMCIT</t>
  </si>
  <si>
    <t>ROUTE</t>
  </si>
  <si>
    <t>AMBER</t>
  </si>
  <si>
    <t>IIFL</t>
  </si>
  <si>
    <t>ZYDUSWELL</t>
  </si>
  <si>
    <t>KIMS</t>
  </si>
  <si>
    <t>HFCL</t>
  </si>
  <si>
    <t>FINEORG</t>
  </si>
  <si>
    <t>CYIENT</t>
  </si>
  <si>
    <t>ELGIEQUIP</t>
  </si>
  <si>
    <t>BIRLACORPN</t>
  </si>
  <si>
    <t>CENTURYTEX</t>
  </si>
  <si>
    <t>ITI</t>
  </si>
  <si>
    <t>GALAXYSURF</t>
  </si>
  <si>
    <t>ZENSARTECH</t>
  </si>
  <si>
    <t>LUXIND</t>
  </si>
  <si>
    <t>STLTECH</t>
  </si>
  <si>
    <t>SUZLON</t>
  </si>
  <si>
    <t>AMARAJABAT</t>
  </si>
  <si>
    <t>CUB</t>
  </si>
  <si>
    <t>BRIGADE</t>
  </si>
  <si>
    <t>ANGELBRKG</t>
  </si>
  <si>
    <t>POWERINDIA</t>
  </si>
  <si>
    <t>ANURAS</t>
  </si>
  <si>
    <t>GODREJAGRO</t>
  </si>
  <si>
    <t>IBULHSGFIN</t>
  </si>
  <si>
    <t>KEI</t>
  </si>
  <si>
    <t>LAXMIMACH</t>
  </si>
  <si>
    <t>GRAPHITE</t>
  </si>
  <si>
    <t>SAREGAMA</t>
  </si>
  <si>
    <t>IDFC</t>
  </si>
  <si>
    <t>ERIS</t>
  </si>
  <si>
    <t>INTELLECT</t>
  </si>
  <si>
    <t>INDIGOPNTS</t>
  </si>
  <si>
    <t>ECLERX</t>
  </si>
  <si>
    <t>CHEMPLASTS</t>
  </si>
  <si>
    <t>JUBLINGREA</t>
  </si>
  <si>
    <t>VGUARD</t>
  </si>
  <si>
    <t>JSL</t>
  </si>
  <si>
    <t>BLUESTARCO</t>
  </si>
  <si>
    <t>NETWORK18</t>
  </si>
  <si>
    <t>TATASTLBSL</t>
  </si>
  <si>
    <t>MASTEK</t>
  </si>
  <si>
    <t>ALLCARGO</t>
  </si>
  <si>
    <t>NBCC</t>
  </si>
  <si>
    <t>PVR</t>
  </si>
  <si>
    <t>ASTERDM</t>
  </si>
  <si>
    <t>SONATSOFTW</t>
  </si>
  <si>
    <t>NLCINDIA</t>
  </si>
  <si>
    <t>RATNAMANI</t>
  </si>
  <si>
    <t>CGCL</t>
  </si>
  <si>
    <t>JUBLPHARMA</t>
  </si>
  <si>
    <t>VAIBHAVGBL</t>
  </si>
  <si>
    <t>AKZOINDIA</t>
  </si>
  <si>
    <t>POLYMED</t>
  </si>
  <si>
    <t>SHYAMMETL</t>
  </si>
  <si>
    <t>FACT</t>
  </si>
  <si>
    <t>KNRCON</t>
  </si>
  <si>
    <t>CREDITACC</t>
  </si>
  <si>
    <t>RBLBANK</t>
  </si>
  <si>
    <t>BSE</t>
  </si>
  <si>
    <t>MGL</t>
  </si>
  <si>
    <t>HUDCO</t>
  </si>
  <si>
    <t>EIDPARRY</t>
  </si>
  <si>
    <t>BALRAMCHIN</t>
  </si>
  <si>
    <t>PRIVISCL</t>
  </si>
  <si>
    <t>PGHL</t>
  </si>
  <si>
    <t>MAHINDCIE</t>
  </si>
  <si>
    <t>HLEGLAS</t>
  </si>
  <si>
    <t>SUNTECK</t>
  </si>
  <si>
    <t>JSLHISAR</t>
  </si>
  <si>
    <t>SPARC</t>
  </si>
  <si>
    <t>BORORENEW</t>
  </si>
  <si>
    <t>PNBHOUSING</t>
  </si>
  <si>
    <t>RTNINDIA</t>
  </si>
  <si>
    <t>WESTLIFE</t>
  </si>
  <si>
    <t>AVANTIFEED</t>
  </si>
  <si>
    <t>EIHOTEL</t>
  </si>
  <si>
    <t>SOBHA</t>
  </si>
  <si>
    <t>GRANULES</t>
  </si>
  <si>
    <t>FINCABLES</t>
  </si>
  <si>
    <t>VIPIND</t>
  </si>
  <si>
    <t>TCIEXP</t>
  </si>
  <si>
    <t>MCX</t>
  </si>
  <si>
    <t>CANFINHOME</t>
  </si>
  <si>
    <t>RAIN</t>
  </si>
  <si>
    <t>TV18BRDCST</t>
  </si>
  <si>
    <t>IBREALEST</t>
  </si>
  <si>
    <t>BEML</t>
  </si>
  <si>
    <t>MRPL</t>
  </si>
  <si>
    <t>SUNCLAYLTD</t>
  </si>
  <si>
    <t>ORIENTELEC</t>
  </si>
  <si>
    <t>BBTC</t>
  </si>
  <si>
    <t>PNCINFRA</t>
  </si>
  <si>
    <t>DELTACORP</t>
  </si>
  <si>
    <t>PRINCEPIPE</t>
  </si>
  <si>
    <t>NAZARA</t>
  </si>
  <si>
    <t>VMART</t>
  </si>
  <si>
    <t>BDL</t>
  </si>
  <si>
    <t>ASTRAZEN</t>
  </si>
  <si>
    <t>INDIACEM</t>
  </si>
  <si>
    <t>AEGISCHEM</t>
  </si>
  <si>
    <t>GMMPFAUDLR</t>
  </si>
  <si>
    <t>RVNL</t>
  </si>
  <si>
    <t>DHANI</t>
  </si>
  <si>
    <t>JMFINANCIL</t>
  </si>
  <si>
    <t>KALYANKJIL</t>
  </si>
  <si>
    <t>GLS</t>
  </si>
  <si>
    <t>TATAINVEST</t>
  </si>
  <si>
    <t>PRSMJOHNSN</t>
  </si>
  <si>
    <t>JPPOWER</t>
  </si>
  <si>
    <t>JBMA</t>
  </si>
  <si>
    <t>RENUKA</t>
  </si>
  <si>
    <t>MTARTECH</t>
  </si>
  <si>
    <t>JUSTDIAL</t>
  </si>
  <si>
    <t>SYMPHONY</t>
  </si>
  <si>
    <t>HOMEFIRST</t>
  </si>
  <si>
    <t>SWSOLAR</t>
  </si>
  <si>
    <t>HEG</t>
  </si>
  <si>
    <t>GNFC</t>
  </si>
  <si>
    <t>EDELWEISS</t>
  </si>
  <si>
    <t>JKLAKSHMI</t>
  </si>
  <si>
    <t>TEAMLEASE</t>
  </si>
  <si>
    <t>ROSSARI</t>
  </si>
  <si>
    <t>GARFIBRES</t>
  </si>
  <si>
    <t>SUPPETRO</t>
  </si>
  <si>
    <t>PSB</t>
  </si>
  <si>
    <t>RHIM</t>
  </si>
  <si>
    <t>PRAJIND</t>
  </si>
  <si>
    <t>MMTC</t>
  </si>
  <si>
    <t>EQUITASBNK</t>
  </si>
  <si>
    <t>VARROC</t>
  </si>
  <si>
    <t>OLECTRA</t>
  </si>
  <si>
    <t>RITES</t>
  </si>
  <si>
    <t>SIS</t>
  </si>
  <si>
    <t>HGS</t>
  </si>
  <si>
    <t>EASEMYTRIP</t>
  </si>
  <si>
    <t>SCI</t>
  </si>
  <si>
    <t>HIKAL</t>
  </si>
  <si>
    <t>NIITLTD</t>
  </si>
  <si>
    <t>CERA</t>
  </si>
  <si>
    <t>CAPLIPOINT</t>
  </si>
  <si>
    <t>TCI</t>
  </si>
  <si>
    <t>EPL</t>
  </si>
  <si>
    <t>SUPRAJIT</t>
  </si>
  <si>
    <t>KRBL</t>
  </si>
  <si>
    <t>DBL</t>
  </si>
  <si>
    <t>GODFRYPHLP</t>
  </si>
  <si>
    <t>TATVA</t>
  </si>
  <si>
    <t>TRIVENI</t>
  </si>
  <si>
    <t>POLYPLEX</t>
  </si>
  <si>
    <t>DEEPAKFERT</t>
  </si>
  <si>
    <t>TRITURBINE</t>
  </si>
  <si>
    <t>CCL</t>
  </si>
  <si>
    <t>THYROCARE</t>
  </si>
  <si>
    <t>KALPATPOWR</t>
  </si>
  <si>
    <t>VIJAYA</t>
  </si>
  <si>
    <t>MAZDOCK</t>
  </si>
  <si>
    <t>BURGERKING</t>
  </si>
  <si>
    <t>INFIBEAM</t>
  </si>
  <si>
    <t>RALLIS</t>
  </si>
  <si>
    <t>GREENPANEL</t>
  </si>
  <si>
    <t>HEIDELBERG</t>
  </si>
  <si>
    <t>BARBEQUE</t>
  </si>
  <si>
    <t>JINDWORLD</t>
  </si>
  <si>
    <t>JCHAC</t>
  </si>
  <si>
    <t>TEJASNET</t>
  </si>
  <si>
    <t>BHARATRAS</t>
  </si>
  <si>
    <t>ICIL</t>
  </si>
  <si>
    <t>JYOTHYLAB</t>
  </si>
  <si>
    <t>ESABINDIA</t>
  </si>
  <si>
    <t>ORIENTREF</t>
  </si>
  <si>
    <t>GREAVESCOT</t>
  </si>
  <si>
    <t>GSFC</t>
  </si>
  <si>
    <t>RPOWER</t>
  </si>
  <si>
    <t>MAHLOG</t>
  </si>
  <si>
    <t>FDC</t>
  </si>
  <si>
    <t>GUJALKALI</t>
  </si>
  <si>
    <t>SHILPAMED</t>
  </si>
  <si>
    <t>CRAFTSMAN</t>
  </si>
  <si>
    <t>AARTIDRUGS</t>
  </si>
  <si>
    <t>VSTIND</t>
  </si>
  <si>
    <t>ISGEC</t>
  </si>
  <si>
    <t>CHALET</t>
  </si>
  <si>
    <t>RESPONIND</t>
  </si>
  <si>
    <t>GPPL</t>
  </si>
  <si>
    <t>WELCORP</t>
  </si>
  <si>
    <t>CEATLTD</t>
  </si>
  <si>
    <t>TCNSBRANDS</t>
  </si>
  <si>
    <t>IFBIND</t>
  </si>
  <si>
    <t>WOCKPHARMA</t>
  </si>
  <si>
    <t>NEOGEN</t>
  </si>
  <si>
    <t>JSWHL</t>
  </si>
  <si>
    <t>NCC</t>
  </si>
  <si>
    <t>GESHIP</t>
  </si>
  <si>
    <t>MAHSCOOTER</t>
  </si>
  <si>
    <t>MINDACORP</t>
  </si>
  <si>
    <t>JINDALPOLY</t>
  </si>
  <si>
    <t>GREENLAM</t>
  </si>
  <si>
    <t>LAOPALA</t>
  </si>
  <si>
    <t>MANINFRA</t>
  </si>
  <si>
    <t>COCHINSHIP</t>
  </si>
  <si>
    <t>PDSMFL</t>
  </si>
  <si>
    <t>RCF</t>
  </si>
  <si>
    <t>SEQUENT</t>
  </si>
  <si>
    <t>NEWGEN</t>
  </si>
  <si>
    <t>CSBBANK</t>
  </si>
  <si>
    <t>JAMNAAUTO</t>
  </si>
  <si>
    <t>KSB</t>
  </si>
  <si>
    <t>IRCON</t>
  </si>
  <si>
    <t>INOXLEISUR</t>
  </si>
  <si>
    <t>BOROLTD</t>
  </si>
  <si>
    <t>VRLLOG</t>
  </si>
  <si>
    <t>VAKRANGEE</t>
  </si>
  <si>
    <t>HNDFDS</t>
  </si>
  <si>
    <t>RTNPOWER</t>
  </si>
  <si>
    <t>GLOBUSSPR</t>
  </si>
  <si>
    <t>RELIGARE</t>
  </si>
  <si>
    <t>RAYMOND</t>
  </si>
  <si>
    <t>NOCIL</t>
  </si>
  <si>
    <t>SWANENERGY</t>
  </si>
  <si>
    <t>KENNAMET</t>
  </si>
  <si>
    <t>PHILIPCARB</t>
  </si>
  <si>
    <t>CMSINFO</t>
  </si>
  <si>
    <t>EQUITAS</t>
  </si>
  <si>
    <t>MAHLIFE</t>
  </si>
  <si>
    <t>TATACOFFEE</t>
  </si>
  <si>
    <t>MOIL</t>
  </si>
  <si>
    <t>AMIORG</t>
  </si>
  <si>
    <t>NESCO</t>
  </si>
  <si>
    <t>STARCEMENT</t>
  </si>
  <si>
    <t>STAR</t>
  </si>
  <si>
    <t>INGERRAND</t>
  </si>
  <si>
    <t>MHRIL</t>
  </si>
  <si>
    <t>HATHWAY</t>
  </si>
  <si>
    <t>SUDARSCHEM</t>
  </si>
  <si>
    <t>ENGINERSIN</t>
  </si>
  <si>
    <t>GAEL</t>
  </si>
  <si>
    <t>RUPA</t>
  </si>
  <si>
    <t>SANSERA</t>
  </si>
  <si>
    <t>DATAPATTNS</t>
  </si>
  <si>
    <t>INDOCO</t>
  </si>
  <si>
    <t>LEMONTREE</t>
  </si>
  <si>
    <t>ARVINDFASN</t>
  </si>
  <si>
    <t>HEMIPROP</t>
  </si>
  <si>
    <t>SOMANYCERA</t>
  </si>
  <si>
    <t>J&amp;KBANK</t>
  </si>
  <si>
    <t>RAILTEL</t>
  </si>
  <si>
    <t>HGINFRA</t>
  </si>
  <si>
    <t>SPICEJET</t>
  </si>
  <si>
    <t>KARURVYSYA</t>
  </si>
  <si>
    <t>RSYSTEMS</t>
  </si>
  <si>
    <t>NILKAMAL</t>
  </si>
  <si>
    <t>GHCL</t>
  </si>
  <si>
    <t>CARTRADE</t>
  </si>
  <si>
    <t>TATASTLLP</t>
  </si>
  <si>
    <t>SOLARA</t>
  </si>
  <si>
    <t>MAHSEAMLES</t>
  </si>
  <si>
    <t>VENKEYS</t>
  </si>
  <si>
    <t>UFLEX</t>
  </si>
  <si>
    <t>IPL</t>
  </si>
  <si>
    <t>INDOSTAR</t>
  </si>
  <si>
    <t>ADVENZYMES</t>
  </si>
  <si>
    <t>GPIL</t>
  </si>
  <si>
    <t>SHOPERSTOP</t>
  </si>
  <si>
    <t>SHAREINDIA</t>
  </si>
  <si>
    <t>TASTYBITE</t>
  </si>
  <si>
    <t>ORIENTCEM</t>
  </si>
  <si>
    <t>UJJIVANSFB</t>
  </si>
  <si>
    <t>BANARISUG</t>
  </si>
  <si>
    <t>GDL</t>
  </si>
  <si>
    <t>ARVIND</t>
  </si>
  <si>
    <t>ROLEXRINGS</t>
  </si>
  <si>
    <t>JKPAPER</t>
  </si>
  <si>
    <t>MEGH</t>
  </si>
  <si>
    <t>IFCI</t>
  </si>
  <si>
    <t>DALMIASUG</t>
  </si>
  <si>
    <t>DHANUKA</t>
  </si>
  <si>
    <t>PURVA</t>
  </si>
  <si>
    <t>MIDHANI</t>
  </si>
  <si>
    <t>VALIANTORG</t>
  </si>
  <si>
    <t>HCG</t>
  </si>
  <si>
    <t>JKTYRE</t>
  </si>
  <si>
    <t>GET&amp;D</t>
  </si>
  <si>
    <t>DISHTV</t>
  </si>
  <si>
    <t>HIL</t>
  </si>
  <si>
    <t>DODLA</t>
  </si>
  <si>
    <t>DCAL</t>
  </si>
  <si>
    <t>JINDALSAW</t>
  </si>
  <si>
    <t>ICRA</t>
  </si>
  <si>
    <t>TINPLATE</t>
  </si>
  <si>
    <t>MASFIN</t>
  </si>
  <si>
    <t>DOLLAR</t>
  </si>
  <si>
    <t>PTC</t>
  </si>
  <si>
    <t>ITDC</t>
  </si>
  <si>
    <t>ASTEC</t>
  </si>
  <si>
    <t>GTPL</t>
  </si>
  <si>
    <t>SHARDACROP</t>
  </si>
  <si>
    <t>SAGCEM</t>
  </si>
  <si>
    <t>STOVEKRAFT</t>
  </si>
  <si>
    <t>MFL</t>
  </si>
  <si>
    <t>INDIAGLYCO</t>
  </si>
  <si>
    <t>RKFORGE</t>
  </si>
  <si>
    <t>KSCL</t>
  </si>
  <si>
    <t>SURYAROSNI</t>
  </si>
  <si>
    <t>KIRLOSBROS</t>
  </si>
  <si>
    <t>MAITHANALL</t>
  </si>
  <si>
    <t>KIRLFER</t>
  </si>
  <si>
    <t>AGCNET</t>
  </si>
  <si>
    <t>APARINDS</t>
  </si>
  <si>
    <t>MOL</t>
  </si>
  <si>
    <t>HINDOILEXP</t>
  </si>
  <si>
    <t>EKC</t>
  </si>
  <si>
    <t>SHIL</t>
  </si>
  <si>
    <t>PAISALO</t>
  </si>
  <si>
    <t>SUBEXLTD</t>
  </si>
  <si>
    <t>USHAMART</t>
  </si>
  <si>
    <t>RAJRATAN</t>
  </si>
  <si>
    <t>BEPL</t>
  </si>
  <si>
    <t>BAJAJCON</t>
  </si>
  <si>
    <t>JPASSOCIAT</t>
  </si>
  <si>
    <t>IIFLSEC</t>
  </si>
  <si>
    <t>SEAMECLTD</t>
  </si>
  <si>
    <t>HERANBA</t>
  </si>
  <si>
    <t>TATAMETALI</t>
  </si>
  <si>
    <t>ASHOKA</t>
  </si>
  <si>
    <t>INOXWIND</t>
  </si>
  <si>
    <t>AHLUCONT</t>
  </si>
  <si>
    <t>FRETAIL</t>
  </si>
  <si>
    <t>GRSE</t>
  </si>
  <si>
    <t>TECHNOE</t>
  </si>
  <si>
    <t>TIPSINDLTD</t>
  </si>
  <si>
    <t>SARDAEN</t>
  </si>
  <si>
    <t>ALEMBICLTD</t>
  </si>
  <si>
    <t>NFL</t>
  </si>
  <si>
    <t>SCHNEIDER</t>
  </si>
  <si>
    <t>COSMOFILMS</t>
  </si>
  <si>
    <t>AMRUTANJAN</t>
  </si>
  <si>
    <t>GMDCLTD</t>
  </si>
  <si>
    <t>IOLCP</t>
  </si>
  <si>
    <t>GREENPLY</t>
  </si>
  <si>
    <t>FILATEX</t>
  </si>
  <si>
    <t>ACE</t>
  </si>
  <si>
    <t>OAL</t>
  </si>
  <si>
    <t>KIRLOSENG</t>
  </si>
  <si>
    <t>DCBBANK</t>
  </si>
  <si>
    <t>TIDEWATER</t>
  </si>
  <si>
    <t>TIRUMALCHM</t>
  </si>
  <si>
    <t>HIMATSEIDE</t>
  </si>
  <si>
    <t>JAYNECOIND</t>
  </si>
  <si>
    <t>MARKSANS</t>
  </si>
  <si>
    <t>OPTIEMUS</t>
  </si>
  <si>
    <t>SHARDAMOTR</t>
  </si>
  <si>
    <t>LSIL</t>
  </si>
  <si>
    <t>SSWL</t>
  </si>
  <si>
    <t>GATI</t>
  </si>
  <si>
    <t>RELINFRA</t>
  </si>
  <si>
    <t>MSTCLTD</t>
  </si>
  <si>
    <t>KOLTEPATIL</t>
  </si>
  <si>
    <t>SPANDANA</t>
  </si>
  <si>
    <t>GTLINFRA</t>
  </si>
  <si>
    <t>GUFICBIO</t>
  </si>
  <si>
    <t>MOREPENLAB</t>
  </si>
  <si>
    <t>FAIRCHEMOR</t>
  </si>
  <si>
    <t>INEOSSTYRO</t>
  </si>
  <si>
    <t>DAAWAT</t>
  </si>
  <si>
    <t>JISLDVREQS</t>
  </si>
  <si>
    <t>TVTODAY</t>
  </si>
  <si>
    <t>MOLDTKPAC</t>
  </si>
  <si>
    <t>VSTTILLERS</t>
  </si>
  <si>
    <t>KRSNAA</t>
  </si>
  <si>
    <t>SUBROS</t>
  </si>
  <si>
    <t>AUTOAXLES</t>
  </si>
  <si>
    <t>HCC</t>
  </si>
  <si>
    <t>JAICORPLTD</t>
  </si>
  <si>
    <t>BESTAGRO</t>
  </si>
  <si>
    <t>ATFL</t>
  </si>
  <si>
    <t>MAYURUNIQ</t>
  </si>
  <si>
    <t>BOMDYEING</t>
  </si>
  <si>
    <t>JISLJALEQS</t>
  </si>
  <si>
    <t>RAMCOIND</t>
  </si>
  <si>
    <t>ANANTRAJ</t>
  </si>
  <si>
    <t>APOLLOPIPE</t>
  </si>
  <si>
    <t>EVEREADY</t>
  </si>
  <si>
    <t>GULFOILLUB</t>
  </si>
  <si>
    <t>GOODYEAR</t>
  </si>
  <si>
    <t>THOMASCOOK</t>
  </si>
  <si>
    <t>BALMLAWRIE</t>
  </si>
  <si>
    <t>JTEKTINDIA</t>
  </si>
  <si>
    <t>BUTTERFLY</t>
  </si>
  <si>
    <t>NAHARSPING</t>
  </si>
  <si>
    <t>DHAMPURSUG</t>
  </si>
  <si>
    <t>VESUVIUS</t>
  </si>
  <si>
    <t>INDORAMA</t>
  </si>
  <si>
    <t>IGPL</t>
  </si>
  <si>
    <t>IMFA</t>
  </si>
  <si>
    <t>SHK</t>
  </si>
  <si>
    <t>ACRYSIL</t>
  </si>
  <si>
    <t>BECTORFOOD</t>
  </si>
  <si>
    <t>GRAVITA</t>
  </si>
  <si>
    <t>POKARNA</t>
  </si>
  <si>
    <t>ELECON</t>
  </si>
  <si>
    <t>BLS</t>
  </si>
  <si>
    <t>HESTERBIO</t>
  </si>
  <si>
    <t>CAMLINFINE</t>
  </si>
  <si>
    <t>GREENPOWER</t>
  </si>
  <si>
    <t>SIYSIL</t>
  </si>
  <si>
    <t>PILANIINVS</t>
  </si>
  <si>
    <t>GOKEX</t>
  </si>
  <si>
    <t>MTNL</t>
  </si>
  <si>
    <t>LGBBROSLTD</t>
  </si>
  <si>
    <t>MANALIPETC</t>
  </si>
  <si>
    <t>CONFIPET</t>
  </si>
  <si>
    <t>DATAMATICS</t>
  </si>
  <si>
    <t>STEELXIND</t>
  </si>
  <si>
    <t>DEN</t>
  </si>
  <si>
    <t>BAJAJHIND</t>
  </si>
  <si>
    <t>SAFARI</t>
  </si>
  <si>
    <t>HSCL</t>
  </si>
  <si>
    <t>WABAG</t>
  </si>
  <si>
    <t>KTKBANK</t>
  </si>
  <si>
    <t>VOLTAMP</t>
  </si>
  <si>
    <t>DIAMONDYD</t>
  </si>
  <si>
    <t>TIIL</t>
  </si>
  <si>
    <t>ASTRAMICRO</t>
  </si>
  <si>
    <t>NEULANDLAB</t>
  </si>
  <si>
    <t>MATRIMONY</t>
  </si>
  <si>
    <t>GABRIEL</t>
  </si>
  <si>
    <t>PFOCUS</t>
  </si>
  <si>
    <t>RPSGVENT</t>
  </si>
  <si>
    <t>APCOTEXIND</t>
  </si>
  <si>
    <t>SASKEN</t>
  </si>
  <si>
    <t>NAVNETEDUL</t>
  </si>
  <si>
    <t>VIDHIING</t>
  </si>
  <si>
    <t>GOLDIAM</t>
  </si>
  <si>
    <t>MAXVIL</t>
  </si>
  <si>
    <t>UNICHEMLAB</t>
  </si>
  <si>
    <t>SWARAJENG</t>
  </si>
  <si>
    <t>KIRIINDUS</t>
  </si>
  <si>
    <t>SHRIPISTON</t>
  </si>
  <si>
    <t>NOVARTIND</t>
  </si>
  <si>
    <t>PANAMAPET</t>
  </si>
  <si>
    <t>GEOJITFSL</t>
  </si>
  <si>
    <t>SOUTHBANK</t>
  </si>
  <si>
    <t>MUKANDLTD</t>
  </si>
  <si>
    <t>NACLIND</t>
  </si>
  <si>
    <t>PUNJABCHEM</t>
  </si>
  <si>
    <t>MIRZAINT</t>
  </si>
  <si>
    <t>HERITGFOOD</t>
  </si>
  <si>
    <t>KOVAI</t>
  </si>
  <si>
    <t>THANGAMAYL</t>
  </si>
  <si>
    <t>MMFL</t>
  </si>
  <si>
    <t>JAGRAN</t>
  </si>
  <si>
    <t>KCP</t>
  </si>
  <si>
    <t>ORCHPHARMA</t>
  </si>
  <si>
    <t>PSPPROJECT</t>
  </si>
  <si>
    <t>CARERATING</t>
  </si>
  <si>
    <t>NURECA</t>
  </si>
  <si>
    <t>ANDHRSUGAR</t>
  </si>
  <si>
    <t>NELCO</t>
  </si>
  <si>
    <t>RGL</t>
  </si>
  <si>
    <t>APTECHT</t>
  </si>
  <si>
    <t>HBLPOWER</t>
  </si>
  <si>
    <t>DPSCLTD</t>
  </si>
  <si>
    <t>KINGFA</t>
  </si>
  <si>
    <t>JSWISPL</t>
  </si>
  <si>
    <t>ASHIANA</t>
  </si>
  <si>
    <t>TIMETECHNO</t>
  </si>
  <si>
    <t>URJA</t>
  </si>
  <si>
    <t>WHEELS</t>
  </si>
  <si>
    <t>PGEL</t>
  </si>
  <si>
    <t>TARC</t>
  </si>
  <si>
    <t>SOTL</t>
  </si>
  <si>
    <t>KITEX</t>
  </si>
  <si>
    <t>UJJIVAN</t>
  </si>
  <si>
    <t>NRBBEARING</t>
  </si>
  <si>
    <t>NITINSPIN</t>
  </si>
  <si>
    <t>EXPLEOSOL</t>
  </si>
  <si>
    <t>JMCPROJECT</t>
  </si>
  <si>
    <t>SASTASUNDR</t>
  </si>
  <si>
    <t>DBCORP</t>
  </si>
  <si>
    <t>ZENTEC</t>
  </si>
  <si>
    <t>FORCEMOT</t>
  </si>
  <si>
    <t>ADFFOODS</t>
  </si>
  <si>
    <t>DWARKESH</t>
  </si>
  <si>
    <t>FCL</t>
  </si>
  <si>
    <t>NBVENTURES</t>
  </si>
  <si>
    <t>REPCOHOME</t>
  </si>
  <si>
    <t>SANGAMIND</t>
  </si>
  <si>
    <t>GULPOLY</t>
  </si>
  <si>
    <t>GENUSPOWER</t>
  </si>
  <si>
    <t>GEPIL</t>
  </si>
  <si>
    <t>CIGNITITEC</t>
  </si>
  <si>
    <t>ACCELYA</t>
  </si>
  <si>
    <t>ORISSAMINE</t>
  </si>
  <si>
    <t>IGARASHI</t>
  </si>
  <si>
    <t>NUCLEUS</t>
  </si>
  <si>
    <t>HUHTAMAKI</t>
  </si>
  <si>
    <t>OMAXE</t>
  </si>
  <si>
    <t>CHENNPETRO</t>
  </si>
  <si>
    <t>WSTCSTPAPR</t>
  </si>
  <si>
    <t>SUTLEJTEX</t>
  </si>
  <si>
    <t>PRECAM</t>
  </si>
  <si>
    <t>SANGHIIND</t>
  </si>
  <si>
    <t>KESORAMIND</t>
  </si>
  <si>
    <t>SHALBY</t>
  </si>
  <si>
    <t>ELECTCAST</t>
  </si>
  <si>
    <t>BFUTILITIE</t>
  </si>
  <si>
    <t>FCONSUMER</t>
  </si>
  <si>
    <t>TVSSRICHAK</t>
  </si>
  <si>
    <t>SURYODAY</t>
  </si>
  <si>
    <t>GOCLCORP</t>
  </si>
  <si>
    <t>FIEMIND</t>
  </si>
  <si>
    <t>PATELENG</t>
  </si>
  <si>
    <t>SANDHAR</t>
  </si>
  <si>
    <t>DBREALTY</t>
  </si>
  <si>
    <t>GALLISPAT</t>
  </si>
  <si>
    <t>RAMKY</t>
  </si>
  <si>
    <t>HSIL</t>
  </si>
  <si>
    <t>UGROCAP</t>
  </si>
  <si>
    <t>DFMFOODS</t>
  </si>
  <si>
    <t>DOLAT</t>
  </si>
  <si>
    <t>RIIL</t>
  </si>
  <si>
    <t>KSL</t>
  </si>
  <si>
    <t>CENTRUM</t>
  </si>
  <si>
    <t>VINDHYATEL</t>
  </si>
  <si>
    <t>BODALCHEM</t>
  </si>
  <si>
    <t>3IINFOLTD</t>
  </si>
  <si>
    <t>SBCL</t>
  </si>
  <si>
    <t>KABRAEXTRU</t>
  </si>
  <si>
    <t>KIRLOSIND</t>
  </si>
  <si>
    <t>PRICOLLTD</t>
  </si>
  <si>
    <t>POWERMECH</t>
  </si>
  <si>
    <t>XPROINDIA</t>
  </si>
  <si>
    <t>GRAUWEIL</t>
  </si>
  <si>
    <t>WELENT</t>
  </si>
  <si>
    <t>ITDCEM</t>
  </si>
  <si>
    <t>SUNDARMHLD</t>
  </si>
  <si>
    <t>INSECTICID</t>
  </si>
  <si>
    <t>TI</t>
  </si>
  <si>
    <t>MONTECARLO</t>
  </si>
  <si>
    <t>SIRCA</t>
  </si>
  <si>
    <t>GNA</t>
  </si>
  <si>
    <t>VHL</t>
  </si>
  <si>
    <t>KKCL</t>
  </si>
  <si>
    <t>TDPOWERSYS</t>
  </si>
  <si>
    <t>CHEMCON</t>
  </si>
  <si>
    <t>DYNAMATECH</t>
  </si>
  <si>
    <t>ASAL</t>
  </si>
  <si>
    <t>NXTDIGITAL</t>
  </si>
  <si>
    <t>SUPRIYA</t>
  </si>
  <si>
    <t>3IINFOTECH</t>
  </si>
  <si>
    <t>TWL</t>
  </si>
  <si>
    <t>RAMCOSYS</t>
  </si>
  <si>
    <t>QUICKHEAL</t>
  </si>
  <si>
    <t>KOPRAN</t>
  </si>
  <si>
    <t>BFINVEST</t>
  </si>
  <si>
    <t>BANCOINDIA</t>
  </si>
  <si>
    <t>PFS</t>
  </si>
  <si>
    <t>ALICON</t>
  </si>
  <si>
    <t>ANDREWYU</t>
  </si>
  <si>
    <t>GMBREW</t>
  </si>
  <si>
    <t>AJMERA</t>
  </si>
  <si>
    <t>FMGOETZE</t>
  </si>
  <si>
    <t>HONDAPOWER</t>
  </si>
  <si>
    <t>CANTABIL</t>
  </si>
  <si>
    <t>PNBGILTS</t>
  </si>
  <si>
    <t>XCHANGING</t>
  </si>
  <si>
    <t>SUNFLAG</t>
  </si>
  <si>
    <t>JKIL</t>
  </si>
  <si>
    <t>GIPCL</t>
  </si>
  <si>
    <t>PCJEWELLER</t>
  </si>
  <si>
    <t>MPSLTD</t>
  </si>
  <si>
    <t>ONMOBILE</t>
  </si>
  <si>
    <t>TEXRAIL</t>
  </si>
  <si>
    <t>SPAL</t>
  </si>
  <si>
    <t>SHANTIGEAR</t>
  </si>
  <si>
    <t>5PAISA</t>
  </si>
  <si>
    <t>SHANKARA</t>
  </si>
  <si>
    <t>KDDL</t>
  </si>
  <si>
    <t>AMBIKCO</t>
  </si>
  <si>
    <t>RSWM</t>
  </si>
  <si>
    <t>GANECOS</t>
  </si>
  <si>
    <t>AVTNPL</t>
  </si>
  <si>
    <t>SUVEN</t>
  </si>
  <si>
    <t>SHAKTIPUMP</t>
  </si>
  <si>
    <t>IFGLEXPOR</t>
  </si>
  <si>
    <t>PANACEABIO</t>
  </si>
  <si>
    <t>COFFEEDAY</t>
  </si>
  <si>
    <t>INDNIPPON</t>
  </si>
  <si>
    <t>FCSSOFT</t>
  </si>
  <si>
    <t>EXCELINDUS</t>
  </si>
  <si>
    <t>LUMAXTECH</t>
  </si>
  <si>
    <t>WONDERLA</t>
  </si>
  <si>
    <t>INFOBEAN</t>
  </si>
  <si>
    <t>DCW</t>
  </si>
  <si>
    <t>PARAGMILK</t>
  </si>
  <si>
    <t>ESTER</t>
  </si>
  <si>
    <t>CLNINDIA</t>
  </si>
  <si>
    <t>CAPACITE</t>
  </si>
  <si>
    <t>ZEEMEDIA</t>
  </si>
  <si>
    <t>FLFL</t>
  </si>
  <si>
    <t>EIHAHOTELS</t>
  </si>
  <si>
    <t>SMSPHARMA</t>
  </si>
  <si>
    <t>VISHNU</t>
  </si>
  <si>
    <t>GENESYS</t>
  </si>
  <si>
    <t>SHREDIGCEM</t>
  </si>
  <si>
    <t>CEREBRAINT</t>
  </si>
  <si>
    <t>SAKSOFT</t>
  </si>
  <si>
    <t>BHAGERIA</t>
  </si>
  <si>
    <t>PRAKASH</t>
  </si>
  <si>
    <t>VISAKAIND</t>
  </si>
  <si>
    <t>UNIDT</t>
  </si>
  <si>
    <t>RCOM</t>
  </si>
  <si>
    <t>JUBLINDS</t>
  </si>
  <si>
    <t>SPIC</t>
  </si>
  <si>
    <t>ARVSMART</t>
  </si>
  <si>
    <t>GOKULAGRO</t>
  </si>
  <si>
    <t>AVADHSUGAR</t>
  </si>
  <si>
    <t>BBL</t>
  </si>
  <si>
    <t>LUMAXIND</t>
  </si>
  <si>
    <t>VSSL</t>
  </si>
  <si>
    <t>GANESHHOUC</t>
  </si>
  <si>
    <t>WENDT</t>
  </si>
  <si>
    <t>MANGLMCEM</t>
  </si>
  <si>
    <t>CENTENKA</t>
  </si>
  <si>
    <t>EMAMIPAP</t>
  </si>
  <si>
    <t>SHRIRAMEPC</t>
  </si>
  <si>
    <t>DIGISPICE</t>
  </si>
  <si>
    <t>UNIENTER</t>
  </si>
  <si>
    <t>ANUP</t>
  </si>
  <si>
    <t>SANGHVIMOV</t>
  </si>
  <si>
    <t>SESHAPAPER</t>
  </si>
  <si>
    <t>BLISSGVS</t>
  </si>
  <si>
    <t>TNPETRO</t>
  </si>
  <si>
    <t>HMT</t>
  </si>
  <si>
    <t>APEX</t>
  </si>
  <si>
    <t>INDIANHUME</t>
  </si>
  <si>
    <t>KARDA</t>
  </si>
  <si>
    <t>UNITECH</t>
  </si>
  <si>
    <t>JETAIRWAYS</t>
  </si>
  <si>
    <t>TTKHLTCARE</t>
  </si>
  <si>
    <t>DVL</t>
  </si>
  <si>
    <t>ADORWELD</t>
  </si>
  <si>
    <t>ARSHIYA</t>
  </si>
  <si>
    <t>PGIL</t>
  </si>
  <si>
    <t>IMPAL</t>
  </si>
  <si>
    <t>NCLIND</t>
  </si>
  <si>
    <t>ALLSEC</t>
  </si>
  <si>
    <t>OCCL</t>
  </si>
  <si>
    <t>ASHAPURMIN</t>
  </si>
  <si>
    <t>RPGLIFE</t>
  </si>
  <si>
    <t>SMLISUZU</t>
  </si>
  <si>
    <t>SINTEX</t>
  </si>
  <si>
    <t>SATIA</t>
  </si>
  <si>
    <t>SPENCERS</t>
  </si>
  <si>
    <t>PROINDIA</t>
  </si>
  <si>
    <t>GOODLUCK</t>
  </si>
  <si>
    <t>ZOTA</t>
  </si>
  <si>
    <t>PARSVNATH</t>
  </si>
  <si>
    <t>SRIPIPES</t>
  </si>
  <si>
    <t>HCL-INSYS</t>
  </si>
  <si>
    <t>DREDGECORP</t>
  </si>
  <si>
    <t>THEMISMED</t>
  </si>
  <si>
    <t>AWHCL</t>
  </si>
  <si>
    <t>FOSECOIND</t>
  </si>
  <si>
    <t>MANGCHEFER</t>
  </si>
  <si>
    <t>ASALCBR</t>
  </si>
  <si>
    <t>BCLIND</t>
  </si>
  <si>
    <t>EVERESTIND</t>
  </si>
  <si>
    <t>DPABHUSHAN</t>
  </si>
  <si>
    <t>VIMTALABS</t>
  </si>
  <si>
    <t>YAARII</t>
  </si>
  <si>
    <t>NAGAFERT</t>
  </si>
  <si>
    <t>PRECWIRE</t>
  </si>
  <si>
    <t>DECCANCE</t>
  </si>
  <si>
    <t>ANDHRAPAP</t>
  </si>
  <si>
    <t>RANEHOLDIN</t>
  </si>
  <si>
    <t>SMCGLOBAL</t>
  </si>
  <si>
    <t>TEXINFRA</t>
  </si>
  <si>
    <t>IWEL</t>
  </si>
  <si>
    <t>GICHSGFIN</t>
  </si>
  <si>
    <t>HEXATRADEX</t>
  </si>
  <si>
    <t>TNPL</t>
  </si>
  <si>
    <t>ADSL</t>
  </si>
  <si>
    <t>NSIL</t>
  </si>
  <si>
    <t>KELLTONTEC</t>
  </si>
  <si>
    <t>RADIOCITY</t>
  </si>
  <si>
    <t>TAJGVK</t>
  </si>
  <si>
    <t>KICL</t>
  </si>
  <si>
    <t>APCL</t>
  </si>
  <si>
    <t>HPAL</t>
  </si>
  <si>
    <t>JAYBARMARU</t>
  </si>
  <si>
    <t>SUULD</t>
  </si>
  <si>
    <t>UTTAMSUGAR</t>
  </si>
  <si>
    <t>ORIENTHOT</t>
  </si>
  <si>
    <t>ENIL</t>
  </si>
  <si>
    <t>PITTIENG</t>
  </si>
  <si>
    <t>BINDALAGRO</t>
  </si>
  <si>
    <t>NELCAST</t>
  </si>
  <si>
    <t>GFLLIMITED</t>
  </si>
  <si>
    <t>AARTISURF</t>
  </si>
  <si>
    <t>SKIPPER</t>
  </si>
  <si>
    <t>KUANTUM</t>
  </si>
  <si>
    <t>NAHARPOLY</t>
  </si>
  <si>
    <t>CENTUM</t>
  </si>
  <si>
    <t>NDTV</t>
  </si>
  <si>
    <t>VLSFINANCE</t>
  </si>
  <si>
    <t>ARIHANTSUP</t>
  </si>
  <si>
    <t>AURIONPRO</t>
  </si>
  <si>
    <t>ISMTLTD</t>
  </si>
  <si>
    <t>CREATIVE</t>
  </si>
  <si>
    <t>KANORICHEM</t>
  </si>
  <si>
    <t>NECLIFE</t>
  </si>
  <si>
    <t>VASCONEQ</t>
  </si>
  <si>
    <t>SALASAR</t>
  </si>
  <si>
    <t>ASIANTILES</t>
  </si>
  <si>
    <t>RUSHIL</t>
  </si>
  <si>
    <t>SUMMITSEC</t>
  </si>
  <si>
    <t>BGRENERGY</t>
  </si>
  <si>
    <t>SPTL</t>
  </si>
  <si>
    <t>HLVLTD</t>
  </si>
  <si>
    <t>KPIGLOBAL</t>
  </si>
  <si>
    <t>NAHARCAP</t>
  </si>
  <si>
    <t>UNIVPHOTO</t>
  </si>
  <si>
    <t>VISHAL</t>
  </si>
  <si>
    <t>SNOWMAN</t>
  </si>
  <si>
    <t>LINCOLN</t>
  </si>
  <si>
    <t>INDRAMEDCO</t>
  </si>
  <si>
    <t>FELDVR</t>
  </si>
  <si>
    <t>ARMANFIN</t>
  </si>
  <si>
    <t>ORIENTPPR</t>
  </si>
  <si>
    <t>STERTOOLS</t>
  </si>
  <si>
    <t>YUKEN</t>
  </si>
  <si>
    <t>DYNPRO</t>
  </si>
  <si>
    <t>ONWARDTEC</t>
  </si>
  <si>
    <t>SADBHAV</t>
  </si>
  <si>
    <t>SHREEPUSHK</t>
  </si>
  <si>
    <t>JAIBALAJI</t>
  </si>
  <si>
    <t>NAVKARCORP</t>
  </si>
  <si>
    <t>HTMEDIA</t>
  </si>
  <si>
    <t>TALBROAUTO</t>
  </si>
  <si>
    <t>BALAJITELE</t>
  </si>
  <si>
    <t>MIRCELECTR</t>
  </si>
  <si>
    <t>MINDTECK</t>
  </si>
  <si>
    <t>JAYAGROGN</t>
  </si>
  <si>
    <t>HITECH</t>
  </si>
  <si>
    <t>RAMASTEEL</t>
  </si>
  <si>
    <t>DCMNVL</t>
  </si>
  <si>
    <t>LIKHITHA</t>
  </si>
  <si>
    <t>VADILALIND</t>
  </si>
  <si>
    <t>STCINDIA</t>
  </si>
  <si>
    <t>IFBAGRO</t>
  </si>
  <si>
    <t>ROHITFERRO</t>
  </si>
  <si>
    <t>REPRO</t>
  </si>
  <si>
    <t>AYMSYNTEX</t>
  </si>
  <si>
    <t>ORICONENT</t>
  </si>
  <si>
    <t>NDL</t>
  </si>
  <si>
    <t>AGARIND</t>
  </si>
  <si>
    <t>TAKE</t>
  </si>
  <si>
    <t>DELPHIFX</t>
  </si>
  <si>
    <t>VIKASLIFE</t>
  </si>
  <si>
    <t>CYBERTECH</t>
  </si>
  <si>
    <t>BLKASHYAP</t>
  </si>
  <si>
    <t>JPINFRATEC</t>
  </si>
  <si>
    <t>SHALPAINTS</t>
  </si>
  <si>
    <t>RML</t>
  </si>
  <si>
    <t>LYKALABS</t>
  </si>
  <si>
    <t>CONTROLPR</t>
  </si>
  <si>
    <t>GANESHBE</t>
  </si>
  <si>
    <t>PLASTIBLEN</t>
  </si>
  <si>
    <t>RBL</t>
  </si>
  <si>
    <t>KOKUYOCMLN</t>
  </si>
  <si>
    <t>RICOAUTO</t>
  </si>
  <si>
    <t>EXXARO</t>
  </si>
  <si>
    <t>JYOTISTRUC</t>
  </si>
  <si>
    <t>MANINDS</t>
  </si>
  <si>
    <t>SATIN</t>
  </si>
  <si>
    <t>BASML</t>
  </si>
  <si>
    <t>KAYA</t>
  </si>
  <si>
    <t>NAHARINDUS</t>
  </si>
  <si>
    <t>KAMDHENU</t>
  </si>
  <si>
    <t>DLINKINDIA</t>
  </si>
  <si>
    <t>EBIXFOREX</t>
  </si>
  <si>
    <t>UNIVCABLES</t>
  </si>
  <si>
    <t>WINDLAS</t>
  </si>
  <si>
    <t>HARITASEAT</t>
  </si>
  <si>
    <t>XELPMOC</t>
  </si>
  <si>
    <t>SRHHYPOLTD</t>
  </si>
  <si>
    <t>DUCON</t>
  </si>
  <si>
    <t>THEINVEST</t>
  </si>
  <si>
    <t>TRIGYN</t>
  </si>
  <si>
    <t>JASH</t>
  </si>
  <si>
    <t>MUTHOOTCAP</t>
  </si>
  <si>
    <t>NBIFIN</t>
  </si>
  <si>
    <t>DEEPINDS</t>
  </si>
  <si>
    <t>GALLANTT</t>
  </si>
  <si>
    <t>MSPL</t>
  </si>
  <si>
    <t>SANDESH</t>
  </si>
  <si>
    <t>ROSSELLIND</t>
  </si>
  <si>
    <t>MARALOVER</t>
  </si>
  <si>
    <t>HMVL</t>
  </si>
  <si>
    <t>TFCILTD</t>
  </si>
  <si>
    <t>SARLAPOLY</t>
  </si>
  <si>
    <t>ZEELEARN</t>
  </si>
  <si>
    <t>INVENTURE</t>
  </si>
  <si>
    <t>GAYAPROJ</t>
  </si>
  <si>
    <t>ANDHRACEMT</t>
  </si>
  <si>
    <t>MUNJALAU</t>
  </si>
  <si>
    <t>SADBHIN</t>
  </si>
  <si>
    <t>ARIHANTCAP</t>
  </si>
  <si>
    <t>HITECHCORP</t>
  </si>
  <si>
    <t>VENUSREM</t>
  </si>
  <si>
    <t>MADRASFERT</t>
  </si>
  <si>
    <t>TBZ</t>
  </si>
  <si>
    <t>BIGBLOC</t>
  </si>
  <si>
    <t>PENIND</t>
  </si>
  <si>
    <t>ZUARI</t>
  </si>
  <si>
    <t>V2RETAIL</t>
  </si>
  <si>
    <t>SHREYAS</t>
  </si>
  <si>
    <t>MUNJALSHOW</t>
  </si>
  <si>
    <t>MEP</t>
  </si>
  <si>
    <t>OSWALAGRO</t>
  </si>
  <si>
    <t>MANAKSIA</t>
  </si>
  <si>
    <t>DHFL</t>
  </si>
  <si>
    <t>FEL</t>
  </si>
  <si>
    <t>ORIENTBELL</t>
  </si>
  <si>
    <t>WEBELSOLAR</t>
  </si>
  <si>
    <t>LGBFORGE</t>
  </si>
  <si>
    <t>NATHBIOGEN</t>
  </si>
  <si>
    <t>MENONBE</t>
  </si>
  <si>
    <t>HERCULES</t>
  </si>
  <si>
    <t>PTL</t>
  </si>
  <si>
    <t>BALAXI</t>
  </si>
  <si>
    <t>VISHWARAJ</t>
  </si>
  <si>
    <t>PROZONINTU</t>
  </si>
  <si>
    <t>HITECHGEAR</t>
  </si>
  <si>
    <t>MARATHON</t>
  </si>
  <si>
    <t>BANSWRAS</t>
  </si>
  <si>
    <t>VARDHACRLC</t>
  </si>
  <si>
    <t>CONSOFINVT</t>
  </si>
  <si>
    <t>KHADIM</t>
  </si>
  <si>
    <t>MMP</t>
  </si>
  <si>
    <t>GANDHITUBE</t>
  </si>
  <si>
    <t>HPL</t>
  </si>
  <si>
    <t>TCPLPACK</t>
  </si>
  <si>
    <t>SITINET</t>
  </si>
  <si>
    <t>MEGASOFT</t>
  </si>
  <si>
    <t>HUBTOWN</t>
  </si>
  <si>
    <t>RUBYMILLS</t>
  </si>
  <si>
    <t>MARINE</t>
  </si>
  <si>
    <t>DHUNINV</t>
  </si>
  <si>
    <t>JINDRILL</t>
  </si>
  <si>
    <t>INDSWFTLAB</t>
  </si>
  <si>
    <t>WATERBASE</t>
  </si>
  <si>
    <t>OMINFRAL</t>
  </si>
  <si>
    <t>ZUARIGLOB</t>
  </si>
  <si>
    <t>TRIL</t>
  </si>
  <si>
    <t>SWELECTES</t>
  </si>
  <si>
    <t>HINDCOMPOS</t>
  </si>
  <si>
    <t>VINYLINDIA</t>
  </si>
  <si>
    <t>REPL</t>
  </si>
  <si>
    <t>JAGSNPHARM</t>
  </si>
  <si>
    <t>RANASUG</t>
  </si>
  <si>
    <t>SOUTHWEST</t>
  </si>
  <si>
    <t>KRISHANA</t>
  </si>
  <si>
    <t>SPECIALITY</t>
  </si>
  <si>
    <t>INDOTHAI</t>
  </si>
  <si>
    <t>SECURKLOUD</t>
  </si>
  <si>
    <t>GSCLCEMENT</t>
  </si>
  <si>
    <t>CEBBCO</t>
  </si>
  <si>
    <t>NRAIL</t>
  </si>
  <si>
    <t>BHARATWIRE</t>
  </si>
  <si>
    <t>PENINLAND</t>
  </si>
  <si>
    <t>KOTHARIPET</t>
  </si>
  <si>
    <t>ATULAUTO</t>
  </si>
  <si>
    <t>GVKPIL</t>
  </si>
  <si>
    <t>PRECOT</t>
  </si>
  <si>
    <t>GOKUL</t>
  </si>
  <si>
    <t>ASHIMASYN</t>
  </si>
  <si>
    <t>PDMJEPAPER</t>
  </si>
  <si>
    <t>SREEL</t>
  </si>
  <si>
    <t>CREST</t>
  </si>
  <si>
    <t>GINNIFILA</t>
  </si>
  <si>
    <t>KREBSBIO</t>
  </si>
  <si>
    <t>MAGADSUGAR</t>
  </si>
  <si>
    <t>VISESHINFO</t>
  </si>
  <si>
    <t>SHIVAMAUTO</t>
  </si>
  <si>
    <t>AXISCADES</t>
  </si>
  <si>
    <t>MANAKCOAT</t>
  </si>
  <si>
    <t>BIRLAMONEY</t>
  </si>
  <si>
    <t>HIRECT</t>
  </si>
  <si>
    <t>MAXIND</t>
  </si>
  <si>
    <t>MBLINFRA</t>
  </si>
  <si>
    <t>PRAXIS</t>
  </si>
  <si>
    <t>RELCAPITAL</t>
  </si>
  <si>
    <t>ORIENTABRA</t>
  </si>
  <si>
    <t>VIKASECO</t>
  </si>
  <si>
    <t>INSPIRISYS</t>
  </si>
  <si>
    <t>BIL</t>
  </si>
  <si>
    <t>ALBERTDAVD</t>
  </si>
  <si>
    <t>PPL</t>
  </si>
  <si>
    <t>SALZERELEC</t>
  </si>
  <si>
    <t>MBAPL</t>
  </si>
  <si>
    <t>NIPPOBATRY</t>
  </si>
  <si>
    <t>KILITCH</t>
  </si>
  <si>
    <t>SHYAMCENT</t>
  </si>
  <si>
    <t>DHANBANK</t>
  </si>
  <si>
    <t>AKSHARCHEM</t>
  </si>
  <si>
    <t>DICIND</t>
  </si>
  <si>
    <t>UGARSUGAR</t>
  </si>
  <si>
    <t>SCHAND</t>
  </si>
  <si>
    <t>DPWIRES</t>
  </si>
  <si>
    <t>PILITA</t>
  </si>
  <si>
    <t>SREINFRA</t>
  </si>
  <si>
    <t>BIRLATYRE</t>
  </si>
  <si>
    <t>ASAHISONG</t>
  </si>
  <si>
    <t>ISFT</t>
  </si>
  <si>
    <t>UCALFUEL</t>
  </si>
  <si>
    <t>GKWLIMITED</t>
  </si>
  <si>
    <t>DONEAR</t>
  </si>
  <si>
    <t>BALLARPUR</t>
  </si>
  <si>
    <t>ADVANIHOTR</t>
  </si>
  <si>
    <t>MAHEPC</t>
  </si>
  <si>
    <t>SILINV</t>
  </si>
  <si>
    <t>SAKUMA</t>
  </si>
  <si>
    <t>TVSELECT</t>
  </si>
  <si>
    <t>PRIMESECU</t>
  </si>
  <si>
    <t>PODDARMENT</t>
  </si>
  <si>
    <t>NILAINFRA</t>
  </si>
  <si>
    <t>MGEL</t>
  </si>
  <si>
    <t>GENUSPAPER</t>
  </si>
  <si>
    <t>LINCPEN</t>
  </si>
  <si>
    <t>GOACARBON</t>
  </si>
  <si>
    <t>IRISDOREME</t>
  </si>
  <si>
    <t>DTIL</t>
  </si>
  <si>
    <t>BIRLACABLE</t>
  </si>
  <si>
    <t>SHEMAROO</t>
  </si>
  <si>
    <t>BPL</t>
  </si>
  <si>
    <t>SORILINFRA</t>
  </si>
  <si>
    <t>PPAP</t>
  </si>
  <si>
    <t>MAWANASUG</t>
  </si>
  <si>
    <t>HDIL</t>
  </si>
  <si>
    <t>KCPSUGIND</t>
  </si>
  <si>
    <t>RAJMET</t>
  </si>
  <si>
    <t>EMAMIREAL</t>
  </si>
  <si>
    <t>SHIVATEX</t>
  </si>
  <si>
    <t>CLEDUCATE</t>
  </si>
  <si>
    <t>JITFINFRA</t>
  </si>
  <si>
    <t>BAFNAPH</t>
  </si>
  <si>
    <t>JPOLYINVST</t>
  </si>
  <si>
    <t>GEECEE</t>
  </si>
  <si>
    <t>APOLLO</t>
  </si>
  <si>
    <t>RHFL</t>
  </si>
  <si>
    <t>NGIL</t>
  </si>
  <si>
    <t>BSHSL</t>
  </si>
  <si>
    <t>RAMANEWS</t>
  </si>
  <si>
    <t>HINDNATGLS</t>
  </si>
  <si>
    <t>ALMONDZ</t>
  </si>
  <si>
    <t>RNAVAL</t>
  </si>
  <si>
    <t>INDOWIND</t>
  </si>
  <si>
    <t>FSC</t>
  </si>
  <si>
    <t>HARRMALAYA</t>
  </si>
  <si>
    <t>JAYSREETEA</t>
  </si>
  <si>
    <t>ACCURACY</t>
  </si>
  <si>
    <t>KOTHARIPRO</t>
  </si>
  <si>
    <t>AJRINFRA</t>
  </si>
  <si>
    <t>LASA</t>
  </si>
  <si>
    <t>KOTARISUG</t>
  </si>
  <si>
    <t>ANKITMETAL</t>
  </si>
  <si>
    <t>GBGLOBAL</t>
  </si>
  <si>
    <t>MCLEODRUSS</t>
  </si>
  <si>
    <t>PARACABLES</t>
  </si>
  <si>
    <t>JINDALPHOT</t>
  </si>
  <si>
    <t>SDBL</t>
  </si>
  <si>
    <t>IVC</t>
  </si>
  <si>
    <t>HINDMOTORS</t>
  </si>
  <si>
    <t>KMSUGAR</t>
  </si>
  <si>
    <t>20MICRONS</t>
  </si>
  <si>
    <t>ABAN</t>
  </si>
  <si>
    <t>RUCHINFRA</t>
  </si>
  <si>
    <t>CUPID</t>
  </si>
  <si>
    <t>REFEX</t>
  </si>
  <si>
    <t>CHEMBOND</t>
  </si>
  <si>
    <t>AIRAN</t>
  </si>
  <si>
    <t>MODISNME</t>
  </si>
  <si>
    <t>STEL</t>
  </si>
  <si>
    <t>GOLDTECH</t>
  </si>
  <si>
    <t>COMPUSOFT</t>
  </si>
  <si>
    <t>KANPRPLA</t>
  </si>
  <si>
    <t>AKASH</t>
  </si>
  <si>
    <t>WEALTH</t>
  </si>
  <si>
    <t>GTL</t>
  </si>
  <si>
    <t>ZODIACLOTH</t>
  </si>
  <si>
    <t>UFO</t>
  </si>
  <si>
    <t>CINELINE</t>
  </si>
  <si>
    <t>VIPULLTD</t>
  </si>
  <si>
    <t>INDTERRAIN</t>
  </si>
  <si>
    <t>ALANKIT</t>
  </si>
  <si>
    <t>LOVABLE</t>
  </si>
  <si>
    <t>EMKAY</t>
  </si>
  <si>
    <t>BRFL</t>
  </si>
  <si>
    <t>TEMBO</t>
  </si>
  <si>
    <t>MANAKSTEEL</t>
  </si>
  <si>
    <t>LIBERTSHOE</t>
  </si>
  <si>
    <t>COMPINFO</t>
  </si>
  <si>
    <t>SUNDARAM</t>
  </si>
  <si>
    <t>WINDMACHIN</t>
  </si>
  <si>
    <t>GULFPETRO</t>
  </si>
  <si>
    <t>GUJAPOLLO</t>
  </si>
  <si>
    <t>BRNL</t>
  </si>
  <si>
    <t>ORBTEXP</t>
  </si>
  <si>
    <t>BROOKS</t>
  </si>
  <si>
    <t>BEDMUTHA</t>
  </si>
  <si>
    <t>ESSARSHPNG</t>
  </si>
  <si>
    <t>SHRENIK</t>
  </si>
  <si>
    <t>WANBURY</t>
  </si>
  <si>
    <t>MAHESHWARI</t>
  </si>
  <si>
    <t>RAJTV</t>
  </si>
  <si>
    <t>DCM</t>
  </si>
  <si>
    <t>SUVIDHAA</t>
  </si>
  <si>
    <t>TTL</t>
  </si>
  <si>
    <t>CHEMFAB</t>
  </si>
  <si>
    <t>AUTOIND</t>
  </si>
  <si>
    <t>SEPOWER</t>
  </si>
  <si>
    <t>TEXMOPIPES</t>
  </si>
  <si>
    <t>AAKASH</t>
  </si>
  <si>
    <t>MAJESCO</t>
  </si>
  <si>
    <t>SIMPLEXINF</t>
  </si>
  <si>
    <t>DENORA</t>
  </si>
  <si>
    <t>ALPHAGEO</t>
  </si>
  <si>
    <t>PREMEXPLN</t>
  </si>
  <si>
    <t>NDRAUTO</t>
  </si>
  <si>
    <t>INDOSOLAR</t>
  </si>
  <si>
    <t>REVATHI</t>
  </si>
  <si>
    <t>MOLDTECH</t>
  </si>
  <si>
    <t>CAREERP</t>
  </si>
  <si>
    <t>SAKAR</t>
  </si>
  <si>
    <t>VISASTEEL</t>
  </si>
  <si>
    <t>NILASPACES</t>
  </si>
  <si>
    <t>MAZDA</t>
  </si>
  <si>
    <t>A2ZINFRA</t>
  </si>
  <si>
    <t>ROHLTD</t>
  </si>
  <si>
    <t>SINTERCOM</t>
  </si>
  <si>
    <t>SGIL</t>
  </si>
  <si>
    <t>DSSL</t>
  </si>
  <si>
    <t>GPTINFRA</t>
  </si>
  <si>
    <t>PONNIERODE</t>
  </si>
  <si>
    <t>ASTRON</t>
  </si>
  <si>
    <t>PIONDIST</t>
  </si>
  <si>
    <t>SELAN</t>
  </si>
  <si>
    <t>SETCO</t>
  </si>
  <si>
    <t>ELGIRUBCO</t>
  </si>
  <si>
    <t>NITCO</t>
  </si>
  <si>
    <t>LPDC</t>
  </si>
  <si>
    <t>INDOTECH</t>
  </si>
  <si>
    <t>AHLWEST</t>
  </si>
  <si>
    <t>IL&amp;FSTRANS</t>
  </si>
  <si>
    <t>VIDEOIND</t>
  </si>
  <si>
    <t>MOKSH</t>
  </si>
  <si>
    <t>VETO</t>
  </si>
  <si>
    <t>PALREDTEC</t>
  </si>
  <si>
    <t>GSS</t>
  </si>
  <si>
    <t>SMSLIFE</t>
  </si>
  <si>
    <t>ONEPOINT</t>
  </si>
  <si>
    <t>GLOBE</t>
  </si>
  <si>
    <t>UNITEDTEA</t>
  </si>
  <si>
    <t>SKMEGGPROD</t>
  </si>
  <si>
    <t>VIPCLOTHNG</t>
  </si>
  <si>
    <t>APOLSINHOT</t>
  </si>
  <si>
    <t>AHLEAST</t>
  </si>
  <si>
    <t>ARIES</t>
  </si>
  <si>
    <t>GANGAFORGE</t>
  </si>
  <si>
    <t>MANGALAM</t>
  </si>
  <si>
    <t>DANGEE</t>
  </si>
  <si>
    <t>BHANDARI</t>
  </si>
  <si>
    <t>RUCHIRA</t>
  </si>
  <si>
    <t>WALCHANNAG</t>
  </si>
  <si>
    <t>SURANASOL</t>
  </si>
  <si>
    <t>JHS</t>
  </si>
  <si>
    <t>ANSALAPI</t>
  </si>
  <si>
    <t>STARPAPER</t>
  </si>
  <si>
    <t>ANMOL</t>
  </si>
  <si>
    <t>SAKHTISUG</t>
  </si>
  <si>
    <t>GOLDENTOBC</t>
  </si>
  <si>
    <t>EIMCOELECO</t>
  </si>
  <si>
    <t>SURANAT&amp;P</t>
  </si>
  <si>
    <t>CAPTRUST</t>
  </si>
  <si>
    <t>SERVOTECH</t>
  </si>
  <si>
    <t>VIVIMEDLAB</t>
  </si>
  <si>
    <t>AKSHOPTFBR</t>
  </si>
  <si>
    <t>GRPLTD</t>
  </si>
  <si>
    <t>SUPERHOUSE</t>
  </si>
  <si>
    <t>KAKATCEM</t>
  </si>
  <si>
    <t>CORALFINAC</t>
  </si>
  <si>
    <t>INTENTECH</t>
  </si>
  <si>
    <t>MODIRUBBER</t>
  </si>
  <si>
    <t>RVHL</t>
  </si>
  <si>
    <t>PREMIERPOL</t>
  </si>
  <si>
    <t>IITL</t>
  </si>
  <si>
    <t>UMANGDAIRY</t>
  </si>
  <si>
    <t>PVP</t>
  </si>
  <si>
    <t>RANEENGINE</t>
  </si>
  <si>
    <t>NOIDATOLL</t>
  </si>
  <si>
    <t>EMMBI</t>
  </si>
  <si>
    <t>MACPOWER</t>
  </si>
  <si>
    <t>SMARTLINK</t>
  </si>
  <si>
    <t>KAPSTON</t>
  </si>
  <si>
    <t>EROSMEDIA</t>
  </si>
  <si>
    <t>MBECL</t>
  </si>
  <si>
    <t>ARROWGREEN</t>
  </si>
  <si>
    <t>ELECTHERM</t>
  </si>
  <si>
    <t>JOCIL</t>
  </si>
  <si>
    <t>ATLANTA</t>
  </si>
  <si>
    <t>CTE</t>
  </si>
  <si>
    <t>KECL</t>
  </si>
  <si>
    <t>INDIANCARD</t>
  </si>
  <si>
    <t>MANAKALUCO</t>
  </si>
  <si>
    <t>JBFIND</t>
  </si>
  <si>
    <t>BHARATGEAR</t>
  </si>
  <si>
    <t>KANANIIND</t>
  </si>
  <si>
    <t>KERNEX</t>
  </si>
  <si>
    <t>AHLADA</t>
  </si>
  <si>
    <t>SEYAIND</t>
  </si>
  <si>
    <t>BALPHARMA</t>
  </si>
  <si>
    <t>ALPA</t>
  </si>
  <si>
    <t>TRF</t>
  </si>
  <si>
    <t>PRAKASHSTL</t>
  </si>
  <si>
    <t>DBSTOCKBRO</t>
  </si>
  <si>
    <t>ENERGYDEV</t>
  </si>
  <si>
    <t>PRITIKAUTO</t>
  </si>
  <si>
    <t>BLBLIMITED</t>
  </si>
  <si>
    <t>GAMMNINFRA</t>
  </si>
  <si>
    <t>GENCON</t>
  </si>
  <si>
    <t>SHREYANIND</t>
  </si>
  <si>
    <t>MCDHOLDING</t>
  </si>
  <si>
    <t>PRAENG</t>
  </si>
  <si>
    <t>JMA</t>
  </si>
  <si>
    <t>BHAGYANGR</t>
  </si>
  <si>
    <t>MAANALU</t>
  </si>
  <si>
    <t>PIONEEREMB</t>
  </si>
  <si>
    <t>RPPINFRA</t>
  </si>
  <si>
    <t>WORTH</t>
  </si>
  <si>
    <t>RKEC</t>
  </si>
  <si>
    <t>SUNDRMBRAK</t>
  </si>
  <si>
    <t>ASIANHOTNR</t>
  </si>
  <si>
    <t>DRCSYSTEMS</t>
  </si>
  <si>
    <t>VERTOZ</t>
  </si>
  <si>
    <t>SPLIL</t>
  </si>
  <si>
    <t>SURYALAXMI</t>
  </si>
  <si>
    <t>GROBTEA</t>
  </si>
  <si>
    <t>MURUDCERA</t>
  </si>
  <si>
    <t>VIKASPROP</t>
  </si>
  <si>
    <t>INCREDIBLE</t>
  </si>
  <si>
    <t>JMTAUTOLTD</t>
  </si>
  <si>
    <t>AMJLAND</t>
  </si>
  <si>
    <t>BIOFILCHEM</t>
  </si>
  <si>
    <t>SPMLINFRA</t>
  </si>
  <si>
    <t>SAMBHAAV</t>
  </si>
  <si>
    <t>TIL</t>
  </si>
  <si>
    <t>NDGL</t>
  </si>
  <si>
    <t>MAHAPEXLTD</t>
  </si>
  <si>
    <t>GILLANDERS</t>
  </si>
  <si>
    <t>SANWARIA</t>
  </si>
  <si>
    <t>CCHHL</t>
  </si>
  <si>
    <t>SALONA</t>
  </si>
  <si>
    <t>DEEPENR</t>
  </si>
  <si>
    <t>SALSTEEL</t>
  </si>
  <si>
    <t>TCIDEVELOP</t>
  </si>
  <si>
    <t>SHIVAMILLS</t>
  </si>
  <si>
    <t>LOKESHMACH</t>
  </si>
  <si>
    <t>DAMODARIND</t>
  </si>
  <si>
    <t>AARVI</t>
  </si>
  <si>
    <t>TIRUPATIFL</t>
  </si>
  <si>
    <t>IL&amp;FSENGG</t>
  </si>
  <si>
    <t>WELINV</t>
  </si>
  <si>
    <t>AAREYDRUGS</t>
  </si>
  <si>
    <t>NIRAJ</t>
  </si>
  <si>
    <t>AARON</t>
  </si>
  <si>
    <t>DGCONTENT</t>
  </si>
  <si>
    <t>REMSONSIND</t>
  </si>
  <si>
    <t>SIGIND</t>
  </si>
  <si>
    <t>IVP</t>
  </si>
  <si>
    <t>TPLPLASTEH</t>
  </si>
  <si>
    <t>RSSOFTWARE</t>
  </si>
  <si>
    <t>PODDARHOUS</t>
  </si>
  <si>
    <t>BSL</t>
  </si>
  <si>
    <t>AROGRANITE</t>
  </si>
  <si>
    <t>GAL</t>
  </si>
  <si>
    <t>TOTAL</t>
  </si>
  <si>
    <t>LAMBODHARA</t>
  </si>
  <si>
    <t>MRO-TEK</t>
  </si>
  <si>
    <t>ROML</t>
  </si>
  <si>
    <t>IZMO</t>
  </si>
  <si>
    <t>EXCEL</t>
  </si>
  <si>
    <t>ROLTA</t>
  </si>
  <si>
    <t>PUNJLLOYD</t>
  </si>
  <si>
    <t>BAGFILMS</t>
  </si>
  <si>
    <t>SHREERAMA</t>
  </si>
  <si>
    <t>BYKE</t>
  </si>
  <si>
    <t>WEIZMANIND</t>
  </si>
  <si>
    <t>ASPINWALL</t>
  </si>
  <si>
    <t>MAHASTEEL</t>
  </si>
  <si>
    <t>ABMINTLTD</t>
  </si>
  <si>
    <t>UJAAS</t>
  </si>
  <si>
    <t>PATINTLOG</t>
  </si>
  <si>
    <t>MOTOGENFIN</t>
  </si>
  <si>
    <t>TOUCHWOOD</t>
  </si>
  <si>
    <t>UTTAMSTL</t>
  </si>
  <si>
    <t>TREJHARA</t>
  </si>
  <si>
    <t>BHAGYAPROP</t>
  </si>
  <si>
    <t>KAMATHOTEL</t>
  </si>
  <si>
    <t>VIKASWSP</t>
  </si>
  <si>
    <t>ICEMAKE</t>
  </si>
  <si>
    <t>TARMAT</t>
  </si>
  <si>
    <t>EASTSILK</t>
  </si>
  <si>
    <t>DELTAMAGNT</t>
  </si>
  <si>
    <t>RAJSREESUG</t>
  </si>
  <si>
    <t>TOKYOPLAST</t>
  </si>
  <si>
    <t>OMAXAUTO</t>
  </si>
  <si>
    <t>MUKTAARTS</t>
  </si>
  <si>
    <t>CENTEXT</t>
  </si>
  <si>
    <t>LOTUSEYE</t>
  </si>
  <si>
    <t>SIL</t>
  </si>
  <si>
    <t>INDBANK</t>
  </si>
  <si>
    <t>ALKALI</t>
  </si>
  <si>
    <t>ARCHIDPLY</t>
  </si>
  <si>
    <t>SUMEETINDS</t>
  </si>
  <si>
    <t>SHAHALLOYS</t>
  </si>
  <si>
    <t>MORARJEE</t>
  </si>
  <si>
    <t>NECCLTD</t>
  </si>
  <si>
    <t>MERCATOR</t>
  </si>
  <si>
    <t>AUSOMENT</t>
  </si>
  <si>
    <t>STEELCITY</t>
  </si>
  <si>
    <t>GODHA</t>
  </si>
  <si>
    <t>ROLLT</t>
  </si>
  <si>
    <t xml:space="preserve"> </t>
  </si>
  <si>
    <t>ACMESOLAR</t>
  </si>
  <si>
    <t>AWL</t>
  </si>
  <si>
    <t>AADHARHFC</t>
  </si>
  <si>
    <t>ADANIENSOL</t>
  </si>
  <si>
    <t>ABREL</t>
  </si>
  <si>
    <t>ABSLAMC</t>
  </si>
  <si>
    <t>AEGISLOG</t>
  </si>
  <si>
    <t>AFCONS</t>
  </si>
  <si>
    <t>AKUMS</t>
  </si>
  <si>
    <t>ALIVUS</t>
  </si>
  <si>
    <t>ARE&amp;M</t>
  </si>
  <si>
    <t>ANANDRATHI</t>
  </si>
  <si>
    <t>ANGELONE</t>
  </si>
  <si>
    <t>AIIL</t>
  </si>
  <si>
    <t>BAJAJHFL</t>
  </si>
  <si>
    <t>BHARTIHEXA</t>
  </si>
  <si>
    <t>BIKAJI</t>
  </si>
  <si>
    <t>FIRSTCRY</t>
  </si>
  <si>
    <t>MAPMYINDIA</t>
  </si>
  <si>
    <t>CAMPUS</t>
  </si>
  <si>
    <t>COHANCE</t>
  </si>
  <si>
    <t>CONCORDBIO</t>
  </si>
  <si>
    <t>DOMS</t>
  </si>
  <si>
    <t>DELHIVERY</t>
  </si>
  <si>
    <t>DUMMYDBRLT</t>
  </si>
  <si>
    <t>EMCURE</t>
  </si>
  <si>
    <t>ETERNAL</t>
  </si>
  <si>
    <t>NYKAA</t>
  </si>
  <si>
    <t>FIVESTAR</t>
  </si>
  <si>
    <t>GVT&amp;D</t>
  </si>
  <si>
    <t>GMRAIRPORT</t>
  </si>
  <si>
    <t>MEDANTA</t>
  </si>
  <si>
    <t>GODIGIT</t>
  </si>
  <si>
    <t>HBLENGINE</t>
  </si>
  <si>
    <t>HONASA</t>
  </si>
  <si>
    <t>HYUNDAI</t>
  </si>
  <si>
    <t>INOXINDIA</t>
  </si>
  <si>
    <t>INDGN</t>
  </si>
  <si>
    <t>IREDA</t>
  </si>
  <si>
    <t>IGIL</t>
  </si>
  <si>
    <t>IKS</t>
  </si>
  <si>
    <t>JSWINFRA</t>
  </si>
  <si>
    <t>JIOFIN</t>
  </si>
  <si>
    <t>JWL</t>
  </si>
  <si>
    <t>JYOTICNC</t>
  </si>
  <si>
    <t>KPIL</t>
  </si>
  <si>
    <t>KAYNES</t>
  </si>
  <si>
    <t>KFINTECH</t>
  </si>
  <si>
    <t>LTF</t>
  </si>
  <si>
    <t>LTFOODS</t>
  </si>
  <si>
    <t>LTIM</t>
  </si>
  <si>
    <t>LATENTVIEW</t>
  </si>
  <si>
    <t>LICI</t>
  </si>
  <si>
    <t>LLOYDSME</t>
  </si>
  <si>
    <t>MANKIND</t>
  </si>
  <si>
    <t>MSUMI</t>
  </si>
  <si>
    <t>NSLNISP</t>
  </si>
  <si>
    <t>NTPCGREEN</t>
  </si>
  <si>
    <t>NAVA</t>
  </si>
  <si>
    <t>NETWEB</t>
  </si>
  <si>
    <t>NIVABUPA</t>
  </si>
  <si>
    <t>NUVAMA</t>
  </si>
  <si>
    <t>OLAELEC</t>
  </si>
  <si>
    <t>PAYTM</t>
  </si>
  <si>
    <t>POLICYBZR</t>
  </si>
  <si>
    <t>PCBL</t>
  </si>
  <si>
    <t>PTCIL</t>
  </si>
  <si>
    <t>PVRINOX</t>
  </si>
  <si>
    <t>PATANJALI</t>
  </si>
  <si>
    <t>PPLPHARMA</t>
  </si>
  <si>
    <t>PREMIERENE</t>
  </si>
  <si>
    <t>RRKABEL</t>
  </si>
  <si>
    <t>RAINBOW</t>
  </si>
  <si>
    <t>RAYMONDLSL</t>
  </si>
  <si>
    <t>SBFC</t>
  </si>
  <si>
    <t>SAGILITY</t>
  </si>
  <si>
    <t>SAILIFE</t>
  </si>
  <si>
    <t>SAMMAANCAP</t>
  </si>
  <si>
    <t>MOTHERSON</t>
  </si>
  <si>
    <t>SAPPHIRE</t>
  </si>
  <si>
    <t>SHRIRAMFIN</t>
  </si>
  <si>
    <t>SIGNATURE</t>
  </si>
  <si>
    <t>STARHEALTH</t>
  </si>
  <si>
    <t>SWANCORP</t>
  </si>
  <si>
    <t>SWIGGY</t>
  </si>
  <si>
    <t>SYRMA</t>
  </si>
  <si>
    <t>TBOTEK</t>
  </si>
  <si>
    <t>TATATECH</t>
  </si>
  <si>
    <t>TITAGARH</t>
  </si>
  <si>
    <t>TARIL</t>
  </si>
  <si>
    <t>UNOMINDA</t>
  </si>
  <si>
    <t>UNITDSPR</t>
  </si>
  <si>
    <t>MANYAVAR</t>
  </si>
  <si>
    <t>VMM</t>
  </si>
  <si>
    <t>WAAREEENER</t>
  </si>
  <si>
    <t>WELSPUNLIV</t>
  </si>
  <si>
    <t>ZFCVINDIA</t>
  </si>
  <si>
    <t>ZYDUSLIFE</t>
  </si>
  <si>
    <t>Share Market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</si>
</sst>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Rs-449]#,##0.00"/>
  </numFmts>
  <fonts count="17" x14ac:knownFonts="1">
    <font>
      <sz val="10"/>
      <color rgb="FF000000"/>
      <name val="Arial"/>
      <scheme val="minor"/>
    </font>
    <font>
      <b/>
      <sz val="26"/>
      <color rgb="FF999999"/>
      <name val="Caveat"/>
    </font>
    <font>
      <b/>
      <sz val="60"/>
      <color theme="1"/>
      <name val="EB Garamond"/>
    </font>
    <font>
      <sz val="10"/>
      <name val="Arial"/>
    </font>
    <font>
      <b/>
      <sz val="20"/>
      <color theme="1"/>
      <name val="Arial"/>
    </font>
    <font>
      <b/>
      <sz val="20"/>
      <color rgb="FFFFFFFF"/>
      <name val="Caveat"/>
    </font>
    <font>
      <b/>
      <sz val="20"/>
      <color rgb="FF9900FF"/>
      <name val="Arial"/>
    </font>
    <font>
      <b/>
      <sz val="16"/>
      <color rgb="FFFFFFFF"/>
      <name val="Calibri"/>
    </font>
    <font>
      <b/>
      <sz val="14"/>
      <color rgb="FFB45F06"/>
      <name val="Lobster"/>
    </font>
    <font>
      <b/>
      <sz val="17"/>
      <color theme="1"/>
      <name val="Roboto Serif"/>
    </font>
    <font>
      <b/>
      <i/>
      <sz val="16"/>
      <color rgb="FF0000FF"/>
      <name val="Comfortaa"/>
    </font>
    <font>
      <b/>
      <sz val="16"/>
      <color theme="1"/>
      <name val="Comic Sans MS"/>
    </font>
    <font>
      <b/>
      <i/>
      <sz val="16"/>
      <color rgb="FFFFFFFF"/>
      <name val="Pacifico"/>
    </font>
    <font>
      <sz val="14"/>
      <color theme="1"/>
      <name val="Impact"/>
    </font>
    <font>
      <b/>
      <sz val="14"/>
      <color rgb="FFFFFFFF"/>
      <name val="Calibri"/>
    </font>
    <font>
      <sz val="14"/>
      <color rgb="FF000000"/>
      <name val="Arial"/>
    </font>
    <font>
      <sz val="10"/>
      <color theme="1"/>
      <name val="Arial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4C7C3"/>
        <bgColor rgb="FFF4C7C3"/>
      </patternFill>
    </fill>
    <fill>
      <patternFill patternType="solid">
        <fgColor rgb="FFFFF2CC"/>
        <bgColor rgb="FFFFF2CC"/>
      </patternFill>
    </fill>
    <fill>
      <patternFill patternType="solid">
        <fgColor rgb="FFFF9900"/>
        <bgColor rgb="FFFF9900"/>
      </patternFill>
    </fill>
    <fill>
      <patternFill patternType="solid">
        <fgColor rgb="FF4C1130"/>
        <bgColor rgb="FF4C1130"/>
      </patternFill>
    </fill>
    <fill>
      <patternFill patternType="solid">
        <fgColor rgb="FFE69138"/>
        <bgColor rgb="FFE69138"/>
      </patternFill>
    </fill>
    <fill>
      <patternFill patternType="solid">
        <fgColor rgb="FFFCE8B2"/>
        <bgColor rgb="FFFCE8B2"/>
      </patternFill>
    </fill>
    <fill>
      <patternFill patternType="solid">
        <fgColor rgb="FF0000FF"/>
        <bgColor rgb="FF0000FF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000000"/>
        <bgColor rgb="FF000000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ck">
        <color rgb="FF0000FF"/>
      </left>
      <right/>
      <top style="thick">
        <color rgb="FF0000FF"/>
      </top>
      <bottom style="thick">
        <color rgb="FF0000FF"/>
      </bottom>
      <diagonal/>
    </border>
    <border>
      <left/>
      <right/>
      <top style="thick">
        <color rgb="FF0000FF"/>
      </top>
      <bottom style="thick">
        <color rgb="FF0000FF"/>
      </bottom>
      <diagonal/>
    </border>
    <border>
      <left/>
      <right style="thick">
        <color rgb="FF0000FF"/>
      </right>
      <top style="thick">
        <color rgb="FF0000FF"/>
      </top>
      <bottom style="thick">
        <color rgb="FF0000FF"/>
      </bottom>
      <diagonal/>
    </border>
    <border>
      <left style="double">
        <color rgb="FF9900FF"/>
      </left>
      <right style="double">
        <color rgb="FF9900FF"/>
      </right>
      <top style="double">
        <color rgb="FF9900FF"/>
      </top>
      <bottom style="double">
        <color rgb="FF9900FF"/>
      </bottom>
      <diagonal/>
    </border>
    <border>
      <left style="double">
        <color rgb="FF9900FF"/>
      </left>
      <right style="double">
        <color rgb="FF9900FF"/>
      </right>
      <top/>
      <bottom style="double">
        <color rgb="FF9900FF"/>
      </bottom>
      <diagonal/>
    </border>
    <border>
      <left style="double">
        <color rgb="FF9900FF"/>
      </left>
      <right style="double">
        <color rgb="FF9900FF"/>
      </right>
      <top/>
      <bottom style="double">
        <color rgb="FF9900FF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980000"/>
      </left>
      <right style="medium">
        <color rgb="FF980000"/>
      </right>
      <top style="medium">
        <color rgb="FF980000"/>
      </top>
      <bottom style="medium">
        <color rgb="FF98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5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4" fillId="4" borderId="5" xfId="0" applyFont="1" applyFill="1" applyBorder="1"/>
    <xf numFmtId="164" fontId="4" fillId="4" borderId="6" xfId="0" applyNumberFormat="1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4" fillId="5" borderId="6" xfId="0" applyFont="1" applyFill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5" fillId="6" borderId="1" xfId="0" applyFont="1" applyFill="1" applyBorder="1" applyAlignment="1">
      <alignment horizontal="center" vertical="center"/>
    </xf>
    <xf numFmtId="0" fontId="6" fillId="7" borderId="8" xfId="0" applyFont="1" applyFill="1" applyBorder="1" applyAlignment="1">
      <alignment horizontal="center"/>
    </xf>
    <xf numFmtId="0" fontId="7" fillId="8" borderId="5" xfId="0" applyFont="1" applyFill="1" applyBorder="1"/>
    <xf numFmtId="164" fontId="8" fillId="9" borderId="5" xfId="0" applyNumberFormat="1" applyFont="1" applyFill="1" applyBorder="1" applyAlignment="1">
      <alignment horizontal="left"/>
    </xf>
    <xf numFmtId="0" fontId="8" fillId="9" borderId="5" xfId="0" applyFont="1" applyFill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10" fillId="10" borderId="5" xfId="0" applyFont="1" applyFill="1" applyBorder="1" applyAlignment="1">
      <alignment horizontal="left"/>
    </xf>
    <xf numFmtId="0" fontId="11" fillId="0" borderId="5" xfId="0" applyFont="1" applyBorder="1" applyAlignment="1">
      <alignment horizontal="center"/>
    </xf>
    <xf numFmtId="2" fontId="12" fillId="11" borderId="1" xfId="0" applyNumberFormat="1" applyFont="1" applyFill="1" applyBorder="1" applyAlignment="1">
      <alignment horizontal="center"/>
    </xf>
    <xf numFmtId="2" fontId="13" fillId="2" borderId="9" xfId="0" applyNumberFormat="1" applyFont="1" applyFill="1" applyBorder="1" applyAlignment="1">
      <alignment horizontal="left"/>
    </xf>
    <xf numFmtId="0" fontId="13" fillId="2" borderId="9" xfId="0" applyFont="1" applyFill="1" applyBorder="1" applyAlignment="1">
      <alignment horizontal="left"/>
    </xf>
    <xf numFmtId="0" fontId="14" fillId="8" borderId="10" xfId="0" applyFont="1" applyFill="1" applyBorder="1" applyAlignment="1">
      <alignment wrapText="1"/>
    </xf>
    <xf numFmtId="0" fontId="15" fillId="0" borderId="0" xfId="0" applyFont="1"/>
    <xf numFmtId="0" fontId="16" fillId="0" borderId="0" xfId="0" applyFont="1" applyAlignment="1"/>
    <xf numFmtId="0" fontId="16" fillId="0" borderId="0" xfId="0" applyFont="1"/>
    <xf numFmtId="0" fontId="2" fillId="3" borderId="2" xfId="0" applyFont="1" applyFill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</cellXfs>
  <cellStyles count="1">
    <cellStyle name="Normal" xfId="0" builtinId="0"/>
  </cellStyles>
  <dxfs count="12">
    <dxf>
      <fill>
        <patternFill patternType="solid">
          <fgColor rgb="FFF4C7C3"/>
          <bgColor rgb="FFF4C7C3"/>
        </patternFill>
      </fill>
    </dxf>
    <dxf>
      <font>
        <color rgb="FFFFFF00"/>
      </font>
      <fill>
        <patternFill patternType="solid">
          <fgColor rgb="FF990000"/>
          <bgColor rgb="FF990000"/>
        </patternFill>
      </fill>
    </dxf>
    <dxf>
      <font>
        <color rgb="FFFFFF00"/>
      </font>
      <fill>
        <patternFill patternType="solid">
          <fgColor rgb="FF38761D"/>
          <bgColor rgb="FF38761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00FF00"/>
      </font>
      <fill>
        <patternFill patternType="solid">
          <fgColor rgb="FFFF0000"/>
          <bgColor rgb="FFFF0000"/>
        </patternFill>
      </fill>
    </dxf>
    <dxf>
      <font>
        <color rgb="FFFFFF00"/>
      </font>
      <fill>
        <patternFill patternType="solid">
          <fgColor rgb="FF38761D"/>
          <bgColor rgb="FF38761D"/>
        </patternFill>
      </fill>
    </dxf>
    <dxf>
      <fill>
        <patternFill patternType="solid">
          <fgColor rgb="FFF4C7C3"/>
          <bgColor rgb="FFF4C7C3"/>
        </patternFill>
      </fill>
    </dxf>
    <dxf>
      <font>
        <color rgb="FFFFFF00"/>
      </font>
      <fill>
        <patternFill patternType="solid">
          <fgColor rgb="FF990000"/>
          <bgColor rgb="FF990000"/>
        </patternFill>
      </fill>
    </dxf>
    <dxf>
      <font>
        <color rgb="FFFFFF00"/>
      </font>
      <fill>
        <patternFill patternType="solid">
          <fgColor rgb="FF38761D"/>
          <bgColor rgb="FF38761D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00FF00"/>
      </font>
      <fill>
        <patternFill patternType="solid">
          <fgColor rgb="FFFF0000"/>
          <bgColor rgb="FFFF0000"/>
        </patternFill>
      </fill>
    </dxf>
    <dxf>
      <font>
        <color rgb="FFFFFF00"/>
      </font>
      <fill>
        <patternFill patternType="solid">
          <fgColor rgb="FF38761D"/>
          <bgColor rgb="FF38761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 /><Relationship Id="rId3" Type="http://schemas.openxmlformats.org/officeDocument/2006/relationships/worksheet" Target="worksheets/sheet3.xml" /><Relationship Id="rId7" Type="http://customschemas.google.com/relationships/workbookmetadata" Target="metadata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1" Type="http://schemas.openxmlformats.org/officeDocument/2006/relationships/calcChain" Target="calcChain.xml" /><Relationship Id="rId10" Type="http://schemas.openxmlformats.org/officeDocument/2006/relationships/sharedStrings" Target="sharedStrings.xml" /><Relationship Id="rId9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1595"/>
  <sheetViews>
    <sheetView tabSelected="1" workbookViewId="0">
      <pane xSplit="1" ySplit="2" topLeftCell="B3" activePane="bottomRight" state="frozen"/>
      <selection pane="bottomLeft" activeCell="A3" sqref="A3"/>
      <selection pane="topRight" activeCell="B1" sqref="B1"/>
      <selection pane="bottomRight"/>
    </sheetView>
  </sheetViews>
  <sheetFormatPr defaultColWidth="12.67578125" defaultRowHeight="15" customHeight="1" x14ac:dyDescent="0.15"/>
  <cols>
    <col min="1" max="1" width="35.05859375" customWidth="1"/>
    <col min="2" max="2" width="17.39453125" customWidth="1"/>
    <col min="3" max="4" width="12.67578125" customWidth="1"/>
    <col min="5" max="5" width="9.57421875" customWidth="1"/>
    <col min="6" max="6" width="37.3515625" customWidth="1"/>
    <col min="7" max="7" width="22.921875" customWidth="1"/>
    <col min="8" max="8" width="42.34375" customWidth="1"/>
    <col min="9" max="9" width="20.2265625" customWidth="1"/>
    <col min="10" max="11" width="19.01171875" customWidth="1"/>
    <col min="12" max="12" width="15.37109375" customWidth="1"/>
  </cols>
  <sheetData>
    <row r="1" spans="1:14" ht="69.75" customHeight="1" x14ac:dyDescent="1.2">
      <c r="A1" s="1" t="s">
        <v>1655</v>
      </c>
      <c r="B1" s="22" t="s">
        <v>1</v>
      </c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4"/>
    </row>
    <row r="2" spans="1:14" ht="24.75" customHeight="1" x14ac:dyDescent="0.3">
      <c r="A2" s="2" t="s">
        <v>2</v>
      </c>
      <c r="B2" s="3" t="s">
        <v>3</v>
      </c>
      <c r="C2" s="4" t="s">
        <v>4</v>
      </c>
      <c r="D2" s="4" t="s">
        <v>5</v>
      </c>
      <c r="E2" s="4" t="s">
        <v>6</v>
      </c>
      <c r="F2" s="5" t="s">
        <v>7</v>
      </c>
      <c r="G2" s="4" t="s">
        <v>8</v>
      </c>
      <c r="H2" s="6" t="s">
        <v>9</v>
      </c>
      <c r="I2" s="7" t="s">
        <v>10</v>
      </c>
      <c r="J2" s="8" t="s">
        <v>11</v>
      </c>
      <c r="K2" s="8"/>
      <c r="L2" s="8" t="s">
        <v>12</v>
      </c>
      <c r="M2" s="8" t="s">
        <v>13</v>
      </c>
      <c r="N2" s="8" t="s">
        <v>14</v>
      </c>
    </row>
    <row r="3" spans="1:14" ht="24.75" customHeight="1" x14ac:dyDescent="0.8">
      <c r="A3" s="9" t="s">
        <v>192</v>
      </c>
      <c r="B3" s="10">
        <f ca="1">IFERROR(__xludf.DUMMYFUNCTION("GOOGLEFINANCE(A3,""PRICE"")"),2586.1)</f>
        <v>2586.1</v>
      </c>
      <c r="C3" s="11">
        <f ca="1">IFERROR(__xludf.DUMMYFUNCTION("GOOGLEFINANCE(A3,""PRICEOPEN"")"),2595)</f>
        <v>2595</v>
      </c>
      <c r="D3" s="11">
        <f ca="1">IFERROR(__xludf.DUMMYFUNCTION("GOOGLEFINANCE(A3,""HIGH"")"),2612.9)</f>
        <v>2612.9</v>
      </c>
      <c r="E3" s="11">
        <f ca="1">IFERROR(__xludf.DUMMYFUNCTION("GOOGLEFINANCE(A3,""LOW"")"),2564.4)</f>
        <v>2564.4</v>
      </c>
      <c r="F3" s="12" t="str">
        <f t="shared" ref="F3:F22" ca="1" si="0">IF(C3=D3,"SELL",IF(C3=E3,"BUY", ""))</f>
        <v/>
      </c>
      <c r="G3" s="13">
        <f ca="1">IFERROR(__xludf.DUMMYFUNCTION("GOOGLEFINANCE(A3,""CLOSEYEST"")"),2592.7)</f>
        <v>2592.6999999999998</v>
      </c>
      <c r="H3" s="14" t="str">
        <f t="shared" ref="H3:H22" ca="1" si="1">IF(C3&gt;=(G3+(G3*1%)),"GAP UP",IF(C3&lt;=(G3-(G3*1%)),"GAP DOWN",""))</f>
        <v/>
      </c>
      <c r="I3" s="15">
        <f t="shared" ref="I3:I22" ca="1" si="2">(D3+E3+G3)/3</f>
        <v>2590</v>
      </c>
      <c r="J3" s="16">
        <f t="shared" ref="J3:J22" ca="1" si="3">(I3*2)-E3</f>
        <v>2615.6</v>
      </c>
      <c r="K3" s="16"/>
      <c r="L3" s="16">
        <f t="shared" ref="L3:L22" ca="1" si="4">(I3*2)-D3</f>
        <v>2567.1</v>
      </c>
      <c r="M3" s="16">
        <f t="shared" ref="M3:M22" ca="1" si="5">I3+(J3-L3)</f>
        <v>2638.5</v>
      </c>
      <c r="N3" s="16">
        <f t="shared" ref="N3:N22" ca="1" si="6">I3-(J3-L3)</f>
        <v>2541.5</v>
      </c>
    </row>
    <row r="4" spans="1:14" ht="24.75" customHeight="1" x14ac:dyDescent="0.8">
      <c r="A4" s="9" t="s">
        <v>119</v>
      </c>
      <c r="B4" s="10">
        <f ca="1">IFERROR(__xludf.DUMMYFUNCTION("GOOGLEFINANCE(A4,""PRICE"")"),1419.9)</f>
        <v>1419.9</v>
      </c>
      <c r="C4" s="11">
        <f ca="1">IFERROR(__xludf.DUMMYFUNCTION("GOOGLEFINANCE(A4,""PRICEOPEN"")"),1413)</f>
        <v>1413</v>
      </c>
      <c r="D4" s="11">
        <f ca="1">IFERROR(__xludf.DUMMYFUNCTION("GOOGLEFINANCE(A4,""HIGH"")"),1431)</f>
        <v>1431</v>
      </c>
      <c r="E4" s="11">
        <f ca="1">IFERROR(__xludf.DUMMYFUNCTION("GOOGLEFINANCE(A4,""LOW"")"),1412.5)</f>
        <v>1412.5</v>
      </c>
      <c r="F4" s="12" t="str">
        <f t="shared" ca="1" si="0"/>
        <v/>
      </c>
      <c r="G4" s="13">
        <f ca="1">IFERROR(__xludf.DUMMYFUNCTION("GOOGLEFINANCE(A4,""CLOSEYEST"")"),1422.7)</f>
        <v>1422.7</v>
      </c>
      <c r="H4" s="14" t="str">
        <f t="shared" ca="1" si="1"/>
        <v/>
      </c>
      <c r="I4" s="15">
        <f t="shared" ca="1" si="2"/>
        <v>1422.0666666666666</v>
      </c>
      <c r="J4" s="16">
        <f t="shared" ca="1" si="3"/>
        <v>1431.6333333333332</v>
      </c>
      <c r="K4" s="16"/>
      <c r="L4" s="16">
        <f t="shared" ca="1" si="4"/>
        <v>1413.1333333333332</v>
      </c>
      <c r="M4" s="16">
        <f t="shared" ca="1" si="5"/>
        <v>1440.5666666666666</v>
      </c>
      <c r="N4" s="16">
        <f t="shared" ca="1" si="6"/>
        <v>1403.5666666666666</v>
      </c>
    </row>
    <row r="5" spans="1:14" ht="24.75" customHeight="1" x14ac:dyDescent="0.8">
      <c r="A5" s="9" t="s">
        <v>134</v>
      </c>
      <c r="B5" s="10">
        <f ca="1">IFERROR(__xludf.DUMMYFUNCTION("GOOGLEFINANCE(A5,""PRICE"")"),7450)</f>
        <v>7450</v>
      </c>
      <c r="C5" s="11">
        <f ca="1">IFERROR(__xludf.DUMMYFUNCTION("GOOGLEFINANCE(A5,""PRICEOPEN"")"),7441)</f>
        <v>7441</v>
      </c>
      <c r="D5" s="11">
        <f ca="1">IFERROR(__xludf.DUMMYFUNCTION("GOOGLEFINANCE(A5,""HIGH"")"),7484)</f>
        <v>7484</v>
      </c>
      <c r="E5" s="11">
        <f ca="1">IFERROR(__xludf.DUMMYFUNCTION("GOOGLEFINANCE(A5,""LOW"")"),7404)</f>
        <v>7404</v>
      </c>
      <c r="F5" s="12" t="str">
        <f t="shared" ca="1" si="0"/>
        <v/>
      </c>
      <c r="G5" s="13">
        <f ca="1">IFERROR(__xludf.DUMMYFUNCTION("GOOGLEFINANCE(A5,""CLOSEYEST"")"),7441)</f>
        <v>7441</v>
      </c>
      <c r="H5" s="14" t="str">
        <f t="shared" ca="1" si="1"/>
        <v/>
      </c>
      <c r="I5" s="15">
        <f t="shared" ca="1" si="2"/>
        <v>7443</v>
      </c>
      <c r="J5" s="16">
        <f t="shared" ca="1" si="3"/>
        <v>7482</v>
      </c>
      <c r="K5" s="16"/>
      <c r="L5" s="16">
        <f t="shared" ca="1" si="4"/>
        <v>7402</v>
      </c>
      <c r="M5" s="16">
        <f t="shared" ca="1" si="5"/>
        <v>7523</v>
      </c>
      <c r="N5" s="16">
        <f t="shared" ca="1" si="6"/>
        <v>7363</v>
      </c>
    </row>
    <row r="6" spans="1:14" ht="24.75" customHeight="1" x14ac:dyDescent="0.8">
      <c r="A6" s="9" t="s">
        <v>1557</v>
      </c>
      <c r="B6" s="10">
        <f ca="1">IFERROR(__xludf.DUMMYFUNCTION("GOOGLEFINANCE(A6,""PRICE"")"),2358.1)</f>
        <v>2358.1</v>
      </c>
      <c r="C6" s="11">
        <f ca="1">IFERROR(__xludf.DUMMYFUNCTION("GOOGLEFINANCE(A6,""PRICEOPEN"")"),2342.2)</f>
        <v>2342.1999999999998</v>
      </c>
      <c r="D6" s="11">
        <f ca="1">IFERROR(__xludf.DUMMYFUNCTION("GOOGLEFINANCE(A6,""HIGH"")"),2362.7)</f>
        <v>2362.6999999999998</v>
      </c>
      <c r="E6" s="11">
        <f ca="1">IFERROR(__xludf.DUMMYFUNCTION("GOOGLEFINANCE(A6,""LOW"")"),2336.1)</f>
        <v>2336.1</v>
      </c>
      <c r="F6" s="12" t="str">
        <f t="shared" ca="1" si="0"/>
        <v/>
      </c>
      <c r="G6" s="13">
        <f ca="1">IFERROR(__xludf.DUMMYFUNCTION("GOOGLEFINANCE(A6,""CLOSEYEST"")"),2335.8)</f>
        <v>2335.8000000000002</v>
      </c>
      <c r="H6" s="14" t="str">
        <f t="shared" ca="1" si="1"/>
        <v/>
      </c>
      <c r="I6" s="15">
        <f t="shared" ca="1" si="2"/>
        <v>2344.8666666666663</v>
      </c>
      <c r="J6" s="16">
        <f t="shared" ca="1" si="3"/>
        <v>2353.6333333333328</v>
      </c>
      <c r="K6" s="16"/>
      <c r="L6" s="16">
        <f t="shared" ca="1" si="4"/>
        <v>2327.0333333333328</v>
      </c>
      <c r="M6" s="16">
        <f t="shared" ca="1" si="5"/>
        <v>2371.4666666666662</v>
      </c>
      <c r="N6" s="16">
        <f t="shared" ca="1" si="6"/>
        <v>2318.2666666666664</v>
      </c>
    </row>
    <row r="7" spans="1:14" ht="24.75" customHeight="1" x14ac:dyDescent="0.8">
      <c r="A7" s="9" t="s">
        <v>269</v>
      </c>
      <c r="B7" s="10">
        <f ca="1">IFERROR(__xludf.DUMMYFUNCTION("GOOGLEFINANCE(A7,""PRICE"")"),1183)</f>
        <v>1183</v>
      </c>
      <c r="C7" s="11">
        <f ca="1">IFERROR(__xludf.DUMMYFUNCTION("GOOGLEFINANCE(A7,""PRICEOPEN"")"),1171)</f>
        <v>1171</v>
      </c>
      <c r="D7" s="11">
        <f ca="1">IFERROR(__xludf.DUMMYFUNCTION("GOOGLEFINANCE(A7,""HIGH"")"),1188)</f>
        <v>1188</v>
      </c>
      <c r="E7" s="11">
        <f ca="1">IFERROR(__xludf.DUMMYFUNCTION("GOOGLEFINANCE(A7,""LOW"")"),1169.5)</f>
        <v>1169.5</v>
      </c>
      <c r="F7" s="12" t="str">
        <f t="shared" ca="1" si="0"/>
        <v/>
      </c>
      <c r="G7" s="13">
        <f ca="1">IFERROR(__xludf.DUMMYFUNCTION("GOOGLEFINANCE(A7,""CLOSEYEST"")"),1159.5)</f>
        <v>1159.5</v>
      </c>
      <c r="H7" s="14" t="str">
        <f t="shared" ca="1" si="1"/>
        <v/>
      </c>
      <c r="I7" s="15">
        <f t="shared" ca="1" si="2"/>
        <v>1172.3333333333333</v>
      </c>
      <c r="J7" s="16">
        <f t="shared" ca="1" si="3"/>
        <v>1175.1666666666665</v>
      </c>
      <c r="K7" s="16"/>
      <c r="L7" s="16">
        <f t="shared" ca="1" si="4"/>
        <v>1156.6666666666665</v>
      </c>
      <c r="M7" s="16">
        <f t="shared" ca="1" si="5"/>
        <v>1190.8333333333333</v>
      </c>
      <c r="N7" s="16">
        <f t="shared" ca="1" si="6"/>
        <v>1153.8333333333333</v>
      </c>
    </row>
    <row r="8" spans="1:14" ht="24.75" customHeight="1" x14ac:dyDescent="0.8">
      <c r="A8" s="9" t="s">
        <v>223</v>
      </c>
      <c r="B8" s="10">
        <f ca="1">IFERROR(__xludf.DUMMYFUNCTION("GOOGLEFINANCE(A8,""PRICE"")"),8685)</f>
        <v>8685</v>
      </c>
      <c r="C8" s="11">
        <f ca="1">IFERROR(__xludf.DUMMYFUNCTION("GOOGLEFINANCE(A8,""PRICEOPEN"")"),8626.5)</f>
        <v>8626.5</v>
      </c>
      <c r="D8" s="11">
        <f ca="1">IFERROR(__xludf.DUMMYFUNCTION("GOOGLEFINANCE(A8,""HIGH"")"),8698.5)</f>
        <v>8698.5</v>
      </c>
      <c r="E8" s="11">
        <f ca="1">IFERROR(__xludf.DUMMYFUNCTION("GOOGLEFINANCE(A8,""LOW"")"),8491.5)</f>
        <v>8491.5</v>
      </c>
      <c r="F8" s="12" t="str">
        <f t="shared" ca="1" si="0"/>
        <v/>
      </c>
      <c r="G8" s="13">
        <f ca="1">IFERROR(__xludf.DUMMYFUNCTION("GOOGLEFINANCE(A8,""CLOSEYEST"")"),8626.5)</f>
        <v>8626.5</v>
      </c>
      <c r="H8" s="14" t="str">
        <f t="shared" ca="1" si="1"/>
        <v/>
      </c>
      <c r="I8" s="15">
        <f t="shared" ca="1" si="2"/>
        <v>8605.5</v>
      </c>
      <c r="J8" s="16">
        <f t="shared" ca="1" si="3"/>
        <v>8719.5</v>
      </c>
      <c r="K8" s="16"/>
      <c r="L8" s="16">
        <f t="shared" ca="1" si="4"/>
        <v>8512.5</v>
      </c>
      <c r="M8" s="16">
        <f t="shared" ca="1" si="5"/>
        <v>8812.5</v>
      </c>
      <c r="N8" s="16">
        <f t="shared" ca="1" si="6"/>
        <v>8398.5</v>
      </c>
    </row>
    <row r="9" spans="1:14" ht="24.75" customHeight="1" x14ac:dyDescent="0.8">
      <c r="A9" s="9" t="s">
        <v>143</v>
      </c>
      <c r="B9" s="10">
        <f ca="1">IFERROR(__xludf.DUMMYFUNCTION("GOOGLEFINANCE(A9,""PRICE"")"),990)</f>
        <v>990</v>
      </c>
      <c r="C9" s="11">
        <f ca="1">IFERROR(__xludf.DUMMYFUNCTION("GOOGLEFINANCE(A9,""PRICEOPEN"")"),975)</f>
        <v>975</v>
      </c>
      <c r="D9" s="11">
        <f ca="1">IFERROR(__xludf.DUMMYFUNCTION("GOOGLEFINANCE(A9,""HIGH"")"),992.2)</f>
        <v>992.2</v>
      </c>
      <c r="E9" s="11">
        <f ca="1">IFERROR(__xludf.DUMMYFUNCTION("GOOGLEFINANCE(A9,""LOW"")"),972)</f>
        <v>972</v>
      </c>
      <c r="F9" s="12" t="str">
        <f t="shared" ca="1" si="0"/>
        <v/>
      </c>
      <c r="G9" s="13">
        <f ca="1">IFERROR(__xludf.DUMMYFUNCTION("GOOGLEFINANCE(A9,""CLOSEYEST"")"),987.7)</f>
        <v>987.7</v>
      </c>
      <c r="H9" s="14" t="str">
        <f t="shared" ca="1" si="1"/>
        <v>GAP DOWN</v>
      </c>
      <c r="I9" s="15">
        <f t="shared" ca="1" si="2"/>
        <v>983.9666666666667</v>
      </c>
      <c r="J9" s="16">
        <f t="shared" ca="1" si="3"/>
        <v>995.93333333333339</v>
      </c>
      <c r="K9" s="16"/>
      <c r="L9" s="16">
        <f t="shared" ca="1" si="4"/>
        <v>975.73333333333335</v>
      </c>
      <c r="M9" s="16">
        <f t="shared" ca="1" si="5"/>
        <v>1004.1666666666667</v>
      </c>
      <c r="N9" s="16">
        <f t="shared" ca="1" si="6"/>
        <v>963.76666666666665</v>
      </c>
    </row>
    <row r="10" spans="1:14" ht="24.75" customHeight="1" x14ac:dyDescent="0.8">
      <c r="A10" s="9" t="s">
        <v>1558</v>
      </c>
      <c r="B10" s="10">
        <f ca="1">IFERROR(__xludf.DUMMYFUNCTION("GOOGLEFINANCE(A10,""PRICE"")"),1994.2)</f>
        <v>1994.2</v>
      </c>
      <c r="C10" s="11">
        <f ca="1">IFERROR(__xludf.DUMMYFUNCTION("GOOGLEFINANCE(A10,""PRICEOPEN"")"),2016.5)</f>
        <v>2016.5</v>
      </c>
      <c r="D10" s="11">
        <f ca="1">IFERROR(__xludf.DUMMYFUNCTION("GOOGLEFINANCE(A10,""HIGH"")"),2017)</f>
        <v>2017</v>
      </c>
      <c r="E10" s="11">
        <f ca="1">IFERROR(__xludf.DUMMYFUNCTION("GOOGLEFINANCE(A10,""LOW"")"),1968)</f>
        <v>1968</v>
      </c>
      <c r="F10" s="12" t="str">
        <f t="shared" ca="1" si="0"/>
        <v/>
      </c>
      <c r="G10" s="13">
        <f ca="1">IFERROR(__xludf.DUMMYFUNCTION("GOOGLEFINANCE(A10,""CLOSEYEST"")"),2007)</f>
        <v>2007</v>
      </c>
      <c r="H10" s="14" t="str">
        <f t="shared" ca="1" si="1"/>
        <v/>
      </c>
      <c r="I10" s="15">
        <f t="shared" ca="1" si="2"/>
        <v>1997.3333333333333</v>
      </c>
      <c r="J10" s="16">
        <f t="shared" ca="1" si="3"/>
        <v>2026.6666666666665</v>
      </c>
      <c r="K10" s="16"/>
      <c r="L10" s="16">
        <f t="shared" ca="1" si="4"/>
        <v>1977.6666666666665</v>
      </c>
      <c r="M10" s="16">
        <f t="shared" ca="1" si="5"/>
        <v>2046.3333333333333</v>
      </c>
      <c r="N10" s="16">
        <f t="shared" ca="1" si="6"/>
        <v>1948.3333333333333</v>
      </c>
    </row>
    <row r="11" spans="1:14" ht="24.75" customHeight="1" x14ac:dyDescent="0.8">
      <c r="A11" s="9" t="s">
        <v>1559</v>
      </c>
      <c r="B11" s="10">
        <f ca="1">IFERROR(__xludf.DUMMYFUNCTION("GOOGLEFINANCE(A11,""PRICE"")"),342)</f>
        <v>342</v>
      </c>
      <c r="C11" s="11">
        <f ca="1">IFERROR(__xludf.DUMMYFUNCTION("GOOGLEFINANCE(A11,""PRICEOPEN"")"),344)</f>
        <v>344</v>
      </c>
      <c r="D11" s="11">
        <f ca="1">IFERROR(__xludf.DUMMYFUNCTION("GOOGLEFINANCE(A11,""HIGH"")"),344.9)</f>
        <v>344.9</v>
      </c>
      <c r="E11" s="11">
        <f ca="1">IFERROR(__xludf.DUMMYFUNCTION("GOOGLEFINANCE(A11,""LOW"")"),337.6)</f>
        <v>337.6</v>
      </c>
      <c r="F11" s="12" t="str">
        <f t="shared" ca="1" si="0"/>
        <v/>
      </c>
      <c r="G11" s="13">
        <f ca="1">IFERROR(__xludf.DUMMYFUNCTION("GOOGLEFINANCE(A11,""CLOSEYEST"")"),339.7)</f>
        <v>339.7</v>
      </c>
      <c r="H11" s="14" t="str">
        <f t="shared" ca="1" si="1"/>
        <v>GAP UP</v>
      </c>
      <c r="I11" s="15">
        <f t="shared" ca="1" si="2"/>
        <v>340.73333333333335</v>
      </c>
      <c r="J11" s="16">
        <f t="shared" ca="1" si="3"/>
        <v>343.86666666666667</v>
      </c>
      <c r="K11" s="16"/>
      <c r="L11" s="16">
        <f t="shared" ca="1" si="4"/>
        <v>336.56666666666672</v>
      </c>
      <c r="M11" s="16">
        <f t="shared" ca="1" si="5"/>
        <v>348.0333333333333</v>
      </c>
      <c r="N11" s="16">
        <f t="shared" ca="1" si="6"/>
        <v>333.43333333333339</v>
      </c>
    </row>
    <row r="12" spans="1:14" ht="24.75" customHeight="1" x14ac:dyDescent="0.8">
      <c r="A12" s="9" t="s">
        <v>149</v>
      </c>
      <c r="B12" s="10">
        <f ca="1">IFERROR(__xludf.DUMMYFUNCTION("GOOGLEFINANCE(A12,""PRICE"")"),1896.9)</f>
        <v>1896.9</v>
      </c>
      <c r="C12" s="11">
        <f ca="1">IFERROR(__xludf.DUMMYFUNCTION("GOOGLEFINANCE(A12,""PRICEOPEN"")"),1851.2)</f>
        <v>1851.2</v>
      </c>
      <c r="D12" s="11">
        <f ca="1">IFERROR(__xludf.DUMMYFUNCTION("GOOGLEFINANCE(A12,""HIGH"")"),1900.3)</f>
        <v>1900.3</v>
      </c>
      <c r="E12" s="11">
        <f ca="1">IFERROR(__xludf.DUMMYFUNCTION("GOOGLEFINANCE(A12,""LOW"")"),1848.1)</f>
        <v>1848.1</v>
      </c>
      <c r="F12" s="12" t="str">
        <f t="shared" ca="1" si="0"/>
        <v/>
      </c>
      <c r="G12" s="13">
        <f ca="1">IFERROR(__xludf.DUMMYFUNCTION("GOOGLEFINANCE(A12,""CLOSEYEST"")"),1867.6)</f>
        <v>1867.6</v>
      </c>
      <c r="H12" s="14" t="str">
        <f t="shared" ca="1" si="1"/>
        <v/>
      </c>
      <c r="I12" s="15">
        <f t="shared" ca="1" si="2"/>
        <v>1872</v>
      </c>
      <c r="J12" s="16">
        <f t="shared" ca="1" si="3"/>
        <v>1895.9</v>
      </c>
      <c r="K12" s="16"/>
      <c r="L12" s="16">
        <f t="shared" ca="1" si="4"/>
        <v>1843.7</v>
      </c>
      <c r="M12" s="16">
        <f t="shared" ca="1" si="5"/>
        <v>1924.2</v>
      </c>
      <c r="N12" s="16">
        <f t="shared" ca="1" si="6"/>
        <v>1819.8</v>
      </c>
    </row>
    <row r="13" spans="1:14" ht="24.75" customHeight="1" x14ac:dyDescent="0.8">
      <c r="A13" s="9" t="s">
        <v>226</v>
      </c>
      <c r="B13" s="10">
        <f ca="1">IFERROR(__xludf.DUMMYFUNCTION("GOOGLEFINANCE(A13,""PRICE"")"),5985)</f>
        <v>5985</v>
      </c>
      <c r="C13" s="11">
        <f ca="1">IFERROR(__xludf.DUMMYFUNCTION("GOOGLEFINANCE(A13,""PRICEOPEN"")"),5965)</f>
        <v>5965</v>
      </c>
      <c r="D13" s="11">
        <f ca="1">IFERROR(__xludf.DUMMYFUNCTION("GOOGLEFINANCE(A13,""HIGH"")"),6014)</f>
        <v>6014</v>
      </c>
      <c r="E13" s="11">
        <f ca="1">IFERROR(__xludf.DUMMYFUNCTION("GOOGLEFINANCE(A13,""LOW"")"),5931.5)</f>
        <v>5931.5</v>
      </c>
      <c r="F13" s="12" t="str">
        <f t="shared" ca="1" si="0"/>
        <v/>
      </c>
      <c r="G13" s="13">
        <f ca="1">IFERROR(__xludf.DUMMYFUNCTION("GOOGLEFINANCE(A13,""CLOSEYEST"")"),5966.5)</f>
        <v>5966.5</v>
      </c>
      <c r="H13" s="14" t="str">
        <f t="shared" ca="1" si="1"/>
        <v/>
      </c>
      <c r="I13" s="15">
        <f t="shared" ca="1" si="2"/>
        <v>5970.666666666667</v>
      </c>
      <c r="J13" s="16">
        <f t="shared" ca="1" si="3"/>
        <v>6009.8333333333339</v>
      </c>
      <c r="K13" s="16"/>
      <c r="L13" s="16">
        <f t="shared" ca="1" si="4"/>
        <v>5927.3333333333339</v>
      </c>
      <c r="M13" s="16">
        <f t="shared" ca="1" si="5"/>
        <v>6053.166666666667</v>
      </c>
      <c r="N13" s="16">
        <f t="shared" ca="1" si="6"/>
        <v>5888.166666666667</v>
      </c>
    </row>
    <row r="14" spans="1:14" ht="24.75" customHeight="1" x14ac:dyDescent="0.8">
      <c r="A14" s="9" t="s">
        <v>155</v>
      </c>
      <c r="B14" s="10">
        <f ca="1">IFERROR(__xludf.DUMMYFUNCTION("GOOGLEFINANCE(A14,""PRICE"")"),1517.5)</f>
        <v>1517.5</v>
      </c>
      <c r="C14" s="11">
        <f ca="1">IFERROR(__xludf.DUMMYFUNCTION("GOOGLEFINANCE(A14,""PRICEOPEN"")"),1522)</f>
        <v>1522</v>
      </c>
      <c r="D14" s="11">
        <f ca="1">IFERROR(__xludf.DUMMYFUNCTION("GOOGLEFINANCE(A14,""HIGH"")"),1537.8)</f>
        <v>1537.8</v>
      </c>
      <c r="E14" s="11">
        <f ca="1">IFERROR(__xludf.DUMMYFUNCTION("GOOGLEFINANCE(A14,""LOW"")"),1509.5)</f>
        <v>1509.5</v>
      </c>
      <c r="F14" s="12" t="str">
        <f t="shared" ca="1" si="0"/>
        <v/>
      </c>
      <c r="G14" s="13">
        <f ca="1">IFERROR(__xludf.DUMMYFUNCTION("GOOGLEFINANCE(A14,""CLOSEYEST"")"),1513)</f>
        <v>1513</v>
      </c>
      <c r="H14" s="14" t="str">
        <f t="shared" ca="1" si="1"/>
        <v/>
      </c>
      <c r="I14" s="15">
        <f t="shared" ca="1" si="2"/>
        <v>1520.1000000000001</v>
      </c>
      <c r="J14" s="16">
        <f t="shared" ca="1" si="3"/>
        <v>1530.7000000000003</v>
      </c>
      <c r="K14" s="16"/>
      <c r="L14" s="16">
        <f t="shared" ca="1" si="4"/>
        <v>1502.4000000000003</v>
      </c>
      <c r="M14" s="16">
        <f t="shared" ca="1" si="5"/>
        <v>1548.4</v>
      </c>
      <c r="N14" s="16">
        <f t="shared" ca="1" si="6"/>
        <v>1491.8000000000002</v>
      </c>
    </row>
    <row r="15" spans="1:14" ht="24.75" customHeight="1" x14ac:dyDescent="0.8">
      <c r="A15" s="9" t="s">
        <v>662</v>
      </c>
      <c r="B15" s="10">
        <f ca="1">IFERROR(__xludf.DUMMYFUNCTION("GOOGLEFINANCE(A15,""PRICE"")"),383.9)</f>
        <v>383.9</v>
      </c>
      <c r="C15" s="11">
        <f ca="1">IFERROR(__xludf.DUMMYFUNCTION("GOOGLEFINANCE(A15,""PRICEOPEN"")"),388.5)</f>
        <v>388.5</v>
      </c>
      <c r="D15" s="11">
        <f ca="1">IFERROR(__xludf.DUMMYFUNCTION("GOOGLEFINANCE(A15,""HIGH"")"),389.1)</f>
        <v>389.1</v>
      </c>
      <c r="E15" s="11">
        <f ca="1">IFERROR(__xludf.DUMMYFUNCTION("GOOGLEFINANCE(A15,""LOW"")"),381.5)</f>
        <v>381.5</v>
      </c>
      <c r="F15" s="12" t="str">
        <f t="shared" ca="1" si="0"/>
        <v/>
      </c>
      <c r="G15" s="13">
        <f ca="1">IFERROR(__xludf.DUMMYFUNCTION("GOOGLEFINANCE(A15,""CLOSEYEST"")"),388.5)</f>
        <v>388.5</v>
      </c>
      <c r="H15" s="14" t="str">
        <f t="shared" ca="1" si="1"/>
        <v/>
      </c>
      <c r="I15" s="15">
        <f t="shared" ca="1" si="2"/>
        <v>386.36666666666662</v>
      </c>
      <c r="J15" s="16">
        <f t="shared" ca="1" si="3"/>
        <v>391.23333333333323</v>
      </c>
      <c r="K15" s="16"/>
      <c r="L15" s="16">
        <f t="shared" ca="1" si="4"/>
        <v>383.63333333333321</v>
      </c>
      <c r="M15" s="16">
        <f t="shared" ca="1" si="5"/>
        <v>393.96666666666664</v>
      </c>
      <c r="N15" s="16">
        <f t="shared" ca="1" si="6"/>
        <v>378.76666666666659</v>
      </c>
    </row>
    <row r="16" spans="1:14" ht="24.75" customHeight="1" x14ac:dyDescent="0.8">
      <c r="A16" s="9" t="s">
        <v>1560</v>
      </c>
      <c r="B16" s="10">
        <f ca="1">IFERROR(__xludf.DUMMYFUNCTION("GOOGLEFINANCE(A16,""PRICE"")"),5851.5)</f>
        <v>5851.5</v>
      </c>
      <c r="C16" s="11">
        <f ca="1">IFERROR(__xludf.DUMMYFUNCTION("GOOGLEFINANCE(A16,""PRICEOPEN"")"),5759.5)</f>
        <v>5759.5</v>
      </c>
      <c r="D16" s="11">
        <f ca="1">IFERROR(__xludf.DUMMYFUNCTION("GOOGLEFINANCE(A16,""HIGH"")"),5932)</f>
        <v>5932</v>
      </c>
      <c r="E16" s="11">
        <f ca="1">IFERROR(__xludf.DUMMYFUNCTION("GOOGLEFINANCE(A16,""LOW"")"),5746)</f>
        <v>5746</v>
      </c>
      <c r="F16" s="12" t="str">
        <f t="shared" ca="1" si="0"/>
        <v/>
      </c>
      <c r="G16" s="13">
        <f ca="1">IFERROR(__xludf.DUMMYFUNCTION("GOOGLEFINANCE(A16,""CLOSEYEST"")"),5710)</f>
        <v>5710</v>
      </c>
      <c r="H16" s="14" t="str">
        <f t="shared" ca="1" si="1"/>
        <v/>
      </c>
      <c r="I16" s="15">
        <f t="shared" ca="1" si="2"/>
        <v>5796</v>
      </c>
      <c r="J16" s="16">
        <f t="shared" ca="1" si="3"/>
        <v>5846</v>
      </c>
      <c r="K16" s="16"/>
      <c r="L16" s="16">
        <f t="shared" ca="1" si="4"/>
        <v>5660</v>
      </c>
      <c r="M16" s="16">
        <f t="shared" ca="1" si="5"/>
        <v>5982</v>
      </c>
      <c r="N16" s="16">
        <f t="shared" ca="1" si="6"/>
        <v>5610</v>
      </c>
    </row>
    <row r="17" spans="1:14" ht="24.75" customHeight="1" x14ac:dyDescent="0.8">
      <c r="A17" s="9" t="s">
        <v>15</v>
      </c>
      <c r="B17" s="10">
        <f ca="1">IFERROR(__xludf.DUMMYFUNCTION("GOOGLEFINANCE(A17,""PRICE"")"),1247.8)</f>
        <v>1247.8</v>
      </c>
      <c r="C17" s="11">
        <f ca="1">IFERROR(__xludf.DUMMYFUNCTION("GOOGLEFINANCE(A17,""PRICEOPEN"")"),1243.9)</f>
        <v>1243.9000000000001</v>
      </c>
      <c r="D17" s="11">
        <f ca="1">IFERROR(__xludf.DUMMYFUNCTION("GOOGLEFINANCE(A17,""HIGH"")"),1265.4)</f>
        <v>1265.4000000000001</v>
      </c>
      <c r="E17" s="11">
        <f ca="1">IFERROR(__xludf.DUMMYFUNCTION("GOOGLEFINANCE(A17,""LOW"")"),1240)</f>
        <v>1240</v>
      </c>
      <c r="F17" s="12" t="str">
        <f t="shared" ca="1" si="0"/>
        <v/>
      </c>
      <c r="G17" s="13">
        <f ca="1">IFERROR(__xludf.DUMMYFUNCTION("GOOGLEFINANCE(A17,""CLOSEYEST"")"),1244.7)</f>
        <v>1244.7</v>
      </c>
      <c r="H17" s="14" t="str">
        <f t="shared" ca="1" si="1"/>
        <v/>
      </c>
      <c r="I17" s="15">
        <f t="shared" ca="1" si="2"/>
        <v>1250.0333333333335</v>
      </c>
      <c r="J17" s="16">
        <f t="shared" ca="1" si="3"/>
        <v>1260.0666666666671</v>
      </c>
      <c r="K17" s="16"/>
      <c r="L17" s="16">
        <f t="shared" ca="1" si="4"/>
        <v>1234.666666666667</v>
      </c>
      <c r="M17" s="16">
        <f t="shared" ca="1" si="5"/>
        <v>1275.4333333333336</v>
      </c>
      <c r="N17" s="16">
        <f t="shared" ca="1" si="6"/>
        <v>1224.6333333333334</v>
      </c>
    </row>
    <row r="18" spans="1:14" ht="24.75" customHeight="1" x14ac:dyDescent="0.8">
      <c r="A18" s="9" t="s">
        <v>67</v>
      </c>
      <c r="B18" s="10">
        <f ca="1">IFERROR(__xludf.DUMMYFUNCTION("GOOGLEFINANCE(A18,""PRICE"")"),6935)</f>
        <v>6935</v>
      </c>
      <c r="C18" s="11">
        <f ca="1">IFERROR(__xludf.DUMMYFUNCTION("GOOGLEFINANCE(A18,""PRICEOPEN"")"),7000)</f>
        <v>7000</v>
      </c>
      <c r="D18" s="11">
        <f ca="1">IFERROR(__xludf.DUMMYFUNCTION("GOOGLEFINANCE(A18,""HIGH"")"),7008.5)</f>
        <v>7008.5</v>
      </c>
      <c r="E18" s="11">
        <f ca="1">IFERROR(__xludf.DUMMYFUNCTION("GOOGLEFINANCE(A18,""LOW"")"),6850)</f>
        <v>6850</v>
      </c>
      <c r="F18" s="12" t="str">
        <f t="shared" ca="1" si="0"/>
        <v/>
      </c>
      <c r="G18" s="13">
        <f ca="1">IFERROR(__xludf.DUMMYFUNCTION("GOOGLEFINANCE(A18,""CLOSEYEST"")"),7021.5)</f>
        <v>7021.5</v>
      </c>
      <c r="H18" s="14" t="str">
        <f t="shared" ca="1" si="1"/>
        <v/>
      </c>
      <c r="I18" s="15">
        <f t="shared" ca="1" si="2"/>
        <v>6960</v>
      </c>
      <c r="J18" s="16">
        <f t="shared" ca="1" si="3"/>
        <v>7070</v>
      </c>
      <c r="K18" s="16"/>
      <c r="L18" s="16">
        <f t="shared" ca="1" si="4"/>
        <v>6911.5</v>
      </c>
      <c r="M18" s="16">
        <f t="shared" ca="1" si="5"/>
        <v>7118.5</v>
      </c>
      <c r="N18" s="16">
        <f t="shared" ca="1" si="6"/>
        <v>6801.5</v>
      </c>
    </row>
    <row r="19" spans="1:14" ht="24.75" customHeight="1" x14ac:dyDescent="0.8">
      <c r="A19" s="9" t="s">
        <v>16</v>
      </c>
      <c r="B19" s="10">
        <f ca="1">IFERROR(__xludf.DUMMYFUNCTION("GOOGLEFINANCE(A19,""PRICE"")"),2799.3)</f>
        <v>2799.3</v>
      </c>
      <c r="C19" s="11">
        <f ca="1">IFERROR(__xludf.DUMMYFUNCTION("GOOGLEFINANCE(A19,""PRICEOPEN"")"),2800)</f>
        <v>2800</v>
      </c>
      <c r="D19" s="11">
        <f ca="1">IFERROR(__xludf.DUMMYFUNCTION("GOOGLEFINANCE(A19,""HIGH"")"),2806.8)</f>
        <v>2806.8</v>
      </c>
      <c r="E19" s="11">
        <f ca="1">IFERROR(__xludf.DUMMYFUNCTION("GOOGLEFINANCE(A19,""LOW"")"),2766)</f>
        <v>2766</v>
      </c>
      <c r="F19" s="12" t="str">
        <f t="shared" ca="1" si="0"/>
        <v/>
      </c>
      <c r="G19" s="13">
        <f ca="1">IFERROR(__xludf.DUMMYFUNCTION("GOOGLEFINANCE(A19,""CLOSEYEST"")"),2789.7)</f>
        <v>2789.7</v>
      </c>
      <c r="H19" s="14" t="str">
        <f t="shared" ca="1" si="1"/>
        <v/>
      </c>
      <c r="I19" s="15">
        <f t="shared" ca="1" si="2"/>
        <v>2787.5</v>
      </c>
      <c r="J19" s="16">
        <f t="shared" ca="1" si="3"/>
        <v>2809</v>
      </c>
      <c r="K19" s="16"/>
      <c r="L19" s="16">
        <f t="shared" ca="1" si="4"/>
        <v>2768.2</v>
      </c>
      <c r="M19" s="16">
        <f t="shared" ca="1" si="5"/>
        <v>2828.3</v>
      </c>
      <c r="N19" s="16">
        <f t="shared" ca="1" si="6"/>
        <v>2746.7</v>
      </c>
    </row>
    <row r="20" spans="1:14" ht="24.75" customHeight="1" x14ac:dyDescent="0.8">
      <c r="A20" s="9" t="s">
        <v>128</v>
      </c>
      <c r="B20" s="10">
        <f ca="1">IFERROR(__xludf.DUMMYFUNCTION("GOOGLEFINANCE(A20,""PRICE"")"),1392.8)</f>
        <v>1392.8</v>
      </c>
      <c r="C20" s="11">
        <f ca="1">IFERROR(__xludf.DUMMYFUNCTION("GOOGLEFINANCE(A20,""PRICEOPEN"")"),1396.5)</f>
        <v>1396.5</v>
      </c>
      <c r="D20" s="11">
        <f ca="1">IFERROR(__xludf.DUMMYFUNCTION("GOOGLEFINANCE(A20,""HIGH"")"),1399.8)</f>
        <v>1399.8</v>
      </c>
      <c r="E20" s="11">
        <f ca="1">IFERROR(__xludf.DUMMYFUNCTION("GOOGLEFINANCE(A20,""LOW"")"),1380.4)</f>
        <v>1380.4</v>
      </c>
      <c r="F20" s="12" t="str">
        <f t="shared" ca="1" si="0"/>
        <v/>
      </c>
      <c r="G20" s="13">
        <f ca="1">IFERROR(__xludf.DUMMYFUNCTION("GOOGLEFINANCE(A20,""CLOSEYEST"")"),1389.5)</f>
        <v>1389.5</v>
      </c>
      <c r="H20" s="14" t="str">
        <f t="shared" ca="1" si="1"/>
        <v/>
      </c>
      <c r="I20" s="15">
        <f t="shared" ca="1" si="2"/>
        <v>1389.8999999999999</v>
      </c>
      <c r="J20" s="16">
        <f t="shared" ca="1" si="3"/>
        <v>1399.3999999999996</v>
      </c>
      <c r="K20" s="16"/>
      <c r="L20" s="16">
        <f t="shared" ca="1" si="4"/>
        <v>1379.9999999999998</v>
      </c>
      <c r="M20" s="16">
        <f t="shared" ca="1" si="5"/>
        <v>1409.2999999999997</v>
      </c>
      <c r="N20" s="16">
        <f t="shared" ca="1" si="6"/>
        <v>1370.5</v>
      </c>
    </row>
    <row r="21" spans="1:14" ht="24.75" customHeight="1" x14ac:dyDescent="0.8">
      <c r="A21" s="9" t="s">
        <v>70</v>
      </c>
      <c r="B21" s="10">
        <f ca="1">IFERROR(__xludf.DUMMYFUNCTION("GOOGLEFINANCE(A21,""PRICE"")"),963.7)</f>
        <v>963.7</v>
      </c>
      <c r="C21" s="11">
        <f ca="1">IFERROR(__xludf.DUMMYFUNCTION("GOOGLEFINANCE(A21,""PRICEOPEN"")"),952)</f>
        <v>952</v>
      </c>
      <c r="D21" s="11">
        <f ca="1">IFERROR(__xludf.DUMMYFUNCTION("GOOGLEFINANCE(A21,""HIGH"")"),966.75)</f>
        <v>966.75</v>
      </c>
      <c r="E21" s="11">
        <f ca="1">IFERROR(__xludf.DUMMYFUNCTION("GOOGLEFINANCE(A21,""LOW"")"),952)</f>
        <v>952</v>
      </c>
      <c r="F21" s="12" t="str">
        <f t="shared" ca="1" si="0"/>
        <v>BUY</v>
      </c>
      <c r="G21" s="13">
        <f ca="1">IFERROR(__xludf.DUMMYFUNCTION("GOOGLEFINANCE(A21,""CLOSEYEST"")"),965.25)</f>
        <v>965.25</v>
      </c>
      <c r="H21" s="14" t="str">
        <f t="shared" ca="1" si="1"/>
        <v>GAP DOWN</v>
      </c>
      <c r="I21" s="15">
        <f t="shared" ca="1" si="2"/>
        <v>961.33333333333337</v>
      </c>
      <c r="J21" s="16">
        <f t="shared" ca="1" si="3"/>
        <v>970.66666666666674</v>
      </c>
      <c r="K21" s="16"/>
      <c r="L21" s="16">
        <f t="shared" ca="1" si="4"/>
        <v>955.91666666666674</v>
      </c>
      <c r="M21" s="16">
        <f t="shared" ca="1" si="5"/>
        <v>976.08333333333337</v>
      </c>
      <c r="N21" s="16">
        <f t="shared" ca="1" si="6"/>
        <v>946.58333333333337</v>
      </c>
    </row>
    <row r="22" spans="1:14" ht="24.75" customHeight="1" x14ac:dyDescent="0.8">
      <c r="A22" s="9" t="s">
        <v>176</v>
      </c>
      <c r="B22" s="10">
        <f ca="1">IFERROR(__xludf.DUMMYFUNCTION("GOOGLEFINANCE(A22,""PRICE"")"),760)</f>
        <v>760</v>
      </c>
      <c r="C22" s="11">
        <f ca="1">IFERROR(__xludf.DUMMYFUNCTION("GOOGLEFINANCE(A22,""PRICEOPEN"")"),756.65)</f>
        <v>756.65</v>
      </c>
      <c r="D22" s="11">
        <f ca="1">IFERROR(__xludf.DUMMYFUNCTION("GOOGLEFINANCE(A22,""HIGH"")"),767.15)</f>
        <v>767.15</v>
      </c>
      <c r="E22" s="11">
        <f ca="1">IFERROR(__xludf.DUMMYFUNCTION("GOOGLEFINANCE(A22,""LOW"")"),754.95)</f>
        <v>754.95</v>
      </c>
      <c r="F22" s="12" t="str">
        <f t="shared" ca="1" si="0"/>
        <v/>
      </c>
      <c r="G22" s="13">
        <f ca="1">IFERROR(__xludf.DUMMYFUNCTION("GOOGLEFINANCE(A22,""CLOSEYEST"")"),764)</f>
        <v>764</v>
      </c>
      <c r="H22" s="14" t="str">
        <f t="shared" ca="1" si="1"/>
        <v/>
      </c>
      <c r="I22" s="15">
        <f t="shared" ca="1" si="2"/>
        <v>762.0333333333333</v>
      </c>
      <c r="J22" s="16">
        <f t="shared" ca="1" si="3"/>
        <v>769.11666666666656</v>
      </c>
      <c r="K22" s="16"/>
      <c r="L22" s="16">
        <f t="shared" ca="1" si="4"/>
        <v>756.91666666666663</v>
      </c>
      <c r="M22" s="16">
        <f t="shared" ca="1" si="5"/>
        <v>774.23333333333323</v>
      </c>
      <c r="N22" s="16">
        <f t="shared" ca="1" si="6"/>
        <v>749.83333333333337</v>
      </c>
    </row>
    <row r="23" spans="1:14" ht="24.75" customHeight="1" x14ac:dyDescent="0.8">
      <c r="A23" s="9" t="s">
        <v>189</v>
      </c>
      <c r="B23" s="10"/>
      <c r="C23" s="11"/>
      <c r="D23" s="11"/>
      <c r="E23" s="11"/>
      <c r="F23" s="12"/>
      <c r="G23" s="13"/>
      <c r="H23" s="14"/>
      <c r="I23" s="15"/>
      <c r="J23" s="16"/>
      <c r="K23" s="16"/>
      <c r="L23" s="16"/>
      <c r="M23" s="17"/>
      <c r="N23" s="17"/>
    </row>
    <row r="24" spans="1:14" ht="24.75" customHeight="1" x14ac:dyDescent="0.8">
      <c r="A24" s="9" t="s">
        <v>1561</v>
      </c>
      <c r="B24" s="10">
        <f ca="1">IFERROR(__xludf.DUMMYFUNCTION("GOOGLEFINANCE(A24,""PRICE"")"),5545.5)</f>
        <v>5545.5</v>
      </c>
      <c r="C24" s="11">
        <f ca="1">IFERROR(__xludf.DUMMYFUNCTION("GOOGLEFINANCE(A24,""PRICEOPEN"")"),5465)</f>
        <v>5465</v>
      </c>
      <c r="D24" s="11">
        <f ca="1">IFERROR(__xludf.DUMMYFUNCTION("GOOGLEFINANCE(A24,""HIGH"")"),5584)</f>
        <v>5584</v>
      </c>
      <c r="E24" s="11">
        <f ca="1">IFERROR(__xludf.DUMMYFUNCTION("GOOGLEFINANCE(A24,""LOW"")"),5370.5)</f>
        <v>5370.5</v>
      </c>
      <c r="F24" s="12" t="str">
        <f t="shared" ref="F24:F1592" ca="1" si="7">IF(C24=D24,"SELL",IF(C24=E24,"BUY", ""))</f>
        <v/>
      </c>
      <c r="G24" s="13">
        <f ca="1">IFERROR(__xludf.DUMMYFUNCTION("GOOGLEFINANCE(A24,""CLOSEYEST"")"),5432.5)</f>
        <v>5432.5</v>
      </c>
      <c r="H24" s="14" t="str">
        <f ca="1">IF(C24&gt;=(G24+(G24*1%)),"GAP UP",IF(C24&lt;=(G24-(G24*1%)),"GAP DOWN",""))</f>
        <v/>
      </c>
      <c r="I24" s="15">
        <f t="shared" ref="I24:I1592" ca="1" si="8">(D24+E24+G24)/3</f>
        <v>5462.333333333333</v>
      </c>
      <c r="J24" s="16">
        <f t="shared" ref="J24:J1592" ca="1" si="9">(I24*2)-E24</f>
        <v>5554.1666666666661</v>
      </c>
      <c r="K24" s="16"/>
      <c r="L24" s="16">
        <f t="shared" ref="L24:L1592" ca="1" si="10">(I24*2)-D24</f>
        <v>5340.6666666666661</v>
      </c>
      <c r="M24" s="16">
        <f t="shared" ref="M24:M1592" ca="1" si="11">I24+(J24-L24)</f>
        <v>5675.833333333333</v>
      </c>
      <c r="N24" s="16">
        <f t="shared" ref="N24:N1592" ca="1" si="12">I24-(J24-L24)</f>
        <v>5248.833333333333</v>
      </c>
    </row>
    <row r="25" spans="1:14" ht="24.75" customHeight="1" x14ac:dyDescent="0.8">
      <c r="A25" s="9" t="s">
        <v>1562</v>
      </c>
      <c r="B25" s="10">
        <f ca="1">IFERROR(__xludf.DUMMYFUNCTION("GOOGLEFINANCE(A25,""PRICE"")"),780)</f>
        <v>780</v>
      </c>
      <c r="C25" s="11">
        <f ca="1">IFERROR(__xludf.DUMMYFUNCTION("GOOGLEFINANCE(A25,""PRICEOPEN"")"),766)</f>
        <v>766</v>
      </c>
      <c r="D25" s="11">
        <f ca="1">IFERROR(__xludf.DUMMYFUNCTION("GOOGLEFINANCE(A25,""HIGH"")"),790.6)</f>
        <v>790.6</v>
      </c>
      <c r="E25" s="11">
        <f ca="1">IFERROR(__xludf.DUMMYFUNCTION("GOOGLEFINANCE(A25,""LOW"")"),764.1)</f>
        <v>764.1</v>
      </c>
      <c r="F25" s="12" t="str">
        <f t="shared" ca="1" si="7"/>
        <v/>
      </c>
      <c r="G25" s="13">
        <f ca="1">IFERROR(__xludf.DUMMYFUNCTION("GOOGLEFINANCE(A25,""CLOSEYEST"")"),765.95)</f>
        <v>765.95</v>
      </c>
      <c r="H25" s="14" t="s">
        <v>37</v>
      </c>
      <c r="I25" s="15">
        <f t="shared" ca="1" si="8"/>
        <v>773.55000000000007</v>
      </c>
      <c r="J25" s="16">
        <f t="shared" ca="1" si="9"/>
        <v>783.00000000000011</v>
      </c>
      <c r="K25" s="16"/>
      <c r="L25" s="16">
        <f t="shared" ca="1" si="10"/>
        <v>756.50000000000011</v>
      </c>
      <c r="M25" s="16">
        <f t="shared" ca="1" si="11"/>
        <v>800.05000000000007</v>
      </c>
      <c r="N25" s="16">
        <f t="shared" ca="1" si="12"/>
        <v>747.05000000000007</v>
      </c>
    </row>
    <row r="26" spans="1:14" ht="24.75" customHeight="1" x14ac:dyDescent="0.8">
      <c r="A26" s="9" t="s">
        <v>1563</v>
      </c>
      <c r="B26" s="10">
        <f ca="1">IFERROR(__xludf.DUMMYFUNCTION("GOOGLEFINANCE(A26,""PRICE"")"),2539)</f>
        <v>2539</v>
      </c>
      <c r="C26" s="11">
        <f ca="1">IFERROR(__xludf.DUMMYFUNCTION("GOOGLEFINANCE(A26,""PRICEOPEN"")"),2536.2)</f>
        <v>2536.1999999999998</v>
      </c>
      <c r="D26" s="11">
        <f ca="1">IFERROR(__xludf.DUMMYFUNCTION("GOOGLEFINANCE(A26,""HIGH"")"),2548.6)</f>
        <v>2548.6</v>
      </c>
      <c r="E26" s="11">
        <f ca="1">IFERROR(__xludf.DUMMYFUNCTION("GOOGLEFINANCE(A26,""LOW"")"),2508.3)</f>
        <v>2508.3000000000002</v>
      </c>
      <c r="F26" s="12" t="str">
        <f t="shared" ca="1" si="7"/>
        <v/>
      </c>
      <c r="G26" s="13">
        <f ca="1">IFERROR(__xludf.DUMMYFUNCTION("GOOGLEFINANCE(A26,""CLOSEYEST"")"),2536.2)</f>
        <v>2536.1999999999998</v>
      </c>
      <c r="H26" s="14" t="str">
        <f t="shared" ref="H26:H1592" ca="1" si="13">IF(C26&gt;=(G26+(G26*1%)),"GAP UP",IF(C26&lt;=(G26-(G26*1%)),"GAP DOWN",""))</f>
        <v/>
      </c>
      <c r="I26" s="15">
        <f t="shared" ca="1" si="8"/>
        <v>2531.0333333333333</v>
      </c>
      <c r="J26" s="16">
        <f t="shared" ca="1" si="9"/>
        <v>2553.7666666666664</v>
      </c>
      <c r="K26" s="16"/>
      <c r="L26" s="16">
        <f t="shared" ca="1" si="10"/>
        <v>2513.4666666666667</v>
      </c>
      <c r="M26" s="16">
        <f t="shared" ca="1" si="11"/>
        <v>2571.333333333333</v>
      </c>
      <c r="N26" s="16">
        <f t="shared" ca="1" si="12"/>
        <v>2490.7333333333336</v>
      </c>
    </row>
    <row r="27" spans="1:14" ht="24.75" customHeight="1" x14ac:dyDescent="0.8">
      <c r="A27" s="9" t="s">
        <v>1564</v>
      </c>
      <c r="B27" s="10" t="str">
        <f ca="1">IFERROR(__xludf.DUMMYFUNCTION("GOOGLEFINANCE(A27,""PRICE"")"),"#N/A")</f>
        <v>#N/A</v>
      </c>
      <c r="C27" s="11" t="str">
        <f ca="1">IFERROR(__xludf.DUMMYFUNCTION("GOOGLEFINANCE(A27,""PRICEOPEN"")"),"#N/A")</f>
        <v>#N/A</v>
      </c>
      <c r="D27" s="11" t="str">
        <f ca="1">IFERROR(__xludf.DUMMYFUNCTION("GOOGLEFINANCE(A27,""HIGH"")"),"#N/A")</f>
        <v>#N/A</v>
      </c>
      <c r="E27" s="11" t="str">
        <f ca="1">IFERROR(__xludf.DUMMYFUNCTION("GOOGLEFINANCE(A27,""LOW"")"),"#N/A")</f>
        <v>#N/A</v>
      </c>
      <c r="F27" s="12" t="str">
        <f t="shared" ca="1" si="7"/>
        <v>SELL</v>
      </c>
      <c r="G27" s="13" t="str">
        <f ca="1">IFERROR(__xludf.DUMMYFUNCTION("GOOGLEFINANCE(A27,""CLOSEYEST"")"),"#N/A")</f>
        <v>#N/A</v>
      </c>
      <c r="H27" s="14" t="e">
        <f t="shared" ca="1" si="13"/>
        <v>#VALUE!</v>
      </c>
      <c r="I27" s="15" t="e">
        <f t="shared" ca="1" si="8"/>
        <v>#VALUE!</v>
      </c>
      <c r="J27" s="16" t="e">
        <f t="shared" ca="1" si="9"/>
        <v>#VALUE!</v>
      </c>
      <c r="K27" s="16"/>
      <c r="L27" s="16" t="e">
        <f t="shared" ca="1" si="10"/>
        <v>#VALUE!</v>
      </c>
      <c r="M27" s="17" t="e">
        <f t="shared" ca="1" si="11"/>
        <v>#VALUE!</v>
      </c>
      <c r="N27" s="17" t="e">
        <f t="shared" ca="1" si="12"/>
        <v>#VALUE!</v>
      </c>
    </row>
    <row r="28" spans="1:14" ht="24.75" customHeight="1" x14ac:dyDescent="0.8">
      <c r="A28" s="9" t="s">
        <v>262</v>
      </c>
      <c r="B28" s="10">
        <f ca="1">IFERROR(__xludf.DUMMYFUNCTION("GOOGLEFINANCE(A28,""PRICE"")"),1365)</f>
        <v>1365</v>
      </c>
      <c r="C28" s="11">
        <f ca="1">IFERROR(__xludf.DUMMYFUNCTION("GOOGLEFINANCE(A28,""PRICEOPEN"")"),1371.9)</f>
        <v>1371.9</v>
      </c>
      <c r="D28" s="11">
        <f ca="1">IFERROR(__xludf.DUMMYFUNCTION("GOOGLEFINANCE(A28,""HIGH"")"),1371.9)</f>
        <v>1371.9</v>
      </c>
      <c r="E28" s="11">
        <f ca="1">IFERROR(__xludf.DUMMYFUNCTION("GOOGLEFINANCE(A28,""LOW"")"),1361.3)</f>
        <v>1361.3</v>
      </c>
      <c r="F28" s="12" t="str">
        <f t="shared" ca="1" si="7"/>
        <v>SELL</v>
      </c>
      <c r="G28" s="13">
        <f ca="1">IFERROR(__xludf.DUMMYFUNCTION("GOOGLEFINANCE(A28,""CLOSEYEST"")"),1372)</f>
        <v>1372</v>
      </c>
      <c r="H28" s="14" t="str">
        <f t="shared" ca="1" si="13"/>
        <v/>
      </c>
      <c r="I28" s="15">
        <f t="shared" ca="1" si="8"/>
        <v>1368.3999999999999</v>
      </c>
      <c r="J28" s="16">
        <f t="shared" ca="1" si="9"/>
        <v>1375.4999999999998</v>
      </c>
      <c r="K28" s="16"/>
      <c r="L28" s="16">
        <f t="shared" ca="1" si="10"/>
        <v>1364.8999999999996</v>
      </c>
      <c r="M28" s="16">
        <f t="shared" ca="1" si="11"/>
        <v>1379</v>
      </c>
      <c r="N28" s="16">
        <f t="shared" ca="1" si="12"/>
        <v>1357.7999999999997</v>
      </c>
    </row>
    <row r="29" spans="1:14" ht="24.75" customHeight="1" x14ac:dyDescent="0.8">
      <c r="A29" s="9" t="s">
        <v>250</v>
      </c>
      <c r="B29" s="10" t="str">
        <f ca="1">IFERROR(__xludf.DUMMYFUNCTION("GOOGLEFINANCE(A29,""PRICE"")"),"#N/A")</f>
        <v>#N/A</v>
      </c>
      <c r="C29" s="11" t="str">
        <f ca="1">IFERROR(__xludf.DUMMYFUNCTION("GOOGLEFINANCE(A29,""PRICEOPEN"")"),"#N/A")</f>
        <v>#N/A</v>
      </c>
      <c r="D29" s="11" t="str">
        <f ca="1">IFERROR(__xludf.DUMMYFUNCTION("GOOGLEFINANCE(A29,""HIGH"")"),"#N/A")</f>
        <v>#N/A</v>
      </c>
      <c r="E29" s="11" t="str">
        <f ca="1">IFERROR(__xludf.DUMMYFUNCTION("GOOGLEFINANCE(A29,""LOW"")"),"#N/A")</f>
        <v>#N/A</v>
      </c>
      <c r="F29" s="12" t="str">
        <f t="shared" ca="1" si="7"/>
        <v>SELL</v>
      </c>
      <c r="G29" s="13" t="str">
        <f ca="1">IFERROR(__xludf.DUMMYFUNCTION("GOOGLEFINANCE(A29,""CLOSEYEST"")"),"#N/A")</f>
        <v>#N/A</v>
      </c>
      <c r="H29" s="14" t="e">
        <f t="shared" ca="1" si="13"/>
        <v>#VALUE!</v>
      </c>
      <c r="I29" s="15" t="e">
        <f t="shared" ca="1" si="8"/>
        <v>#VALUE!</v>
      </c>
      <c r="J29" s="16" t="e">
        <f t="shared" ca="1" si="9"/>
        <v>#VALUE!</v>
      </c>
      <c r="K29" s="16"/>
      <c r="L29" s="16" t="e">
        <f t="shared" ca="1" si="10"/>
        <v>#VALUE!</v>
      </c>
      <c r="M29" s="17" t="e">
        <f t="shared" ca="1" si="11"/>
        <v>#VALUE!</v>
      </c>
      <c r="N29" s="17" t="e">
        <f t="shared" ca="1" si="12"/>
        <v>#VALUE!</v>
      </c>
    </row>
    <row r="30" spans="1:14" ht="24.75" customHeight="1" x14ac:dyDescent="0.8">
      <c r="A30" s="9" t="s">
        <v>1565</v>
      </c>
      <c r="B30" s="10">
        <f ca="1">IFERROR(__xludf.DUMMYFUNCTION("GOOGLEFINANCE(A30,""PRICE"")"),748)</f>
        <v>748</v>
      </c>
      <c r="C30" s="11">
        <f ca="1">IFERROR(__xludf.DUMMYFUNCTION("GOOGLEFINANCE(A30,""PRICEOPEN"")"),743.2)</f>
        <v>743.2</v>
      </c>
      <c r="D30" s="11">
        <f ca="1">IFERROR(__xludf.DUMMYFUNCTION("GOOGLEFINANCE(A30,""HIGH"")"),758.95)</f>
        <v>758.95</v>
      </c>
      <c r="E30" s="11">
        <f ca="1">IFERROR(__xludf.DUMMYFUNCTION("GOOGLEFINANCE(A30,""LOW"")"),741.75)</f>
        <v>741.75</v>
      </c>
      <c r="F30" s="12" t="str">
        <f t="shared" ca="1" si="7"/>
        <v/>
      </c>
      <c r="G30" s="13">
        <f ca="1">IFERROR(__xludf.DUMMYFUNCTION("GOOGLEFINANCE(A30,""CLOSEYEST"")"),743.15)</f>
        <v>743.15</v>
      </c>
      <c r="H30" s="14" t="str">
        <f t="shared" ca="1" si="13"/>
        <v/>
      </c>
      <c r="I30" s="15">
        <f t="shared" ca="1" si="8"/>
        <v>747.94999999999993</v>
      </c>
      <c r="J30" s="16">
        <f t="shared" ca="1" si="9"/>
        <v>754.14999999999986</v>
      </c>
      <c r="K30" s="16"/>
      <c r="L30" s="16">
        <f t="shared" ca="1" si="10"/>
        <v>736.94999999999982</v>
      </c>
      <c r="M30" s="16">
        <f t="shared" ca="1" si="11"/>
        <v>765.15</v>
      </c>
      <c r="N30" s="16">
        <f t="shared" ca="1" si="12"/>
        <v>730.74999999999989</v>
      </c>
    </row>
    <row r="31" spans="1:14" ht="24.75" customHeight="1" x14ac:dyDescent="0.8">
      <c r="A31" s="9" t="s">
        <v>276</v>
      </c>
      <c r="B31" s="10">
        <f ca="1">IFERROR(__xludf.DUMMYFUNCTION("GOOGLEFINANCE(A31,""PRICE"")"),16.23)</f>
        <v>16.23</v>
      </c>
      <c r="C31" s="11">
        <f ca="1">IFERROR(__xludf.DUMMYFUNCTION("GOOGLEFINANCE(A31,""PRICEOPEN"")"),16.24)</f>
        <v>16.239999999999998</v>
      </c>
      <c r="D31" s="11">
        <f ca="1">IFERROR(__xludf.DUMMYFUNCTION("GOOGLEFINANCE(A31,""HIGH"")"),16.25)</f>
        <v>16.25</v>
      </c>
      <c r="E31" s="11">
        <f ca="1">IFERROR(__xludf.DUMMYFUNCTION("GOOGLEFINANCE(A31,""LOW"")"),16.07)</f>
        <v>16.07</v>
      </c>
      <c r="F31" s="12" t="str">
        <f t="shared" ca="1" si="7"/>
        <v/>
      </c>
      <c r="G31" s="13">
        <f ca="1">IFERROR(__xludf.DUMMYFUNCTION("GOOGLEFINANCE(A31,""CLOSEYEST"")"),16.15)</f>
        <v>16.149999999999999</v>
      </c>
      <c r="H31" s="14" t="str">
        <f t="shared" ca="1" si="13"/>
        <v/>
      </c>
      <c r="I31" s="15">
        <f t="shared" ca="1" si="8"/>
        <v>16.156666666666666</v>
      </c>
      <c r="J31" s="16">
        <f t="shared" ca="1" si="9"/>
        <v>16.243333333333332</v>
      </c>
      <c r="K31" s="16"/>
      <c r="L31" s="16">
        <f t="shared" ca="1" si="10"/>
        <v>16.063333333333333</v>
      </c>
      <c r="M31" s="16">
        <f t="shared" ca="1" si="11"/>
        <v>16.336666666666666</v>
      </c>
      <c r="N31" s="16">
        <f t="shared" ca="1" si="12"/>
        <v>15.976666666666667</v>
      </c>
    </row>
    <row r="32" spans="1:14" ht="24.75" customHeight="1" x14ac:dyDescent="0.8">
      <c r="A32" s="9" t="s">
        <v>1566</v>
      </c>
      <c r="B32" s="10">
        <f ca="1">IFERROR(__xludf.DUMMYFUNCTION("GOOGLEFINANCE(A32,""PRICE"")"),1160.8)</f>
        <v>1160.8</v>
      </c>
      <c r="C32" s="11">
        <f ca="1">IFERROR(__xludf.DUMMYFUNCTION("GOOGLEFINANCE(A32,""PRICEOPEN"")"),1146.1)</f>
        <v>1146.0999999999999</v>
      </c>
      <c r="D32" s="11">
        <f ca="1">IFERROR(__xludf.DUMMYFUNCTION("GOOGLEFINANCE(A32,""HIGH"")"),1175.8)</f>
        <v>1175.8</v>
      </c>
      <c r="E32" s="11">
        <f ca="1">IFERROR(__xludf.DUMMYFUNCTION("GOOGLEFINANCE(A32,""LOW"")"),1145.9)</f>
        <v>1145.9000000000001</v>
      </c>
      <c r="F32" s="12" t="str">
        <f t="shared" ca="1" si="7"/>
        <v/>
      </c>
      <c r="G32" s="13">
        <f ca="1">IFERROR(__xludf.DUMMYFUNCTION("GOOGLEFINANCE(A32,""CLOSEYEST"")"),1146.1)</f>
        <v>1146.0999999999999</v>
      </c>
      <c r="H32" s="14" t="str">
        <f t="shared" ca="1" si="13"/>
        <v/>
      </c>
      <c r="I32" s="15">
        <f t="shared" ca="1" si="8"/>
        <v>1155.9333333333332</v>
      </c>
      <c r="J32" s="16">
        <f t="shared" ca="1" si="9"/>
        <v>1165.9666666666662</v>
      </c>
      <c r="K32" s="16"/>
      <c r="L32" s="16">
        <f t="shared" ca="1" si="10"/>
        <v>1136.0666666666664</v>
      </c>
      <c r="M32" s="16">
        <f t="shared" ca="1" si="11"/>
        <v>1185.833333333333</v>
      </c>
      <c r="N32" s="16">
        <f t="shared" ca="1" si="12"/>
        <v>1126.0333333333333</v>
      </c>
    </row>
    <row r="33" spans="1:14" ht="24.75" customHeight="1" x14ac:dyDescent="0.8">
      <c r="A33" s="9" t="s">
        <v>130</v>
      </c>
      <c r="B33" s="10">
        <f ca="1">IFERROR(__xludf.DUMMYFUNCTION("GOOGLEFINANCE(A33,""PRICE"")"),2108)</f>
        <v>2108</v>
      </c>
      <c r="C33" s="11">
        <f ca="1">IFERROR(__xludf.DUMMYFUNCTION("GOOGLEFINANCE(A33,""PRICEOPEN"")"),2063.3)</f>
        <v>2063.3000000000002</v>
      </c>
      <c r="D33" s="11">
        <f ca="1">IFERROR(__xludf.DUMMYFUNCTION("GOOGLEFINANCE(A33,""HIGH"")"),2108)</f>
        <v>2108</v>
      </c>
      <c r="E33" s="11">
        <f ca="1">IFERROR(__xludf.DUMMYFUNCTION("GOOGLEFINANCE(A33,""LOW"")"),2062)</f>
        <v>2062</v>
      </c>
      <c r="F33" s="12" t="str">
        <f t="shared" ca="1" si="7"/>
        <v/>
      </c>
      <c r="G33" s="13">
        <f ca="1">IFERROR(__xludf.DUMMYFUNCTION("GOOGLEFINANCE(A33,""CLOSEYEST"")"),2063.3)</f>
        <v>2063.3000000000002</v>
      </c>
      <c r="H33" s="14" t="str">
        <f t="shared" ca="1" si="13"/>
        <v/>
      </c>
      <c r="I33" s="15">
        <f t="shared" ca="1" si="8"/>
        <v>2077.7666666666669</v>
      </c>
      <c r="J33" s="16">
        <f t="shared" ca="1" si="9"/>
        <v>2093.5333333333338</v>
      </c>
      <c r="K33" s="16"/>
      <c r="L33" s="16">
        <f t="shared" ca="1" si="10"/>
        <v>2047.5333333333338</v>
      </c>
      <c r="M33" s="16">
        <f t="shared" ca="1" si="11"/>
        <v>2123.7666666666669</v>
      </c>
      <c r="N33" s="16">
        <f t="shared" ca="1" si="12"/>
        <v>2031.7666666666669</v>
      </c>
    </row>
    <row r="34" spans="1:14" ht="24.75" customHeight="1" x14ac:dyDescent="0.8">
      <c r="A34" s="9" t="s">
        <v>257</v>
      </c>
      <c r="B34" s="10">
        <f ca="1">IFERROR(__xludf.DUMMYFUNCTION("GOOGLEFINANCE(A34,""PRICE"")"),3742.9)</f>
        <v>3742.9</v>
      </c>
      <c r="C34" s="11">
        <f ca="1">IFERROR(__xludf.DUMMYFUNCTION("GOOGLEFINANCE(A34,""PRICEOPEN"")"),3690)</f>
        <v>3690</v>
      </c>
      <c r="D34" s="11">
        <f ca="1">IFERROR(__xludf.DUMMYFUNCTION("GOOGLEFINANCE(A34,""HIGH"")"),3746)</f>
        <v>3746</v>
      </c>
      <c r="E34" s="11">
        <f ca="1">IFERROR(__xludf.DUMMYFUNCTION("GOOGLEFINANCE(A34,""LOW"")"),3666.3)</f>
        <v>3666.3</v>
      </c>
      <c r="F34" s="12" t="str">
        <f t="shared" ca="1" si="7"/>
        <v/>
      </c>
      <c r="G34" s="13">
        <f ca="1">IFERROR(__xludf.DUMMYFUNCTION("GOOGLEFINANCE(A34,""CLOSEYEST"")"),3670.3)</f>
        <v>3670.3</v>
      </c>
      <c r="H34" s="14" t="str">
        <f t="shared" ca="1" si="13"/>
        <v/>
      </c>
      <c r="I34" s="15">
        <f t="shared" ca="1" si="8"/>
        <v>3694.2000000000003</v>
      </c>
      <c r="J34" s="16">
        <f t="shared" ca="1" si="9"/>
        <v>3722.1000000000004</v>
      </c>
      <c r="K34" s="16"/>
      <c r="L34" s="16">
        <f t="shared" ca="1" si="10"/>
        <v>3642.4000000000005</v>
      </c>
      <c r="M34" s="16">
        <f t="shared" ca="1" si="11"/>
        <v>3773.9</v>
      </c>
      <c r="N34" s="16">
        <f t="shared" ca="1" si="12"/>
        <v>3614.5000000000005</v>
      </c>
    </row>
    <row r="35" spans="1:14" ht="24.75" customHeight="1" x14ac:dyDescent="0.8">
      <c r="A35" s="9" t="s">
        <v>286</v>
      </c>
      <c r="B35" s="10">
        <f ca="1">IFERROR(__xludf.DUMMYFUNCTION("GOOGLEFINANCE(A35,""PRICE"")"),3460)</f>
        <v>3460</v>
      </c>
      <c r="C35" s="11">
        <f ca="1">IFERROR(__xludf.DUMMYFUNCTION("GOOGLEFINANCE(A35,""PRICEOPEN"")"),3462.1)</f>
        <v>3462.1</v>
      </c>
      <c r="D35" s="11">
        <f ca="1">IFERROR(__xludf.DUMMYFUNCTION("GOOGLEFINANCE(A35,""HIGH"")"),3492.4)</f>
        <v>3492.4</v>
      </c>
      <c r="E35" s="11">
        <f ca="1">IFERROR(__xludf.DUMMYFUNCTION("GOOGLEFINANCE(A35,""LOW"")"),3404.2)</f>
        <v>3404.2</v>
      </c>
      <c r="F35" s="12" t="str">
        <f t="shared" ca="1" si="7"/>
        <v/>
      </c>
      <c r="G35" s="13">
        <f ca="1">IFERROR(__xludf.DUMMYFUNCTION("GOOGLEFINANCE(A35,""CLOSEYEST"")"),3463.4)</f>
        <v>3463.4</v>
      </c>
      <c r="H35" s="14" t="str">
        <f t="shared" ca="1" si="13"/>
        <v/>
      </c>
      <c r="I35" s="15">
        <f t="shared" ca="1" si="8"/>
        <v>3453.3333333333335</v>
      </c>
      <c r="J35" s="16">
        <f t="shared" ca="1" si="9"/>
        <v>3502.4666666666672</v>
      </c>
      <c r="K35" s="16"/>
      <c r="L35" s="16">
        <f t="shared" ca="1" si="10"/>
        <v>3414.2666666666669</v>
      </c>
      <c r="M35" s="16">
        <f t="shared" ca="1" si="11"/>
        <v>3541.5333333333338</v>
      </c>
      <c r="N35" s="16">
        <f t="shared" ca="1" si="12"/>
        <v>3365.1333333333332</v>
      </c>
    </row>
    <row r="36" spans="1:14" ht="24.75" customHeight="1" x14ac:dyDescent="0.8">
      <c r="A36" s="9" t="s">
        <v>1567</v>
      </c>
      <c r="B36" s="10">
        <f ca="1">IFERROR(__xludf.DUMMYFUNCTION("GOOGLEFINANCE(A36,""PRICE"")"),15808)</f>
        <v>15808</v>
      </c>
      <c r="C36" s="11">
        <f ca="1">IFERROR(__xludf.DUMMYFUNCTION("GOOGLEFINANCE(A36,""PRICEOPEN"")"),15949)</f>
        <v>15949</v>
      </c>
      <c r="D36" s="11">
        <f ca="1">IFERROR(__xludf.DUMMYFUNCTION("GOOGLEFINANCE(A36,""HIGH"")"),16025)</f>
        <v>16025</v>
      </c>
      <c r="E36" s="11">
        <f ca="1">IFERROR(__xludf.DUMMYFUNCTION("GOOGLEFINANCE(A36,""LOW"")"),15736)</f>
        <v>15736</v>
      </c>
      <c r="F36" s="12" t="str">
        <f t="shared" ca="1" si="7"/>
        <v/>
      </c>
      <c r="G36" s="13">
        <f ca="1">IFERROR(__xludf.DUMMYFUNCTION("GOOGLEFINANCE(A36,""CLOSEYEST"")"),15965)</f>
        <v>15965</v>
      </c>
      <c r="H36" s="14" t="str">
        <f t="shared" ca="1" si="13"/>
        <v/>
      </c>
      <c r="I36" s="15">
        <f t="shared" ca="1" si="8"/>
        <v>15908.666666666666</v>
      </c>
      <c r="J36" s="16">
        <f t="shared" ca="1" si="9"/>
        <v>16081.333333333332</v>
      </c>
      <c r="K36" s="16"/>
      <c r="L36" s="16">
        <f t="shared" ca="1" si="10"/>
        <v>15792.333333333332</v>
      </c>
      <c r="M36" s="16">
        <f t="shared" ca="1" si="11"/>
        <v>16197.666666666666</v>
      </c>
      <c r="N36" s="16">
        <f t="shared" ca="1" si="12"/>
        <v>15619.666666666666</v>
      </c>
    </row>
    <row r="37" spans="1:14" ht="24.75" customHeight="1" x14ac:dyDescent="0.8">
      <c r="A37" s="9" t="s">
        <v>322</v>
      </c>
      <c r="B37" s="10">
        <f ca="1">IFERROR(__xludf.DUMMYFUNCTION("GOOGLEFINANCE(A37,""PRICE"")"),341.8)</f>
        <v>341.8</v>
      </c>
      <c r="C37" s="11">
        <f ca="1">IFERROR(__xludf.DUMMYFUNCTION("GOOGLEFINANCE(A37,""PRICEOPEN"")"),340.25)</f>
        <v>340.25</v>
      </c>
      <c r="D37" s="11">
        <f ca="1">IFERROR(__xludf.DUMMYFUNCTION("GOOGLEFINANCE(A37,""HIGH"")"),343.5)</f>
        <v>343.5</v>
      </c>
      <c r="E37" s="11">
        <f ca="1">IFERROR(__xludf.DUMMYFUNCTION("GOOGLEFINANCE(A37,""LOW"")"),338.75)</f>
        <v>338.75</v>
      </c>
      <c r="F37" s="12" t="str">
        <f t="shared" ca="1" si="7"/>
        <v/>
      </c>
      <c r="G37" s="13">
        <f ca="1">IFERROR(__xludf.DUMMYFUNCTION("GOOGLEFINANCE(A37,""CLOSEYEST"")"),340.25)</f>
        <v>340.25</v>
      </c>
      <c r="H37" s="14" t="str">
        <f t="shared" ca="1" si="13"/>
        <v/>
      </c>
      <c r="I37" s="15">
        <f t="shared" ca="1" si="8"/>
        <v>340.83333333333331</v>
      </c>
      <c r="J37" s="16">
        <f t="shared" ca="1" si="9"/>
        <v>342.91666666666663</v>
      </c>
      <c r="K37" s="16"/>
      <c r="L37" s="16">
        <f t="shared" ca="1" si="10"/>
        <v>338.16666666666663</v>
      </c>
      <c r="M37" s="16">
        <f t="shared" ca="1" si="11"/>
        <v>345.58333333333331</v>
      </c>
      <c r="N37" s="16">
        <f t="shared" ca="1" si="12"/>
        <v>336.08333333333331</v>
      </c>
    </row>
    <row r="38" spans="1:14" ht="24.75" customHeight="1" x14ac:dyDescent="0.8">
      <c r="A38" s="9" t="s">
        <v>87</v>
      </c>
      <c r="B38" s="10">
        <f ca="1">IFERROR(__xludf.DUMMYFUNCTION("GOOGLEFINANCE(A38,""PRICE"")"),1170)</f>
        <v>1170</v>
      </c>
      <c r="C38" s="11">
        <f ca="1">IFERROR(__xludf.DUMMYFUNCTION("GOOGLEFINANCE(A38,""PRICEOPEN"")"),1160)</f>
        <v>1160</v>
      </c>
      <c r="D38" s="11">
        <f ca="1">IFERROR(__xludf.DUMMYFUNCTION("GOOGLEFINANCE(A38,""HIGH"")"),1171.3)</f>
        <v>1171.3</v>
      </c>
      <c r="E38" s="11">
        <f ca="1">IFERROR(__xludf.DUMMYFUNCTION("GOOGLEFINANCE(A38,""LOW"")"),1154.4)</f>
        <v>1154.4000000000001</v>
      </c>
      <c r="F38" s="12" t="str">
        <f t="shared" ca="1" si="7"/>
        <v/>
      </c>
      <c r="G38" s="13">
        <f ca="1">IFERROR(__xludf.DUMMYFUNCTION("GOOGLEFINANCE(A38,""CLOSEYEST"")"),1166.4)</f>
        <v>1166.4000000000001</v>
      </c>
      <c r="H38" s="14" t="str">
        <f t="shared" ca="1" si="13"/>
        <v/>
      </c>
      <c r="I38" s="15">
        <f t="shared" ca="1" si="8"/>
        <v>1164.0333333333333</v>
      </c>
      <c r="J38" s="16">
        <f t="shared" ca="1" si="9"/>
        <v>1173.6666666666665</v>
      </c>
      <c r="K38" s="16"/>
      <c r="L38" s="16">
        <f t="shared" ca="1" si="10"/>
        <v>1156.7666666666667</v>
      </c>
      <c r="M38" s="16">
        <f t="shared" ca="1" si="11"/>
        <v>1180.9333333333332</v>
      </c>
      <c r="N38" s="16">
        <f t="shared" ca="1" si="12"/>
        <v>1147.1333333333334</v>
      </c>
    </row>
    <row r="39" spans="1:14" ht="24.75" customHeight="1" x14ac:dyDescent="0.8">
      <c r="A39" s="9" t="s">
        <v>1568</v>
      </c>
      <c r="B39" s="10">
        <f ca="1">IFERROR(__xludf.DUMMYFUNCTION("GOOGLEFINANCE(A39,""PRICE"")"),243.78)</f>
        <v>243.78</v>
      </c>
      <c r="C39" s="11">
        <f ca="1">IFERROR(__xludf.DUMMYFUNCTION("GOOGLEFINANCE(A39,""PRICEOPEN"")"),242.5)</f>
        <v>242.5</v>
      </c>
      <c r="D39" s="11">
        <f ca="1">IFERROR(__xludf.DUMMYFUNCTION("GOOGLEFINANCE(A39,""HIGH"")"),244.2)</f>
        <v>244.2</v>
      </c>
      <c r="E39" s="11">
        <f ca="1">IFERROR(__xludf.DUMMYFUNCTION("GOOGLEFINANCE(A39,""LOW"")"),239.7)</f>
        <v>239.7</v>
      </c>
      <c r="F39" s="12" t="str">
        <f t="shared" ca="1" si="7"/>
        <v/>
      </c>
      <c r="G39" s="13">
        <f ca="1">IFERROR(__xludf.DUMMYFUNCTION("GOOGLEFINANCE(A39,""CLOSEYEST"")"),243.04)</f>
        <v>243.04</v>
      </c>
      <c r="H39" s="14" t="str">
        <f t="shared" ca="1" si="13"/>
        <v/>
      </c>
      <c r="I39" s="15">
        <f t="shared" ca="1" si="8"/>
        <v>242.3133333333333</v>
      </c>
      <c r="J39" s="16">
        <f t="shared" ca="1" si="9"/>
        <v>244.92666666666662</v>
      </c>
      <c r="K39" s="16"/>
      <c r="L39" s="16">
        <f t="shared" ca="1" si="10"/>
        <v>240.42666666666662</v>
      </c>
      <c r="M39" s="16">
        <f t="shared" ca="1" si="11"/>
        <v>246.8133333333333</v>
      </c>
      <c r="N39" s="16">
        <f t="shared" ca="1" si="12"/>
        <v>237.8133333333333</v>
      </c>
    </row>
    <row r="40" spans="1:14" ht="24.75" customHeight="1" x14ac:dyDescent="0.8">
      <c r="A40" s="9" t="s">
        <v>701</v>
      </c>
      <c r="B40" s="10">
        <f ca="1">IFERROR(__xludf.DUMMYFUNCTION("GOOGLEFINANCE(A40,""PRICE"")"),288.65)</f>
        <v>288.64999999999998</v>
      </c>
      <c r="C40" s="11">
        <f ca="1">IFERROR(__xludf.DUMMYFUNCTION("GOOGLEFINANCE(A40,""PRICEOPEN"")"),283.35)</f>
        <v>283.35000000000002</v>
      </c>
      <c r="D40" s="11">
        <f ca="1">IFERROR(__xludf.DUMMYFUNCTION("GOOGLEFINANCE(A40,""HIGH"")"),290)</f>
        <v>290</v>
      </c>
      <c r="E40" s="11">
        <f ca="1">IFERROR(__xludf.DUMMYFUNCTION("GOOGLEFINANCE(A40,""LOW"")"),281.05)</f>
        <v>281.05</v>
      </c>
      <c r="F40" s="12" t="str">
        <f t="shared" ca="1" si="7"/>
        <v/>
      </c>
      <c r="G40" s="13">
        <f ca="1">IFERROR(__xludf.DUMMYFUNCTION("GOOGLEFINANCE(A40,""CLOSEYEST"")"),280.65)</f>
        <v>280.64999999999998</v>
      </c>
      <c r="H40" s="14" t="str">
        <f t="shared" ca="1" si="13"/>
        <v/>
      </c>
      <c r="I40" s="15">
        <f t="shared" ca="1" si="8"/>
        <v>283.89999999999998</v>
      </c>
      <c r="J40" s="16">
        <f t="shared" ca="1" si="9"/>
        <v>286.74999999999994</v>
      </c>
      <c r="K40" s="16"/>
      <c r="L40" s="16">
        <f t="shared" ca="1" si="10"/>
        <v>277.79999999999995</v>
      </c>
      <c r="M40" s="16">
        <f t="shared" ca="1" si="11"/>
        <v>292.84999999999997</v>
      </c>
      <c r="N40" s="16">
        <f t="shared" ca="1" si="12"/>
        <v>274.95</v>
      </c>
    </row>
    <row r="41" spans="1:14" ht="24.75" customHeight="1" x14ac:dyDescent="0.8">
      <c r="A41" s="9" t="s">
        <v>1569</v>
      </c>
      <c r="B41" s="10">
        <f ca="1">IFERROR(__xludf.DUMMYFUNCTION("GOOGLEFINANCE(A41,""PRICE"")"),1363.3)</f>
        <v>1363.3</v>
      </c>
      <c r="C41" s="11">
        <f ca="1">IFERROR(__xludf.DUMMYFUNCTION("GOOGLEFINANCE(A41,""PRICEOPEN"")"),1363.2)</f>
        <v>1363.2</v>
      </c>
      <c r="D41" s="11">
        <f ca="1">IFERROR(__xludf.DUMMYFUNCTION("GOOGLEFINANCE(A41,""HIGH"")"),1371.6)</f>
        <v>1371.6</v>
      </c>
      <c r="E41" s="11">
        <f ca="1">IFERROR(__xludf.DUMMYFUNCTION("GOOGLEFINANCE(A41,""LOW"")"),1356.9)</f>
        <v>1356.9</v>
      </c>
      <c r="F41" s="12" t="str">
        <f t="shared" ca="1" si="7"/>
        <v/>
      </c>
      <c r="G41" s="13">
        <f ca="1">IFERROR(__xludf.DUMMYFUNCTION("GOOGLEFINANCE(A41,""CLOSEYEST"")"),1368.7)</f>
        <v>1368.7</v>
      </c>
      <c r="H41" s="14" t="str">
        <f t="shared" ca="1" si="13"/>
        <v/>
      </c>
      <c r="I41" s="15">
        <f t="shared" ca="1" si="8"/>
        <v>1365.7333333333333</v>
      </c>
      <c r="J41" s="16">
        <f t="shared" ca="1" si="9"/>
        <v>1374.5666666666666</v>
      </c>
      <c r="K41" s="16"/>
      <c r="L41" s="16">
        <f t="shared" ca="1" si="10"/>
        <v>1359.8666666666668</v>
      </c>
      <c r="M41" s="16">
        <f t="shared" ca="1" si="11"/>
        <v>1380.4333333333332</v>
      </c>
      <c r="N41" s="16">
        <f t="shared" ca="1" si="12"/>
        <v>1351.0333333333335</v>
      </c>
    </row>
    <row r="42" spans="1:14" ht="24.75" customHeight="1" x14ac:dyDescent="0.8">
      <c r="A42" s="9" t="s">
        <v>629</v>
      </c>
      <c r="B42" s="10">
        <f ca="1">IFERROR(__xludf.DUMMYFUNCTION("GOOGLEFINANCE(A42,""PRICE"")"),1787)</f>
        <v>1787</v>
      </c>
      <c r="C42" s="11">
        <f ca="1">IFERROR(__xludf.DUMMYFUNCTION("GOOGLEFINANCE(A42,""PRICEOPEN"")"),1801.1)</f>
        <v>1801.1</v>
      </c>
      <c r="D42" s="11">
        <f ca="1">IFERROR(__xludf.DUMMYFUNCTION("GOOGLEFINANCE(A42,""HIGH"")"),1803.2)</f>
        <v>1803.2</v>
      </c>
      <c r="E42" s="11">
        <f ca="1">IFERROR(__xludf.DUMMYFUNCTION("GOOGLEFINANCE(A42,""LOW"")"),1766.2)</f>
        <v>1766.2</v>
      </c>
      <c r="F42" s="12" t="str">
        <f t="shared" ca="1" si="7"/>
        <v/>
      </c>
      <c r="G42" s="13">
        <f ca="1">IFERROR(__xludf.DUMMYFUNCTION("GOOGLEFINANCE(A42,""CLOSEYEST"")"),1801.1)</f>
        <v>1801.1</v>
      </c>
      <c r="H42" s="14" t="str">
        <f t="shared" ca="1" si="13"/>
        <v/>
      </c>
      <c r="I42" s="15">
        <f t="shared" ca="1" si="8"/>
        <v>1790.1666666666667</v>
      </c>
      <c r="J42" s="16">
        <f t="shared" ca="1" si="9"/>
        <v>1814.1333333333334</v>
      </c>
      <c r="K42" s="16"/>
      <c r="L42" s="16">
        <f t="shared" ca="1" si="10"/>
        <v>1777.1333333333334</v>
      </c>
      <c r="M42" s="16">
        <f t="shared" ca="1" si="11"/>
        <v>1827.1666666666667</v>
      </c>
      <c r="N42" s="16">
        <f t="shared" ca="1" si="12"/>
        <v>1753.1666666666667</v>
      </c>
    </row>
    <row r="43" spans="1:14" ht="24.75" customHeight="1" x14ac:dyDescent="0.8">
      <c r="A43" s="9" t="s">
        <v>17</v>
      </c>
      <c r="B43" s="10">
        <f ca="1">IFERROR(__xludf.DUMMYFUNCTION("GOOGLEFINANCE(A43,""PRICE"")"),867.7)</f>
        <v>867.7</v>
      </c>
      <c r="C43" s="11">
        <f ca="1">IFERROR(__xludf.DUMMYFUNCTION("GOOGLEFINANCE(A43,""PRICEOPEN"")"),865.15)</f>
        <v>865.15</v>
      </c>
      <c r="D43" s="11">
        <f ca="1">IFERROR(__xludf.DUMMYFUNCTION("GOOGLEFINANCE(A43,""HIGH"")"),873)</f>
        <v>873</v>
      </c>
      <c r="E43" s="11">
        <f ca="1">IFERROR(__xludf.DUMMYFUNCTION("GOOGLEFINANCE(A43,""LOW"")"),863.8)</f>
        <v>863.8</v>
      </c>
      <c r="F43" s="12" t="str">
        <f t="shared" ca="1" si="7"/>
        <v/>
      </c>
      <c r="G43" s="13">
        <f ca="1">IFERROR(__xludf.DUMMYFUNCTION("GOOGLEFINANCE(A43,""CLOSEYEST"")"),864.1)</f>
        <v>864.1</v>
      </c>
      <c r="H43" s="14" t="str">
        <f t="shared" ca="1" si="13"/>
        <v/>
      </c>
      <c r="I43" s="15">
        <f t="shared" ca="1" si="8"/>
        <v>866.9666666666667</v>
      </c>
      <c r="J43" s="16">
        <f t="shared" ca="1" si="9"/>
        <v>870.13333333333344</v>
      </c>
      <c r="K43" s="16"/>
      <c r="L43" s="16">
        <f t="shared" ca="1" si="10"/>
        <v>860.93333333333339</v>
      </c>
      <c r="M43" s="16">
        <f t="shared" ca="1" si="11"/>
        <v>876.16666666666674</v>
      </c>
      <c r="N43" s="16">
        <f t="shared" ca="1" si="12"/>
        <v>857.76666666666665</v>
      </c>
    </row>
    <row r="44" spans="1:14" ht="24.75" customHeight="1" x14ac:dyDescent="0.8">
      <c r="A44" s="9" t="s">
        <v>290</v>
      </c>
      <c r="B44" s="10">
        <f ca="1">IFERROR(__xludf.DUMMYFUNCTION("GOOGLEFINANCE(A44,""PRICE"")"),1632)</f>
        <v>1632</v>
      </c>
      <c r="C44" s="11">
        <f ca="1">IFERROR(__xludf.DUMMYFUNCTION("GOOGLEFINANCE(A44,""PRICEOPEN"")"),1600)</f>
        <v>1600</v>
      </c>
      <c r="D44" s="11">
        <f ca="1">IFERROR(__xludf.DUMMYFUNCTION("GOOGLEFINANCE(A44,""HIGH"")"),1645.5)</f>
        <v>1645.5</v>
      </c>
      <c r="E44" s="11">
        <f ca="1">IFERROR(__xludf.DUMMYFUNCTION("GOOGLEFINANCE(A44,""LOW"")"),1600)</f>
        <v>1600</v>
      </c>
      <c r="F44" s="12" t="str">
        <f t="shared" ca="1" si="7"/>
        <v>BUY</v>
      </c>
      <c r="G44" s="13">
        <f ca="1">IFERROR(__xludf.DUMMYFUNCTION("GOOGLEFINANCE(A44,""CLOSEYEST"")"),1636.2)</f>
        <v>1636.2</v>
      </c>
      <c r="H44" s="14" t="str">
        <f t="shared" ca="1" si="13"/>
        <v>GAP DOWN</v>
      </c>
      <c r="I44" s="15">
        <f t="shared" ca="1" si="8"/>
        <v>1627.2333333333333</v>
      </c>
      <c r="J44" s="16">
        <f t="shared" ca="1" si="9"/>
        <v>1654.4666666666667</v>
      </c>
      <c r="K44" s="16"/>
      <c r="L44" s="16">
        <f t="shared" ca="1" si="10"/>
        <v>1608.9666666666667</v>
      </c>
      <c r="M44" s="16">
        <f t="shared" ca="1" si="11"/>
        <v>1672.7333333333333</v>
      </c>
      <c r="N44" s="16">
        <f t="shared" ca="1" si="12"/>
        <v>1581.7333333333333</v>
      </c>
    </row>
    <row r="45" spans="1:14" ht="24.75" customHeight="1" x14ac:dyDescent="0.8">
      <c r="A45" s="9" t="s">
        <v>266</v>
      </c>
      <c r="B45" s="10">
        <f ca="1">IFERROR(__xludf.DUMMYFUNCTION("GOOGLEFINANCE(A45,""PRICE"")"),35.67)</f>
        <v>35.67</v>
      </c>
      <c r="C45" s="11">
        <f ca="1">IFERROR(__xludf.DUMMYFUNCTION("GOOGLEFINANCE(A45,""PRICEOPEN"")"),34.95)</f>
        <v>34.950000000000003</v>
      </c>
      <c r="D45" s="11">
        <f ca="1">IFERROR(__xludf.DUMMYFUNCTION("GOOGLEFINANCE(A45,""HIGH"")"),35.63)</f>
        <v>35.630000000000003</v>
      </c>
      <c r="E45" s="11">
        <f ca="1">IFERROR(__xludf.DUMMYFUNCTION("GOOGLEFINANCE(A45,""LOW"")"),34.95)</f>
        <v>34.950000000000003</v>
      </c>
      <c r="F45" s="12" t="str">
        <f t="shared" ca="1" si="7"/>
        <v>BUY</v>
      </c>
      <c r="G45" s="13">
        <f ca="1">IFERROR(__xludf.DUMMYFUNCTION("GOOGLEFINANCE(A45,""CLOSEYEST"")"),34.95)</f>
        <v>34.950000000000003</v>
      </c>
      <c r="H45" s="14" t="str">
        <f t="shared" ca="1" si="13"/>
        <v/>
      </c>
      <c r="I45" s="15">
        <f t="shared" ca="1" si="8"/>
        <v>35.176666666666669</v>
      </c>
      <c r="J45" s="16">
        <f t="shared" ca="1" si="9"/>
        <v>35.403333333333336</v>
      </c>
      <c r="K45" s="16"/>
      <c r="L45" s="16">
        <f t="shared" ca="1" si="10"/>
        <v>34.723333333333336</v>
      </c>
      <c r="M45" s="16">
        <f t="shared" ca="1" si="11"/>
        <v>35.856666666666669</v>
      </c>
      <c r="N45" s="16">
        <f t="shared" ca="1" si="12"/>
        <v>34.49666666666667</v>
      </c>
    </row>
    <row r="46" spans="1:14" ht="24.75" customHeight="1" x14ac:dyDescent="0.8">
      <c r="A46" s="9" t="s">
        <v>302</v>
      </c>
      <c r="B46" s="10">
        <f ca="1">IFERROR(__xludf.DUMMYFUNCTION("GOOGLEFINANCE(A46,""PRICE"")"),1138.5)</f>
        <v>1138.5</v>
      </c>
      <c r="C46" s="11">
        <f ca="1">IFERROR(__xludf.DUMMYFUNCTION("GOOGLEFINANCE(A46,""PRICEOPEN"")"),1146)</f>
        <v>1146</v>
      </c>
      <c r="D46" s="11">
        <f ca="1">IFERROR(__xludf.DUMMYFUNCTION("GOOGLEFINANCE(A46,""HIGH"")"),1150)</f>
        <v>1150</v>
      </c>
      <c r="E46" s="11">
        <f ca="1">IFERROR(__xludf.DUMMYFUNCTION("GOOGLEFINANCE(A46,""LOW"")"),1129.1)</f>
        <v>1129.0999999999999</v>
      </c>
      <c r="F46" s="12" t="str">
        <f t="shared" ca="1" si="7"/>
        <v/>
      </c>
      <c r="G46" s="13">
        <f ca="1">IFERROR(__xludf.DUMMYFUNCTION("GOOGLEFINANCE(A46,""CLOSEYEST"")"),1144.8)</f>
        <v>1144.8</v>
      </c>
      <c r="H46" s="14" t="str">
        <f t="shared" ca="1" si="13"/>
        <v/>
      </c>
      <c r="I46" s="15">
        <f t="shared" ca="1" si="8"/>
        <v>1141.3</v>
      </c>
      <c r="J46" s="16">
        <f t="shared" ca="1" si="9"/>
        <v>1153.5</v>
      </c>
      <c r="K46" s="16"/>
      <c r="L46" s="16">
        <f t="shared" ca="1" si="10"/>
        <v>1132.5999999999999</v>
      </c>
      <c r="M46" s="16">
        <f t="shared" ca="1" si="11"/>
        <v>1162.2</v>
      </c>
      <c r="N46" s="16">
        <f t="shared" ca="1" si="12"/>
        <v>1120.3999999999999</v>
      </c>
    </row>
    <row r="47" spans="1:14" ht="24.75" customHeight="1" x14ac:dyDescent="0.8">
      <c r="A47" s="9" t="s">
        <v>148</v>
      </c>
      <c r="B47" s="10">
        <f ca="1">IFERROR(__xludf.DUMMYFUNCTION("GOOGLEFINANCE(A47,""PRICE"")"),715.85)</f>
        <v>715.85</v>
      </c>
      <c r="C47" s="11">
        <f ca="1">IFERROR(__xludf.DUMMYFUNCTION("GOOGLEFINANCE(A47,""PRICEOPEN"")"),718.5)</f>
        <v>718.5</v>
      </c>
      <c r="D47" s="11">
        <f ca="1">IFERROR(__xludf.DUMMYFUNCTION("GOOGLEFINANCE(A47,""HIGH"")"),739.7)</f>
        <v>739.7</v>
      </c>
      <c r="E47" s="11">
        <f ca="1">IFERROR(__xludf.DUMMYFUNCTION("GOOGLEFINANCE(A47,""LOW"")"),715)</f>
        <v>715</v>
      </c>
      <c r="F47" s="12" t="str">
        <f t="shared" ca="1" si="7"/>
        <v/>
      </c>
      <c r="G47" s="13">
        <f ca="1">IFERROR(__xludf.DUMMYFUNCTION("GOOGLEFINANCE(A47,""CLOSEYEST"")"),718.35)</f>
        <v>718.35</v>
      </c>
      <c r="H47" s="14" t="str">
        <f t="shared" ca="1" si="13"/>
        <v/>
      </c>
      <c r="I47" s="15">
        <f t="shared" ca="1" si="8"/>
        <v>724.35</v>
      </c>
      <c r="J47" s="16">
        <f t="shared" ca="1" si="9"/>
        <v>733.7</v>
      </c>
      <c r="K47" s="16"/>
      <c r="L47" s="16">
        <f t="shared" ca="1" si="10"/>
        <v>709</v>
      </c>
      <c r="M47" s="16">
        <f t="shared" ca="1" si="11"/>
        <v>749.05000000000007</v>
      </c>
      <c r="N47" s="16">
        <f t="shared" ca="1" si="12"/>
        <v>699.65</v>
      </c>
    </row>
    <row r="48" spans="1:14" ht="24.75" customHeight="1" x14ac:dyDescent="0.8">
      <c r="A48" s="9" t="s">
        <v>18</v>
      </c>
      <c r="B48" s="10">
        <f ca="1">IFERROR(__xludf.DUMMYFUNCTION("GOOGLEFINANCE(A48,""PRICE"")"),173.29)</f>
        <v>173.29</v>
      </c>
      <c r="C48" s="11">
        <f ca="1">IFERROR(__xludf.DUMMYFUNCTION("GOOGLEFINANCE(A48,""PRICEOPEN"")"),168.12)</f>
        <v>168.12</v>
      </c>
      <c r="D48" s="11">
        <f ca="1">IFERROR(__xludf.DUMMYFUNCTION("GOOGLEFINANCE(A48,""HIGH"")"),174.74)</f>
        <v>174.74</v>
      </c>
      <c r="E48" s="11">
        <f ca="1">IFERROR(__xludf.DUMMYFUNCTION("GOOGLEFINANCE(A48,""LOW"")"),168.12)</f>
        <v>168.12</v>
      </c>
      <c r="F48" s="12" t="str">
        <f t="shared" ca="1" si="7"/>
        <v>BUY</v>
      </c>
      <c r="G48" s="13">
        <f ca="1">IFERROR(__xludf.DUMMYFUNCTION("GOOGLEFINANCE(A48,""CLOSEYEST"")"),167.51)</f>
        <v>167.51</v>
      </c>
      <c r="H48" s="14" t="str">
        <f t="shared" ca="1" si="13"/>
        <v/>
      </c>
      <c r="I48" s="15">
        <f t="shared" ca="1" si="8"/>
        <v>170.12333333333333</v>
      </c>
      <c r="J48" s="16">
        <f t="shared" ca="1" si="9"/>
        <v>172.12666666666667</v>
      </c>
      <c r="K48" s="16"/>
      <c r="L48" s="16">
        <f t="shared" ca="1" si="10"/>
        <v>165.50666666666666</v>
      </c>
      <c r="M48" s="16">
        <f t="shared" ca="1" si="11"/>
        <v>176.74333333333334</v>
      </c>
      <c r="N48" s="16">
        <f t="shared" ca="1" si="12"/>
        <v>163.50333333333333</v>
      </c>
    </row>
    <row r="49" spans="1:14" ht="24.75" customHeight="1" x14ac:dyDescent="0.8">
      <c r="A49" s="9" t="s">
        <v>366</v>
      </c>
      <c r="B49" s="10">
        <f ca="1">IFERROR(__xludf.DUMMYFUNCTION("GOOGLEFINANCE(A49,""PRICE"")"),1398)</f>
        <v>1398</v>
      </c>
      <c r="C49" s="11">
        <f ca="1">IFERROR(__xludf.DUMMYFUNCTION("GOOGLEFINANCE(A49,""PRICEOPEN"")"),1423)</f>
        <v>1423</v>
      </c>
      <c r="D49" s="11">
        <f ca="1">IFERROR(__xludf.DUMMYFUNCTION("GOOGLEFINANCE(A49,""HIGH"")"),1423.8)</f>
        <v>1423.8</v>
      </c>
      <c r="E49" s="11">
        <f ca="1">IFERROR(__xludf.DUMMYFUNCTION("GOOGLEFINANCE(A49,""LOW"")"),1397.3)</f>
        <v>1397.3</v>
      </c>
      <c r="F49" s="12" t="str">
        <f t="shared" ca="1" si="7"/>
        <v/>
      </c>
      <c r="G49" s="13">
        <f ca="1">IFERROR(__xludf.DUMMYFUNCTION("GOOGLEFINANCE(A49,""CLOSEYEST"")"),1416)</f>
        <v>1416</v>
      </c>
      <c r="H49" s="14" t="str">
        <f t="shared" ca="1" si="13"/>
        <v/>
      </c>
      <c r="I49" s="15">
        <f t="shared" ca="1" si="8"/>
        <v>1412.3666666666668</v>
      </c>
      <c r="J49" s="16">
        <f t="shared" ca="1" si="9"/>
        <v>1427.4333333333336</v>
      </c>
      <c r="K49" s="16"/>
      <c r="L49" s="16">
        <f t="shared" ca="1" si="10"/>
        <v>1400.9333333333336</v>
      </c>
      <c r="M49" s="16">
        <f t="shared" ca="1" si="11"/>
        <v>1438.8666666666668</v>
      </c>
      <c r="N49" s="16">
        <f t="shared" ca="1" si="12"/>
        <v>1385.8666666666668</v>
      </c>
    </row>
    <row r="50" spans="1:14" ht="24.75" customHeight="1" x14ac:dyDescent="0.8">
      <c r="A50" s="9" t="s">
        <v>419</v>
      </c>
      <c r="B50" s="10">
        <f ca="1">IFERROR(__xludf.DUMMYFUNCTION("GOOGLEFINANCE(A50,""PRICE"")"),12018)</f>
        <v>12018</v>
      </c>
      <c r="C50" s="11">
        <f ca="1">IFERROR(__xludf.DUMMYFUNCTION("GOOGLEFINANCE(A50,""PRICEOPEN"")"),12095)</f>
        <v>12095</v>
      </c>
      <c r="D50" s="11">
        <f ca="1">IFERROR(__xludf.DUMMYFUNCTION("GOOGLEFINANCE(A50,""HIGH"")"),12139)</f>
        <v>12139</v>
      </c>
      <c r="E50" s="11">
        <f ca="1">IFERROR(__xludf.DUMMYFUNCTION("GOOGLEFINANCE(A50,""LOW"")"),11982)</f>
        <v>11982</v>
      </c>
      <c r="F50" s="12" t="str">
        <f t="shared" ca="1" si="7"/>
        <v/>
      </c>
      <c r="G50" s="13">
        <f ca="1">IFERROR(__xludf.DUMMYFUNCTION("GOOGLEFINANCE(A50,""CLOSEYEST"")"),12095)</f>
        <v>12095</v>
      </c>
      <c r="H50" s="14" t="str">
        <f t="shared" ca="1" si="13"/>
        <v/>
      </c>
      <c r="I50" s="15">
        <f t="shared" ca="1" si="8"/>
        <v>12072</v>
      </c>
      <c r="J50" s="16">
        <f t="shared" ca="1" si="9"/>
        <v>12162</v>
      </c>
      <c r="K50" s="16"/>
      <c r="L50" s="16">
        <f t="shared" ca="1" si="10"/>
        <v>12005</v>
      </c>
      <c r="M50" s="16">
        <f t="shared" ca="1" si="11"/>
        <v>12229</v>
      </c>
      <c r="N50" s="16">
        <f t="shared" ca="1" si="12"/>
        <v>11915</v>
      </c>
    </row>
    <row r="51" spans="1:14" ht="24.75" customHeight="1" x14ac:dyDescent="0.8">
      <c r="A51" s="9" t="s">
        <v>118</v>
      </c>
      <c r="B51" s="10">
        <f ca="1">IFERROR(__xludf.DUMMYFUNCTION("GOOGLEFINANCE(A51,""PRICE"")"),241.2)</f>
        <v>241.2</v>
      </c>
      <c r="C51" s="11">
        <f ca="1">IFERROR(__xludf.DUMMYFUNCTION("GOOGLEFINANCE(A51,""PRICEOPEN"")"),240.98)</f>
        <v>240.98</v>
      </c>
      <c r="D51" s="11">
        <f ca="1">IFERROR(__xludf.DUMMYFUNCTION("GOOGLEFINANCE(A51,""HIGH"")"),241.4)</f>
        <v>241.4</v>
      </c>
      <c r="E51" s="11">
        <f ca="1">IFERROR(__xludf.DUMMYFUNCTION("GOOGLEFINANCE(A51,""LOW"")"),238.06)</f>
        <v>238.06</v>
      </c>
      <c r="F51" s="12" t="str">
        <f t="shared" ca="1" si="7"/>
        <v/>
      </c>
      <c r="G51" s="13">
        <f ca="1">IFERROR(__xludf.DUMMYFUNCTION("GOOGLEFINANCE(A51,""CLOSEYEST"")"),241.07)</f>
        <v>241.07</v>
      </c>
      <c r="H51" s="14" t="str">
        <f t="shared" ca="1" si="13"/>
        <v/>
      </c>
      <c r="I51" s="15">
        <f t="shared" ca="1" si="8"/>
        <v>240.17666666666665</v>
      </c>
      <c r="J51" s="16">
        <f t="shared" ca="1" si="9"/>
        <v>242.29333333333329</v>
      </c>
      <c r="K51" s="16"/>
      <c r="L51" s="16">
        <f t="shared" ca="1" si="10"/>
        <v>238.95333333333329</v>
      </c>
      <c r="M51" s="16">
        <f t="shared" ca="1" si="11"/>
        <v>243.51666666666665</v>
      </c>
      <c r="N51" s="16">
        <f t="shared" ca="1" si="12"/>
        <v>236.83666666666664</v>
      </c>
    </row>
    <row r="52" spans="1:14" ht="24.75" customHeight="1" x14ac:dyDescent="0.8">
      <c r="A52" s="9" t="s">
        <v>191</v>
      </c>
      <c r="B52" s="10">
        <f ca="1">IFERROR(__xludf.DUMMYFUNCTION("GOOGLEFINANCE(A52,""PRICE"")"),114.15)</f>
        <v>114.15</v>
      </c>
      <c r="C52" s="11">
        <f ca="1">IFERROR(__xludf.DUMMYFUNCTION("GOOGLEFINANCE(A52,""PRICEOPEN"")"),114.49)</f>
        <v>114.49</v>
      </c>
      <c r="D52" s="11">
        <f ca="1">IFERROR(__xludf.DUMMYFUNCTION("GOOGLEFINANCE(A52,""HIGH"")"),115.07)</f>
        <v>115.07</v>
      </c>
      <c r="E52" s="11">
        <f ca="1">IFERROR(__xludf.DUMMYFUNCTION("GOOGLEFINANCE(A52,""LOW"")"),112.63)</f>
        <v>112.63</v>
      </c>
      <c r="F52" s="12" t="str">
        <f t="shared" ca="1" si="7"/>
        <v/>
      </c>
      <c r="G52" s="13">
        <f ca="1">IFERROR(__xludf.DUMMYFUNCTION("GOOGLEFINANCE(A52,""CLOSEYEST"")"),114.21)</f>
        <v>114.21</v>
      </c>
      <c r="H52" s="14" t="str">
        <f t="shared" ca="1" si="13"/>
        <v/>
      </c>
      <c r="I52" s="15">
        <f t="shared" ca="1" si="8"/>
        <v>113.96999999999998</v>
      </c>
      <c r="J52" s="16">
        <f t="shared" ca="1" si="9"/>
        <v>115.30999999999997</v>
      </c>
      <c r="K52" s="16"/>
      <c r="L52" s="16">
        <f t="shared" ca="1" si="10"/>
        <v>112.86999999999998</v>
      </c>
      <c r="M52" s="16">
        <f t="shared" ca="1" si="11"/>
        <v>116.40999999999998</v>
      </c>
      <c r="N52" s="16">
        <f t="shared" ca="1" si="12"/>
        <v>111.52999999999999</v>
      </c>
    </row>
    <row r="53" spans="1:14" ht="24.75" customHeight="1" x14ac:dyDescent="0.8">
      <c r="A53" s="18" t="s">
        <v>137</v>
      </c>
      <c r="B53" s="10" t="str">
        <f ca="1">IFERROR(__xludf.DUMMYFUNCTION("GOOGLEFINANCE(A53,""PRICE"")"),"#N/A")</f>
        <v>#N/A</v>
      </c>
      <c r="C53" s="11" t="str">
        <f ca="1">IFERROR(__xludf.DUMMYFUNCTION("GOOGLEFINANCE(A53,""PRICEOPEN"")"),"#N/A")</f>
        <v>#N/A</v>
      </c>
      <c r="D53" s="11" t="str">
        <f ca="1">IFERROR(__xludf.DUMMYFUNCTION("GOOGLEFINANCE(A53,""HIGH"")"),"#N/A")</f>
        <v>#N/A</v>
      </c>
      <c r="E53" s="11" t="str">
        <f ca="1">IFERROR(__xludf.DUMMYFUNCTION("GOOGLEFINANCE(A53,""LOW"")"),"#N/A")</f>
        <v>#N/A</v>
      </c>
      <c r="F53" s="12" t="str">
        <f t="shared" ca="1" si="7"/>
        <v>SELL</v>
      </c>
      <c r="G53" s="13" t="str">
        <f ca="1">IFERROR(__xludf.DUMMYFUNCTION("GOOGLEFINANCE(A53,""CLOSEYEST"")"),"#N/A")</f>
        <v>#N/A</v>
      </c>
      <c r="H53" s="14" t="e">
        <f t="shared" ca="1" si="13"/>
        <v>#VALUE!</v>
      </c>
      <c r="I53" s="15" t="e">
        <f t="shared" ca="1" si="8"/>
        <v>#VALUE!</v>
      </c>
      <c r="J53" s="16" t="e">
        <f t="shared" ca="1" si="9"/>
        <v>#VALUE!</v>
      </c>
      <c r="K53" s="16"/>
      <c r="L53" s="16" t="e">
        <f t="shared" ca="1" si="10"/>
        <v>#VALUE!</v>
      </c>
      <c r="M53" s="16" t="e">
        <f t="shared" ca="1" si="11"/>
        <v>#VALUE!</v>
      </c>
      <c r="N53" s="16" t="e">
        <f t="shared" ca="1" si="12"/>
        <v>#VALUE!</v>
      </c>
    </row>
    <row r="54" spans="1:14" ht="24.75" customHeight="1" x14ac:dyDescent="0.8">
      <c r="A54" s="18" t="s">
        <v>1570</v>
      </c>
      <c r="B54" s="10">
        <f ca="1">IFERROR(__xludf.DUMMYFUNCTION("GOOGLEFINANCE(A54,""PRICE"")"),1363.3)</f>
        <v>1363.3</v>
      </c>
      <c r="C54" s="11">
        <f ca="1">IFERROR(__xludf.DUMMYFUNCTION("GOOGLEFINANCE(A54,""PRICEOPEN"")"),1363.2)</f>
        <v>1363.2</v>
      </c>
      <c r="D54" s="11">
        <f ca="1">IFERROR(__xludf.DUMMYFUNCTION("GOOGLEFINANCE(A54,""HIGH"")"),1371.6)</f>
        <v>1371.6</v>
      </c>
      <c r="E54" s="11">
        <f ca="1">IFERROR(__xludf.DUMMYFUNCTION("GOOGLEFINANCE(A54,""LOW"")"),1356.9)</f>
        <v>1356.9</v>
      </c>
      <c r="F54" s="12" t="str">
        <f t="shared" ca="1" si="7"/>
        <v/>
      </c>
      <c r="G54" s="13">
        <f ca="1">IFERROR(__xludf.DUMMYFUNCTION("GOOGLEFINANCE(A54,""CLOSEYEST"")"),1368.7)</f>
        <v>1368.7</v>
      </c>
      <c r="H54" s="14" t="str">
        <f t="shared" ca="1" si="13"/>
        <v/>
      </c>
      <c r="I54" s="15">
        <f t="shared" ca="1" si="8"/>
        <v>1365.7333333333333</v>
      </c>
      <c r="J54" s="16">
        <f t="shared" ca="1" si="9"/>
        <v>1374.5666666666666</v>
      </c>
      <c r="K54" s="16"/>
      <c r="L54" s="16">
        <f t="shared" ca="1" si="10"/>
        <v>1359.8666666666668</v>
      </c>
      <c r="M54" s="16">
        <f t="shared" ca="1" si="11"/>
        <v>1380.4333333333332</v>
      </c>
      <c r="N54" s="16">
        <f t="shared" ca="1" si="12"/>
        <v>1351.0333333333335</v>
      </c>
    </row>
    <row r="55" spans="1:14" ht="24.75" customHeight="1" x14ac:dyDescent="0.8">
      <c r="A55" s="18" t="s">
        <v>66</v>
      </c>
      <c r="B55" s="10">
        <f ca="1">IFERROR(__xludf.DUMMYFUNCTION("GOOGLEFINANCE(A55,""PRICE"")"),35.67)</f>
        <v>35.67</v>
      </c>
      <c r="C55" s="11">
        <f ca="1">IFERROR(__xludf.DUMMYFUNCTION("GOOGLEFINANCE(A55,""PRICEOPEN"")"),34.95)</f>
        <v>34.950000000000003</v>
      </c>
      <c r="D55" s="11">
        <f ca="1">IFERROR(__xludf.DUMMYFUNCTION("GOOGLEFINANCE(A55,""HIGH"")"),35.63)</f>
        <v>35.630000000000003</v>
      </c>
      <c r="E55" s="11">
        <f ca="1">IFERROR(__xludf.DUMMYFUNCTION("GOOGLEFINANCE(A55,""LOW"")"),34.95)</f>
        <v>34.950000000000003</v>
      </c>
      <c r="F55" s="12" t="str">
        <f t="shared" ca="1" si="7"/>
        <v>BUY</v>
      </c>
      <c r="G55" s="13">
        <f ca="1">IFERROR(__xludf.DUMMYFUNCTION("GOOGLEFINANCE(A55,""CLOSEYEST"")"),34.95)</f>
        <v>34.950000000000003</v>
      </c>
      <c r="H55" s="14" t="str">
        <f t="shared" ca="1" si="13"/>
        <v/>
      </c>
      <c r="I55" s="15">
        <f t="shared" ca="1" si="8"/>
        <v>35.176666666666669</v>
      </c>
      <c r="J55" s="16">
        <f t="shared" ca="1" si="9"/>
        <v>35.403333333333336</v>
      </c>
      <c r="K55" s="16"/>
      <c r="L55" s="16">
        <f t="shared" ca="1" si="10"/>
        <v>34.723333333333336</v>
      </c>
      <c r="M55" s="16">
        <f t="shared" ca="1" si="11"/>
        <v>35.856666666666669</v>
      </c>
      <c r="N55" s="16">
        <f t="shared" ca="1" si="12"/>
        <v>34.49666666666667</v>
      </c>
    </row>
    <row r="56" spans="1:14" ht="24.75" customHeight="1" x14ac:dyDescent="0.8">
      <c r="A56" s="18" t="s">
        <v>19</v>
      </c>
      <c r="B56" s="10">
        <f ca="1">IFERROR(__xludf.DUMMYFUNCTION("GOOGLEFINANCE(A56,""PRICE"")"),963.7)</f>
        <v>963.7</v>
      </c>
      <c r="C56" s="11">
        <f ca="1">IFERROR(__xludf.DUMMYFUNCTION("GOOGLEFINANCE(A56,""PRICEOPEN"")"),952)</f>
        <v>952</v>
      </c>
      <c r="D56" s="11">
        <f ca="1">IFERROR(__xludf.DUMMYFUNCTION("GOOGLEFINANCE(A56,""HIGH"")"),966.75)</f>
        <v>966.75</v>
      </c>
      <c r="E56" s="11">
        <f ca="1">IFERROR(__xludf.DUMMYFUNCTION("GOOGLEFINANCE(A56,""LOW"")"),952)</f>
        <v>952</v>
      </c>
      <c r="F56" s="12" t="str">
        <f t="shared" ca="1" si="7"/>
        <v>BUY</v>
      </c>
      <c r="G56" s="13">
        <f ca="1">IFERROR(__xludf.DUMMYFUNCTION("GOOGLEFINANCE(A56,""CLOSEYEST"")"),965.25)</f>
        <v>965.25</v>
      </c>
      <c r="H56" s="14" t="str">
        <f t="shared" ca="1" si="13"/>
        <v>GAP DOWN</v>
      </c>
      <c r="I56" s="15">
        <f t="shared" ca="1" si="8"/>
        <v>961.33333333333337</v>
      </c>
      <c r="J56" s="16">
        <f t="shared" ca="1" si="9"/>
        <v>970.66666666666674</v>
      </c>
      <c r="K56" s="16"/>
      <c r="L56" s="16">
        <f t="shared" ca="1" si="10"/>
        <v>955.91666666666674</v>
      </c>
      <c r="M56" s="16">
        <f t="shared" ca="1" si="11"/>
        <v>976.08333333333337</v>
      </c>
      <c r="N56" s="16">
        <f t="shared" ca="1" si="12"/>
        <v>946.58333333333337</v>
      </c>
    </row>
    <row r="57" spans="1:14" ht="24.75" customHeight="1" x14ac:dyDescent="0.8">
      <c r="A57" s="18" t="s">
        <v>301</v>
      </c>
      <c r="B57" s="10">
        <f ca="1">IFERROR(__xludf.DUMMYFUNCTION("GOOGLEFINANCE(A57,""PRICE"")"),16.23)</f>
        <v>16.23</v>
      </c>
      <c r="C57" s="11">
        <f ca="1">IFERROR(__xludf.DUMMYFUNCTION("GOOGLEFINANCE(A57,""PRICEOPEN"")"),16.24)</f>
        <v>16.239999999999998</v>
      </c>
      <c r="D57" s="11">
        <f ca="1">IFERROR(__xludf.DUMMYFUNCTION("GOOGLEFINANCE(A57,""HIGH"")"),16.25)</f>
        <v>16.25</v>
      </c>
      <c r="E57" s="11">
        <f ca="1">IFERROR(__xludf.DUMMYFUNCTION("GOOGLEFINANCE(A57,""LOW"")"),16.07)</f>
        <v>16.07</v>
      </c>
      <c r="F57" s="12" t="str">
        <f t="shared" ca="1" si="7"/>
        <v/>
      </c>
      <c r="G57" s="13">
        <f ca="1">IFERROR(__xludf.DUMMYFUNCTION("GOOGLEFINANCE(A57,""CLOSEYEST"")"),16.15)</f>
        <v>16.149999999999999</v>
      </c>
      <c r="H57" s="14" t="str">
        <f t="shared" ca="1" si="13"/>
        <v/>
      </c>
      <c r="I57" s="15">
        <f t="shared" ca="1" si="8"/>
        <v>16.156666666666666</v>
      </c>
      <c r="J57" s="16">
        <f t="shared" ca="1" si="9"/>
        <v>16.243333333333332</v>
      </c>
      <c r="K57" s="16"/>
      <c r="L57" s="16">
        <f t="shared" ca="1" si="10"/>
        <v>16.063333333333333</v>
      </c>
      <c r="M57" s="16">
        <f t="shared" ca="1" si="11"/>
        <v>16.336666666666666</v>
      </c>
      <c r="N57" s="16">
        <f t="shared" ca="1" si="12"/>
        <v>15.976666666666667</v>
      </c>
    </row>
    <row r="58" spans="1:14" ht="24.75" customHeight="1" x14ac:dyDescent="0.8">
      <c r="A58" s="18" t="s">
        <v>408</v>
      </c>
      <c r="B58" s="10">
        <f ca="1">IFERROR(__xludf.DUMMYFUNCTION("GOOGLEFINANCE(A58,""PRICE"")"),1365)</f>
        <v>1365</v>
      </c>
      <c r="C58" s="11">
        <f ca="1">IFERROR(__xludf.DUMMYFUNCTION("GOOGLEFINANCE(A58,""PRICEOPEN"")"),1371.9)</f>
        <v>1371.9</v>
      </c>
      <c r="D58" s="11">
        <f ca="1">IFERROR(__xludf.DUMMYFUNCTION("GOOGLEFINANCE(A58,""HIGH"")"),1371.9)</f>
        <v>1371.9</v>
      </c>
      <c r="E58" s="11">
        <f ca="1">IFERROR(__xludf.DUMMYFUNCTION("GOOGLEFINANCE(A58,""LOW"")"),1361.3)</f>
        <v>1361.3</v>
      </c>
      <c r="F58" s="12" t="str">
        <f t="shared" ca="1" si="7"/>
        <v>SELL</v>
      </c>
      <c r="G58" s="13">
        <f ca="1">IFERROR(__xludf.DUMMYFUNCTION("GOOGLEFINANCE(A58,""CLOSEYEST"")"),1372)</f>
        <v>1372</v>
      </c>
      <c r="H58" s="14" t="str">
        <f t="shared" ca="1" si="13"/>
        <v/>
      </c>
      <c r="I58" s="15">
        <f t="shared" ca="1" si="8"/>
        <v>1368.3999999999999</v>
      </c>
      <c r="J58" s="16">
        <f t="shared" ca="1" si="9"/>
        <v>1375.4999999999998</v>
      </c>
      <c r="K58" s="16"/>
      <c r="L58" s="16">
        <f t="shared" ca="1" si="10"/>
        <v>1364.8999999999996</v>
      </c>
      <c r="M58" s="16">
        <f t="shared" ca="1" si="11"/>
        <v>1379</v>
      </c>
      <c r="N58" s="16">
        <f t="shared" ca="1" si="12"/>
        <v>1357.7999999999997</v>
      </c>
    </row>
    <row r="59" spans="1:14" ht="24.75" customHeight="1" x14ac:dyDescent="0.8">
      <c r="A59" s="18" t="s">
        <v>722</v>
      </c>
      <c r="B59" s="10">
        <f ca="1">IFERROR(__xludf.DUMMYFUNCTION("GOOGLEFINANCE(A59,""PRICE"")"),2539)</f>
        <v>2539</v>
      </c>
      <c r="C59" s="11">
        <f ca="1">IFERROR(__xludf.DUMMYFUNCTION("GOOGLEFINANCE(A59,""PRICEOPEN"")"),2536.2)</f>
        <v>2536.1999999999998</v>
      </c>
      <c r="D59" s="11">
        <f ca="1">IFERROR(__xludf.DUMMYFUNCTION("GOOGLEFINANCE(A59,""HIGH"")"),2548.6)</f>
        <v>2548.6</v>
      </c>
      <c r="E59" s="11">
        <f ca="1">IFERROR(__xludf.DUMMYFUNCTION("GOOGLEFINANCE(A59,""LOW"")"),2508.3)</f>
        <v>2508.3000000000002</v>
      </c>
      <c r="F59" s="12" t="str">
        <f t="shared" ca="1" si="7"/>
        <v/>
      </c>
      <c r="G59" s="13">
        <f ca="1">IFERROR(__xludf.DUMMYFUNCTION("GOOGLEFINANCE(A59,""CLOSEYEST"")"),2536.2)</f>
        <v>2536.1999999999998</v>
      </c>
      <c r="H59" s="14" t="str">
        <f t="shared" ca="1" si="13"/>
        <v/>
      </c>
      <c r="I59" s="15">
        <f t="shared" ca="1" si="8"/>
        <v>2531.0333333333333</v>
      </c>
      <c r="J59" s="16">
        <f t="shared" ca="1" si="9"/>
        <v>2553.7666666666664</v>
      </c>
      <c r="K59" s="16"/>
      <c r="L59" s="16">
        <f t="shared" ca="1" si="10"/>
        <v>2513.4666666666667</v>
      </c>
      <c r="M59" s="16">
        <f t="shared" ca="1" si="11"/>
        <v>2571.333333333333</v>
      </c>
      <c r="N59" s="16">
        <f t="shared" ca="1" si="12"/>
        <v>2490.7333333333336</v>
      </c>
    </row>
    <row r="60" spans="1:14" ht="24.75" customHeight="1" x14ac:dyDescent="0.8">
      <c r="A60" s="18" t="s">
        <v>380</v>
      </c>
      <c r="B60" s="10" t="str">
        <f ca="1">IFERROR(__xludf.DUMMYFUNCTION("GOOGLEFINANCE(A60,""PRICE"")"),"#N/A")</f>
        <v>#N/A</v>
      </c>
      <c r="C60" s="11" t="str">
        <f ca="1">IFERROR(__xludf.DUMMYFUNCTION("GOOGLEFINANCE(A60,""PRICEOPEN"")"),"#N/A")</f>
        <v>#N/A</v>
      </c>
      <c r="D60" s="11" t="str">
        <f ca="1">IFERROR(__xludf.DUMMYFUNCTION("GOOGLEFINANCE(A60,""HIGH"")"),"#N/A")</f>
        <v>#N/A</v>
      </c>
      <c r="E60" s="11" t="str">
        <f ca="1">IFERROR(__xludf.DUMMYFUNCTION("GOOGLEFINANCE(A60,""LOW"")"),"#N/A")</f>
        <v>#N/A</v>
      </c>
      <c r="F60" s="12" t="str">
        <f t="shared" ca="1" si="7"/>
        <v>SELL</v>
      </c>
      <c r="G60" s="13" t="str">
        <f ca="1">IFERROR(__xludf.DUMMYFUNCTION("GOOGLEFINANCE(A60,""CLOSEYEST"")"),"#N/A")</f>
        <v>#N/A</v>
      </c>
      <c r="H60" s="14" t="e">
        <f t="shared" ca="1" si="13"/>
        <v>#VALUE!</v>
      </c>
      <c r="I60" s="15" t="e">
        <f t="shared" ca="1" si="8"/>
        <v>#VALUE!</v>
      </c>
      <c r="J60" s="16" t="e">
        <f t="shared" ca="1" si="9"/>
        <v>#VALUE!</v>
      </c>
      <c r="K60" s="16"/>
      <c r="L60" s="16" t="e">
        <f t="shared" ca="1" si="10"/>
        <v>#VALUE!</v>
      </c>
      <c r="M60" s="16" t="e">
        <f t="shared" ca="1" si="11"/>
        <v>#VALUE!</v>
      </c>
      <c r="N60" s="16" t="e">
        <f t="shared" ca="1" si="12"/>
        <v>#VALUE!</v>
      </c>
    </row>
    <row r="61" spans="1:14" ht="24.75" customHeight="1" x14ac:dyDescent="0.8">
      <c r="A61" s="18" t="s">
        <v>20</v>
      </c>
      <c r="B61" s="10">
        <f ca="1">IFERROR(__xludf.DUMMYFUNCTION("GOOGLEFINANCE(A61,""PRICE"")"),990)</f>
        <v>990</v>
      </c>
      <c r="C61" s="11">
        <f ca="1">IFERROR(__xludf.DUMMYFUNCTION("GOOGLEFINANCE(A61,""PRICEOPEN"")"),975)</f>
        <v>975</v>
      </c>
      <c r="D61" s="11">
        <f ca="1">IFERROR(__xludf.DUMMYFUNCTION("GOOGLEFINANCE(A61,""HIGH"")"),992.2)</f>
        <v>992.2</v>
      </c>
      <c r="E61" s="11">
        <f ca="1">IFERROR(__xludf.DUMMYFUNCTION("GOOGLEFINANCE(A61,""LOW"")"),972)</f>
        <v>972</v>
      </c>
      <c r="F61" s="12" t="str">
        <f t="shared" ca="1" si="7"/>
        <v/>
      </c>
      <c r="G61" s="13">
        <f ca="1">IFERROR(__xludf.DUMMYFUNCTION("GOOGLEFINANCE(A61,""CLOSEYEST"")"),987.7)</f>
        <v>987.7</v>
      </c>
      <c r="H61" s="14" t="str">
        <f t="shared" ca="1" si="13"/>
        <v>GAP DOWN</v>
      </c>
      <c r="I61" s="15">
        <f t="shared" ca="1" si="8"/>
        <v>983.9666666666667</v>
      </c>
      <c r="J61" s="16">
        <f t="shared" ca="1" si="9"/>
        <v>995.93333333333339</v>
      </c>
      <c r="K61" s="16"/>
      <c r="L61" s="16">
        <f t="shared" ca="1" si="10"/>
        <v>975.73333333333335</v>
      </c>
      <c r="M61" s="16">
        <f t="shared" ca="1" si="11"/>
        <v>1004.1666666666667</v>
      </c>
      <c r="N61" s="16">
        <f t="shared" ca="1" si="12"/>
        <v>963.76666666666665</v>
      </c>
    </row>
    <row r="62" spans="1:14" ht="24.75" customHeight="1" x14ac:dyDescent="0.8">
      <c r="A62" s="18" t="s">
        <v>21</v>
      </c>
      <c r="B62" s="10">
        <f ca="1">IFERROR(__xludf.DUMMYFUNCTION("GOOGLEFINANCE(A62,""PRICE"")"),867.7)</f>
        <v>867.7</v>
      </c>
      <c r="C62" s="11">
        <f ca="1">IFERROR(__xludf.DUMMYFUNCTION("GOOGLEFINANCE(A62,""PRICEOPEN"")"),865.15)</f>
        <v>865.15</v>
      </c>
      <c r="D62" s="11">
        <f ca="1">IFERROR(__xludf.DUMMYFUNCTION("GOOGLEFINANCE(A62,""HIGH"")"),873)</f>
        <v>873</v>
      </c>
      <c r="E62" s="11">
        <f ca="1">IFERROR(__xludf.DUMMYFUNCTION("GOOGLEFINANCE(A62,""LOW"")"),863.8)</f>
        <v>863.8</v>
      </c>
      <c r="F62" s="12" t="str">
        <f t="shared" ca="1" si="7"/>
        <v/>
      </c>
      <c r="G62" s="13">
        <f ca="1">IFERROR(__xludf.DUMMYFUNCTION("GOOGLEFINANCE(A62,""CLOSEYEST"")"),864.1)</f>
        <v>864.1</v>
      </c>
      <c r="H62" s="14" t="str">
        <f t="shared" ca="1" si="13"/>
        <v/>
      </c>
      <c r="I62" s="15">
        <f t="shared" ca="1" si="8"/>
        <v>866.9666666666667</v>
      </c>
      <c r="J62" s="16">
        <f t="shared" ca="1" si="9"/>
        <v>870.13333333333344</v>
      </c>
      <c r="K62" s="16"/>
      <c r="L62" s="16">
        <f t="shared" ca="1" si="10"/>
        <v>860.93333333333339</v>
      </c>
      <c r="M62" s="16">
        <f t="shared" ca="1" si="11"/>
        <v>876.16666666666674</v>
      </c>
      <c r="N62" s="16">
        <f t="shared" ca="1" si="12"/>
        <v>857.76666666666665</v>
      </c>
    </row>
    <row r="63" spans="1:14" ht="24.75" customHeight="1" x14ac:dyDescent="0.8">
      <c r="A63" s="18" t="s">
        <v>22</v>
      </c>
      <c r="B63" s="10">
        <f ca="1">IFERROR(__xludf.DUMMYFUNCTION("GOOGLEFINANCE(A63,""PRICE"")"),1896.9)</f>
        <v>1896.9</v>
      </c>
      <c r="C63" s="11">
        <f ca="1">IFERROR(__xludf.DUMMYFUNCTION("GOOGLEFINANCE(A63,""PRICEOPEN"")"),1851.2)</f>
        <v>1851.2</v>
      </c>
      <c r="D63" s="11">
        <f ca="1">IFERROR(__xludf.DUMMYFUNCTION("GOOGLEFINANCE(A63,""HIGH"")"),1900.3)</f>
        <v>1900.3</v>
      </c>
      <c r="E63" s="11">
        <f ca="1">IFERROR(__xludf.DUMMYFUNCTION("GOOGLEFINANCE(A63,""LOW"")"),1848.1)</f>
        <v>1848.1</v>
      </c>
      <c r="F63" s="12" t="str">
        <f t="shared" ca="1" si="7"/>
        <v/>
      </c>
      <c r="G63" s="13">
        <f ca="1">IFERROR(__xludf.DUMMYFUNCTION("GOOGLEFINANCE(A63,""CLOSEYEST"")"),1867.6)</f>
        <v>1867.6</v>
      </c>
      <c r="H63" s="14" t="str">
        <f t="shared" ca="1" si="13"/>
        <v/>
      </c>
      <c r="I63" s="15">
        <f t="shared" ca="1" si="8"/>
        <v>1872</v>
      </c>
      <c r="J63" s="16">
        <f t="shared" ca="1" si="9"/>
        <v>1895.9</v>
      </c>
      <c r="K63" s="16"/>
      <c r="L63" s="16">
        <f t="shared" ca="1" si="10"/>
        <v>1843.7</v>
      </c>
      <c r="M63" s="16">
        <f t="shared" ca="1" si="11"/>
        <v>1924.2</v>
      </c>
      <c r="N63" s="16">
        <f t="shared" ca="1" si="12"/>
        <v>1819.8</v>
      </c>
    </row>
    <row r="64" spans="1:14" ht="24.75" customHeight="1" x14ac:dyDescent="0.8">
      <c r="A64" s="18" t="s">
        <v>107</v>
      </c>
      <c r="B64" s="10">
        <f ca="1">IFERROR(__xludf.DUMMYFUNCTION("GOOGLEFINANCE(A64,""PRICE"")"),2108)</f>
        <v>2108</v>
      </c>
      <c r="C64" s="11">
        <f ca="1">IFERROR(__xludf.DUMMYFUNCTION("GOOGLEFINANCE(A64,""PRICEOPEN"")"),2063.3)</f>
        <v>2063.3000000000002</v>
      </c>
      <c r="D64" s="11">
        <f ca="1">IFERROR(__xludf.DUMMYFUNCTION("GOOGLEFINANCE(A64,""HIGH"")"),2108)</f>
        <v>2108</v>
      </c>
      <c r="E64" s="11">
        <f ca="1">IFERROR(__xludf.DUMMYFUNCTION("GOOGLEFINANCE(A64,""LOW"")"),2062)</f>
        <v>2062</v>
      </c>
      <c r="F64" s="12" t="str">
        <f t="shared" ca="1" si="7"/>
        <v/>
      </c>
      <c r="G64" s="13">
        <f ca="1">IFERROR(__xludf.DUMMYFUNCTION("GOOGLEFINANCE(A64,""CLOSEYEST"")"),2063.3)</f>
        <v>2063.3000000000002</v>
      </c>
      <c r="H64" s="14" t="str">
        <f t="shared" ca="1" si="13"/>
        <v/>
      </c>
      <c r="I64" s="15">
        <f t="shared" ca="1" si="8"/>
        <v>2077.7666666666669</v>
      </c>
      <c r="J64" s="16">
        <f t="shared" ca="1" si="9"/>
        <v>2093.5333333333338</v>
      </c>
      <c r="K64" s="16"/>
      <c r="L64" s="16">
        <f t="shared" ca="1" si="10"/>
        <v>2047.5333333333338</v>
      </c>
      <c r="M64" s="16">
        <f t="shared" ca="1" si="11"/>
        <v>2123.7666666666669</v>
      </c>
      <c r="N64" s="16">
        <f t="shared" ca="1" si="12"/>
        <v>2031.7666666666669</v>
      </c>
    </row>
    <row r="65" spans="1:14" ht="24.75" customHeight="1" x14ac:dyDescent="0.8">
      <c r="A65" s="18" t="s">
        <v>1571</v>
      </c>
      <c r="B65" s="10">
        <f ca="1">IFERROR(__xludf.DUMMYFUNCTION("GOOGLEFINANCE(A65,""PRICE"")"),241.2)</f>
        <v>241.2</v>
      </c>
      <c r="C65" s="11">
        <f ca="1">IFERROR(__xludf.DUMMYFUNCTION("GOOGLEFINANCE(A65,""PRICEOPEN"")"),240.98)</f>
        <v>240.98</v>
      </c>
      <c r="D65" s="11">
        <f ca="1">IFERROR(__xludf.DUMMYFUNCTION("GOOGLEFINANCE(A65,""HIGH"")"),241.4)</f>
        <v>241.4</v>
      </c>
      <c r="E65" s="11">
        <f ca="1">IFERROR(__xludf.DUMMYFUNCTION("GOOGLEFINANCE(A65,""LOW"")"),238.06)</f>
        <v>238.06</v>
      </c>
      <c r="F65" s="12" t="str">
        <f t="shared" ca="1" si="7"/>
        <v/>
      </c>
      <c r="G65" s="13">
        <f ca="1">IFERROR(__xludf.DUMMYFUNCTION("GOOGLEFINANCE(A65,""CLOSEYEST"")"),241.07)</f>
        <v>241.07</v>
      </c>
      <c r="H65" s="14" t="str">
        <f t="shared" ca="1" si="13"/>
        <v/>
      </c>
      <c r="I65" s="15">
        <f t="shared" ca="1" si="8"/>
        <v>240.17666666666665</v>
      </c>
      <c r="J65" s="16">
        <f t="shared" ca="1" si="9"/>
        <v>242.29333333333329</v>
      </c>
      <c r="K65" s="16"/>
      <c r="L65" s="16">
        <f t="shared" ca="1" si="10"/>
        <v>238.95333333333329</v>
      </c>
      <c r="M65" s="16">
        <f t="shared" ca="1" si="11"/>
        <v>243.51666666666665</v>
      </c>
      <c r="N65" s="16">
        <f t="shared" ca="1" si="12"/>
        <v>236.83666666666664</v>
      </c>
    </row>
    <row r="66" spans="1:14" ht="24.75" customHeight="1" x14ac:dyDescent="0.8">
      <c r="A66" s="18" t="s">
        <v>124</v>
      </c>
      <c r="B66" s="10">
        <f ca="1">IFERROR(__xludf.DUMMYFUNCTION("GOOGLEFINANCE(A66,""PRICE"")"),1392.8)</f>
        <v>1392.8</v>
      </c>
      <c r="C66" s="11">
        <f ca="1">IFERROR(__xludf.DUMMYFUNCTION("GOOGLEFINANCE(A66,""PRICEOPEN"")"),1396.5)</f>
        <v>1396.5</v>
      </c>
      <c r="D66" s="11">
        <f ca="1">IFERROR(__xludf.DUMMYFUNCTION("GOOGLEFINANCE(A66,""HIGH"")"),1399.8)</f>
        <v>1399.8</v>
      </c>
      <c r="E66" s="11">
        <f ca="1">IFERROR(__xludf.DUMMYFUNCTION("GOOGLEFINANCE(A66,""LOW"")"),1380.4)</f>
        <v>1380.4</v>
      </c>
      <c r="F66" s="12" t="str">
        <f t="shared" ca="1" si="7"/>
        <v/>
      </c>
      <c r="G66" s="13">
        <f ca="1">IFERROR(__xludf.DUMMYFUNCTION("GOOGLEFINANCE(A66,""CLOSEYEST"")"),1389.5)</f>
        <v>1389.5</v>
      </c>
      <c r="H66" s="14" t="str">
        <f t="shared" ca="1" si="13"/>
        <v/>
      </c>
      <c r="I66" s="15">
        <f t="shared" ca="1" si="8"/>
        <v>1389.8999999999999</v>
      </c>
      <c r="J66" s="16">
        <f t="shared" ca="1" si="9"/>
        <v>1399.3999999999996</v>
      </c>
      <c r="K66" s="16"/>
      <c r="L66" s="16">
        <f t="shared" ca="1" si="10"/>
        <v>1379.9999999999998</v>
      </c>
      <c r="M66" s="16">
        <f t="shared" ca="1" si="11"/>
        <v>1409.2999999999997</v>
      </c>
      <c r="N66" s="16">
        <f t="shared" ca="1" si="12"/>
        <v>1370.5</v>
      </c>
    </row>
    <row r="67" spans="1:14" ht="24.75" customHeight="1" x14ac:dyDescent="0.8">
      <c r="A67" s="18" t="s">
        <v>384</v>
      </c>
      <c r="B67" s="10">
        <f ca="1">IFERROR(__xludf.DUMMYFUNCTION("GOOGLEFINANCE(A67,""PRICE"")"),2358.1)</f>
        <v>2358.1</v>
      </c>
      <c r="C67" s="11">
        <f ca="1">IFERROR(__xludf.DUMMYFUNCTION("GOOGLEFINANCE(A67,""PRICEOPEN"")"),2342.2)</f>
        <v>2342.1999999999998</v>
      </c>
      <c r="D67" s="11">
        <f ca="1">IFERROR(__xludf.DUMMYFUNCTION("GOOGLEFINANCE(A67,""HIGH"")"),2362.7)</f>
        <v>2362.6999999999998</v>
      </c>
      <c r="E67" s="11">
        <f ca="1">IFERROR(__xludf.DUMMYFUNCTION("GOOGLEFINANCE(A67,""LOW"")"),2336.1)</f>
        <v>2336.1</v>
      </c>
      <c r="F67" s="12" t="str">
        <f t="shared" ca="1" si="7"/>
        <v/>
      </c>
      <c r="G67" s="13">
        <f ca="1">IFERROR(__xludf.DUMMYFUNCTION("GOOGLEFINANCE(A67,""CLOSEYEST"")"),2335.8)</f>
        <v>2335.8000000000002</v>
      </c>
      <c r="H67" s="14" t="str">
        <f t="shared" ca="1" si="13"/>
        <v/>
      </c>
      <c r="I67" s="15">
        <f t="shared" ca="1" si="8"/>
        <v>2344.8666666666663</v>
      </c>
      <c r="J67" s="16">
        <f t="shared" ca="1" si="9"/>
        <v>2353.6333333333328</v>
      </c>
      <c r="K67" s="16"/>
      <c r="L67" s="16">
        <f t="shared" ca="1" si="10"/>
        <v>2327.0333333333328</v>
      </c>
      <c r="M67" s="16">
        <f t="shared" ca="1" si="11"/>
        <v>2371.4666666666662</v>
      </c>
      <c r="N67" s="16">
        <f t="shared" ca="1" si="12"/>
        <v>2318.2666666666664</v>
      </c>
    </row>
    <row r="68" spans="1:14" ht="24.75" customHeight="1" x14ac:dyDescent="0.8">
      <c r="A68" s="18" t="s">
        <v>126</v>
      </c>
      <c r="B68" s="10">
        <f ca="1">IFERROR(__xludf.DUMMYFUNCTION("GOOGLEFINANCE(A68,""PRICE"")"),1994.2)</f>
        <v>1994.2</v>
      </c>
      <c r="C68" s="11">
        <f ca="1">IFERROR(__xludf.DUMMYFUNCTION("GOOGLEFINANCE(A68,""PRICEOPEN"")"),2016.5)</f>
        <v>2016.5</v>
      </c>
      <c r="D68" s="11">
        <f ca="1">IFERROR(__xludf.DUMMYFUNCTION("GOOGLEFINANCE(A68,""HIGH"")"),2017)</f>
        <v>2017</v>
      </c>
      <c r="E68" s="11">
        <f ca="1">IFERROR(__xludf.DUMMYFUNCTION("GOOGLEFINANCE(A68,""LOW"")"),1968)</f>
        <v>1968</v>
      </c>
      <c r="F68" s="12" t="str">
        <f t="shared" ca="1" si="7"/>
        <v/>
      </c>
      <c r="G68" s="13">
        <f ca="1">IFERROR(__xludf.DUMMYFUNCTION("GOOGLEFINANCE(A68,""CLOSEYEST"")"),2007)</f>
        <v>2007</v>
      </c>
      <c r="H68" s="14" t="str">
        <f t="shared" ca="1" si="13"/>
        <v/>
      </c>
      <c r="I68" s="15">
        <f t="shared" ca="1" si="8"/>
        <v>1997.3333333333333</v>
      </c>
      <c r="J68" s="16">
        <f t="shared" ca="1" si="9"/>
        <v>2026.6666666666665</v>
      </c>
      <c r="K68" s="16"/>
      <c r="L68" s="16">
        <f t="shared" ca="1" si="10"/>
        <v>1977.6666666666665</v>
      </c>
      <c r="M68" s="16">
        <f t="shared" ca="1" si="11"/>
        <v>2046.3333333333333</v>
      </c>
      <c r="N68" s="16">
        <f t="shared" ca="1" si="12"/>
        <v>1948.3333333333333</v>
      </c>
    </row>
    <row r="69" spans="1:14" ht="24.75" customHeight="1" x14ac:dyDescent="0.8">
      <c r="A69" s="18" t="s">
        <v>123</v>
      </c>
      <c r="B69" s="10">
        <f ca="1">IFERROR(__xludf.DUMMYFUNCTION("GOOGLEFINANCE(A69,""PRICE"")"),4420)</f>
        <v>4420</v>
      </c>
      <c r="C69" s="11">
        <f ca="1">IFERROR(__xludf.DUMMYFUNCTION("GOOGLEFINANCE(A69,""PRICEOPEN"")"),4445)</f>
        <v>4445</v>
      </c>
      <c r="D69" s="11">
        <f ca="1">IFERROR(__xludf.DUMMYFUNCTION("GOOGLEFINANCE(A69,""HIGH"")"),4445)</f>
        <v>4445</v>
      </c>
      <c r="E69" s="11">
        <f ca="1">IFERROR(__xludf.DUMMYFUNCTION("GOOGLEFINANCE(A69,""LOW"")"),4387.1)</f>
        <v>4387.1000000000004</v>
      </c>
      <c r="F69" s="12" t="str">
        <f t="shared" ca="1" si="7"/>
        <v>SELL</v>
      </c>
      <c r="G69" s="13">
        <f ca="1">IFERROR(__xludf.DUMMYFUNCTION("GOOGLEFINANCE(A69,""CLOSEYEST"")"),4449.9)</f>
        <v>4449.8999999999996</v>
      </c>
      <c r="H69" s="14" t="str">
        <f t="shared" ca="1" si="13"/>
        <v/>
      </c>
      <c r="I69" s="15">
        <f t="shared" ca="1" si="8"/>
        <v>4427.333333333333</v>
      </c>
      <c r="J69" s="16">
        <f t="shared" ca="1" si="9"/>
        <v>4467.5666666666657</v>
      </c>
      <c r="K69" s="16"/>
      <c r="L69" s="16">
        <f t="shared" ca="1" si="10"/>
        <v>4409.6666666666661</v>
      </c>
      <c r="M69" s="16">
        <f t="shared" ca="1" si="11"/>
        <v>4485.2333333333327</v>
      </c>
      <c r="N69" s="16">
        <f t="shared" ca="1" si="12"/>
        <v>4369.4333333333334</v>
      </c>
    </row>
    <row r="70" spans="1:14" ht="24.75" customHeight="1" x14ac:dyDescent="0.8">
      <c r="A70" s="18" t="s">
        <v>230</v>
      </c>
      <c r="B70" s="10">
        <f ca="1">IFERROR(__xludf.DUMMYFUNCTION("GOOGLEFINANCE(A70,""PRICE"")"),3742.9)</f>
        <v>3742.9</v>
      </c>
      <c r="C70" s="11">
        <f ca="1">IFERROR(__xludf.DUMMYFUNCTION("GOOGLEFINANCE(A70,""PRICEOPEN"")"),3690)</f>
        <v>3690</v>
      </c>
      <c r="D70" s="11">
        <f ca="1">IFERROR(__xludf.DUMMYFUNCTION("GOOGLEFINANCE(A70,""HIGH"")"),3746)</f>
        <v>3746</v>
      </c>
      <c r="E70" s="11">
        <f ca="1">IFERROR(__xludf.DUMMYFUNCTION("GOOGLEFINANCE(A70,""LOW"")"),3666.3)</f>
        <v>3666.3</v>
      </c>
      <c r="F70" s="12" t="str">
        <f t="shared" ca="1" si="7"/>
        <v/>
      </c>
      <c r="G70" s="13">
        <f ca="1">IFERROR(__xludf.DUMMYFUNCTION("GOOGLEFINANCE(A70,""CLOSEYEST"")"),3670.3)</f>
        <v>3670.3</v>
      </c>
      <c r="H70" s="14" t="str">
        <f t="shared" ca="1" si="13"/>
        <v/>
      </c>
      <c r="I70" s="15">
        <f t="shared" ca="1" si="8"/>
        <v>3694.2000000000003</v>
      </c>
      <c r="J70" s="16">
        <f t="shared" ca="1" si="9"/>
        <v>3722.1000000000004</v>
      </c>
      <c r="K70" s="16"/>
      <c r="L70" s="16">
        <f t="shared" ca="1" si="10"/>
        <v>3642.4000000000005</v>
      </c>
      <c r="M70" s="16">
        <f t="shared" ca="1" si="11"/>
        <v>3773.9</v>
      </c>
      <c r="N70" s="16">
        <f t="shared" ca="1" si="12"/>
        <v>3614.5000000000005</v>
      </c>
    </row>
    <row r="71" spans="1:14" ht="24.75" customHeight="1" x14ac:dyDescent="0.8">
      <c r="A71" s="18" t="s">
        <v>300</v>
      </c>
      <c r="B71" s="10" t="str">
        <f ca="1">IFERROR(__xludf.DUMMYFUNCTION("GOOGLEFINANCE(A71,""PRICE"")"),"#N/A")</f>
        <v>#N/A</v>
      </c>
      <c r="C71" s="11" t="str">
        <f ca="1">IFERROR(__xludf.DUMMYFUNCTION("GOOGLEFINANCE(A71,""PRICEOPEN"")"),"#N/A")</f>
        <v>#N/A</v>
      </c>
      <c r="D71" s="11" t="str">
        <f ca="1">IFERROR(__xludf.DUMMYFUNCTION("GOOGLEFINANCE(A71,""HIGH"")"),"#N/A")</f>
        <v>#N/A</v>
      </c>
      <c r="E71" s="11" t="str">
        <f ca="1">IFERROR(__xludf.DUMMYFUNCTION("GOOGLEFINANCE(A71,""LOW"")"),"#N/A")</f>
        <v>#N/A</v>
      </c>
      <c r="F71" s="12" t="str">
        <f t="shared" ca="1" si="7"/>
        <v>SELL</v>
      </c>
      <c r="G71" s="13" t="str">
        <f ca="1">IFERROR(__xludf.DUMMYFUNCTION("GOOGLEFINANCE(A71,""CLOSEYEST"")"),"#N/A")</f>
        <v>#N/A</v>
      </c>
      <c r="H71" s="14" t="e">
        <f t="shared" ca="1" si="13"/>
        <v>#VALUE!</v>
      </c>
      <c r="I71" s="15" t="e">
        <f t="shared" ca="1" si="8"/>
        <v>#VALUE!</v>
      </c>
      <c r="J71" s="16" t="e">
        <f t="shared" ca="1" si="9"/>
        <v>#VALUE!</v>
      </c>
      <c r="K71" s="16"/>
      <c r="L71" s="16" t="e">
        <f t="shared" ca="1" si="10"/>
        <v>#VALUE!</v>
      </c>
      <c r="M71" s="16" t="e">
        <f t="shared" ca="1" si="11"/>
        <v>#VALUE!</v>
      </c>
      <c r="N71" s="16" t="e">
        <f t="shared" ca="1" si="12"/>
        <v>#VALUE!</v>
      </c>
    </row>
    <row r="72" spans="1:14" ht="24.75" customHeight="1" x14ac:dyDescent="0.8">
      <c r="A72" s="18" t="s">
        <v>210</v>
      </c>
      <c r="B72" s="10">
        <f ca="1">IFERROR(__xludf.DUMMYFUNCTION("GOOGLEFINANCE(A72,""PRICE"")"),1072.5)</f>
        <v>1072.5</v>
      </c>
      <c r="C72" s="11">
        <f ca="1">IFERROR(__xludf.DUMMYFUNCTION("GOOGLEFINANCE(A72,""PRICEOPEN"")"),1068.6)</f>
        <v>1068.5999999999999</v>
      </c>
      <c r="D72" s="11">
        <f ca="1">IFERROR(__xludf.DUMMYFUNCTION("GOOGLEFINANCE(A72,""HIGH"")"),1078.8)</f>
        <v>1078.8</v>
      </c>
      <c r="E72" s="11">
        <f ca="1">IFERROR(__xludf.DUMMYFUNCTION("GOOGLEFINANCE(A72,""LOW"")"),1054.3)</f>
        <v>1054.3</v>
      </c>
      <c r="F72" s="12" t="str">
        <f t="shared" ca="1" si="7"/>
        <v/>
      </c>
      <c r="G72" s="13">
        <f ca="1">IFERROR(__xludf.DUMMYFUNCTION("GOOGLEFINANCE(A72,""CLOSEYEST"")"),1064.7)</f>
        <v>1064.7</v>
      </c>
      <c r="H72" s="14" t="str">
        <f t="shared" ca="1" si="13"/>
        <v/>
      </c>
      <c r="I72" s="15">
        <f t="shared" ca="1" si="8"/>
        <v>1065.9333333333334</v>
      </c>
      <c r="J72" s="16">
        <f t="shared" ca="1" si="9"/>
        <v>1077.5666666666668</v>
      </c>
      <c r="K72" s="16"/>
      <c r="L72" s="16">
        <f t="shared" ca="1" si="10"/>
        <v>1053.0666666666668</v>
      </c>
      <c r="M72" s="16">
        <f t="shared" ca="1" si="11"/>
        <v>1090.4333333333334</v>
      </c>
      <c r="N72" s="16">
        <f t="shared" ca="1" si="12"/>
        <v>1041.4333333333334</v>
      </c>
    </row>
    <row r="73" spans="1:14" ht="24.75" customHeight="1" x14ac:dyDescent="0.8">
      <c r="A73" s="18" t="s">
        <v>228</v>
      </c>
      <c r="B73" s="10">
        <f ca="1">IFERROR(__xludf.DUMMYFUNCTION("GOOGLEFINANCE(A73,""PRICE"")"),15808)</f>
        <v>15808</v>
      </c>
      <c r="C73" s="11">
        <f ca="1">IFERROR(__xludf.DUMMYFUNCTION("GOOGLEFINANCE(A73,""PRICEOPEN"")"),15949)</f>
        <v>15949</v>
      </c>
      <c r="D73" s="11">
        <f ca="1">IFERROR(__xludf.DUMMYFUNCTION("GOOGLEFINANCE(A73,""HIGH"")"),16025)</f>
        <v>16025</v>
      </c>
      <c r="E73" s="11">
        <f ca="1">IFERROR(__xludf.DUMMYFUNCTION("GOOGLEFINANCE(A73,""LOW"")"),15736)</f>
        <v>15736</v>
      </c>
      <c r="F73" s="12" t="str">
        <f t="shared" ca="1" si="7"/>
        <v/>
      </c>
      <c r="G73" s="13">
        <f ca="1">IFERROR(__xludf.DUMMYFUNCTION("GOOGLEFINANCE(A73,""CLOSEYEST"")"),15965)</f>
        <v>15965</v>
      </c>
      <c r="H73" s="14" t="str">
        <f t="shared" ca="1" si="13"/>
        <v/>
      </c>
      <c r="I73" s="15">
        <f t="shared" ca="1" si="8"/>
        <v>15908.666666666666</v>
      </c>
      <c r="J73" s="16">
        <f t="shared" ca="1" si="9"/>
        <v>16081.333333333332</v>
      </c>
      <c r="K73" s="16"/>
      <c r="L73" s="16">
        <f t="shared" ca="1" si="10"/>
        <v>15792.333333333332</v>
      </c>
      <c r="M73" s="16">
        <f t="shared" ca="1" si="11"/>
        <v>16197.666666666666</v>
      </c>
      <c r="N73" s="16">
        <f t="shared" ca="1" si="12"/>
        <v>15619.666666666666</v>
      </c>
    </row>
    <row r="74" spans="1:14" ht="24.75" customHeight="1" x14ac:dyDescent="0.8">
      <c r="A74" s="18" t="s">
        <v>89</v>
      </c>
      <c r="B74" s="10">
        <f ca="1">IFERROR(__xludf.DUMMYFUNCTION("GOOGLEFINANCE(A74,""PRICE"")"),6.32)</f>
        <v>6.32</v>
      </c>
      <c r="C74" s="11">
        <f ca="1">IFERROR(__xludf.DUMMYFUNCTION("GOOGLEFINANCE(A74,""PRICEOPEN"")"),6.32)</f>
        <v>6.32</v>
      </c>
      <c r="D74" s="11">
        <f ca="1">IFERROR(__xludf.DUMMYFUNCTION("GOOGLEFINANCE(A74,""HIGH"")"),6.32)</f>
        <v>6.32</v>
      </c>
      <c r="E74" s="11">
        <f ca="1">IFERROR(__xludf.DUMMYFUNCTION("GOOGLEFINANCE(A74,""LOW"")"),6.24)</f>
        <v>6.24</v>
      </c>
      <c r="F74" s="12" t="str">
        <f t="shared" ca="1" si="7"/>
        <v>SELL</v>
      </c>
      <c r="G74" s="13">
        <f ca="1">IFERROR(__xludf.DUMMYFUNCTION("GOOGLEFINANCE(A74,""CLOSEYEST"")"),6.32)</f>
        <v>6.32</v>
      </c>
      <c r="H74" s="14" t="str">
        <f t="shared" ca="1" si="13"/>
        <v/>
      </c>
      <c r="I74" s="15">
        <f t="shared" ca="1" si="8"/>
        <v>6.2933333333333339</v>
      </c>
      <c r="J74" s="16">
        <f t="shared" ca="1" si="9"/>
        <v>6.3466666666666676</v>
      </c>
      <c r="K74" s="16"/>
      <c r="L74" s="16">
        <f t="shared" ca="1" si="10"/>
        <v>6.2666666666666675</v>
      </c>
      <c r="M74" s="16">
        <f t="shared" ca="1" si="11"/>
        <v>6.373333333333334</v>
      </c>
      <c r="N74" s="16">
        <f t="shared" ca="1" si="12"/>
        <v>6.2133333333333338</v>
      </c>
    </row>
    <row r="75" spans="1:14" ht="24.75" customHeight="1" x14ac:dyDescent="0.8">
      <c r="A75" s="18" t="s">
        <v>418</v>
      </c>
      <c r="B75" s="10">
        <f ca="1">IFERROR(__xludf.DUMMYFUNCTION("GOOGLEFINANCE(A75,""PRICE"")"),1183)</f>
        <v>1183</v>
      </c>
      <c r="C75" s="11">
        <f ca="1">IFERROR(__xludf.DUMMYFUNCTION("GOOGLEFINANCE(A75,""PRICEOPEN"")"),1171)</f>
        <v>1171</v>
      </c>
      <c r="D75" s="11">
        <f ca="1">IFERROR(__xludf.DUMMYFUNCTION("GOOGLEFINANCE(A75,""HIGH"")"),1188)</f>
        <v>1188</v>
      </c>
      <c r="E75" s="11">
        <f ca="1">IFERROR(__xludf.DUMMYFUNCTION("GOOGLEFINANCE(A75,""LOW"")"),1169.5)</f>
        <v>1169.5</v>
      </c>
      <c r="F75" s="12" t="str">
        <f t="shared" ca="1" si="7"/>
        <v/>
      </c>
      <c r="G75" s="13">
        <f ca="1">IFERROR(__xludf.DUMMYFUNCTION("GOOGLEFINANCE(A75,""CLOSEYEST"")"),1159.5)</f>
        <v>1159.5</v>
      </c>
      <c r="H75" s="14" t="str">
        <f t="shared" ca="1" si="13"/>
        <v/>
      </c>
      <c r="I75" s="15">
        <f t="shared" ca="1" si="8"/>
        <v>1172.3333333333333</v>
      </c>
      <c r="J75" s="16">
        <f t="shared" ca="1" si="9"/>
        <v>1175.1666666666665</v>
      </c>
      <c r="K75" s="16"/>
      <c r="L75" s="16">
        <f t="shared" ca="1" si="10"/>
        <v>1156.6666666666665</v>
      </c>
      <c r="M75" s="16">
        <f t="shared" ca="1" si="11"/>
        <v>1190.8333333333333</v>
      </c>
      <c r="N75" s="16">
        <f t="shared" ca="1" si="12"/>
        <v>1153.8333333333333</v>
      </c>
    </row>
    <row r="76" spans="1:14" ht="24.75" customHeight="1" x14ac:dyDescent="0.8">
      <c r="A76" s="18" t="s">
        <v>117</v>
      </c>
      <c r="B76" s="10">
        <f ca="1">IFERROR(__xludf.DUMMYFUNCTION("GOOGLEFINANCE(A76,""PRICE"")"),12018)</f>
        <v>12018</v>
      </c>
      <c r="C76" s="11">
        <f ca="1">IFERROR(__xludf.DUMMYFUNCTION("GOOGLEFINANCE(A76,""PRICEOPEN"")"),12095)</f>
        <v>12095</v>
      </c>
      <c r="D76" s="11">
        <f ca="1">IFERROR(__xludf.DUMMYFUNCTION("GOOGLEFINANCE(A76,""HIGH"")"),12139)</f>
        <v>12139</v>
      </c>
      <c r="E76" s="11">
        <f ca="1">IFERROR(__xludf.DUMMYFUNCTION("GOOGLEFINANCE(A76,""LOW"")"),11982)</f>
        <v>11982</v>
      </c>
      <c r="F76" s="12" t="str">
        <f t="shared" ca="1" si="7"/>
        <v/>
      </c>
      <c r="G76" s="13">
        <f ca="1">IFERROR(__xludf.DUMMYFUNCTION("GOOGLEFINANCE(A76,""CLOSEYEST"")"),12095)</f>
        <v>12095</v>
      </c>
      <c r="H76" s="14" t="str">
        <f t="shared" ca="1" si="13"/>
        <v/>
      </c>
      <c r="I76" s="15">
        <f t="shared" ca="1" si="8"/>
        <v>12072</v>
      </c>
      <c r="J76" s="16">
        <f t="shared" ca="1" si="9"/>
        <v>12162</v>
      </c>
      <c r="K76" s="16"/>
      <c r="L76" s="16">
        <f t="shared" ca="1" si="10"/>
        <v>12005</v>
      </c>
      <c r="M76" s="16">
        <f t="shared" ca="1" si="11"/>
        <v>12229</v>
      </c>
      <c r="N76" s="16">
        <f t="shared" ca="1" si="12"/>
        <v>11915</v>
      </c>
    </row>
    <row r="77" spans="1:14" ht="24.75" customHeight="1" x14ac:dyDescent="0.8">
      <c r="A77" s="18" t="s">
        <v>164</v>
      </c>
      <c r="B77" s="10" t="str">
        <f ca="1">IFERROR(__xludf.DUMMYFUNCTION("GOOGLEFINANCE(A77,""PRICE"")"),"#N/A")</f>
        <v>#N/A</v>
      </c>
      <c r="C77" s="11" t="str">
        <f ca="1">IFERROR(__xludf.DUMMYFUNCTION("GOOGLEFINANCE(A77,""PRICEOPEN"")"),"#N/A")</f>
        <v>#N/A</v>
      </c>
      <c r="D77" s="11" t="str">
        <f ca="1">IFERROR(__xludf.DUMMYFUNCTION("GOOGLEFINANCE(A77,""HIGH"")"),"#N/A")</f>
        <v>#N/A</v>
      </c>
      <c r="E77" s="11" t="str">
        <f ca="1">IFERROR(__xludf.DUMMYFUNCTION("GOOGLEFINANCE(A77,""LOW"")"),"#N/A")</f>
        <v>#N/A</v>
      </c>
      <c r="F77" s="12" t="str">
        <f t="shared" ca="1" si="7"/>
        <v>SELL</v>
      </c>
      <c r="G77" s="13" t="str">
        <f ca="1">IFERROR(__xludf.DUMMYFUNCTION("GOOGLEFINANCE(A77,""CLOSEYEST"")"),"#N/A")</f>
        <v>#N/A</v>
      </c>
      <c r="H77" s="14" t="e">
        <f t="shared" ca="1" si="13"/>
        <v>#VALUE!</v>
      </c>
      <c r="I77" s="15" t="e">
        <f t="shared" ca="1" si="8"/>
        <v>#VALUE!</v>
      </c>
      <c r="J77" s="16" t="e">
        <f t="shared" ca="1" si="9"/>
        <v>#VALUE!</v>
      </c>
      <c r="K77" s="16"/>
      <c r="L77" s="16" t="e">
        <f t="shared" ca="1" si="10"/>
        <v>#VALUE!</v>
      </c>
      <c r="M77" s="16" t="e">
        <f t="shared" ca="1" si="11"/>
        <v>#VALUE!</v>
      </c>
      <c r="N77" s="16" t="e">
        <f t="shared" ca="1" si="12"/>
        <v>#VALUE!</v>
      </c>
    </row>
    <row r="78" spans="1:14" ht="24.75" customHeight="1" x14ac:dyDescent="0.8">
      <c r="A78" s="18" t="s">
        <v>237</v>
      </c>
      <c r="B78" s="10">
        <f ca="1">IFERROR(__xludf.DUMMYFUNCTION("GOOGLEFINANCE(A78,""PRICE"")"),243.78)</f>
        <v>243.78</v>
      </c>
      <c r="C78" s="11">
        <f ca="1">IFERROR(__xludf.DUMMYFUNCTION("GOOGLEFINANCE(A78,""PRICEOPEN"")"),242.5)</f>
        <v>242.5</v>
      </c>
      <c r="D78" s="11">
        <f ca="1">IFERROR(__xludf.DUMMYFUNCTION("GOOGLEFINANCE(A78,""HIGH"")"),244.2)</f>
        <v>244.2</v>
      </c>
      <c r="E78" s="11">
        <f ca="1">IFERROR(__xludf.DUMMYFUNCTION("GOOGLEFINANCE(A78,""LOW"")"),239.7)</f>
        <v>239.7</v>
      </c>
      <c r="F78" s="12" t="str">
        <f t="shared" ca="1" si="7"/>
        <v/>
      </c>
      <c r="G78" s="13">
        <f ca="1">IFERROR(__xludf.DUMMYFUNCTION("GOOGLEFINANCE(A78,""CLOSEYEST"")"),243.04)</f>
        <v>243.04</v>
      </c>
      <c r="H78" s="14" t="str">
        <f t="shared" ca="1" si="13"/>
        <v/>
      </c>
      <c r="I78" s="15">
        <f t="shared" ca="1" si="8"/>
        <v>242.3133333333333</v>
      </c>
      <c r="J78" s="16">
        <f t="shared" ca="1" si="9"/>
        <v>244.92666666666662</v>
      </c>
      <c r="K78" s="16"/>
      <c r="L78" s="16">
        <f t="shared" ca="1" si="10"/>
        <v>240.42666666666662</v>
      </c>
      <c r="M78" s="16">
        <f t="shared" ca="1" si="11"/>
        <v>246.8133333333333</v>
      </c>
      <c r="N78" s="16">
        <f t="shared" ca="1" si="12"/>
        <v>237.8133333333333</v>
      </c>
    </row>
    <row r="79" spans="1:14" ht="24.75" customHeight="1" x14ac:dyDescent="0.8">
      <c r="A79" s="18" t="s">
        <v>23</v>
      </c>
      <c r="B79" s="10">
        <f ca="1">IFERROR(__xludf.DUMMYFUNCTION("GOOGLEFINANCE(A79,""PRICE"")"),2586.1)</f>
        <v>2586.1</v>
      </c>
      <c r="C79" s="11">
        <f ca="1">IFERROR(__xludf.DUMMYFUNCTION("GOOGLEFINANCE(A79,""PRICEOPEN"")"),2595)</f>
        <v>2595</v>
      </c>
      <c r="D79" s="11">
        <f ca="1">IFERROR(__xludf.DUMMYFUNCTION("GOOGLEFINANCE(A79,""HIGH"")"),2612.9)</f>
        <v>2612.9</v>
      </c>
      <c r="E79" s="11">
        <f ca="1">IFERROR(__xludf.DUMMYFUNCTION("GOOGLEFINANCE(A79,""LOW"")"),2564.4)</f>
        <v>2564.4</v>
      </c>
      <c r="F79" s="12" t="str">
        <f t="shared" ca="1" si="7"/>
        <v/>
      </c>
      <c r="G79" s="13">
        <f ca="1">IFERROR(__xludf.DUMMYFUNCTION("GOOGLEFINANCE(A79,""CLOSEYEST"")"),2592.7)</f>
        <v>2592.6999999999998</v>
      </c>
      <c r="H79" s="14" t="str">
        <f t="shared" ca="1" si="13"/>
        <v/>
      </c>
      <c r="I79" s="15">
        <f t="shared" ca="1" si="8"/>
        <v>2590</v>
      </c>
      <c r="J79" s="16">
        <f t="shared" ca="1" si="9"/>
        <v>2615.6</v>
      </c>
      <c r="K79" s="16"/>
      <c r="L79" s="16">
        <f t="shared" ca="1" si="10"/>
        <v>2567.1</v>
      </c>
      <c r="M79" s="16">
        <f t="shared" ca="1" si="11"/>
        <v>2638.5</v>
      </c>
      <c r="N79" s="16">
        <f t="shared" ca="1" si="12"/>
        <v>2541.5</v>
      </c>
    </row>
    <row r="80" spans="1:14" ht="24.75" customHeight="1" x14ac:dyDescent="0.8">
      <c r="A80" s="18" t="s">
        <v>24</v>
      </c>
      <c r="B80" s="10">
        <f ca="1">IFERROR(__xludf.DUMMYFUNCTION("GOOGLEFINANCE(A80,""PRICE"")"),1632)</f>
        <v>1632</v>
      </c>
      <c r="C80" s="11">
        <f ca="1">IFERROR(__xludf.DUMMYFUNCTION("GOOGLEFINANCE(A80,""PRICEOPEN"")"),1600)</f>
        <v>1600</v>
      </c>
      <c r="D80" s="11">
        <f ca="1">IFERROR(__xludf.DUMMYFUNCTION("GOOGLEFINANCE(A80,""HIGH"")"),1645.5)</f>
        <v>1645.5</v>
      </c>
      <c r="E80" s="11">
        <f ca="1">IFERROR(__xludf.DUMMYFUNCTION("GOOGLEFINANCE(A80,""LOW"")"),1600)</f>
        <v>1600</v>
      </c>
      <c r="F80" s="12" t="str">
        <f t="shared" ca="1" si="7"/>
        <v>BUY</v>
      </c>
      <c r="G80" s="13">
        <f ca="1">IFERROR(__xludf.DUMMYFUNCTION("GOOGLEFINANCE(A80,""CLOSEYEST"")"),1636.2)</f>
        <v>1636.2</v>
      </c>
      <c r="H80" s="14" t="str">
        <f t="shared" ca="1" si="13"/>
        <v>GAP DOWN</v>
      </c>
      <c r="I80" s="15">
        <f t="shared" ca="1" si="8"/>
        <v>1627.2333333333333</v>
      </c>
      <c r="J80" s="16">
        <f t="shared" ca="1" si="9"/>
        <v>1654.4666666666667</v>
      </c>
      <c r="K80" s="16"/>
      <c r="L80" s="16">
        <f t="shared" ca="1" si="10"/>
        <v>1608.9666666666667</v>
      </c>
      <c r="M80" s="16">
        <f t="shared" ca="1" si="11"/>
        <v>1672.7333333333333</v>
      </c>
      <c r="N80" s="16">
        <f t="shared" ca="1" si="12"/>
        <v>1581.7333333333333</v>
      </c>
    </row>
    <row r="81" spans="1:14" ht="24.75" customHeight="1" x14ac:dyDescent="0.8">
      <c r="A81" s="18" t="s">
        <v>1572</v>
      </c>
      <c r="B81" s="10">
        <f ca="1">IFERROR(__xludf.DUMMYFUNCTION("GOOGLEFINANCE(A81,""PRICE"")"),23.17)</f>
        <v>23.17</v>
      </c>
      <c r="C81" s="11">
        <f ca="1">IFERROR(__xludf.DUMMYFUNCTION("GOOGLEFINANCE(A81,""PRICEOPEN"")"),23.17)</f>
        <v>23.17</v>
      </c>
      <c r="D81" s="11">
        <f ca="1">IFERROR(__xludf.DUMMYFUNCTION("GOOGLEFINANCE(A81,""HIGH"")"),23.17)</f>
        <v>23.17</v>
      </c>
      <c r="E81" s="11">
        <f ca="1">IFERROR(__xludf.DUMMYFUNCTION("GOOGLEFINANCE(A81,""LOW"")"),23.17)</f>
        <v>23.17</v>
      </c>
      <c r="F81" s="12" t="str">
        <f t="shared" ca="1" si="7"/>
        <v>SELL</v>
      </c>
      <c r="G81" s="13">
        <f ca="1">IFERROR(__xludf.DUMMYFUNCTION("GOOGLEFINANCE(A81,""CLOSEYEST"")"),25.44)</f>
        <v>25.44</v>
      </c>
      <c r="H81" s="14" t="str">
        <f t="shared" ca="1" si="13"/>
        <v>GAP DOWN</v>
      </c>
      <c r="I81" s="15">
        <f t="shared" ca="1" si="8"/>
        <v>23.926666666666666</v>
      </c>
      <c r="J81" s="16">
        <f t="shared" ca="1" si="9"/>
        <v>24.68333333333333</v>
      </c>
      <c r="K81" s="16"/>
      <c r="L81" s="16">
        <f t="shared" ca="1" si="10"/>
        <v>24.68333333333333</v>
      </c>
      <c r="M81" s="16">
        <f t="shared" ca="1" si="11"/>
        <v>23.926666666666666</v>
      </c>
      <c r="N81" s="16">
        <f t="shared" ca="1" si="12"/>
        <v>23.926666666666666</v>
      </c>
    </row>
    <row r="82" spans="1:14" ht="24.75" customHeight="1" x14ac:dyDescent="0.8">
      <c r="A82" s="18" t="s">
        <v>1573</v>
      </c>
      <c r="B82" s="10">
        <f ca="1">IFERROR(__xludf.DUMMYFUNCTION("GOOGLEFINANCE(A82,""PRICE"")"),1170)</f>
        <v>1170</v>
      </c>
      <c r="C82" s="11">
        <f ca="1">IFERROR(__xludf.DUMMYFUNCTION("GOOGLEFINANCE(A82,""PRICEOPEN"")"),1160)</f>
        <v>1160</v>
      </c>
      <c r="D82" s="11">
        <f ca="1">IFERROR(__xludf.DUMMYFUNCTION("GOOGLEFINANCE(A82,""HIGH"")"),1171.3)</f>
        <v>1171.3</v>
      </c>
      <c r="E82" s="11">
        <f ca="1">IFERROR(__xludf.DUMMYFUNCTION("GOOGLEFINANCE(A82,""LOW"")"),1154.4)</f>
        <v>1154.4000000000001</v>
      </c>
      <c r="F82" s="12" t="str">
        <f t="shared" ca="1" si="7"/>
        <v/>
      </c>
      <c r="G82" s="13">
        <f ca="1">IFERROR(__xludf.DUMMYFUNCTION("GOOGLEFINANCE(A82,""CLOSEYEST"")"),1166.4)</f>
        <v>1166.4000000000001</v>
      </c>
      <c r="H82" s="14" t="str">
        <f t="shared" ca="1" si="13"/>
        <v/>
      </c>
      <c r="I82" s="15">
        <f t="shared" ca="1" si="8"/>
        <v>1164.0333333333333</v>
      </c>
      <c r="J82" s="16">
        <f t="shared" ca="1" si="9"/>
        <v>1173.6666666666665</v>
      </c>
      <c r="K82" s="16"/>
      <c r="L82" s="16">
        <f t="shared" ca="1" si="10"/>
        <v>1156.7666666666667</v>
      </c>
      <c r="M82" s="16">
        <f t="shared" ca="1" si="11"/>
        <v>1180.9333333333332</v>
      </c>
      <c r="N82" s="16">
        <f t="shared" ca="1" si="12"/>
        <v>1147.1333333333334</v>
      </c>
    </row>
    <row r="83" spans="1:14" ht="24.75" customHeight="1" x14ac:dyDescent="0.8">
      <c r="A83" s="18" t="s">
        <v>135</v>
      </c>
      <c r="B83" s="10">
        <f ca="1">IFERROR(__xludf.DUMMYFUNCTION("GOOGLEFINANCE(A83,""PRICE"")"),715.85)</f>
        <v>715.85</v>
      </c>
      <c r="C83" s="11">
        <f ca="1">IFERROR(__xludf.DUMMYFUNCTION("GOOGLEFINANCE(A83,""PRICEOPEN"")"),718.5)</f>
        <v>718.5</v>
      </c>
      <c r="D83" s="11">
        <f ca="1">IFERROR(__xludf.DUMMYFUNCTION("GOOGLEFINANCE(A83,""HIGH"")"),739.7)</f>
        <v>739.7</v>
      </c>
      <c r="E83" s="11">
        <f ca="1">IFERROR(__xludf.DUMMYFUNCTION("GOOGLEFINANCE(A83,""LOW"")"),715)</f>
        <v>715</v>
      </c>
      <c r="F83" s="12" t="str">
        <f t="shared" ca="1" si="7"/>
        <v/>
      </c>
      <c r="G83" s="13">
        <f ca="1">IFERROR(__xludf.DUMMYFUNCTION("GOOGLEFINANCE(A83,""CLOSEYEST"")"),718.35)</f>
        <v>718.35</v>
      </c>
      <c r="H83" s="14" t="str">
        <f t="shared" ca="1" si="13"/>
        <v/>
      </c>
      <c r="I83" s="15">
        <f t="shared" ca="1" si="8"/>
        <v>724.35</v>
      </c>
      <c r="J83" s="16">
        <f t="shared" ca="1" si="9"/>
        <v>733.7</v>
      </c>
      <c r="K83" s="16"/>
      <c r="L83" s="16">
        <f t="shared" ca="1" si="10"/>
        <v>709</v>
      </c>
      <c r="M83" s="16">
        <f t="shared" ca="1" si="11"/>
        <v>749.05000000000007</v>
      </c>
      <c r="N83" s="16">
        <f t="shared" ca="1" si="12"/>
        <v>699.65</v>
      </c>
    </row>
    <row r="84" spans="1:14" ht="24.75" customHeight="1" x14ac:dyDescent="0.8">
      <c r="A84" s="18" t="s">
        <v>280</v>
      </c>
      <c r="B84" s="10" t="str">
        <f ca="1">IFERROR(__xludf.DUMMYFUNCTION("GOOGLEFINANCE(A84,""PRICE"")"),"#N/A")</f>
        <v>#N/A</v>
      </c>
      <c r="C84" s="11" t="str">
        <f ca="1">IFERROR(__xludf.DUMMYFUNCTION("GOOGLEFINANCE(A84,""PRICEOPEN"")"),"#N/A")</f>
        <v>#N/A</v>
      </c>
      <c r="D84" s="11" t="str">
        <f ca="1">IFERROR(__xludf.DUMMYFUNCTION("GOOGLEFINANCE(A84,""HIGH"")"),"#N/A")</f>
        <v>#N/A</v>
      </c>
      <c r="E84" s="11" t="str">
        <f ca="1">IFERROR(__xludf.DUMMYFUNCTION("GOOGLEFINANCE(A84,""LOW"")"),"#N/A")</f>
        <v>#N/A</v>
      </c>
      <c r="F84" s="12" t="str">
        <f t="shared" ca="1" si="7"/>
        <v>SELL</v>
      </c>
      <c r="G84" s="13" t="str">
        <f ca="1">IFERROR(__xludf.DUMMYFUNCTION("GOOGLEFINANCE(A84,""CLOSEYEST"")"),"#N/A")</f>
        <v>#N/A</v>
      </c>
      <c r="H84" s="14" t="e">
        <f t="shared" ca="1" si="13"/>
        <v>#VALUE!</v>
      </c>
      <c r="I84" s="15" t="e">
        <f t="shared" ca="1" si="8"/>
        <v>#VALUE!</v>
      </c>
      <c r="J84" s="16" t="e">
        <f t="shared" ca="1" si="9"/>
        <v>#VALUE!</v>
      </c>
      <c r="K84" s="16"/>
      <c r="L84" s="16" t="e">
        <f t="shared" ca="1" si="10"/>
        <v>#VALUE!</v>
      </c>
      <c r="M84" s="16" t="e">
        <f t="shared" ca="1" si="11"/>
        <v>#VALUE!</v>
      </c>
      <c r="N84" s="16" t="e">
        <f t="shared" ca="1" si="12"/>
        <v>#VALUE!</v>
      </c>
    </row>
    <row r="85" spans="1:14" ht="24.75" customHeight="1" x14ac:dyDescent="0.8">
      <c r="A85" s="18" t="s">
        <v>272</v>
      </c>
      <c r="B85" s="10">
        <f ca="1">IFERROR(__xludf.DUMMYFUNCTION("GOOGLEFINANCE(A85,""PRICE"")"),1398)</f>
        <v>1398</v>
      </c>
      <c r="C85" s="11">
        <f ca="1">IFERROR(__xludf.DUMMYFUNCTION("GOOGLEFINANCE(A85,""PRICEOPEN"")"),1423)</f>
        <v>1423</v>
      </c>
      <c r="D85" s="11">
        <f ca="1">IFERROR(__xludf.DUMMYFUNCTION("GOOGLEFINANCE(A85,""HIGH"")"),1423.8)</f>
        <v>1423.8</v>
      </c>
      <c r="E85" s="11">
        <f ca="1">IFERROR(__xludf.DUMMYFUNCTION("GOOGLEFINANCE(A85,""LOW"")"),1397.3)</f>
        <v>1397.3</v>
      </c>
      <c r="F85" s="12" t="str">
        <f t="shared" ca="1" si="7"/>
        <v/>
      </c>
      <c r="G85" s="13">
        <f ca="1">IFERROR(__xludf.DUMMYFUNCTION("GOOGLEFINANCE(A85,""CLOSEYEST"")"),1416)</f>
        <v>1416</v>
      </c>
      <c r="H85" s="14" t="str">
        <f t="shared" ca="1" si="13"/>
        <v/>
      </c>
      <c r="I85" s="15">
        <f t="shared" ca="1" si="8"/>
        <v>1412.3666666666668</v>
      </c>
      <c r="J85" s="16">
        <f t="shared" ca="1" si="9"/>
        <v>1427.4333333333336</v>
      </c>
      <c r="K85" s="16"/>
      <c r="L85" s="16">
        <f t="shared" ca="1" si="10"/>
        <v>1400.9333333333336</v>
      </c>
      <c r="M85" s="16">
        <f t="shared" ca="1" si="11"/>
        <v>1438.8666666666668</v>
      </c>
      <c r="N85" s="16">
        <f t="shared" ca="1" si="12"/>
        <v>1385.8666666666668</v>
      </c>
    </row>
    <row r="86" spans="1:14" ht="24.75" customHeight="1" x14ac:dyDescent="0.8">
      <c r="A86" s="18" t="s">
        <v>359</v>
      </c>
      <c r="B86" s="10">
        <f ca="1">IFERROR(__xludf.DUMMYFUNCTION("GOOGLEFINANCE(A86,""PRICE"")"),1160.8)</f>
        <v>1160.8</v>
      </c>
      <c r="C86" s="11">
        <f ca="1">IFERROR(__xludf.DUMMYFUNCTION("GOOGLEFINANCE(A86,""PRICEOPEN"")"),1146.1)</f>
        <v>1146.0999999999999</v>
      </c>
      <c r="D86" s="11">
        <f ca="1">IFERROR(__xludf.DUMMYFUNCTION("GOOGLEFINANCE(A86,""HIGH"")"),1175.8)</f>
        <v>1175.8</v>
      </c>
      <c r="E86" s="11">
        <f ca="1">IFERROR(__xludf.DUMMYFUNCTION("GOOGLEFINANCE(A86,""LOW"")"),1145.9)</f>
        <v>1145.9000000000001</v>
      </c>
      <c r="F86" s="12" t="str">
        <f t="shared" ca="1" si="7"/>
        <v/>
      </c>
      <c r="G86" s="13">
        <f ca="1">IFERROR(__xludf.DUMMYFUNCTION("GOOGLEFINANCE(A86,""CLOSEYEST"")"),1146.1)</f>
        <v>1146.0999999999999</v>
      </c>
      <c r="H86" s="14" t="str">
        <f t="shared" ca="1" si="13"/>
        <v/>
      </c>
      <c r="I86" s="15">
        <f t="shared" ca="1" si="8"/>
        <v>1155.9333333333332</v>
      </c>
      <c r="J86" s="16">
        <f t="shared" ca="1" si="9"/>
        <v>1165.9666666666662</v>
      </c>
      <c r="K86" s="16"/>
      <c r="L86" s="16">
        <f t="shared" ca="1" si="10"/>
        <v>1136.0666666666664</v>
      </c>
      <c r="M86" s="16">
        <f t="shared" ca="1" si="11"/>
        <v>1185.833333333333</v>
      </c>
      <c r="N86" s="16">
        <f t="shared" ca="1" si="12"/>
        <v>1126.0333333333333</v>
      </c>
    </row>
    <row r="87" spans="1:14" ht="24.75" customHeight="1" x14ac:dyDescent="0.8">
      <c r="A87" s="18" t="s">
        <v>412</v>
      </c>
      <c r="B87" s="10">
        <f ca="1">IFERROR(__xludf.DUMMYFUNCTION("GOOGLEFINANCE(A87,""PRICE"")"),1419.9)</f>
        <v>1419.9</v>
      </c>
      <c r="C87" s="11">
        <f ca="1">IFERROR(__xludf.DUMMYFUNCTION("GOOGLEFINANCE(A87,""PRICEOPEN"")"),1413)</f>
        <v>1413</v>
      </c>
      <c r="D87" s="11">
        <f ca="1">IFERROR(__xludf.DUMMYFUNCTION("GOOGLEFINANCE(A87,""HIGH"")"),1431)</f>
        <v>1431</v>
      </c>
      <c r="E87" s="11">
        <f ca="1">IFERROR(__xludf.DUMMYFUNCTION("GOOGLEFINANCE(A87,""LOW"")"),1412.5)</f>
        <v>1412.5</v>
      </c>
      <c r="F87" s="12" t="str">
        <f t="shared" ca="1" si="7"/>
        <v/>
      </c>
      <c r="G87" s="13">
        <f ca="1">IFERROR(__xludf.DUMMYFUNCTION("GOOGLEFINANCE(A87,""CLOSEYEST"")"),1422.7)</f>
        <v>1422.7</v>
      </c>
      <c r="H87" s="14" t="str">
        <f t="shared" ca="1" si="13"/>
        <v/>
      </c>
      <c r="I87" s="15">
        <f t="shared" ca="1" si="8"/>
        <v>1422.0666666666666</v>
      </c>
      <c r="J87" s="16">
        <f t="shared" ca="1" si="9"/>
        <v>1431.6333333333332</v>
      </c>
      <c r="K87" s="16"/>
      <c r="L87" s="16">
        <f t="shared" ca="1" si="10"/>
        <v>1413.1333333333332</v>
      </c>
      <c r="M87" s="16">
        <f t="shared" ca="1" si="11"/>
        <v>1440.5666666666666</v>
      </c>
      <c r="N87" s="16">
        <f t="shared" ca="1" si="12"/>
        <v>1403.5666666666666</v>
      </c>
    </row>
    <row r="88" spans="1:14" ht="24.75" customHeight="1" x14ac:dyDescent="0.8">
      <c r="A88" s="18" t="s">
        <v>116</v>
      </c>
      <c r="B88" s="10">
        <f ca="1">IFERROR(__xludf.DUMMYFUNCTION("GOOGLEFINANCE(A88,""PRICE"")"),173.29)</f>
        <v>173.29</v>
      </c>
      <c r="C88" s="11">
        <f ca="1">IFERROR(__xludf.DUMMYFUNCTION("GOOGLEFINANCE(A88,""PRICEOPEN"")"),168.12)</f>
        <v>168.12</v>
      </c>
      <c r="D88" s="11">
        <f ca="1">IFERROR(__xludf.DUMMYFUNCTION("GOOGLEFINANCE(A88,""HIGH"")"),174.74)</f>
        <v>174.74</v>
      </c>
      <c r="E88" s="11">
        <f ca="1">IFERROR(__xludf.DUMMYFUNCTION("GOOGLEFINANCE(A88,""LOW"")"),168.12)</f>
        <v>168.12</v>
      </c>
      <c r="F88" s="12" t="str">
        <f t="shared" ca="1" si="7"/>
        <v>BUY</v>
      </c>
      <c r="G88" s="13">
        <f ca="1">IFERROR(__xludf.DUMMYFUNCTION("GOOGLEFINANCE(A88,""CLOSEYEST"")"),167.51)</f>
        <v>167.51</v>
      </c>
      <c r="H88" s="14" t="str">
        <f t="shared" ca="1" si="13"/>
        <v/>
      </c>
      <c r="I88" s="15">
        <f t="shared" ca="1" si="8"/>
        <v>170.12333333333333</v>
      </c>
      <c r="J88" s="16">
        <f t="shared" ca="1" si="9"/>
        <v>172.12666666666667</v>
      </c>
      <c r="K88" s="16"/>
      <c r="L88" s="16">
        <f t="shared" ca="1" si="10"/>
        <v>165.50666666666666</v>
      </c>
      <c r="M88" s="16">
        <f t="shared" ca="1" si="11"/>
        <v>176.74333333333334</v>
      </c>
      <c r="N88" s="16">
        <f t="shared" ca="1" si="12"/>
        <v>163.50333333333333</v>
      </c>
    </row>
    <row r="89" spans="1:14" ht="24.75" customHeight="1" x14ac:dyDescent="0.8">
      <c r="A89" s="18" t="s">
        <v>1574</v>
      </c>
      <c r="B89" s="10">
        <f ca="1">IFERROR(__xludf.DUMMYFUNCTION("GOOGLEFINANCE(A89,""PRICE"")"),288.65)</f>
        <v>288.64999999999998</v>
      </c>
      <c r="C89" s="11">
        <f ca="1">IFERROR(__xludf.DUMMYFUNCTION("GOOGLEFINANCE(A89,""PRICEOPEN"")"),283.35)</f>
        <v>283.35000000000002</v>
      </c>
      <c r="D89" s="11">
        <f ca="1">IFERROR(__xludf.DUMMYFUNCTION("GOOGLEFINANCE(A89,""HIGH"")"),290)</f>
        <v>290</v>
      </c>
      <c r="E89" s="11">
        <f ca="1">IFERROR(__xludf.DUMMYFUNCTION("GOOGLEFINANCE(A89,""LOW"")"),281.05)</f>
        <v>281.05</v>
      </c>
      <c r="F89" s="12" t="str">
        <f t="shared" ca="1" si="7"/>
        <v/>
      </c>
      <c r="G89" s="13">
        <f ca="1">IFERROR(__xludf.DUMMYFUNCTION("GOOGLEFINANCE(A89,""CLOSEYEST"")"),280.65)</f>
        <v>280.64999999999998</v>
      </c>
      <c r="H89" s="14" t="str">
        <f t="shared" ca="1" si="13"/>
        <v/>
      </c>
      <c r="I89" s="15">
        <f t="shared" ca="1" si="8"/>
        <v>283.89999999999998</v>
      </c>
      <c r="J89" s="16">
        <f t="shared" ca="1" si="9"/>
        <v>286.74999999999994</v>
      </c>
      <c r="K89" s="16"/>
      <c r="L89" s="16">
        <f t="shared" ca="1" si="10"/>
        <v>277.79999999999995</v>
      </c>
      <c r="M89" s="16">
        <f t="shared" ca="1" si="11"/>
        <v>292.84999999999997</v>
      </c>
      <c r="N89" s="16">
        <f t="shared" ca="1" si="12"/>
        <v>274.95</v>
      </c>
    </row>
    <row r="90" spans="1:14" ht="24.75" customHeight="1" x14ac:dyDescent="0.8">
      <c r="A90" s="18" t="s">
        <v>340</v>
      </c>
      <c r="B90" s="10">
        <f ca="1">IFERROR(__xludf.DUMMYFUNCTION("GOOGLEFINANCE(A90,""PRICE"")"),492.3)</f>
        <v>492.3</v>
      </c>
      <c r="C90" s="11">
        <f ca="1">IFERROR(__xludf.DUMMYFUNCTION("GOOGLEFINANCE(A90,""PRICEOPEN"")"),483)</f>
        <v>483</v>
      </c>
      <c r="D90" s="11">
        <f ca="1">IFERROR(__xludf.DUMMYFUNCTION("GOOGLEFINANCE(A90,""HIGH"")"),496.6)</f>
        <v>496.6</v>
      </c>
      <c r="E90" s="11">
        <f ca="1">IFERROR(__xludf.DUMMYFUNCTION("GOOGLEFINANCE(A90,""LOW"")"),478.9)</f>
        <v>478.9</v>
      </c>
      <c r="F90" s="12" t="str">
        <f t="shared" ca="1" si="7"/>
        <v/>
      </c>
      <c r="G90" s="13">
        <f ca="1">IFERROR(__xludf.DUMMYFUNCTION("GOOGLEFINANCE(A90,""CLOSEYEST"")"),481.35)</f>
        <v>481.35</v>
      </c>
      <c r="H90" s="14" t="str">
        <f t="shared" ca="1" si="13"/>
        <v/>
      </c>
      <c r="I90" s="15">
        <f t="shared" ca="1" si="8"/>
        <v>485.61666666666662</v>
      </c>
      <c r="J90" s="16">
        <f t="shared" ca="1" si="9"/>
        <v>492.33333333333326</v>
      </c>
      <c r="K90" s="16"/>
      <c r="L90" s="16">
        <f t="shared" ca="1" si="10"/>
        <v>474.63333333333321</v>
      </c>
      <c r="M90" s="16">
        <f t="shared" ca="1" si="11"/>
        <v>503.31666666666666</v>
      </c>
      <c r="N90" s="16">
        <f t="shared" ca="1" si="12"/>
        <v>467.91666666666657</v>
      </c>
    </row>
    <row r="91" spans="1:14" ht="24.75" customHeight="1" x14ac:dyDescent="0.8">
      <c r="A91" s="18" t="s">
        <v>25</v>
      </c>
      <c r="B91" s="10">
        <f ca="1">IFERROR(__xludf.DUMMYFUNCTION("GOOGLEFINANCE(A91,""PRICE"")"),760)</f>
        <v>760</v>
      </c>
      <c r="C91" s="11">
        <f ca="1">IFERROR(__xludf.DUMMYFUNCTION("GOOGLEFINANCE(A91,""PRICEOPEN"")"),756.65)</f>
        <v>756.65</v>
      </c>
      <c r="D91" s="11">
        <f ca="1">IFERROR(__xludf.DUMMYFUNCTION("GOOGLEFINANCE(A91,""HIGH"")"),767.15)</f>
        <v>767.15</v>
      </c>
      <c r="E91" s="11">
        <f ca="1">IFERROR(__xludf.DUMMYFUNCTION("GOOGLEFINANCE(A91,""LOW"")"),754.95)</f>
        <v>754.95</v>
      </c>
      <c r="F91" s="12" t="str">
        <f t="shared" ca="1" si="7"/>
        <v/>
      </c>
      <c r="G91" s="13">
        <f ca="1">IFERROR(__xludf.DUMMYFUNCTION("GOOGLEFINANCE(A91,""CLOSEYEST"")"),764)</f>
        <v>764</v>
      </c>
      <c r="H91" s="14" t="str">
        <f t="shared" ca="1" si="13"/>
        <v/>
      </c>
      <c r="I91" s="15">
        <f t="shared" ca="1" si="8"/>
        <v>762.0333333333333</v>
      </c>
      <c r="J91" s="16">
        <f t="shared" ca="1" si="9"/>
        <v>769.11666666666656</v>
      </c>
      <c r="K91" s="16"/>
      <c r="L91" s="16">
        <f t="shared" ca="1" si="10"/>
        <v>756.91666666666663</v>
      </c>
      <c r="M91" s="16">
        <f t="shared" ca="1" si="11"/>
        <v>774.23333333333323</v>
      </c>
      <c r="N91" s="16">
        <f t="shared" ca="1" si="12"/>
        <v>749.83333333333337</v>
      </c>
    </row>
    <row r="92" spans="1:14" ht="24.75" customHeight="1" x14ac:dyDescent="0.8">
      <c r="A92" s="18" t="s">
        <v>1575</v>
      </c>
      <c r="B92" s="10">
        <f ca="1">IFERROR(__xludf.DUMMYFUNCTION("GOOGLEFINANCE(A92,""PRICE"")"),1485.8)</f>
        <v>1485.8</v>
      </c>
      <c r="C92" s="11">
        <f ca="1">IFERROR(__xludf.DUMMYFUNCTION("GOOGLEFINANCE(A92,""PRICEOPEN"")"),1475.6)</f>
        <v>1475.6</v>
      </c>
      <c r="D92" s="11">
        <f ca="1">IFERROR(__xludf.DUMMYFUNCTION("GOOGLEFINANCE(A92,""HIGH"")"),1493.6)</f>
        <v>1493.6</v>
      </c>
      <c r="E92" s="11">
        <f ca="1">IFERROR(__xludf.DUMMYFUNCTION("GOOGLEFINANCE(A92,""LOW"")"),1471.3)</f>
        <v>1471.3</v>
      </c>
      <c r="F92" s="12" t="str">
        <f t="shared" ca="1" si="7"/>
        <v/>
      </c>
      <c r="G92" s="13">
        <f ca="1">IFERROR(__xludf.DUMMYFUNCTION("GOOGLEFINANCE(A92,""CLOSEYEST"")"),1475.4)</f>
        <v>1475.4</v>
      </c>
      <c r="H92" s="14" t="str">
        <f t="shared" ca="1" si="13"/>
        <v/>
      </c>
      <c r="I92" s="15">
        <f t="shared" ca="1" si="8"/>
        <v>1480.0999999999997</v>
      </c>
      <c r="J92" s="16">
        <f t="shared" ca="1" si="9"/>
        <v>1488.8999999999994</v>
      </c>
      <c r="K92" s="16"/>
      <c r="L92" s="16">
        <f t="shared" ca="1" si="10"/>
        <v>1466.5999999999995</v>
      </c>
      <c r="M92" s="16">
        <f t="shared" ca="1" si="11"/>
        <v>1502.3999999999996</v>
      </c>
      <c r="N92" s="16">
        <f t="shared" ca="1" si="12"/>
        <v>1457.7999999999997</v>
      </c>
    </row>
    <row r="93" spans="1:14" ht="24.75" customHeight="1" x14ac:dyDescent="0.8">
      <c r="A93" s="18" t="s">
        <v>473</v>
      </c>
      <c r="B93" s="10">
        <f ca="1">IFERROR(__xludf.DUMMYFUNCTION("GOOGLEFINANCE(A93,""PRICE"")"),341.8)</f>
        <v>341.8</v>
      </c>
      <c r="C93" s="11">
        <f ca="1">IFERROR(__xludf.DUMMYFUNCTION("GOOGLEFINANCE(A93,""PRICEOPEN"")"),340.25)</f>
        <v>340.25</v>
      </c>
      <c r="D93" s="11">
        <f ca="1">IFERROR(__xludf.DUMMYFUNCTION("GOOGLEFINANCE(A93,""HIGH"")"),343.5)</f>
        <v>343.5</v>
      </c>
      <c r="E93" s="11">
        <f ca="1">IFERROR(__xludf.DUMMYFUNCTION("GOOGLEFINANCE(A93,""LOW"")"),338.75)</f>
        <v>338.75</v>
      </c>
      <c r="F93" s="12" t="str">
        <f t="shared" ca="1" si="7"/>
        <v/>
      </c>
      <c r="G93" s="13">
        <f ca="1">IFERROR(__xludf.DUMMYFUNCTION("GOOGLEFINANCE(A93,""CLOSEYEST"")"),340.25)</f>
        <v>340.25</v>
      </c>
      <c r="H93" s="14" t="str">
        <f t="shared" ca="1" si="13"/>
        <v/>
      </c>
      <c r="I93" s="15">
        <f t="shared" ca="1" si="8"/>
        <v>340.83333333333331</v>
      </c>
      <c r="J93" s="16">
        <f t="shared" ca="1" si="9"/>
        <v>342.91666666666663</v>
      </c>
      <c r="K93" s="16"/>
      <c r="L93" s="16">
        <f t="shared" ca="1" si="10"/>
        <v>338.16666666666663</v>
      </c>
      <c r="M93" s="16">
        <f t="shared" ca="1" si="11"/>
        <v>345.58333333333331</v>
      </c>
      <c r="N93" s="16">
        <f t="shared" ca="1" si="12"/>
        <v>336.08333333333331</v>
      </c>
    </row>
    <row r="94" spans="1:14" ht="24.75" customHeight="1" x14ac:dyDescent="0.8">
      <c r="A94" s="18" t="s">
        <v>315</v>
      </c>
      <c r="B94" s="10">
        <f ca="1">IFERROR(__xludf.DUMMYFUNCTION("GOOGLEFINANCE(A94,""PRICE"")"),7.2)</f>
        <v>7.2</v>
      </c>
      <c r="C94" s="11">
        <f ca="1">IFERROR(__xludf.DUMMYFUNCTION("GOOGLEFINANCE(A94,""PRICEOPEN"")"),7.2)</f>
        <v>7.2</v>
      </c>
      <c r="D94" s="11">
        <f ca="1">IFERROR(__xludf.DUMMYFUNCTION("GOOGLEFINANCE(A94,""HIGH"")"),7.5)</f>
        <v>7.5</v>
      </c>
      <c r="E94" s="11">
        <f ca="1">IFERROR(__xludf.DUMMYFUNCTION("GOOGLEFINANCE(A94,""LOW"")"),7)</f>
        <v>7</v>
      </c>
      <c r="F94" s="12" t="str">
        <f t="shared" ca="1" si="7"/>
        <v/>
      </c>
      <c r="G94" s="13">
        <f ca="1">IFERROR(__xludf.DUMMYFUNCTION("GOOGLEFINANCE(A94,""CLOSEYEST"")"),7.25)</f>
        <v>7.25</v>
      </c>
      <c r="H94" s="14" t="str">
        <f t="shared" ca="1" si="13"/>
        <v/>
      </c>
      <c r="I94" s="15">
        <f t="shared" ca="1" si="8"/>
        <v>7.25</v>
      </c>
      <c r="J94" s="16">
        <f t="shared" ca="1" si="9"/>
        <v>7.5</v>
      </c>
      <c r="K94" s="16"/>
      <c r="L94" s="16">
        <f t="shared" ca="1" si="10"/>
        <v>7</v>
      </c>
      <c r="M94" s="16">
        <f t="shared" ca="1" si="11"/>
        <v>7.75</v>
      </c>
      <c r="N94" s="16">
        <f t="shared" ca="1" si="12"/>
        <v>6.75</v>
      </c>
    </row>
    <row r="95" spans="1:14" ht="24.75" customHeight="1" x14ac:dyDescent="0.8">
      <c r="A95" s="18" t="s">
        <v>207</v>
      </c>
      <c r="B95" s="10">
        <f ca="1">IFERROR(__xludf.DUMMYFUNCTION("GOOGLEFINANCE(A95,""PRICE"")"),1787)</f>
        <v>1787</v>
      </c>
      <c r="C95" s="11">
        <f ca="1">IFERROR(__xludf.DUMMYFUNCTION("GOOGLEFINANCE(A95,""PRICEOPEN"")"),1801.1)</f>
        <v>1801.1</v>
      </c>
      <c r="D95" s="11">
        <f ca="1">IFERROR(__xludf.DUMMYFUNCTION("GOOGLEFINANCE(A95,""HIGH"")"),1803.2)</f>
        <v>1803.2</v>
      </c>
      <c r="E95" s="11">
        <f ca="1">IFERROR(__xludf.DUMMYFUNCTION("GOOGLEFINANCE(A95,""LOW"")"),1766.2)</f>
        <v>1766.2</v>
      </c>
      <c r="F95" s="12" t="str">
        <f t="shared" ca="1" si="7"/>
        <v/>
      </c>
      <c r="G95" s="13">
        <f ca="1">IFERROR(__xludf.DUMMYFUNCTION("GOOGLEFINANCE(A95,""CLOSEYEST"")"),1801.1)</f>
        <v>1801.1</v>
      </c>
      <c r="H95" s="14" t="str">
        <f t="shared" ca="1" si="13"/>
        <v/>
      </c>
      <c r="I95" s="15">
        <f t="shared" ca="1" si="8"/>
        <v>1790.1666666666667</v>
      </c>
      <c r="J95" s="16">
        <f t="shared" ca="1" si="9"/>
        <v>1814.1333333333334</v>
      </c>
      <c r="K95" s="16"/>
      <c r="L95" s="16">
        <f t="shared" ca="1" si="10"/>
        <v>1777.1333333333334</v>
      </c>
      <c r="M95" s="16">
        <f t="shared" ca="1" si="11"/>
        <v>1827.1666666666667</v>
      </c>
      <c r="N95" s="16">
        <f t="shared" ca="1" si="12"/>
        <v>1753.1666666666667</v>
      </c>
    </row>
    <row r="96" spans="1:14" ht="24.75" customHeight="1" x14ac:dyDescent="0.8">
      <c r="A96" s="18" t="s">
        <v>238</v>
      </c>
      <c r="B96" s="10">
        <f ca="1">IFERROR(__xludf.DUMMYFUNCTION("GOOGLEFINANCE(A96,""PRICE"")"),471.5)</f>
        <v>471.5</v>
      </c>
      <c r="C96" s="11">
        <f ca="1">IFERROR(__xludf.DUMMYFUNCTION("GOOGLEFINANCE(A96,""PRICEOPEN"")"),464.85)</f>
        <v>464.85</v>
      </c>
      <c r="D96" s="11">
        <f ca="1">IFERROR(__xludf.DUMMYFUNCTION("GOOGLEFINANCE(A96,""HIGH"")"),479.9)</f>
        <v>479.9</v>
      </c>
      <c r="E96" s="11">
        <f ca="1">IFERROR(__xludf.DUMMYFUNCTION("GOOGLEFINANCE(A96,""LOW"")"),464.5)</f>
        <v>464.5</v>
      </c>
      <c r="F96" s="12" t="str">
        <f t="shared" ca="1" si="7"/>
        <v/>
      </c>
      <c r="G96" s="13">
        <f ca="1">IFERROR(__xludf.DUMMYFUNCTION("GOOGLEFINANCE(A96,""CLOSEYEST"")"),464.85)</f>
        <v>464.85</v>
      </c>
      <c r="H96" s="14" t="str">
        <f t="shared" ca="1" si="13"/>
        <v/>
      </c>
      <c r="I96" s="15">
        <f t="shared" ca="1" si="8"/>
        <v>469.75</v>
      </c>
      <c r="J96" s="16">
        <f t="shared" ca="1" si="9"/>
        <v>475</v>
      </c>
      <c r="K96" s="16"/>
      <c r="L96" s="16">
        <f t="shared" ca="1" si="10"/>
        <v>459.6</v>
      </c>
      <c r="M96" s="16">
        <f t="shared" ca="1" si="11"/>
        <v>485.15</v>
      </c>
      <c r="N96" s="16">
        <f t="shared" ca="1" si="12"/>
        <v>454.35</v>
      </c>
    </row>
    <row r="97" spans="1:14" ht="24.75" customHeight="1" x14ac:dyDescent="0.8">
      <c r="A97" s="18" t="s">
        <v>1576</v>
      </c>
      <c r="B97" s="10">
        <f ca="1">IFERROR(__xludf.DUMMYFUNCTION("GOOGLEFINANCE(A97,""PRICE"")"),2799.3)</f>
        <v>2799.3</v>
      </c>
      <c r="C97" s="11">
        <f ca="1">IFERROR(__xludf.DUMMYFUNCTION("GOOGLEFINANCE(A97,""PRICEOPEN"")"),2800)</f>
        <v>2800</v>
      </c>
      <c r="D97" s="11">
        <f ca="1">IFERROR(__xludf.DUMMYFUNCTION("GOOGLEFINANCE(A97,""HIGH"")"),2806.8)</f>
        <v>2806.8</v>
      </c>
      <c r="E97" s="11">
        <f ca="1">IFERROR(__xludf.DUMMYFUNCTION("GOOGLEFINANCE(A97,""LOW"")"),2766)</f>
        <v>2766</v>
      </c>
      <c r="F97" s="12" t="str">
        <f t="shared" ca="1" si="7"/>
        <v/>
      </c>
      <c r="G97" s="13">
        <f ca="1">IFERROR(__xludf.DUMMYFUNCTION("GOOGLEFINANCE(A97,""CLOSEYEST"")"),2789.7)</f>
        <v>2789.7</v>
      </c>
      <c r="H97" s="14" t="str">
        <f t="shared" ca="1" si="13"/>
        <v/>
      </c>
      <c r="I97" s="15">
        <f t="shared" ca="1" si="8"/>
        <v>2787.5</v>
      </c>
      <c r="J97" s="16">
        <f t="shared" ca="1" si="9"/>
        <v>2809</v>
      </c>
      <c r="K97" s="16"/>
      <c r="L97" s="16">
        <f t="shared" ca="1" si="10"/>
        <v>2768.2</v>
      </c>
      <c r="M97" s="16">
        <f t="shared" ca="1" si="11"/>
        <v>2828.3</v>
      </c>
      <c r="N97" s="16">
        <f t="shared" ca="1" si="12"/>
        <v>2746.7</v>
      </c>
    </row>
    <row r="98" spans="1:14" ht="24.75" customHeight="1" x14ac:dyDescent="0.8">
      <c r="A98" s="18" t="s">
        <v>404</v>
      </c>
      <c r="B98" s="10">
        <f ca="1">IFERROR(__xludf.DUMMYFUNCTION("GOOGLEFINANCE(A98,""PRICE"")"),5851.5)</f>
        <v>5851.5</v>
      </c>
      <c r="C98" s="11">
        <f ca="1">IFERROR(__xludf.DUMMYFUNCTION("GOOGLEFINANCE(A98,""PRICEOPEN"")"),5759.5)</f>
        <v>5759.5</v>
      </c>
      <c r="D98" s="11">
        <f ca="1">IFERROR(__xludf.DUMMYFUNCTION("GOOGLEFINANCE(A98,""HIGH"")"),5932)</f>
        <v>5932</v>
      </c>
      <c r="E98" s="11">
        <f ca="1">IFERROR(__xludf.DUMMYFUNCTION("GOOGLEFINANCE(A98,""LOW"")"),5746)</f>
        <v>5746</v>
      </c>
      <c r="F98" s="12" t="str">
        <f t="shared" ca="1" si="7"/>
        <v/>
      </c>
      <c r="G98" s="13">
        <f ca="1">IFERROR(__xludf.DUMMYFUNCTION("GOOGLEFINANCE(A98,""CLOSEYEST"")"),5710)</f>
        <v>5710</v>
      </c>
      <c r="H98" s="14" t="str">
        <f t="shared" ca="1" si="13"/>
        <v/>
      </c>
      <c r="I98" s="15">
        <f t="shared" ca="1" si="8"/>
        <v>5796</v>
      </c>
      <c r="J98" s="16">
        <f t="shared" ca="1" si="9"/>
        <v>5846</v>
      </c>
      <c r="K98" s="16"/>
      <c r="L98" s="16">
        <f t="shared" ca="1" si="10"/>
        <v>5660</v>
      </c>
      <c r="M98" s="16">
        <f t="shared" ca="1" si="11"/>
        <v>5982</v>
      </c>
      <c r="N98" s="16">
        <f t="shared" ca="1" si="12"/>
        <v>5610</v>
      </c>
    </row>
    <row r="99" spans="1:14" ht="24.75" customHeight="1" x14ac:dyDescent="0.8">
      <c r="A99" s="18" t="s">
        <v>144</v>
      </c>
      <c r="B99" s="10">
        <f ca="1">IFERROR(__xludf.DUMMYFUNCTION("GOOGLEFINANCE(A99,""PRICE"")"),48.6)</f>
        <v>48.6</v>
      </c>
      <c r="C99" s="11">
        <f ca="1">IFERROR(__xludf.DUMMYFUNCTION("GOOGLEFINANCE(A99,""PRICEOPEN"")"),48.2)</f>
        <v>48.2</v>
      </c>
      <c r="D99" s="11">
        <f ca="1">IFERROR(__xludf.DUMMYFUNCTION("GOOGLEFINANCE(A99,""HIGH"")"),48.6)</f>
        <v>48.6</v>
      </c>
      <c r="E99" s="11">
        <f ca="1">IFERROR(__xludf.DUMMYFUNCTION("GOOGLEFINANCE(A99,""LOW"")"),48.2)</f>
        <v>48.2</v>
      </c>
      <c r="F99" s="12" t="str">
        <f t="shared" ca="1" si="7"/>
        <v>BUY</v>
      </c>
      <c r="G99" s="13">
        <f ca="1">IFERROR(__xludf.DUMMYFUNCTION("GOOGLEFINANCE(A99,""CLOSEYEST"")"),48.5)</f>
        <v>48.5</v>
      </c>
      <c r="H99" s="14" t="str">
        <f t="shared" ca="1" si="13"/>
        <v/>
      </c>
      <c r="I99" s="15">
        <f t="shared" ca="1" si="8"/>
        <v>48.433333333333337</v>
      </c>
      <c r="J99" s="16">
        <f t="shared" ca="1" si="9"/>
        <v>48.666666666666671</v>
      </c>
      <c r="K99" s="16"/>
      <c r="L99" s="16">
        <f t="shared" ca="1" si="10"/>
        <v>48.266666666666673</v>
      </c>
      <c r="M99" s="16">
        <f t="shared" ca="1" si="11"/>
        <v>48.833333333333336</v>
      </c>
      <c r="N99" s="16">
        <f t="shared" ca="1" si="12"/>
        <v>48.033333333333339</v>
      </c>
    </row>
    <row r="100" spans="1:14" ht="24.75" customHeight="1" x14ac:dyDescent="0.8">
      <c r="A100" s="18" t="s">
        <v>461</v>
      </c>
      <c r="B100" s="10">
        <f ca="1">IFERROR(__xludf.DUMMYFUNCTION("GOOGLEFINANCE(A100,""PRICE"")"),780)</f>
        <v>780</v>
      </c>
      <c r="C100" s="11">
        <f ca="1">IFERROR(__xludf.DUMMYFUNCTION("GOOGLEFINANCE(A100,""PRICEOPEN"")"),766)</f>
        <v>766</v>
      </c>
      <c r="D100" s="11">
        <f ca="1">IFERROR(__xludf.DUMMYFUNCTION("GOOGLEFINANCE(A100,""HIGH"")"),790.6)</f>
        <v>790.6</v>
      </c>
      <c r="E100" s="11">
        <f ca="1">IFERROR(__xludf.DUMMYFUNCTION("GOOGLEFINANCE(A100,""LOW"")"),764.1)</f>
        <v>764.1</v>
      </c>
      <c r="F100" s="12" t="str">
        <f t="shared" ca="1" si="7"/>
        <v/>
      </c>
      <c r="G100" s="13">
        <f ca="1">IFERROR(__xludf.DUMMYFUNCTION("GOOGLEFINANCE(A100,""CLOSEYEST"")"),765.95)</f>
        <v>765.95</v>
      </c>
      <c r="H100" s="14" t="str">
        <f t="shared" ca="1" si="13"/>
        <v/>
      </c>
      <c r="I100" s="15">
        <f t="shared" ca="1" si="8"/>
        <v>773.55000000000007</v>
      </c>
      <c r="J100" s="16">
        <f t="shared" ca="1" si="9"/>
        <v>783.00000000000011</v>
      </c>
      <c r="K100" s="16"/>
      <c r="L100" s="16">
        <f t="shared" ca="1" si="10"/>
        <v>756.50000000000011</v>
      </c>
      <c r="M100" s="16">
        <f t="shared" ca="1" si="11"/>
        <v>800.05000000000007</v>
      </c>
      <c r="N100" s="16">
        <f t="shared" ca="1" si="12"/>
        <v>747.05000000000007</v>
      </c>
    </row>
    <row r="101" spans="1:14" ht="24.75" customHeight="1" x14ac:dyDescent="0.8">
      <c r="A101" s="18" t="s">
        <v>370</v>
      </c>
      <c r="B101" s="10">
        <f ca="1">IFERROR(__xludf.DUMMYFUNCTION("GOOGLEFINANCE(A101,""PRICE"")"),3460)</f>
        <v>3460</v>
      </c>
      <c r="C101" s="11">
        <f ca="1">IFERROR(__xludf.DUMMYFUNCTION("GOOGLEFINANCE(A101,""PRICEOPEN"")"),3462.1)</f>
        <v>3462.1</v>
      </c>
      <c r="D101" s="11">
        <f ca="1">IFERROR(__xludf.DUMMYFUNCTION("GOOGLEFINANCE(A101,""HIGH"")"),3492.4)</f>
        <v>3492.4</v>
      </c>
      <c r="E101" s="11">
        <f ca="1">IFERROR(__xludf.DUMMYFUNCTION("GOOGLEFINANCE(A101,""LOW"")"),3404.2)</f>
        <v>3404.2</v>
      </c>
      <c r="F101" s="12" t="str">
        <f t="shared" ca="1" si="7"/>
        <v/>
      </c>
      <c r="G101" s="13">
        <f ca="1">IFERROR(__xludf.DUMMYFUNCTION("GOOGLEFINANCE(A101,""CLOSEYEST"")"),3463.4)</f>
        <v>3463.4</v>
      </c>
      <c r="H101" s="14" t="str">
        <f t="shared" ca="1" si="13"/>
        <v/>
      </c>
      <c r="I101" s="15">
        <f t="shared" ca="1" si="8"/>
        <v>3453.3333333333335</v>
      </c>
      <c r="J101" s="16">
        <f t="shared" ca="1" si="9"/>
        <v>3502.4666666666672</v>
      </c>
      <c r="K101" s="16"/>
      <c r="L101" s="16">
        <f t="shared" ca="1" si="10"/>
        <v>3414.2666666666669</v>
      </c>
      <c r="M101" s="16">
        <f t="shared" ca="1" si="11"/>
        <v>3541.5333333333338</v>
      </c>
      <c r="N101" s="16">
        <f t="shared" ca="1" si="12"/>
        <v>3365.1333333333332</v>
      </c>
    </row>
    <row r="102" spans="1:14" ht="24.75" customHeight="1" x14ac:dyDescent="0.8">
      <c r="A102" s="18" t="s">
        <v>259</v>
      </c>
      <c r="B102" s="10" t="str">
        <f ca="1">IFERROR(__xludf.DUMMYFUNCTION("GOOGLEFINANCE(A102,""PRICE"")"),"#N/A")</f>
        <v>#N/A</v>
      </c>
      <c r="C102" s="11" t="str">
        <f ca="1">IFERROR(__xludf.DUMMYFUNCTION("GOOGLEFINANCE(A102,""PRICEOPEN"")"),"#N/A")</f>
        <v>#N/A</v>
      </c>
      <c r="D102" s="11" t="str">
        <f ca="1">IFERROR(__xludf.DUMMYFUNCTION("GOOGLEFINANCE(A102,""HIGH"")"),"#N/A")</f>
        <v>#N/A</v>
      </c>
      <c r="E102" s="11" t="str">
        <f ca="1">IFERROR(__xludf.DUMMYFUNCTION("GOOGLEFINANCE(A102,""LOW"")"),"#N/A")</f>
        <v>#N/A</v>
      </c>
      <c r="F102" s="12" t="str">
        <f t="shared" ca="1" si="7"/>
        <v>SELL</v>
      </c>
      <c r="G102" s="13" t="str">
        <f ca="1">IFERROR(__xludf.DUMMYFUNCTION("GOOGLEFINANCE(A102,""CLOSEYEST"")"),"#N/A")</f>
        <v>#N/A</v>
      </c>
      <c r="H102" s="14" t="e">
        <f t="shared" ca="1" si="13"/>
        <v>#VALUE!</v>
      </c>
      <c r="I102" s="15" t="e">
        <f t="shared" ca="1" si="8"/>
        <v>#VALUE!</v>
      </c>
      <c r="J102" s="16" t="e">
        <f t="shared" ca="1" si="9"/>
        <v>#VALUE!</v>
      </c>
      <c r="K102" s="16"/>
      <c r="L102" s="16" t="e">
        <f t="shared" ca="1" si="10"/>
        <v>#VALUE!</v>
      </c>
      <c r="M102" s="16" t="e">
        <f t="shared" ca="1" si="11"/>
        <v>#VALUE!</v>
      </c>
      <c r="N102" s="16" t="e">
        <f t="shared" ca="1" si="12"/>
        <v>#VALUE!</v>
      </c>
    </row>
    <row r="103" spans="1:14" ht="24.75" customHeight="1" x14ac:dyDescent="0.8">
      <c r="A103" s="18" t="s">
        <v>316</v>
      </c>
      <c r="B103" s="10">
        <f ca="1">IFERROR(__xludf.DUMMYFUNCTION("GOOGLEFINANCE(A103,""PRICE"")"),496)</f>
        <v>496</v>
      </c>
      <c r="C103" s="11">
        <f ca="1">IFERROR(__xludf.DUMMYFUNCTION("GOOGLEFINANCE(A103,""PRICEOPEN"")"),495.05)</f>
        <v>495.05</v>
      </c>
      <c r="D103" s="11">
        <f ca="1">IFERROR(__xludf.DUMMYFUNCTION("GOOGLEFINANCE(A103,""HIGH"")"),497.8)</f>
        <v>497.8</v>
      </c>
      <c r="E103" s="11">
        <f ca="1">IFERROR(__xludf.DUMMYFUNCTION("GOOGLEFINANCE(A103,""LOW"")"),490.75)</f>
        <v>490.75</v>
      </c>
      <c r="F103" s="12" t="str">
        <f t="shared" ca="1" si="7"/>
        <v/>
      </c>
      <c r="G103" s="13">
        <f ca="1">IFERROR(__xludf.DUMMYFUNCTION("GOOGLEFINANCE(A103,""CLOSEYEST"")"),495.05)</f>
        <v>495.05</v>
      </c>
      <c r="H103" s="14" t="str">
        <f t="shared" ca="1" si="13"/>
        <v/>
      </c>
      <c r="I103" s="15">
        <f t="shared" ca="1" si="8"/>
        <v>494.5333333333333</v>
      </c>
      <c r="J103" s="16">
        <f t="shared" ca="1" si="9"/>
        <v>498.31666666666661</v>
      </c>
      <c r="K103" s="16"/>
      <c r="L103" s="16">
        <f t="shared" ca="1" si="10"/>
        <v>491.26666666666659</v>
      </c>
      <c r="M103" s="16">
        <f t="shared" ca="1" si="11"/>
        <v>501.58333333333331</v>
      </c>
      <c r="N103" s="16">
        <f t="shared" ca="1" si="12"/>
        <v>487.48333333333329</v>
      </c>
    </row>
    <row r="104" spans="1:14" ht="24.75" customHeight="1" x14ac:dyDescent="0.8">
      <c r="A104" s="18" t="s">
        <v>507</v>
      </c>
      <c r="B104" s="10">
        <f ca="1">IFERROR(__xludf.DUMMYFUNCTION("GOOGLEFINANCE(A104,""PRICE"")"),727.5)</f>
        <v>727.5</v>
      </c>
      <c r="C104" s="11">
        <f ca="1">IFERROR(__xludf.DUMMYFUNCTION("GOOGLEFINANCE(A104,""PRICEOPEN"")"),724.4)</f>
        <v>724.4</v>
      </c>
      <c r="D104" s="11">
        <f ca="1">IFERROR(__xludf.DUMMYFUNCTION("GOOGLEFINANCE(A104,""HIGH"")"),730.5)</f>
        <v>730.5</v>
      </c>
      <c r="E104" s="11">
        <f ca="1">IFERROR(__xludf.DUMMYFUNCTION("GOOGLEFINANCE(A104,""LOW"")"),719.2)</f>
        <v>719.2</v>
      </c>
      <c r="F104" s="12" t="str">
        <f t="shared" ca="1" si="7"/>
        <v/>
      </c>
      <c r="G104" s="13">
        <f ca="1">IFERROR(__xludf.DUMMYFUNCTION("GOOGLEFINANCE(A104,""CLOSEYEST"")"),722.3)</f>
        <v>722.3</v>
      </c>
      <c r="H104" s="14" t="str">
        <f t="shared" ca="1" si="13"/>
        <v/>
      </c>
      <c r="I104" s="15">
        <f t="shared" ca="1" si="8"/>
        <v>724</v>
      </c>
      <c r="J104" s="16">
        <f t="shared" ca="1" si="9"/>
        <v>728.8</v>
      </c>
      <c r="K104" s="16"/>
      <c r="L104" s="16">
        <f t="shared" ca="1" si="10"/>
        <v>717.5</v>
      </c>
      <c r="M104" s="16">
        <f t="shared" ca="1" si="11"/>
        <v>735.3</v>
      </c>
      <c r="N104" s="16">
        <f t="shared" ca="1" si="12"/>
        <v>712.7</v>
      </c>
    </row>
    <row r="105" spans="1:14" ht="24.75" customHeight="1" x14ac:dyDescent="0.8">
      <c r="A105" s="18" t="s">
        <v>258</v>
      </c>
      <c r="B105" s="10">
        <f ca="1">IFERROR(__xludf.DUMMYFUNCTION("GOOGLEFINANCE(A105,""PRICE"")"),8685)</f>
        <v>8685</v>
      </c>
      <c r="C105" s="11">
        <f ca="1">IFERROR(__xludf.DUMMYFUNCTION("GOOGLEFINANCE(A105,""PRICEOPEN"")"),8626.5)</f>
        <v>8626.5</v>
      </c>
      <c r="D105" s="11">
        <f ca="1">IFERROR(__xludf.DUMMYFUNCTION("GOOGLEFINANCE(A105,""HIGH"")"),8698.5)</f>
        <v>8698.5</v>
      </c>
      <c r="E105" s="11">
        <f ca="1">IFERROR(__xludf.DUMMYFUNCTION("GOOGLEFINANCE(A105,""LOW"")"),8491.5)</f>
        <v>8491.5</v>
      </c>
      <c r="F105" s="12" t="str">
        <f t="shared" ca="1" si="7"/>
        <v/>
      </c>
      <c r="G105" s="13">
        <f ca="1">IFERROR(__xludf.DUMMYFUNCTION("GOOGLEFINANCE(A105,""CLOSEYEST"")"),8626.5)</f>
        <v>8626.5</v>
      </c>
      <c r="H105" s="14" t="str">
        <f t="shared" ca="1" si="13"/>
        <v/>
      </c>
      <c r="I105" s="15">
        <f t="shared" ca="1" si="8"/>
        <v>8605.5</v>
      </c>
      <c r="J105" s="16">
        <f t="shared" ca="1" si="9"/>
        <v>8719.5</v>
      </c>
      <c r="K105" s="16"/>
      <c r="L105" s="16">
        <f t="shared" ca="1" si="10"/>
        <v>8512.5</v>
      </c>
      <c r="M105" s="16">
        <f t="shared" ca="1" si="11"/>
        <v>8812.5</v>
      </c>
      <c r="N105" s="16">
        <f t="shared" ca="1" si="12"/>
        <v>8398.5</v>
      </c>
    </row>
    <row r="106" spans="1:14" ht="24.75" customHeight="1" x14ac:dyDescent="0.8">
      <c r="A106" s="18" t="s">
        <v>278</v>
      </c>
      <c r="B106" s="10">
        <f ca="1">IFERROR(__xludf.DUMMYFUNCTION("GOOGLEFINANCE(A106,""PRICE"")"),383.9)</f>
        <v>383.9</v>
      </c>
      <c r="C106" s="11">
        <f ca="1">IFERROR(__xludf.DUMMYFUNCTION("GOOGLEFINANCE(A106,""PRICEOPEN"")"),388.5)</f>
        <v>388.5</v>
      </c>
      <c r="D106" s="11">
        <f ca="1">IFERROR(__xludf.DUMMYFUNCTION("GOOGLEFINANCE(A106,""HIGH"")"),389.1)</f>
        <v>389.1</v>
      </c>
      <c r="E106" s="11">
        <f ca="1">IFERROR(__xludf.DUMMYFUNCTION("GOOGLEFINANCE(A106,""LOW"")"),381.5)</f>
        <v>381.5</v>
      </c>
      <c r="F106" s="12" t="str">
        <f t="shared" ca="1" si="7"/>
        <v/>
      </c>
      <c r="G106" s="13">
        <f ca="1">IFERROR(__xludf.DUMMYFUNCTION("GOOGLEFINANCE(A106,""CLOSEYEST"")"),388.5)</f>
        <v>388.5</v>
      </c>
      <c r="H106" s="14" t="str">
        <f t="shared" ca="1" si="13"/>
        <v/>
      </c>
      <c r="I106" s="15">
        <f t="shared" ca="1" si="8"/>
        <v>386.36666666666662</v>
      </c>
      <c r="J106" s="16">
        <f t="shared" ca="1" si="9"/>
        <v>391.23333333333323</v>
      </c>
      <c r="K106" s="16"/>
      <c r="L106" s="16">
        <f t="shared" ca="1" si="10"/>
        <v>383.63333333333321</v>
      </c>
      <c r="M106" s="16">
        <f t="shared" ca="1" si="11"/>
        <v>393.96666666666664</v>
      </c>
      <c r="N106" s="16">
        <f t="shared" ca="1" si="12"/>
        <v>378.76666666666659</v>
      </c>
    </row>
    <row r="107" spans="1:14" ht="24.75" customHeight="1" x14ac:dyDescent="0.8">
      <c r="A107" s="18" t="s">
        <v>292</v>
      </c>
      <c r="B107" s="10">
        <f ca="1">IFERROR(__xludf.DUMMYFUNCTION("GOOGLEFINANCE(A107,""PRICE"")"),29165)</f>
        <v>29165</v>
      </c>
      <c r="C107" s="11">
        <f ca="1">IFERROR(__xludf.DUMMYFUNCTION("GOOGLEFINANCE(A107,""PRICEOPEN"")"),29300)</f>
        <v>29300</v>
      </c>
      <c r="D107" s="11">
        <f ca="1">IFERROR(__xludf.DUMMYFUNCTION("GOOGLEFINANCE(A107,""HIGH"")"),29375)</f>
        <v>29375</v>
      </c>
      <c r="E107" s="11">
        <f ca="1">IFERROR(__xludf.DUMMYFUNCTION("GOOGLEFINANCE(A107,""LOW"")"),28990)</f>
        <v>28990</v>
      </c>
      <c r="F107" s="12" t="str">
        <f t="shared" ca="1" si="7"/>
        <v/>
      </c>
      <c r="G107" s="13">
        <f ca="1">IFERROR(__xludf.DUMMYFUNCTION("GOOGLEFINANCE(A107,""CLOSEYEST"")"),29295)</f>
        <v>29295</v>
      </c>
      <c r="H107" s="14" t="str">
        <f t="shared" ca="1" si="13"/>
        <v/>
      </c>
      <c r="I107" s="15">
        <f t="shared" ca="1" si="8"/>
        <v>29220</v>
      </c>
      <c r="J107" s="16">
        <f t="shared" ca="1" si="9"/>
        <v>29450</v>
      </c>
      <c r="K107" s="16"/>
      <c r="L107" s="16">
        <f t="shared" ca="1" si="10"/>
        <v>29065</v>
      </c>
      <c r="M107" s="16">
        <f t="shared" ca="1" si="11"/>
        <v>29605</v>
      </c>
      <c r="N107" s="16">
        <f t="shared" ca="1" si="12"/>
        <v>28835</v>
      </c>
    </row>
    <row r="108" spans="1:14" ht="24.75" customHeight="1" x14ac:dyDescent="0.8">
      <c r="A108" s="18" t="s">
        <v>460</v>
      </c>
      <c r="B108" s="10">
        <f ca="1">IFERROR(__xludf.DUMMYFUNCTION("GOOGLEFINANCE(A108,""PRICE"")"),1148)</f>
        <v>1148</v>
      </c>
      <c r="C108" s="11">
        <f ca="1">IFERROR(__xludf.DUMMYFUNCTION("GOOGLEFINANCE(A108,""PRICEOPEN"")"),1148.6)</f>
        <v>1148.5999999999999</v>
      </c>
      <c r="D108" s="11">
        <f ca="1">IFERROR(__xludf.DUMMYFUNCTION("GOOGLEFINANCE(A108,""HIGH"")"),1152.4)</f>
        <v>1152.4000000000001</v>
      </c>
      <c r="E108" s="11">
        <f ca="1">IFERROR(__xludf.DUMMYFUNCTION("GOOGLEFINANCE(A108,""LOW"")"),1135)</f>
        <v>1135</v>
      </c>
      <c r="F108" s="12" t="str">
        <f t="shared" ca="1" si="7"/>
        <v/>
      </c>
      <c r="G108" s="13">
        <f ca="1">IFERROR(__xludf.DUMMYFUNCTION("GOOGLEFINANCE(A108,""CLOSEYEST"")"),1148.6)</f>
        <v>1148.5999999999999</v>
      </c>
      <c r="H108" s="14" t="str">
        <f t="shared" ca="1" si="13"/>
        <v/>
      </c>
      <c r="I108" s="15">
        <f t="shared" ca="1" si="8"/>
        <v>1145.3333333333333</v>
      </c>
      <c r="J108" s="16">
        <f t="shared" ca="1" si="9"/>
        <v>1155.6666666666665</v>
      </c>
      <c r="K108" s="16"/>
      <c r="L108" s="16">
        <f t="shared" ca="1" si="10"/>
        <v>1138.2666666666664</v>
      </c>
      <c r="M108" s="16">
        <f t="shared" ca="1" si="11"/>
        <v>1162.7333333333333</v>
      </c>
      <c r="N108" s="16">
        <f t="shared" ca="1" si="12"/>
        <v>1127.9333333333332</v>
      </c>
    </row>
    <row r="109" spans="1:14" ht="24.75" customHeight="1" x14ac:dyDescent="0.8">
      <c r="A109" s="18" t="s">
        <v>503</v>
      </c>
      <c r="B109" s="10">
        <f ca="1">IFERROR(__xludf.DUMMYFUNCTION("GOOGLEFINANCE(A109,""PRICE"")"),5985)</f>
        <v>5985</v>
      </c>
      <c r="C109" s="11">
        <f ca="1">IFERROR(__xludf.DUMMYFUNCTION("GOOGLEFINANCE(A109,""PRICEOPEN"")"),5965)</f>
        <v>5965</v>
      </c>
      <c r="D109" s="11">
        <f ca="1">IFERROR(__xludf.DUMMYFUNCTION("GOOGLEFINANCE(A109,""HIGH"")"),6014)</f>
        <v>6014</v>
      </c>
      <c r="E109" s="11">
        <f ca="1">IFERROR(__xludf.DUMMYFUNCTION("GOOGLEFINANCE(A109,""LOW"")"),5931.5)</f>
        <v>5931.5</v>
      </c>
      <c r="F109" s="12" t="str">
        <f t="shared" ca="1" si="7"/>
        <v/>
      </c>
      <c r="G109" s="13">
        <f ca="1">IFERROR(__xludf.DUMMYFUNCTION("GOOGLEFINANCE(A109,""CLOSEYEST"")"),5966.5)</f>
        <v>5966.5</v>
      </c>
      <c r="H109" s="14" t="str">
        <f t="shared" ca="1" si="13"/>
        <v/>
      </c>
      <c r="I109" s="15">
        <f t="shared" ca="1" si="8"/>
        <v>5970.666666666667</v>
      </c>
      <c r="J109" s="16">
        <f t="shared" ca="1" si="9"/>
        <v>6009.8333333333339</v>
      </c>
      <c r="K109" s="16"/>
      <c r="L109" s="16">
        <f t="shared" ca="1" si="10"/>
        <v>5927.3333333333339</v>
      </c>
      <c r="M109" s="16">
        <f t="shared" ca="1" si="11"/>
        <v>6053.166666666667</v>
      </c>
      <c r="N109" s="16">
        <f t="shared" ca="1" si="12"/>
        <v>5888.166666666667</v>
      </c>
    </row>
    <row r="110" spans="1:14" ht="24.75" customHeight="1" x14ac:dyDescent="0.8">
      <c r="A110" s="18" t="s">
        <v>265</v>
      </c>
      <c r="B110" s="10">
        <f ca="1">IFERROR(__xludf.DUMMYFUNCTION("GOOGLEFINANCE(A110,""PRICE"")"),342)</f>
        <v>342</v>
      </c>
      <c r="C110" s="11">
        <f ca="1">IFERROR(__xludf.DUMMYFUNCTION("GOOGLEFINANCE(A110,""PRICEOPEN"")"),344)</f>
        <v>344</v>
      </c>
      <c r="D110" s="11">
        <f ca="1">IFERROR(__xludf.DUMMYFUNCTION("GOOGLEFINANCE(A110,""HIGH"")"),344.9)</f>
        <v>344.9</v>
      </c>
      <c r="E110" s="11">
        <f ca="1">IFERROR(__xludf.DUMMYFUNCTION("GOOGLEFINANCE(A110,""LOW"")"),337.6)</f>
        <v>337.6</v>
      </c>
      <c r="F110" s="12" t="str">
        <f t="shared" ca="1" si="7"/>
        <v/>
      </c>
      <c r="G110" s="13">
        <f ca="1">IFERROR(__xludf.DUMMYFUNCTION("GOOGLEFINANCE(A110,""CLOSEYEST"")"),339.7)</f>
        <v>339.7</v>
      </c>
      <c r="H110" s="14" t="str">
        <f t="shared" ca="1" si="13"/>
        <v>GAP UP</v>
      </c>
      <c r="I110" s="15">
        <f t="shared" ca="1" si="8"/>
        <v>340.73333333333335</v>
      </c>
      <c r="J110" s="16">
        <f t="shared" ca="1" si="9"/>
        <v>343.86666666666667</v>
      </c>
      <c r="K110" s="16"/>
      <c r="L110" s="16">
        <f t="shared" ca="1" si="10"/>
        <v>336.56666666666672</v>
      </c>
      <c r="M110" s="16">
        <f t="shared" ca="1" si="11"/>
        <v>348.0333333333333</v>
      </c>
      <c r="N110" s="16">
        <f t="shared" ca="1" si="12"/>
        <v>333.43333333333339</v>
      </c>
    </row>
    <row r="111" spans="1:14" ht="24.75" customHeight="1" x14ac:dyDescent="0.8">
      <c r="A111" s="18" t="s">
        <v>819</v>
      </c>
      <c r="B111" s="10">
        <f ca="1">IFERROR(__xludf.DUMMYFUNCTION("GOOGLEFINANCE(A111,""PRICE"")"),899)</f>
        <v>899</v>
      </c>
      <c r="C111" s="11">
        <f ca="1">IFERROR(__xludf.DUMMYFUNCTION("GOOGLEFINANCE(A111,""PRICEOPEN"")"),875.7)</f>
        <v>875.7</v>
      </c>
      <c r="D111" s="11">
        <f ca="1">IFERROR(__xludf.DUMMYFUNCTION("GOOGLEFINANCE(A111,""HIGH"")"),899)</f>
        <v>899</v>
      </c>
      <c r="E111" s="11">
        <f ca="1">IFERROR(__xludf.DUMMYFUNCTION("GOOGLEFINANCE(A111,""LOW"")"),866.7)</f>
        <v>866.7</v>
      </c>
      <c r="F111" s="12" t="str">
        <f t="shared" ca="1" si="7"/>
        <v/>
      </c>
      <c r="G111" s="13">
        <f ca="1">IFERROR(__xludf.DUMMYFUNCTION("GOOGLEFINANCE(A111,""CLOSEYEST"")"),875.7)</f>
        <v>875.7</v>
      </c>
      <c r="H111" s="14" t="str">
        <f t="shared" ca="1" si="13"/>
        <v/>
      </c>
      <c r="I111" s="15">
        <f t="shared" ca="1" si="8"/>
        <v>880.4666666666667</v>
      </c>
      <c r="J111" s="16">
        <f t="shared" ca="1" si="9"/>
        <v>894.23333333333335</v>
      </c>
      <c r="K111" s="16"/>
      <c r="L111" s="16">
        <f t="shared" ca="1" si="10"/>
        <v>861.93333333333339</v>
      </c>
      <c r="M111" s="16">
        <f t="shared" ca="1" si="11"/>
        <v>912.76666666666665</v>
      </c>
      <c r="N111" s="16">
        <f t="shared" ca="1" si="12"/>
        <v>848.16666666666674</v>
      </c>
    </row>
    <row r="112" spans="1:14" ht="24.75" customHeight="1" x14ac:dyDescent="0.8">
      <c r="A112" s="18" t="s">
        <v>317</v>
      </c>
      <c r="B112" s="10">
        <f ca="1">IFERROR(__xludf.DUMMYFUNCTION("GOOGLEFINANCE(A112,""PRICE"")"),1490)</f>
        <v>1490</v>
      </c>
      <c r="C112" s="11">
        <f ca="1">IFERROR(__xludf.DUMMYFUNCTION("GOOGLEFINANCE(A112,""PRICEOPEN"")"),1480)</f>
        <v>1480</v>
      </c>
      <c r="D112" s="11">
        <f ca="1">IFERROR(__xludf.DUMMYFUNCTION("GOOGLEFINANCE(A112,""HIGH"")"),1491.4)</f>
        <v>1491.4</v>
      </c>
      <c r="E112" s="11">
        <f ca="1">IFERROR(__xludf.DUMMYFUNCTION("GOOGLEFINANCE(A112,""LOW"")"),1472)</f>
        <v>1472</v>
      </c>
      <c r="F112" s="12" t="str">
        <f t="shared" ca="1" si="7"/>
        <v/>
      </c>
      <c r="G112" s="13">
        <f ca="1">IFERROR(__xludf.DUMMYFUNCTION("GOOGLEFINANCE(A112,""CLOSEYEST"")"),1485.2)</f>
        <v>1485.2</v>
      </c>
      <c r="H112" s="14" t="str">
        <f t="shared" ca="1" si="13"/>
        <v/>
      </c>
      <c r="I112" s="15">
        <f t="shared" ca="1" si="8"/>
        <v>1482.8666666666668</v>
      </c>
      <c r="J112" s="16">
        <f t="shared" ca="1" si="9"/>
        <v>1493.7333333333336</v>
      </c>
      <c r="K112" s="16"/>
      <c r="L112" s="16">
        <f t="shared" ca="1" si="10"/>
        <v>1474.3333333333335</v>
      </c>
      <c r="M112" s="16">
        <f t="shared" ca="1" si="11"/>
        <v>1502.2666666666669</v>
      </c>
      <c r="N112" s="16">
        <f t="shared" ca="1" si="12"/>
        <v>1463.4666666666667</v>
      </c>
    </row>
    <row r="113" spans="1:14" ht="24.75" customHeight="1" x14ac:dyDescent="0.8">
      <c r="A113" s="18" t="s">
        <v>121</v>
      </c>
      <c r="B113" s="10">
        <f ca="1">IFERROR(__xludf.DUMMYFUNCTION("GOOGLEFINANCE(A113,""PRICE"")"),602)</f>
        <v>602</v>
      </c>
      <c r="C113" s="11">
        <f ca="1">IFERROR(__xludf.DUMMYFUNCTION("GOOGLEFINANCE(A113,""PRICEOPEN"")"),596.5)</f>
        <v>596.5</v>
      </c>
      <c r="D113" s="11">
        <f ca="1">IFERROR(__xludf.DUMMYFUNCTION("GOOGLEFINANCE(A113,""HIGH"")"),602.4)</f>
        <v>602.4</v>
      </c>
      <c r="E113" s="11">
        <f ca="1">IFERROR(__xludf.DUMMYFUNCTION("GOOGLEFINANCE(A113,""LOW"")"),594.95)</f>
        <v>594.95000000000005</v>
      </c>
      <c r="F113" s="12" t="str">
        <f t="shared" ca="1" si="7"/>
        <v/>
      </c>
      <c r="G113" s="13">
        <f ca="1">IFERROR(__xludf.DUMMYFUNCTION("GOOGLEFINANCE(A113,""CLOSEYEST"")"),596.6)</f>
        <v>596.6</v>
      </c>
      <c r="H113" s="14" t="str">
        <f t="shared" ca="1" si="13"/>
        <v/>
      </c>
      <c r="I113" s="15">
        <f t="shared" ca="1" si="8"/>
        <v>597.98333333333323</v>
      </c>
      <c r="J113" s="16">
        <f t="shared" ca="1" si="9"/>
        <v>601.01666666666642</v>
      </c>
      <c r="K113" s="16"/>
      <c r="L113" s="16">
        <f t="shared" ca="1" si="10"/>
        <v>593.56666666666649</v>
      </c>
      <c r="M113" s="16">
        <f t="shared" ca="1" si="11"/>
        <v>605.43333333333317</v>
      </c>
      <c r="N113" s="16">
        <f t="shared" ca="1" si="12"/>
        <v>590.5333333333333</v>
      </c>
    </row>
    <row r="114" spans="1:14" ht="24.75" customHeight="1" x14ac:dyDescent="0.8">
      <c r="A114" s="18" t="s">
        <v>26</v>
      </c>
      <c r="B114" s="10">
        <f ca="1">IFERROR(__xludf.DUMMYFUNCTION("GOOGLEFINANCE(A114,""PRICE"")"),3168)</f>
        <v>3168</v>
      </c>
      <c r="C114" s="11">
        <f ca="1">IFERROR(__xludf.DUMMYFUNCTION("GOOGLEFINANCE(A114,""PRICEOPEN"")"),3121.5)</f>
        <v>3121.5</v>
      </c>
      <c r="D114" s="11">
        <f ca="1">IFERROR(__xludf.DUMMYFUNCTION("GOOGLEFINANCE(A114,""HIGH"")"),3174.8)</f>
        <v>3174.8</v>
      </c>
      <c r="E114" s="11">
        <f ca="1">IFERROR(__xludf.DUMMYFUNCTION("GOOGLEFINANCE(A114,""LOW"")"),3107.3)</f>
        <v>3107.3</v>
      </c>
      <c r="F114" s="12" t="str">
        <f t="shared" ca="1" si="7"/>
        <v/>
      </c>
      <c r="G114" s="13">
        <f ca="1">IFERROR(__xludf.DUMMYFUNCTION("GOOGLEFINANCE(A114,""CLOSEYEST"")"),3121.5)</f>
        <v>3121.5</v>
      </c>
      <c r="H114" s="14" t="str">
        <f t="shared" ca="1" si="13"/>
        <v/>
      </c>
      <c r="I114" s="15">
        <f t="shared" ca="1" si="8"/>
        <v>3134.5333333333333</v>
      </c>
      <c r="J114" s="16">
        <f t="shared" ca="1" si="9"/>
        <v>3161.7666666666664</v>
      </c>
      <c r="K114" s="16"/>
      <c r="L114" s="16">
        <f t="shared" ca="1" si="10"/>
        <v>3094.2666666666664</v>
      </c>
      <c r="M114" s="16">
        <f t="shared" ca="1" si="11"/>
        <v>3202.0333333333333</v>
      </c>
      <c r="N114" s="16">
        <f t="shared" ca="1" si="12"/>
        <v>3067.0333333333333</v>
      </c>
    </row>
    <row r="115" spans="1:14" ht="24.75" customHeight="1" x14ac:dyDescent="0.8">
      <c r="A115" s="18" t="s">
        <v>339</v>
      </c>
      <c r="B115" s="10">
        <f ca="1">IFERROR(__xludf.DUMMYFUNCTION("GOOGLEFINANCE(A115,""PRICE"")"),5652)</f>
        <v>5652</v>
      </c>
      <c r="C115" s="11">
        <f ca="1">IFERROR(__xludf.DUMMYFUNCTION("GOOGLEFINANCE(A115,""PRICEOPEN"")"),5602)</f>
        <v>5602</v>
      </c>
      <c r="D115" s="11">
        <f ca="1">IFERROR(__xludf.DUMMYFUNCTION("GOOGLEFINANCE(A115,""HIGH"")"),5690)</f>
        <v>5690</v>
      </c>
      <c r="E115" s="11">
        <f ca="1">IFERROR(__xludf.DUMMYFUNCTION("GOOGLEFINANCE(A115,""LOW"")"),5602)</f>
        <v>5602</v>
      </c>
      <c r="F115" s="12" t="str">
        <f t="shared" ca="1" si="7"/>
        <v>BUY</v>
      </c>
      <c r="G115" s="13">
        <f ca="1">IFERROR(__xludf.DUMMYFUNCTION("GOOGLEFINANCE(A115,""CLOSEYEST"")"),5606)</f>
        <v>5606</v>
      </c>
      <c r="H115" s="14" t="str">
        <f t="shared" ca="1" si="13"/>
        <v/>
      </c>
      <c r="I115" s="15">
        <f t="shared" ca="1" si="8"/>
        <v>5632.666666666667</v>
      </c>
      <c r="J115" s="16">
        <f t="shared" ca="1" si="9"/>
        <v>5663.3333333333339</v>
      </c>
      <c r="K115" s="16"/>
      <c r="L115" s="16">
        <f t="shared" ca="1" si="10"/>
        <v>5575.3333333333339</v>
      </c>
      <c r="M115" s="16">
        <f t="shared" ca="1" si="11"/>
        <v>5720.666666666667</v>
      </c>
      <c r="N115" s="16">
        <f t="shared" ca="1" si="12"/>
        <v>5544.666666666667</v>
      </c>
    </row>
    <row r="116" spans="1:14" ht="24.75" customHeight="1" x14ac:dyDescent="0.8">
      <c r="A116" s="18" t="s">
        <v>196</v>
      </c>
      <c r="B116" s="10">
        <f ca="1">IFERROR(__xludf.DUMMYFUNCTION("GOOGLEFINANCE(A116,""PRICE"")"),575.6)</f>
        <v>575.6</v>
      </c>
      <c r="C116" s="11">
        <f ca="1">IFERROR(__xludf.DUMMYFUNCTION("GOOGLEFINANCE(A116,""PRICEOPEN"")"),573.9)</f>
        <v>573.9</v>
      </c>
      <c r="D116" s="11">
        <f ca="1">IFERROR(__xludf.DUMMYFUNCTION("GOOGLEFINANCE(A116,""HIGH"")"),579.95)</f>
        <v>579.95000000000005</v>
      </c>
      <c r="E116" s="11">
        <f ca="1">IFERROR(__xludf.DUMMYFUNCTION("GOOGLEFINANCE(A116,""LOW"")"),570.3)</f>
        <v>570.29999999999995</v>
      </c>
      <c r="F116" s="12" t="str">
        <f t="shared" ca="1" si="7"/>
        <v/>
      </c>
      <c r="G116" s="13">
        <f ca="1">IFERROR(__xludf.DUMMYFUNCTION("GOOGLEFINANCE(A116,""CLOSEYEST"")"),571.1)</f>
        <v>571.1</v>
      </c>
      <c r="H116" s="14" t="str">
        <f t="shared" ca="1" si="13"/>
        <v/>
      </c>
      <c r="I116" s="15">
        <f t="shared" ca="1" si="8"/>
        <v>573.7833333333333</v>
      </c>
      <c r="J116" s="16">
        <f t="shared" ca="1" si="9"/>
        <v>577.26666666666665</v>
      </c>
      <c r="K116" s="16"/>
      <c r="L116" s="16">
        <f t="shared" ca="1" si="10"/>
        <v>567.61666666666656</v>
      </c>
      <c r="M116" s="16">
        <f t="shared" ca="1" si="11"/>
        <v>583.43333333333339</v>
      </c>
      <c r="N116" s="16">
        <f t="shared" ca="1" si="12"/>
        <v>564.13333333333321</v>
      </c>
    </row>
    <row r="117" spans="1:14" ht="24.75" customHeight="1" x14ac:dyDescent="0.8">
      <c r="A117" s="18" t="s">
        <v>27</v>
      </c>
      <c r="B117" s="10" t="str">
        <f ca="1">IFERROR(__xludf.DUMMYFUNCTION("GOOGLEFINANCE(A117,""PRICE"")"),"#N/A")</f>
        <v>#N/A</v>
      </c>
      <c r="C117" s="11" t="str">
        <f ca="1">IFERROR(__xludf.DUMMYFUNCTION("GOOGLEFINANCE(A117,""PRICEOPEN"")"),"#N/A")</f>
        <v>#N/A</v>
      </c>
      <c r="D117" s="11" t="str">
        <f ca="1">IFERROR(__xludf.DUMMYFUNCTION("GOOGLEFINANCE(A117,""HIGH"")"),"#N/A")</f>
        <v>#N/A</v>
      </c>
      <c r="E117" s="11" t="str">
        <f ca="1">IFERROR(__xludf.DUMMYFUNCTION("GOOGLEFINANCE(A117,""LOW"")"),"#N/A")</f>
        <v>#N/A</v>
      </c>
      <c r="F117" s="12" t="str">
        <f t="shared" ca="1" si="7"/>
        <v>SELL</v>
      </c>
      <c r="G117" s="13" t="str">
        <f ca="1">IFERROR(__xludf.DUMMYFUNCTION("GOOGLEFINANCE(A117,""CLOSEYEST"")"),"#N/A")</f>
        <v>#N/A</v>
      </c>
      <c r="H117" s="14" t="e">
        <f t="shared" ca="1" si="13"/>
        <v>#VALUE!</v>
      </c>
      <c r="I117" s="15" t="e">
        <f t="shared" ca="1" si="8"/>
        <v>#VALUE!</v>
      </c>
      <c r="J117" s="16" t="e">
        <f t="shared" ca="1" si="9"/>
        <v>#VALUE!</v>
      </c>
      <c r="K117" s="16"/>
      <c r="L117" s="16" t="e">
        <f t="shared" ca="1" si="10"/>
        <v>#VALUE!</v>
      </c>
      <c r="M117" s="16" t="e">
        <f t="shared" ca="1" si="11"/>
        <v>#VALUE!</v>
      </c>
      <c r="N117" s="16" t="e">
        <f t="shared" ca="1" si="12"/>
        <v>#VALUE!</v>
      </c>
    </row>
    <row r="118" spans="1:14" ht="24.75" customHeight="1" x14ac:dyDescent="0.8">
      <c r="A118" s="18" t="s">
        <v>521</v>
      </c>
      <c r="B118" s="10">
        <f ca="1">IFERROR(__xludf.DUMMYFUNCTION("GOOGLEFINANCE(A118,""PRICE"")"),1247.8)</f>
        <v>1247.8</v>
      </c>
      <c r="C118" s="11">
        <f ca="1">IFERROR(__xludf.DUMMYFUNCTION("GOOGLEFINANCE(A118,""PRICEOPEN"")"),1243.9)</f>
        <v>1243.9000000000001</v>
      </c>
      <c r="D118" s="11">
        <f ca="1">IFERROR(__xludf.DUMMYFUNCTION("GOOGLEFINANCE(A118,""HIGH"")"),1265.4)</f>
        <v>1265.4000000000001</v>
      </c>
      <c r="E118" s="11">
        <f ca="1">IFERROR(__xludf.DUMMYFUNCTION("GOOGLEFINANCE(A118,""LOW"")"),1240)</f>
        <v>1240</v>
      </c>
      <c r="F118" s="12" t="str">
        <f t="shared" ca="1" si="7"/>
        <v/>
      </c>
      <c r="G118" s="13">
        <f ca="1">IFERROR(__xludf.DUMMYFUNCTION("GOOGLEFINANCE(A118,""CLOSEYEST"")"),1244.7)</f>
        <v>1244.7</v>
      </c>
      <c r="H118" s="14" t="str">
        <f t="shared" ca="1" si="13"/>
        <v/>
      </c>
      <c r="I118" s="15">
        <f t="shared" ca="1" si="8"/>
        <v>1250.0333333333335</v>
      </c>
      <c r="J118" s="16">
        <f t="shared" ca="1" si="9"/>
        <v>1260.0666666666671</v>
      </c>
      <c r="K118" s="16"/>
      <c r="L118" s="16">
        <f t="shared" ca="1" si="10"/>
        <v>1234.666666666667</v>
      </c>
      <c r="M118" s="16">
        <f t="shared" ca="1" si="11"/>
        <v>1275.4333333333336</v>
      </c>
      <c r="N118" s="16">
        <f t="shared" ca="1" si="12"/>
        <v>1224.6333333333334</v>
      </c>
    </row>
    <row r="119" spans="1:14" ht="24.75" customHeight="1" x14ac:dyDescent="0.8">
      <c r="A119" s="18" t="s">
        <v>163</v>
      </c>
      <c r="B119" s="10">
        <f ca="1">IFERROR(__xludf.DUMMYFUNCTION("GOOGLEFINANCE(A119,""PRICE"")"),6935)</f>
        <v>6935</v>
      </c>
      <c r="C119" s="11">
        <f ca="1">IFERROR(__xludf.DUMMYFUNCTION("GOOGLEFINANCE(A119,""PRICEOPEN"")"),7000)</f>
        <v>7000</v>
      </c>
      <c r="D119" s="11">
        <f ca="1">IFERROR(__xludf.DUMMYFUNCTION("GOOGLEFINANCE(A119,""HIGH"")"),7008.5)</f>
        <v>7008.5</v>
      </c>
      <c r="E119" s="11">
        <f ca="1">IFERROR(__xludf.DUMMYFUNCTION("GOOGLEFINANCE(A119,""LOW"")"),6850)</f>
        <v>6850</v>
      </c>
      <c r="F119" s="12" t="str">
        <f t="shared" ca="1" si="7"/>
        <v/>
      </c>
      <c r="G119" s="13">
        <f ca="1">IFERROR(__xludf.DUMMYFUNCTION("GOOGLEFINANCE(A119,""CLOSEYEST"")"),7021.5)</f>
        <v>7021.5</v>
      </c>
      <c r="H119" s="14" t="str">
        <f t="shared" ca="1" si="13"/>
        <v/>
      </c>
      <c r="I119" s="15">
        <f t="shared" ca="1" si="8"/>
        <v>6960</v>
      </c>
      <c r="J119" s="16">
        <f t="shared" ca="1" si="9"/>
        <v>7070</v>
      </c>
      <c r="K119" s="16"/>
      <c r="L119" s="16">
        <f t="shared" ca="1" si="10"/>
        <v>6911.5</v>
      </c>
      <c r="M119" s="16">
        <f t="shared" ca="1" si="11"/>
        <v>7118.5</v>
      </c>
      <c r="N119" s="16">
        <f t="shared" ca="1" si="12"/>
        <v>6801.5</v>
      </c>
    </row>
    <row r="120" spans="1:14" ht="24.75" customHeight="1" x14ac:dyDescent="0.8">
      <c r="A120" s="18" t="s">
        <v>1577</v>
      </c>
      <c r="B120" s="10">
        <f ca="1">IFERROR(__xludf.DUMMYFUNCTION("GOOGLEFINANCE(A120,""PRICE"")"),543)</f>
        <v>543</v>
      </c>
      <c r="C120" s="11">
        <f ca="1">IFERROR(__xludf.DUMMYFUNCTION("GOOGLEFINANCE(A120,""PRICEOPEN"")"),528)</f>
        <v>528</v>
      </c>
      <c r="D120" s="11">
        <f ca="1">IFERROR(__xludf.DUMMYFUNCTION("GOOGLEFINANCE(A120,""HIGH"")"),543.45)</f>
        <v>543.45000000000005</v>
      </c>
      <c r="E120" s="11">
        <f ca="1">IFERROR(__xludf.DUMMYFUNCTION("GOOGLEFINANCE(A120,""LOW"")"),527)</f>
        <v>527</v>
      </c>
      <c r="F120" s="12" t="str">
        <f t="shared" ca="1" si="7"/>
        <v/>
      </c>
      <c r="G120" s="13">
        <f ca="1">IFERROR(__xludf.DUMMYFUNCTION("GOOGLEFINANCE(A120,""CLOSEYEST"")"),529.65)</f>
        <v>529.65</v>
      </c>
      <c r="H120" s="14" t="str">
        <f t="shared" ca="1" si="13"/>
        <v/>
      </c>
      <c r="I120" s="15">
        <f t="shared" ca="1" si="8"/>
        <v>533.36666666666667</v>
      </c>
      <c r="J120" s="16">
        <f t="shared" ca="1" si="9"/>
        <v>539.73333333333335</v>
      </c>
      <c r="K120" s="16"/>
      <c r="L120" s="16">
        <f t="shared" ca="1" si="10"/>
        <v>523.2833333333333</v>
      </c>
      <c r="M120" s="16">
        <f t="shared" ca="1" si="11"/>
        <v>549.81666666666672</v>
      </c>
      <c r="N120" s="16">
        <f t="shared" ca="1" si="12"/>
        <v>516.91666666666663</v>
      </c>
    </row>
    <row r="121" spans="1:14" ht="24.75" customHeight="1" x14ac:dyDescent="0.8">
      <c r="A121" s="18" t="s">
        <v>151</v>
      </c>
      <c r="B121" s="10" t="str">
        <f ca="1">IFERROR(__xludf.DUMMYFUNCTION("GOOGLEFINANCE(A121,""PRICE"")"),"#N/A")</f>
        <v>#N/A</v>
      </c>
      <c r="C121" s="11" t="str">
        <f ca="1">IFERROR(__xludf.DUMMYFUNCTION("GOOGLEFINANCE(A121,""PRICEOPEN"")"),"#N/A")</f>
        <v>#N/A</v>
      </c>
      <c r="D121" s="11" t="str">
        <f ca="1">IFERROR(__xludf.DUMMYFUNCTION("GOOGLEFINANCE(A121,""HIGH"")"),"#N/A")</f>
        <v>#N/A</v>
      </c>
      <c r="E121" s="11" t="str">
        <f ca="1">IFERROR(__xludf.DUMMYFUNCTION("GOOGLEFINANCE(A121,""LOW"")"),"#N/A")</f>
        <v>#N/A</v>
      </c>
      <c r="F121" s="12" t="str">
        <f t="shared" ca="1" si="7"/>
        <v>SELL</v>
      </c>
      <c r="G121" s="13" t="str">
        <f ca="1">IFERROR(__xludf.DUMMYFUNCTION("GOOGLEFINANCE(A121,""CLOSEYEST"")"),"#N/A")</f>
        <v>#N/A</v>
      </c>
      <c r="H121" s="14" t="e">
        <f t="shared" ca="1" si="13"/>
        <v>#VALUE!</v>
      </c>
      <c r="I121" s="15" t="e">
        <f t="shared" ca="1" si="8"/>
        <v>#VALUE!</v>
      </c>
      <c r="J121" s="16" t="e">
        <f t="shared" ca="1" si="9"/>
        <v>#VALUE!</v>
      </c>
      <c r="K121" s="16"/>
      <c r="L121" s="16" t="e">
        <f t="shared" ca="1" si="10"/>
        <v>#VALUE!</v>
      </c>
      <c r="M121" s="16" t="e">
        <f t="shared" ca="1" si="11"/>
        <v>#VALUE!</v>
      </c>
      <c r="N121" s="16" t="e">
        <f t="shared" ca="1" si="12"/>
        <v>#VALUE!</v>
      </c>
    </row>
    <row r="122" spans="1:14" ht="24.75" customHeight="1" x14ac:dyDescent="0.8">
      <c r="A122" s="18" t="s">
        <v>297</v>
      </c>
      <c r="B122" s="10">
        <f ca="1">IFERROR(__xludf.DUMMYFUNCTION("GOOGLEFINANCE(A122,""PRICE"")"),395)</f>
        <v>395</v>
      </c>
      <c r="C122" s="11">
        <f ca="1">IFERROR(__xludf.DUMMYFUNCTION("GOOGLEFINANCE(A122,""PRICEOPEN"")"),392)</f>
        <v>392</v>
      </c>
      <c r="D122" s="11">
        <f ca="1">IFERROR(__xludf.DUMMYFUNCTION("GOOGLEFINANCE(A122,""HIGH"")"),395.5)</f>
        <v>395.5</v>
      </c>
      <c r="E122" s="11">
        <f ca="1">IFERROR(__xludf.DUMMYFUNCTION("GOOGLEFINANCE(A122,""LOW"")"),390)</f>
        <v>390</v>
      </c>
      <c r="F122" s="12" t="str">
        <f t="shared" ca="1" si="7"/>
        <v/>
      </c>
      <c r="G122" s="13">
        <f ca="1">IFERROR(__xludf.DUMMYFUNCTION("GOOGLEFINANCE(A122,""CLOSEYEST"")"),391.15)</f>
        <v>391.15</v>
      </c>
      <c r="H122" s="14" t="str">
        <f t="shared" ca="1" si="13"/>
        <v/>
      </c>
      <c r="I122" s="15">
        <f t="shared" ca="1" si="8"/>
        <v>392.2166666666667</v>
      </c>
      <c r="J122" s="16">
        <f t="shared" ca="1" si="9"/>
        <v>394.43333333333339</v>
      </c>
      <c r="K122" s="16"/>
      <c r="L122" s="16">
        <f t="shared" ca="1" si="10"/>
        <v>388.93333333333339</v>
      </c>
      <c r="M122" s="16">
        <f t="shared" ca="1" si="11"/>
        <v>397.7166666666667</v>
      </c>
      <c r="N122" s="16">
        <f t="shared" ca="1" si="12"/>
        <v>386.7166666666667</v>
      </c>
    </row>
    <row r="123" spans="1:14" ht="24.75" customHeight="1" x14ac:dyDescent="0.8">
      <c r="A123" s="18" t="s">
        <v>1578</v>
      </c>
      <c r="B123" s="10">
        <f ca="1">IFERROR(__xludf.DUMMYFUNCTION("GOOGLEFINANCE(A123,""PRICE"")"),2918)</f>
        <v>2918</v>
      </c>
      <c r="C123" s="11">
        <f ca="1">IFERROR(__xludf.DUMMYFUNCTION("GOOGLEFINANCE(A123,""PRICEOPEN"")"),2890.1)</f>
        <v>2890.1</v>
      </c>
      <c r="D123" s="11">
        <f ca="1">IFERROR(__xludf.DUMMYFUNCTION("GOOGLEFINANCE(A123,""HIGH"")"),2925.3)</f>
        <v>2925.3</v>
      </c>
      <c r="E123" s="11">
        <f ca="1">IFERROR(__xludf.DUMMYFUNCTION("GOOGLEFINANCE(A123,""LOW"")"),2885.3)</f>
        <v>2885.3</v>
      </c>
      <c r="F123" s="12" t="str">
        <f t="shared" ca="1" si="7"/>
        <v/>
      </c>
      <c r="G123" s="13">
        <f ca="1">IFERROR(__xludf.DUMMYFUNCTION("GOOGLEFINANCE(A123,""CLOSEYEST"")"),2907.1)</f>
        <v>2907.1</v>
      </c>
      <c r="H123" s="14" t="str">
        <f t="shared" ca="1" si="13"/>
        <v/>
      </c>
      <c r="I123" s="15">
        <f t="shared" ca="1" si="8"/>
        <v>2905.9</v>
      </c>
      <c r="J123" s="16">
        <f t="shared" ca="1" si="9"/>
        <v>2926.5</v>
      </c>
      <c r="K123" s="16"/>
      <c r="L123" s="16">
        <f t="shared" ca="1" si="10"/>
        <v>2886.5</v>
      </c>
      <c r="M123" s="16">
        <f t="shared" ca="1" si="11"/>
        <v>2945.9</v>
      </c>
      <c r="N123" s="16">
        <f t="shared" ca="1" si="12"/>
        <v>2865.9</v>
      </c>
    </row>
    <row r="124" spans="1:14" ht="24.75" customHeight="1" x14ac:dyDescent="0.8">
      <c r="A124" s="18" t="s">
        <v>147</v>
      </c>
      <c r="B124" s="10">
        <f ca="1">IFERROR(__xludf.DUMMYFUNCTION("GOOGLEFINANCE(A124,""PRICE"")"),1517.5)</f>
        <v>1517.5</v>
      </c>
      <c r="C124" s="11">
        <f ca="1">IFERROR(__xludf.DUMMYFUNCTION("GOOGLEFINANCE(A124,""PRICEOPEN"")"),1522)</f>
        <v>1522</v>
      </c>
      <c r="D124" s="11">
        <f ca="1">IFERROR(__xludf.DUMMYFUNCTION("GOOGLEFINANCE(A124,""HIGH"")"),1537.8)</f>
        <v>1537.8</v>
      </c>
      <c r="E124" s="11">
        <f ca="1">IFERROR(__xludf.DUMMYFUNCTION("GOOGLEFINANCE(A124,""LOW"")"),1509.5)</f>
        <v>1509.5</v>
      </c>
      <c r="F124" s="12" t="str">
        <f t="shared" ca="1" si="7"/>
        <v/>
      </c>
      <c r="G124" s="13">
        <f ca="1">IFERROR(__xludf.DUMMYFUNCTION("GOOGLEFINANCE(A124,""CLOSEYEST"")"),1513)</f>
        <v>1513</v>
      </c>
      <c r="H124" s="14" t="str">
        <f t="shared" ca="1" si="13"/>
        <v/>
      </c>
      <c r="I124" s="15">
        <f t="shared" ca="1" si="8"/>
        <v>1520.1000000000001</v>
      </c>
      <c r="J124" s="16">
        <f t="shared" ca="1" si="9"/>
        <v>1530.7000000000003</v>
      </c>
      <c r="K124" s="16"/>
      <c r="L124" s="16">
        <f t="shared" ca="1" si="10"/>
        <v>1502.4000000000003</v>
      </c>
      <c r="M124" s="16">
        <f t="shared" ca="1" si="11"/>
        <v>1548.4</v>
      </c>
      <c r="N124" s="16">
        <f t="shared" ca="1" si="12"/>
        <v>1491.8000000000002</v>
      </c>
    </row>
    <row r="125" spans="1:14" ht="24.75" customHeight="1" x14ac:dyDescent="0.8">
      <c r="A125" s="18" t="s">
        <v>227</v>
      </c>
      <c r="B125" s="10">
        <f ca="1">IFERROR(__xludf.DUMMYFUNCTION("GOOGLEFINANCE(A125,""PRICE"")"),354.6)</f>
        <v>354.6</v>
      </c>
      <c r="C125" s="11">
        <f ca="1">IFERROR(__xludf.DUMMYFUNCTION("GOOGLEFINANCE(A125,""PRICEOPEN"")"),350.1)</f>
        <v>350.1</v>
      </c>
      <c r="D125" s="11">
        <f ca="1">IFERROR(__xludf.DUMMYFUNCTION("GOOGLEFINANCE(A125,""HIGH"")"),355.4)</f>
        <v>355.4</v>
      </c>
      <c r="E125" s="11">
        <f ca="1">IFERROR(__xludf.DUMMYFUNCTION("GOOGLEFINANCE(A125,""LOW"")"),348.3)</f>
        <v>348.3</v>
      </c>
      <c r="F125" s="12" t="str">
        <f t="shared" ca="1" si="7"/>
        <v/>
      </c>
      <c r="G125" s="13">
        <f ca="1">IFERROR(__xludf.DUMMYFUNCTION("GOOGLEFINANCE(A125,""CLOSEYEST"")"),352.05)</f>
        <v>352.05</v>
      </c>
      <c r="H125" s="14" t="str">
        <f t="shared" ca="1" si="13"/>
        <v/>
      </c>
      <c r="I125" s="15">
        <f t="shared" ca="1" si="8"/>
        <v>351.91666666666669</v>
      </c>
      <c r="J125" s="16">
        <f t="shared" ca="1" si="9"/>
        <v>355.53333333333336</v>
      </c>
      <c r="K125" s="16"/>
      <c r="L125" s="16">
        <f t="shared" ca="1" si="10"/>
        <v>348.43333333333339</v>
      </c>
      <c r="M125" s="16">
        <f t="shared" ca="1" si="11"/>
        <v>359.01666666666665</v>
      </c>
      <c r="N125" s="16">
        <f t="shared" ca="1" si="12"/>
        <v>344.81666666666672</v>
      </c>
    </row>
    <row r="126" spans="1:14" ht="24.75" customHeight="1" x14ac:dyDescent="0.8">
      <c r="A126" s="18" t="s">
        <v>499</v>
      </c>
      <c r="B126" s="10">
        <f ca="1">IFERROR(__xludf.DUMMYFUNCTION("GOOGLEFINANCE(A126,""PRICE"")"),7450)</f>
        <v>7450</v>
      </c>
      <c r="C126" s="11">
        <f ca="1">IFERROR(__xludf.DUMMYFUNCTION("GOOGLEFINANCE(A126,""PRICEOPEN"")"),7441)</f>
        <v>7441</v>
      </c>
      <c r="D126" s="11">
        <f ca="1">IFERROR(__xludf.DUMMYFUNCTION("GOOGLEFINANCE(A126,""HIGH"")"),7484)</f>
        <v>7484</v>
      </c>
      <c r="E126" s="11">
        <f ca="1">IFERROR(__xludf.DUMMYFUNCTION("GOOGLEFINANCE(A126,""LOW"")"),7404)</f>
        <v>7404</v>
      </c>
      <c r="F126" s="12" t="str">
        <f t="shared" ca="1" si="7"/>
        <v/>
      </c>
      <c r="G126" s="13">
        <f ca="1">IFERROR(__xludf.DUMMYFUNCTION("GOOGLEFINANCE(A126,""CLOSEYEST"")"),7441)</f>
        <v>7441</v>
      </c>
      <c r="H126" s="14" t="str">
        <f t="shared" ca="1" si="13"/>
        <v/>
      </c>
      <c r="I126" s="15">
        <f t="shared" ca="1" si="8"/>
        <v>7443</v>
      </c>
      <c r="J126" s="16">
        <f t="shared" ca="1" si="9"/>
        <v>7482</v>
      </c>
      <c r="K126" s="16"/>
      <c r="L126" s="16">
        <f t="shared" ca="1" si="10"/>
        <v>7402</v>
      </c>
      <c r="M126" s="16">
        <f t="shared" ca="1" si="11"/>
        <v>7523</v>
      </c>
      <c r="N126" s="16">
        <f t="shared" ca="1" si="12"/>
        <v>7363</v>
      </c>
    </row>
    <row r="127" spans="1:14" ht="24.75" customHeight="1" x14ac:dyDescent="0.8">
      <c r="A127" s="18" t="s">
        <v>378</v>
      </c>
      <c r="B127" s="10">
        <f ca="1">IFERROR(__xludf.DUMMYFUNCTION("GOOGLEFINANCE(A127,""PRICE"")"),748)</f>
        <v>748</v>
      </c>
      <c r="C127" s="11">
        <f ca="1">IFERROR(__xludf.DUMMYFUNCTION("GOOGLEFINANCE(A127,""PRICEOPEN"")"),743.2)</f>
        <v>743.2</v>
      </c>
      <c r="D127" s="11">
        <f ca="1">IFERROR(__xludf.DUMMYFUNCTION("GOOGLEFINANCE(A127,""HIGH"")"),758.95)</f>
        <v>758.95</v>
      </c>
      <c r="E127" s="11">
        <f ca="1">IFERROR(__xludf.DUMMYFUNCTION("GOOGLEFINANCE(A127,""LOW"")"),741.75)</f>
        <v>741.75</v>
      </c>
      <c r="F127" s="12" t="str">
        <f t="shared" ca="1" si="7"/>
        <v/>
      </c>
      <c r="G127" s="13">
        <f ca="1">IFERROR(__xludf.DUMMYFUNCTION("GOOGLEFINANCE(A127,""CLOSEYEST"")"),743.15)</f>
        <v>743.15</v>
      </c>
      <c r="H127" s="14" t="str">
        <f t="shared" ca="1" si="13"/>
        <v/>
      </c>
      <c r="I127" s="15">
        <f t="shared" ca="1" si="8"/>
        <v>747.94999999999993</v>
      </c>
      <c r="J127" s="16">
        <f t="shared" ca="1" si="9"/>
        <v>754.14999999999986</v>
      </c>
      <c r="K127" s="16"/>
      <c r="L127" s="16">
        <f t="shared" ca="1" si="10"/>
        <v>736.94999999999982</v>
      </c>
      <c r="M127" s="16">
        <f t="shared" ca="1" si="11"/>
        <v>765.15</v>
      </c>
      <c r="N127" s="16">
        <f t="shared" ca="1" si="12"/>
        <v>730.74999999999989</v>
      </c>
    </row>
    <row r="128" spans="1:14" ht="24.75" customHeight="1" x14ac:dyDescent="0.8">
      <c r="A128" s="18" t="s">
        <v>193</v>
      </c>
      <c r="B128" s="10">
        <f ca="1">IFERROR(__xludf.DUMMYFUNCTION("GOOGLEFINANCE(A128,""PRICE"")"),1334)</f>
        <v>1334</v>
      </c>
      <c r="C128" s="11">
        <f ca="1">IFERROR(__xludf.DUMMYFUNCTION("GOOGLEFINANCE(A128,""PRICEOPEN"")"),1341)</f>
        <v>1341</v>
      </c>
      <c r="D128" s="11">
        <f ca="1">IFERROR(__xludf.DUMMYFUNCTION("GOOGLEFINANCE(A128,""HIGH"")"),1342.7)</f>
        <v>1342.7</v>
      </c>
      <c r="E128" s="11">
        <f ca="1">IFERROR(__xludf.DUMMYFUNCTION("GOOGLEFINANCE(A128,""LOW"")"),1320)</f>
        <v>1320</v>
      </c>
      <c r="F128" s="12" t="str">
        <f t="shared" ca="1" si="7"/>
        <v/>
      </c>
      <c r="G128" s="13">
        <f ca="1">IFERROR(__xludf.DUMMYFUNCTION("GOOGLEFINANCE(A128,""CLOSEYEST"")"),1338.6)</f>
        <v>1338.6</v>
      </c>
      <c r="H128" s="14" t="str">
        <f t="shared" ca="1" si="13"/>
        <v/>
      </c>
      <c r="I128" s="15">
        <f t="shared" ca="1" si="8"/>
        <v>1333.7666666666667</v>
      </c>
      <c r="J128" s="16">
        <f t="shared" ca="1" si="9"/>
        <v>1347.5333333333333</v>
      </c>
      <c r="K128" s="16"/>
      <c r="L128" s="16">
        <f t="shared" ca="1" si="10"/>
        <v>1324.8333333333333</v>
      </c>
      <c r="M128" s="16">
        <f t="shared" ca="1" si="11"/>
        <v>1356.4666666666667</v>
      </c>
      <c r="N128" s="16">
        <f t="shared" ca="1" si="12"/>
        <v>1311.0666666666666</v>
      </c>
    </row>
    <row r="129" spans="1:14" ht="24.75" customHeight="1" x14ac:dyDescent="0.8">
      <c r="A129" s="18" t="s">
        <v>201</v>
      </c>
      <c r="B129" s="10">
        <f ca="1">IFERROR(__xludf.DUMMYFUNCTION("GOOGLEFINANCE(A129,""PRICE"")"),1910.6)</f>
        <v>1910.6</v>
      </c>
      <c r="C129" s="11">
        <f ca="1">IFERROR(__xludf.DUMMYFUNCTION("GOOGLEFINANCE(A129,""PRICEOPEN"")"),1912.8)</f>
        <v>1912.8</v>
      </c>
      <c r="D129" s="11">
        <f ca="1">IFERROR(__xludf.DUMMYFUNCTION("GOOGLEFINANCE(A129,""HIGH"")"),1922)</f>
        <v>1922</v>
      </c>
      <c r="E129" s="11">
        <f ca="1">IFERROR(__xludf.DUMMYFUNCTION("GOOGLEFINANCE(A129,""LOW"")"),1892.2)</f>
        <v>1892.2</v>
      </c>
      <c r="F129" s="12" t="str">
        <f t="shared" ca="1" si="7"/>
        <v/>
      </c>
      <c r="G129" s="13">
        <f ca="1">IFERROR(__xludf.DUMMYFUNCTION("GOOGLEFINANCE(A129,""CLOSEYEST"")"),1903.6)</f>
        <v>1903.6</v>
      </c>
      <c r="H129" s="14" t="str">
        <f t="shared" ca="1" si="13"/>
        <v/>
      </c>
      <c r="I129" s="15">
        <f t="shared" ca="1" si="8"/>
        <v>1905.9333333333332</v>
      </c>
      <c r="J129" s="16">
        <f t="shared" ca="1" si="9"/>
        <v>1919.6666666666663</v>
      </c>
      <c r="K129" s="16"/>
      <c r="L129" s="16">
        <f t="shared" ca="1" si="10"/>
        <v>1889.8666666666663</v>
      </c>
      <c r="M129" s="16">
        <f t="shared" ca="1" si="11"/>
        <v>1935.7333333333331</v>
      </c>
      <c r="N129" s="16">
        <f t="shared" ca="1" si="12"/>
        <v>1876.1333333333332</v>
      </c>
    </row>
    <row r="130" spans="1:14" ht="24.75" customHeight="1" x14ac:dyDescent="0.8">
      <c r="A130" s="18" t="s">
        <v>328</v>
      </c>
      <c r="B130" s="10">
        <f ca="1">IFERROR(__xludf.DUMMYFUNCTION("GOOGLEFINANCE(A130,""PRICE"")"),708.4)</f>
        <v>708.4</v>
      </c>
      <c r="C130" s="11">
        <f ca="1">IFERROR(__xludf.DUMMYFUNCTION("GOOGLEFINANCE(A130,""PRICEOPEN"")"),706.15)</f>
        <v>706.15</v>
      </c>
      <c r="D130" s="11">
        <f ca="1">IFERROR(__xludf.DUMMYFUNCTION("GOOGLEFINANCE(A130,""HIGH"")"),710.5)</f>
        <v>710.5</v>
      </c>
      <c r="E130" s="11">
        <f ca="1">IFERROR(__xludf.DUMMYFUNCTION("GOOGLEFINANCE(A130,""LOW"")"),704.1)</f>
        <v>704.1</v>
      </c>
      <c r="F130" s="12" t="str">
        <f t="shared" ca="1" si="7"/>
        <v/>
      </c>
      <c r="G130" s="13">
        <f ca="1">IFERROR(__xludf.DUMMYFUNCTION("GOOGLEFINANCE(A130,""CLOSEYEST"")"),706.15)</f>
        <v>706.15</v>
      </c>
      <c r="H130" s="14" t="str">
        <f t="shared" ca="1" si="13"/>
        <v/>
      </c>
      <c r="I130" s="15">
        <f t="shared" ca="1" si="8"/>
        <v>706.91666666666663</v>
      </c>
      <c r="J130" s="16">
        <f t="shared" ca="1" si="9"/>
        <v>709.73333333333323</v>
      </c>
      <c r="K130" s="16"/>
      <c r="L130" s="16">
        <f t="shared" ca="1" si="10"/>
        <v>703.33333333333326</v>
      </c>
      <c r="M130" s="16">
        <f t="shared" ca="1" si="11"/>
        <v>713.31666666666661</v>
      </c>
      <c r="N130" s="16">
        <f t="shared" ca="1" si="12"/>
        <v>700.51666666666665</v>
      </c>
    </row>
    <row r="131" spans="1:14" ht="24.75" customHeight="1" x14ac:dyDescent="0.8">
      <c r="A131" s="18" t="s">
        <v>283</v>
      </c>
      <c r="B131" s="10">
        <f ca="1">IFERROR(__xludf.DUMMYFUNCTION("GOOGLEFINANCE(A131,""PRICE"")"),1138.5)</f>
        <v>1138.5</v>
      </c>
      <c r="C131" s="11">
        <f ca="1">IFERROR(__xludf.DUMMYFUNCTION("GOOGLEFINANCE(A131,""PRICEOPEN"")"),1146)</f>
        <v>1146</v>
      </c>
      <c r="D131" s="11">
        <f ca="1">IFERROR(__xludf.DUMMYFUNCTION("GOOGLEFINANCE(A131,""HIGH"")"),1150)</f>
        <v>1150</v>
      </c>
      <c r="E131" s="11">
        <f ca="1">IFERROR(__xludf.DUMMYFUNCTION("GOOGLEFINANCE(A131,""LOW"")"),1129.1)</f>
        <v>1129.0999999999999</v>
      </c>
      <c r="F131" s="12" t="str">
        <f t="shared" ca="1" si="7"/>
        <v/>
      </c>
      <c r="G131" s="13">
        <f ca="1">IFERROR(__xludf.DUMMYFUNCTION("GOOGLEFINANCE(A131,""CLOSEYEST"")"),1144.8)</f>
        <v>1144.8</v>
      </c>
      <c r="H131" s="14" t="str">
        <f t="shared" ca="1" si="13"/>
        <v/>
      </c>
      <c r="I131" s="15">
        <f t="shared" ca="1" si="8"/>
        <v>1141.3</v>
      </c>
      <c r="J131" s="16">
        <f t="shared" ca="1" si="9"/>
        <v>1153.5</v>
      </c>
      <c r="K131" s="16"/>
      <c r="L131" s="16">
        <f t="shared" ca="1" si="10"/>
        <v>1132.5999999999999</v>
      </c>
      <c r="M131" s="16">
        <f t="shared" ca="1" si="11"/>
        <v>1162.2</v>
      </c>
      <c r="N131" s="16">
        <f t="shared" ca="1" si="12"/>
        <v>1120.3999999999999</v>
      </c>
    </row>
    <row r="132" spans="1:14" ht="24.75" customHeight="1" x14ac:dyDescent="0.8">
      <c r="A132" s="18" t="s">
        <v>79</v>
      </c>
      <c r="B132" s="10" t="str">
        <f ca="1">IFERROR(__xludf.DUMMYFUNCTION("GOOGLEFINANCE(A132,""PRICE"")"),"#N/A")</f>
        <v>#N/A</v>
      </c>
      <c r="C132" s="11" t="str">
        <f ca="1">IFERROR(__xludf.DUMMYFUNCTION("GOOGLEFINANCE(A132,""PRICEOPEN"")"),"#N/A")</f>
        <v>#N/A</v>
      </c>
      <c r="D132" s="11" t="str">
        <f ca="1">IFERROR(__xludf.DUMMYFUNCTION("GOOGLEFINANCE(A132,""HIGH"")"),"#N/A")</f>
        <v>#N/A</v>
      </c>
      <c r="E132" s="11" t="str">
        <f ca="1">IFERROR(__xludf.DUMMYFUNCTION("GOOGLEFINANCE(A132,""LOW"")"),"#N/A")</f>
        <v>#N/A</v>
      </c>
      <c r="F132" s="12" t="str">
        <f t="shared" ca="1" si="7"/>
        <v>SELL</v>
      </c>
      <c r="G132" s="13" t="str">
        <f ca="1">IFERROR(__xludf.DUMMYFUNCTION("GOOGLEFINANCE(A132,""CLOSEYEST"")"),"#N/A")</f>
        <v>#N/A</v>
      </c>
      <c r="H132" s="14" t="e">
        <f t="shared" ca="1" si="13"/>
        <v>#VALUE!</v>
      </c>
      <c r="I132" s="15" t="e">
        <f t="shared" ca="1" si="8"/>
        <v>#VALUE!</v>
      </c>
      <c r="J132" s="16" t="e">
        <f t="shared" ca="1" si="9"/>
        <v>#VALUE!</v>
      </c>
      <c r="K132" s="16"/>
      <c r="L132" s="16" t="e">
        <f t="shared" ca="1" si="10"/>
        <v>#VALUE!</v>
      </c>
      <c r="M132" s="16" t="e">
        <f t="shared" ca="1" si="11"/>
        <v>#VALUE!</v>
      </c>
      <c r="N132" s="16" t="e">
        <f t="shared" ca="1" si="12"/>
        <v>#VALUE!</v>
      </c>
    </row>
    <row r="133" spans="1:14" ht="24.75" customHeight="1" x14ac:dyDescent="0.8">
      <c r="A133" s="18" t="s">
        <v>1579</v>
      </c>
      <c r="B133" s="10">
        <f ca="1">IFERROR(__xludf.DUMMYFUNCTION("GOOGLEFINANCE(A133,""PRICE"")"),710)</f>
        <v>710</v>
      </c>
      <c r="C133" s="11">
        <f ca="1">IFERROR(__xludf.DUMMYFUNCTION("GOOGLEFINANCE(A133,""PRICEOPEN"")"),700)</f>
        <v>700</v>
      </c>
      <c r="D133" s="11">
        <f ca="1">IFERROR(__xludf.DUMMYFUNCTION("GOOGLEFINANCE(A133,""HIGH"")"),712.75)</f>
        <v>712.75</v>
      </c>
      <c r="E133" s="11">
        <f ca="1">IFERROR(__xludf.DUMMYFUNCTION("GOOGLEFINANCE(A133,""LOW"")"),697.6)</f>
        <v>697.6</v>
      </c>
      <c r="F133" s="12" t="str">
        <f t="shared" ca="1" si="7"/>
        <v/>
      </c>
      <c r="G133" s="13">
        <f ca="1">IFERROR(__xludf.DUMMYFUNCTION("GOOGLEFINANCE(A133,""CLOSEYEST"")"),701.75)</f>
        <v>701.75</v>
      </c>
      <c r="H133" s="14" t="str">
        <f t="shared" ca="1" si="13"/>
        <v/>
      </c>
      <c r="I133" s="15">
        <f t="shared" ca="1" si="8"/>
        <v>704.0333333333333</v>
      </c>
      <c r="J133" s="16">
        <f t="shared" ca="1" si="9"/>
        <v>710.46666666666658</v>
      </c>
      <c r="K133" s="16"/>
      <c r="L133" s="16">
        <f t="shared" ca="1" si="10"/>
        <v>695.31666666666661</v>
      </c>
      <c r="M133" s="16">
        <f t="shared" ca="1" si="11"/>
        <v>719.18333333333328</v>
      </c>
      <c r="N133" s="16">
        <f t="shared" ca="1" si="12"/>
        <v>688.88333333333333</v>
      </c>
    </row>
    <row r="134" spans="1:14" ht="24.75" customHeight="1" x14ac:dyDescent="0.8">
      <c r="A134" s="18" t="s">
        <v>78</v>
      </c>
      <c r="B134" s="10">
        <f ca="1">IFERROR(__xludf.DUMMYFUNCTION("GOOGLEFINANCE(A134,""PRICE"")"),177.6)</f>
        <v>177.6</v>
      </c>
      <c r="C134" s="11">
        <f ca="1">IFERROR(__xludf.DUMMYFUNCTION("GOOGLEFINANCE(A134,""PRICEOPEN"")"),174.72)</f>
        <v>174.72</v>
      </c>
      <c r="D134" s="11">
        <f ca="1">IFERROR(__xludf.DUMMYFUNCTION("GOOGLEFINANCE(A134,""HIGH"")"),177.75)</f>
        <v>177.75</v>
      </c>
      <c r="E134" s="11">
        <f ca="1">IFERROR(__xludf.DUMMYFUNCTION("GOOGLEFINANCE(A134,""LOW"")"),174.48)</f>
        <v>174.48</v>
      </c>
      <c r="F134" s="12" t="str">
        <f t="shared" ca="1" si="7"/>
        <v/>
      </c>
      <c r="G134" s="13">
        <f ca="1">IFERROR(__xludf.DUMMYFUNCTION("GOOGLEFINANCE(A134,""CLOSEYEST"")"),174.56)</f>
        <v>174.56</v>
      </c>
      <c r="H134" s="14" t="str">
        <f t="shared" ca="1" si="13"/>
        <v/>
      </c>
      <c r="I134" s="15">
        <f t="shared" ca="1" si="8"/>
        <v>175.59666666666666</v>
      </c>
      <c r="J134" s="16">
        <f t="shared" ca="1" si="9"/>
        <v>176.71333333333334</v>
      </c>
      <c r="K134" s="16"/>
      <c r="L134" s="16">
        <f t="shared" ca="1" si="10"/>
        <v>173.44333333333333</v>
      </c>
      <c r="M134" s="16">
        <f t="shared" ca="1" si="11"/>
        <v>178.86666666666667</v>
      </c>
      <c r="N134" s="16">
        <f t="shared" ca="1" si="12"/>
        <v>172.32666666666665</v>
      </c>
    </row>
    <row r="135" spans="1:14" ht="24.75" customHeight="1" x14ac:dyDescent="0.8">
      <c r="A135" s="18" t="s">
        <v>156</v>
      </c>
      <c r="B135" s="10">
        <f ca="1">IFERROR(__xludf.DUMMYFUNCTION("GOOGLEFINANCE(A135,""PRICE"")"),1133)</f>
        <v>1133</v>
      </c>
      <c r="C135" s="11">
        <f ca="1">IFERROR(__xludf.DUMMYFUNCTION("GOOGLEFINANCE(A135,""PRICEOPEN"")"),1129)</f>
        <v>1129</v>
      </c>
      <c r="D135" s="11">
        <f ca="1">IFERROR(__xludf.DUMMYFUNCTION("GOOGLEFINANCE(A135,""HIGH"")"),1189)</f>
        <v>1189</v>
      </c>
      <c r="E135" s="11">
        <f ca="1">IFERROR(__xludf.DUMMYFUNCTION("GOOGLEFINANCE(A135,""LOW"")"),1108.5)</f>
        <v>1108.5</v>
      </c>
      <c r="F135" s="12" t="str">
        <f t="shared" ca="1" si="7"/>
        <v/>
      </c>
      <c r="G135" s="13">
        <f ca="1">IFERROR(__xludf.DUMMYFUNCTION("GOOGLEFINANCE(A135,""CLOSEYEST"")"),1122.2)</f>
        <v>1122.2</v>
      </c>
      <c r="H135" s="14" t="str">
        <f t="shared" ca="1" si="13"/>
        <v/>
      </c>
      <c r="I135" s="15">
        <f t="shared" ca="1" si="8"/>
        <v>1139.8999999999999</v>
      </c>
      <c r="J135" s="16">
        <f t="shared" ca="1" si="9"/>
        <v>1171.2999999999997</v>
      </c>
      <c r="K135" s="16"/>
      <c r="L135" s="16">
        <f t="shared" ca="1" si="10"/>
        <v>1090.7999999999997</v>
      </c>
      <c r="M135" s="16">
        <f t="shared" ca="1" si="11"/>
        <v>1220.3999999999999</v>
      </c>
      <c r="N135" s="16">
        <f t="shared" ca="1" si="12"/>
        <v>1059.3999999999999</v>
      </c>
    </row>
    <row r="136" spans="1:14" ht="24.75" customHeight="1" x14ac:dyDescent="0.8">
      <c r="A136" s="18" t="s">
        <v>560</v>
      </c>
      <c r="B136" s="10">
        <f ca="1">IFERROR(__xludf.DUMMYFUNCTION("GOOGLEFINANCE(A136,""PRICE"")"),1.68)</f>
        <v>1.68</v>
      </c>
      <c r="C136" s="11">
        <f ca="1">IFERROR(__xludf.DUMMYFUNCTION("GOOGLEFINANCE(A136,""PRICEOPEN"")"),1.62)</f>
        <v>1.62</v>
      </c>
      <c r="D136" s="11">
        <f ca="1">IFERROR(__xludf.DUMMYFUNCTION("GOOGLEFINANCE(A136,""HIGH"")"),1.73)</f>
        <v>1.73</v>
      </c>
      <c r="E136" s="11">
        <f ca="1">IFERROR(__xludf.DUMMYFUNCTION("GOOGLEFINANCE(A136,""LOW"")"),1.6)</f>
        <v>1.6</v>
      </c>
      <c r="F136" s="12" t="str">
        <f t="shared" ca="1" si="7"/>
        <v/>
      </c>
      <c r="G136" s="13">
        <f ca="1">IFERROR(__xludf.DUMMYFUNCTION("GOOGLEFINANCE(A136,""CLOSEYEST"")"),1.68)</f>
        <v>1.68</v>
      </c>
      <c r="H136" s="14" t="str">
        <f t="shared" ca="1" si="13"/>
        <v>GAP DOWN</v>
      </c>
      <c r="I136" s="15">
        <f t="shared" ca="1" si="8"/>
        <v>1.67</v>
      </c>
      <c r="J136" s="16">
        <f t="shared" ca="1" si="9"/>
        <v>1.7399999999999998</v>
      </c>
      <c r="K136" s="16"/>
      <c r="L136" s="16">
        <f t="shared" ca="1" si="10"/>
        <v>1.6099999999999999</v>
      </c>
      <c r="M136" s="16">
        <f t="shared" ca="1" si="11"/>
        <v>1.7999999999999998</v>
      </c>
      <c r="N136" s="16">
        <f t="shared" ca="1" si="12"/>
        <v>1.54</v>
      </c>
    </row>
    <row r="137" spans="1:14" ht="24.75" customHeight="1" x14ac:dyDescent="0.8">
      <c r="A137" s="18" t="s">
        <v>471</v>
      </c>
      <c r="B137" s="10">
        <f ca="1">IFERROR(__xludf.DUMMYFUNCTION("GOOGLEFINANCE(A137,""PRICE"")"),3172.8)</f>
        <v>3172.8</v>
      </c>
      <c r="C137" s="11">
        <f ca="1">IFERROR(__xludf.DUMMYFUNCTION("GOOGLEFINANCE(A137,""PRICEOPEN"")"),3150)</f>
        <v>3150</v>
      </c>
      <c r="D137" s="11">
        <f ca="1">IFERROR(__xludf.DUMMYFUNCTION("GOOGLEFINANCE(A137,""HIGH"")"),3175.9)</f>
        <v>3175.9</v>
      </c>
      <c r="E137" s="11">
        <f ca="1">IFERROR(__xludf.DUMMYFUNCTION("GOOGLEFINANCE(A137,""LOW"")"),3106.1)</f>
        <v>3106.1</v>
      </c>
      <c r="F137" s="12" t="str">
        <f t="shared" ca="1" si="7"/>
        <v/>
      </c>
      <c r="G137" s="13">
        <f ca="1">IFERROR(__xludf.DUMMYFUNCTION("GOOGLEFINANCE(A137,""CLOSEYEST"")"),3144.5)</f>
        <v>3144.5</v>
      </c>
      <c r="H137" s="14" t="str">
        <f t="shared" ca="1" si="13"/>
        <v/>
      </c>
      <c r="I137" s="15">
        <f t="shared" ca="1" si="8"/>
        <v>3142.1666666666665</v>
      </c>
      <c r="J137" s="16">
        <f t="shared" ca="1" si="9"/>
        <v>3178.2333333333331</v>
      </c>
      <c r="K137" s="16"/>
      <c r="L137" s="16">
        <f t="shared" ca="1" si="10"/>
        <v>3108.4333333333329</v>
      </c>
      <c r="M137" s="16">
        <f t="shared" ca="1" si="11"/>
        <v>3211.9666666666667</v>
      </c>
      <c r="N137" s="16">
        <f t="shared" ca="1" si="12"/>
        <v>3072.3666666666663</v>
      </c>
    </row>
    <row r="138" spans="1:14" ht="24.75" customHeight="1" x14ac:dyDescent="0.8">
      <c r="A138" s="18" t="s">
        <v>162</v>
      </c>
      <c r="B138" s="10" t="str">
        <f ca="1">IFERROR(__xludf.DUMMYFUNCTION("GOOGLEFINANCE(A138,""PRICE"")"),"#N/A")</f>
        <v>#N/A</v>
      </c>
      <c r="C138" s="11" t="str">
        <f ca="1">IFERROR(__xludf.DUMMYFUNCTION("GOOGLEFINANCE(A138,""PRICEOPEN"")"),"#N/A")</f>
        <v>#N/A</v>
      </c>
      <c r="D138" s="11" t="str">
        <f ca="1">IFERROR(__xludf.DUMMYFUNCTION("GOOGLEFINANCE(A138,""HIGH"")"),"#N/A")</f>
        <v>#N/A</v>
      </c>
      <c r="E138" s="11" t="str">
        <f ca="1">IFERROR(__xludf.DUMMYFUNCTION("GOOGLEFINANCE(A138,""LOW"")"),"#N/A")</f>
        <v>#N/A</v>
      </c>
      <c r="F138" s="12" t="str">
        <f t="shared" ca="1" si="7"/>
        <v>SELL</v>
      </c>
      <c r="G138" s="13" t="str">
        <f ca="1">IFERROR(__xludf.DUMMYFUNCTION("GOOGLEFINANCE(A138,""CLOSEYEST"")"),"#N/A")</f>
        <v>#N/A</v>
      </c>
      <c r="H138" s="14" t="e">
        <f t="shared" ca="1" si="13"/>
        <v>#VALUE!</v>
      </c>
      <c r="I138" s="15" t="e">
        <f t="shared" ca="1" si="8"/>
        <v>#VALUE!</v>
      </c>
      <c r="J138" s="16" t="e">
        <f t="shared" ca="1" si="9"/>
        <v>#VALUE!</v>
      </c>
      <c r="K138" s="16"/>
      <c r="L138" s="16" t="e">
        <f t="shared" ca="1" si="10"/>
        <v>#VALUE!</v>
      </c>
      <c r="M138" s="16" t="e">
        <f t="shared" ca="1" si="11"/>
        <v>#VALUE!</v>
      </c>
      <c r="N138" s="16" t="e">
        <f t="shared" ca="1" si="12"/>
        <v>#VALUE!</v>
      </c>
    </row>
    <row r="139" spans="1:14" ht="24.75" customHeight="1" x14ac:dyDescent="0.8">
      <c r="A139" s="18" t="s">
        <v>1580</v>
      </c>
      <c r="B139" s="10">
        <f ca="1">IFERROR(__xludf.DUMMYFUNCTION("GOOGLEFINANCE(A139,""PRICE"")"),1112.2)</f>
        <v>1112.2</v>
      </c>
      <c r="C139" s="11">
        <f ca="1">IFERROR(__xludf.DUMMYFUNCTION("GOOGLEFINANCE(A139,""PRICEOPEN"")"),1144.7)</f>
        <v>1144.7</v>
      </c>
      <c r="D139" s="11">
        <f ca="1">IFERROR(__xludf.DUMMYFUNCTION("GOOGLEFINANCE(A139,""HIGH"")"),1147)</f>
        <v>1147</v>
      </c>
      <c r="E139" s="11">
        <f ca="1">IFERROR(__xludf.DUMMYFUNCTION("GOOGLEFINANCE(A139,""LOW"")"),1108)</f>
        <v>1108</v>
      </c>
      <c r="F139" s="12" t="str">
        <f t="shared" ca="1" si="7"/>
        <v/>
      </c>
      <c r="G139" s="13">
        <f ca="1">IFERROR(__xludf.DUMMYFUNCTION("GOOGLEFINANCE(A139,""CLOSEYEST"")"),1139.8)</f>
        <v>1139.8</v>
      </c>
      <c r="H139" s="14" t="str">
        <f t="shared" ca="1" si="13"/>
        <v/>
      </c>
      <c r="I139" s="15">
        <f t="shared" ca="1" si="8"/>
        <v>1131.6000000000001</v>
      </c>
      <c r="J139" s="16">
        <f t="shared" ca="1" si="9"/>
        <v>1155.2000000000003</v>
      </c>
      <c r="K139" s="16"/>
      <c r="L139" s="16">
        <f t="shared" ca="1" si="10"/>
        <v>1116.2000000000003</v>
      </c>
      <c r="M139" s="16">
        <f t="shared" ca="1" si="11"/>
        <v>1170.6000000000001</v>
      </c>
      <c r="N139" s="16">
        <f t="shared" ca="1" si="12"/>
        <v>1092.6000000000001</v>
      </c>
    </row>
    <row r="140" spans="1:14" ht="24.75" customHeight="1" x14ac:dyDescent="0.8">
      <c r="A140" s="18" t="s">
        <v>224</v>
      </c>
      <c r="B140" s="10">
        <f ca="1">IFERROR(__xludf.DUMMYFUNCTION("GOOGLEFINANCE(A140,""PRICE"")"),2737)</f>
        <v>2737</v>
      </c>
      <c r="C140" s="11">
        <f ca="1">IFERROR(__xludf.DUMMYFUNCTION("GOOGLEFINANCE(A140,""PRICEOPEN"")"),2698.9)</f>
        <v>2698.9</v>
      </c>
      <c r="D140" s="11">
        <f ca="1">IFERROR(__xludf.DUMMYFUNCTION("GOOGLEFINANCE(A140,""HIGH"")"),2742.2)</f>
        <v>2742.2</v>
      </c>
      <c r="E140" s="11">
        <f ca="1">IFERROR(__xludf.DUMMYFUNCTION("GOOGLEFINANCE(A140,""LOW"")"),2680)</f>
        <v>2680</v>
      </c>
      <c r="F140" s="12" t="str">
        <f t="shared" ca="1" si="7"/>
        <v/>
      </c>
      <c r="G140" s="13">
        <f ca="1">IFERROR(__xludf.DUMMYFUNCTION("GOOGLEFINANCE(A140,""CLOSEYEST"")"),2691)</f>
        <v>2691</v>
      </c>
      <c r="H140" s="14" t="str">
        <f t="shared" ca="1" si="13"/>
        <v/>
      </c>
      <c r="I140" s="15">
        <f t="shared" ca="1" si="8"/>
        <v>2704.4</v>
      </c>
      <c r="J140" s="16">
        <f t="shared" ca="1" si="9"/>
        <v>2728.8</v>
      </c>
      <c r="K140" s="16"/>
      <c r="L140" s="16">
        <f t="shared" ca="1" si="10"/>
        <v>2666.6000000000004</v>
      </c>
      <c r="M140" s="16">
        <f t="shared" ca="1" si="11"/>
        <v>2766.6</v>
      </c>
      <c r="N140" s="16">
        <f t="shared" ca="1" si="12"/>
        <v>2642.2000000000003</v>
      </c>
    </row>
    <row r="141" spans="1:14" ht="24.75" customHeight="1" x14ac:dyDescent="0.8">
      <c r="A141" s="18" t="s">
        <v>28</v>
      </c>
      <c r="B141" s="10">
        <f ca="1">IFERROR(__xludf.DUMMYFUNCTION("GOOGLEFINANCE(A141,""PRICE"")"),4262)</f>
        <v>4262</v>
      </c>
      <c r="C141" s="11">
        <f ca="1">IFERROR(__xludf.DUMMYFUNCTION("GOOGLEFINANCE(A141,""PRICEOPEN"")"),4190)</f>
        <v>4190</v>
      </c>
      <c r="D141" s="11">
        <f ca="1">IFERROR(__xludf.DUMMYFUNCTION("GOOGLEFINANCE(A141,""HIGH"")"),4296.4)</f>
        <v>4296.3999999999996</v>
      </c>
      <c r="E141" s="11">
        <f ca="1">IFERROR(__xludf.DUMMYFUNCTION("GOOGLEFINANCE(A141,""LOW"")"),4166.8)</f>
        <v>4166.8</v>
      </c>
      <c r="F141" s="12" t="str">
        <f t="shared" ca="1" si="7"/>
        <v/>
      </c>
      <c r="G141" s="13">
        <f ca="1">IFERROR(__xludf.DUMMYFUNCTION("GOOGLEFINANCE(A141,""CLOSEYEST"")"),4186.7)</f>
        <v>4186.7</v>
      </c>
      <c r="H141" s="14" t="str">
        <f t="shared" ca="1" si="13"/>
        <v/>
      </c>
      <c r="I141" s="15">
        <f t="shared" ca="1" si="8"/>
        <v>4216.6333333333341</v>
      </c>
      <c r="J141" s="16">
        <f t="shared" ca="1" si="9"/>
        <v>4266.4666666666681</v>
      </c>
      <c r="K141" s="16"/>
      <c r="L141" s="16">
        <f t="shared" ca="1" si="10"/>
        <v>4136.8666666666686</v>
      </c>
      <c r="M141" s="16">
        <f t="shared" ca="1" si="11"/>
        <v>4346.2333333333336</v>
      </c>
      <c r="N141" s="16">
        <f t="shared" ca="1" si="12"/>
        <v>4087.0333333333347</v>
      </c>
    </row>
    <row r="142" spans="1:14" ht="24.75" customHeight="1" x14ac:dyDescent="0.8">
      <c r="A142" s="18" t="s">
        <v>178</v>
      </c>
      <c r="B142" s="10">
        <f ca="1">IFERROR(__xludf.DUMMYFUNCTION("GOOGLEFINANCE(A142,""PRICE"")"),11830)</f>
        <v>11830</v>
      </c>
      <c r="C142" s="11">
        <f ca="1">IFERROR(__xludf.DUMMYFUNCTION("GOOGLEFINANCE(A142,""PRICEOPEN"")"),12039)</f>
        <v>12039</v>
      </c>
      <c r="D142" s="11">
        <f ca="1">IFERROR(__xludf.DUMMYFUNCTION("GOOGLEFINANCE(A142,""HIGH"")"),12039)</f>
        <v>12039</v>
      </c>
      <c r="E142" s="11">
        <f ca="1">IFERROR(__xludf.DUMMYFUNCTION("GOOGLEFINANCE(A142,""LOW"")"),11780)</f>
        <v>11780</v>
      </c>
      <c r="F142" s="12" t="str">
        <f t="shared" ca="1" si="7"/>
        <v>SELL</v>
      </c>
      <c r="G142" s="13">
        <f ca="1">IFERROR(__xludf.DUMMYFUNCTION("GOOGLEFINANCE(A142,""CLOSEYEST"")"),11996)</f>
        <v>11996</v>
      </c>
      <c r="H142" s="14" t="str">
        <f t="shared" ca="1" si="13"/>
        <v/>
      </c>
      <c r="I142" s="15">
        <f t="shared" ca="1" si="8"/>
        <v>11938.333333333334</v>
      </c>
      <c r="J142" s="16">
        <f t="shared" ca="1" si="9"/>
        <v>12096.666666666668</v>
      </c>
      <c r="K142" s="16"/>
      <c r="L142" s="16">
        <f t="shared" ca="1" si="10"/>
        <v>11837.666666666668</v>
      </c>
      <c r="M142" s="16">
        <f t="shared" ca="1" si="11"/>
        <v>12197.333333333334</v>
      </c>
      <c r="N142" s="16">
        <f t="shared" ca="1" si="12"/>
        <v>11679.333333333334</v>
      </c>
    </row>
    <row r="143" spans="1:14" ht="24.75" customHeight="1" x14ac:dyDescent="0.8">
      <c r="A143" s="18" t="s">
        <v>181</v>
      </c>
      <c r="B143" s="10">
        <f ca="1">IFERROR(__xludf.DUMMYFUNCTION("GOOGLEFINANCE(A143,""PRICE"")"),92.6)</f>
        <v>92.6</v>
      </c>
      <c r="C143" s="11">
        <f ca="1">IFERROR(__xludf.DUMMYFUNCTION("GOOGLEFINANCE(A143,""PRICEOPEN"")"),92.4)</f>
        <v>92.4</v>
      </c>
      <c r="D143" s="11">
        <f ca="1">IFERROR(__xludf.DUMMYFUNCTION("GOOGLEFINANCE(A143,""HIGH"")"),93.54)</f>
        <v>93.54</v>
      </c>
      <c r="E143" s="11">
        <f ca="1">IFERROR(__xludf.DUMMYFUNCTION("GOOGLEFINANCE(A143,""LOW"")"),92.34)</f>
        <v>92.34</v>
      </c>
      <c r="F143" s="12" t="str">
        <f t="shared" ca="1" si="7"/>
        <v/>
      </c>
      <c r="G143" s="13">
        <f ca="1">IFERROR(__xludf.DUMMYFUNCTION("GOOGLEFINANCE(A143,""CLOSEYEST"")"),92.35)</f>
        <v>92.35</v>
      </c>
      <c r="H143" s="14" t="str">
        <f t="shared" ca="1" si="13"/>
        <v/>
      </c>
      <c r="I143" s="15">
        <f t="shared" ca="1" si="8"/>
        <v>92.743333333333339</v>
      </c>
      <c r="J143" s="16">
        <f t="shared" ca="1" si="9"/>
        <v>93.146666666666675</v>
      </c>
      <c r="K143" s="16"/>
      <c r="L143" s="16">
        <f t="shared" ca="1" si="10"/>
        <v>91.946666666666673</v>
      </c>
      <c r="M143" s="16">
        <f t="shared" ca="1" si="11"/>
        <v>93.943333333333342</v>
      </c>
      <c r="N143" s="16">
        <f t="shared" ca="1" si="12"/>
        <v>91.543333333333337</v>
      </c>
    </row>
    <row r="144" spans="1:14" ht="24.75" customHeight="1" x14ac:dyDescent="0.8">
      <c r="A144" s="18" t="s">
        <v>29</v>
      </c>
      <c r="B144" s="10">
        <f ca="1">IFERROR(__xludf.DUMMYFUNCTION("GOOGLEFINANCE(A144,""PRICE"")"),2036.9)</f>
        <v>2036.9</v>
      </c>
      <c r="C144" s="11">
        <f ca="1">IFERROR(__xludf.DUMMYFUNCTION("GOOGLEFINANCE(A144,""PRICEOPEN"")"),2040)</f>
        <v>2040</v>
      </c>
      <c r="D144" s="11">
        <f ca="1">IFERROR(__xludf.DUMMYFUNCTION("GOOGLEFINANCE(A144,""HIGH"")"),2048)</f>
        <v>2048</v>
      </c>
      <c r="E144" s="11">
        <f ca="1">IFERROR(__xludf.DUMMYFUNCTION("GOOGLEFINANCE(A144,""LOW"")"),2018.5)</f>
        <v>2018.5</v>
      </c>
      <c r="F144" s="12" t="str">
        <f t="shared" ca="1" si="7"/>
        <v/>
      </c>
      <c r="G144" s="13">
        <f ca="1">IFERROR(__xludf.DUMMYFUNCTION("GOOGLEFINANCE(A144,""CLOSEYEST"")"),2030.4)</f>
        <v>2030.4</v>
      </c>
      <c r="H144" s="14" t="str">
        <f t="shared" ca="1" si="13"/>
        <v/>
      </c>
      <c r="I144" s="15">
        <f t="shared" ca="1" si="8"/>
        <v>2032.3</v>
      </c>
      <c r="J144" s="16">
        <f t="shared" ca="1" si="9"/>
        <v>2046.1</v>
      </c>
      <c r="K144" s="16"/>
      <c r="L144" s="16">
        <f t="shared" ca="1" si="10"/>
        <v>2016.6</v>
      </c>
      <c r="M144" s="16">
        <f t="shared" ca="1" si="11"/>
        <v>2061.8000000000002</v>
      </c>
      <c r="N144" s="16">
        <f t="shared" ca="1" si="12"/>
        <v>2002.8</v>
      </c>
    </row>
    <row r="145" spans="1:14" ht="24.75" customHeight="1" x14ac:dyDescent="0.8">
      <c r="A145" s="18" t="s">
        <v>1581</v>
      </c>
      <c r="B145" s="10">
        <f ca="1">IFERROR(__xludf.DUMMYFUNCTION("GOOGLEFINANCE(A145,""PRICE"")"),56.98)</f>
        <v>56.98</v>
      </c>
      <c r="C145" s="11">
        <f ca="1">IFERROR(__xludf.DUMMYFUNCTION("GOOGLEFINANCE(A145,""PRICEOPEN"")"),55.18)</f>
        <v>55.18</v>
      </c>
      <c r="D145" s="11">
        <f ca="1">IFERROR(__xludf.DUMMYFUNCTION("GOOGLEFINANCE(A145,""HIGH"")"),57)</f>
        <v>57</v>
      </c>
      <c r="E145" s="11">
        <f ca="1">IFERROR(__xludf.DUMMYFUNCTION("GOOGLEFINANCE(A145,""LOW"")"),55.12)</f>
        <v>55.12</v>
      </c>
      <c r="F145" s="12" t="str">
        <f t="shared" ca="1" si="7"/>
        <v/>
      </c>
      <c r="G145" s="13">
        <f ca="1">IFERROR(__xludf.DUMMYFUNCTION("GOOGLEFINANCE(A145,""CLOSEYEST"")"),55.14)</f>
        <v>55.14</v>
      </c>
      <c r="H145" s="14" t="str">
        <f t="shared" ca="1" si="13"/>
        <v/>
      </c>
      <c r="I145" s="15">
        <f t="shared" ca="1" si="8"/>
        <v>55.75333333333333</v>
      </c>
      <c r="J145" s="16">
        <f t="shared" ca="1" si="9"/>
        <v>56.386666666666663</v>
      </c>
      <c r="K145" s="16"/>
      <c r="L145" s="16">
        <f t="shared" ca="1" si="10"/>
        <v>54.506666666666661</v>
      </c>
      <c r="M145" s="16">
        <f t="shared" ca="1" si="11"/>
        <v>57.633333333333333</v>
      </c>
      <c r="N145" s="16">
        <f t="shared" ca="1" si="12"/>
        <v>53.873333333333328</v>
      </c>
    </row>
    <row r="146" spans="1:14" ht="24.75" customHeight="1" x14ac:dyDescent="0.8">
      <c r="A146" s="18" t="s">
        <v>383</v>
      </c>
      <c r="B146" s="10">
        <f ca="1">IFERROR(__xludf.DUMMYFUNCTION("GOOGLEFINANCE(A146,""PRICE"")"),5595)</f>
        <v>5595</v>
      </c>
      <c r="C146" s="11">
        <f ca="1">IFERROR(__xludf.DUMMYFUNCTION("GOOGLEFINANCE(A146,""PRICEOPEN"")"),5584)</f>
        <v>5584</v>
      </c>
      <c r="D146" s="11">
        <f ca="1">IFERROR(__xludf.DUMMYFUNCTION("GOOGLEFINANCE(A146,""HIGH"")"),5633.5)</f>
        <v>5633.5</v>
      </c>
      <c r="E146" s="11">
        <f ca="1">IFERROR(__xludf.DUMMYFUNCTION("GOOGLEFINANCE(A146,""LOW"")"),5555)</f>
        <v>5555</v>
      </c>
      <c r="F146" s="12" t="str">
        <f t="shared" ca="1" si="7"/>
        <v/>
      </c>
      <c r="G146" s="13">
        <f ca="1">IFERROR(__xludf.DUMMYFUNCTION("GOOGLEFINANCE(A146,""CLOSEYEST"")"),5555.5)</f>
        <v>5555.5</v>
      </c>
      <c r="H146" s="14" t="str">
        <f t="shared" ca="1" si="13"/>
        <v/>
      </c>
      <c r="I146" s="15">
        <f t="shared" ca="1" si="8"/>
        <v>5581.333333333333</v>
      </c>
      <c r="J146" s="16">
        <f t="shared" ca="1" si="9"/>
        <v>5607.6666666666661</v>
      </c>
      <c r="K146" s="16"/>
      <c r="L146" s="16">
        <f t="shared" ca="1" si="10"/>
        <v>5529.1666666666661</v>
      </c>
      <c r="M146" s="16">
        <f t="shared" ca="1" si="11"/>
        <v>5659.833333333333</v>
      </c>
      <c r="N146" s="16">
        <f t="shared" ca="1" si="12"/>
        <v>5502.833333333333</v>
      </c>
    </row>
    <row r="147" spans="1:14" ht="24.75" customHeight="1" x14ac:dyDescent="0.8">
      <c r="A147" s="18" t="s">
        <v>397</v>
      </c>
      <c r="B147" s="10">
        <f ca="1">IFERROR(__xludf.DUMMYFUNCTION("GOOGLEFINANCE(A147,""PRICE"")"),3513.9)</f>
        <v>3513.9</v>
      </c>
      <c r="C147" s="11">
        <f ca="1">IFERROR(__xludf.DUMMYFUNCTION("GOOGLEFINANCE(A147,""PRICEOPEN"")"),3552)</f>
        <v>3552</v>
      </c>
      <c r="D147" s="11">
        <f ca="1">IFERROR(__xludf.DUMMYFUNCTION("GOOGLEFINANCE(A147,""HIGH"")"),3566.9)</f>
        <v>3566.9</v>
      </c>
      <c r="E147" s="11">
        <f ca="1">IFERROR(__xludf.DUMMYFUNCTION("GOOGLEFINANCE(A147,""LOW"")"),3504)</f>
        <v>3504</v>
      </c>
      <c r="F147" s="12" t="str">
        <f t="shared" ca="1" si="7"/>
        <v/>
      </c>
      <c r="G147" s="13">
        <f ca="1">IFERROR(__xludf.DUMMYFUNCTION("GOOGLEFINANCE(A147,""CLOSEYEST"")"),3567.1)</f>
        <v>3567.1</v>
      </c>
      <c r="H147" s="14" t="str">
        <f t="shared" ca="1" si="13"/>
        <v/>
      </c>
      <c r="I147" s="15">
        <f t="shared" ca="1" si="8"/>
        <v>3546</v>
      </c>
      <c r="J147" s="16">
        <f t="shared" ca="1" si="9"/>
        <v>3588</v>
      </c>
      <c r="K147" s="16"/>
      <c r="L147" s="16">
        <f t="shared" ca="1" si="10"/>
        <v>3525.1</v>
      </c>
      <c r="M147" s="16">
        <f t="shared" ca="1" si="11"/>
        <v>3608.9</v>
      </c>
      <c r="N147" s="16">
        <f t="shared" ca="1" si="12"/>
        <v>3483.1</v>
      </c>
    </row>
    <row r="148" spans="1:14" ht="24.75" customHeight="1" x14ac:dyDescent="0.8">
      <c r="A148" s="18" t="s">
        <v>30</v>
      </c>
      <c r="B148" s="10">
        <f ca="1">IFERROR(__xludf.DUMMYFUNCTION("GOOGLEFINANCE(A148,""PRICE"")"),14300)</f>
        <v>14300</v>
      </c>
      <c r="C148" s="11">
        <f ca="1">IFERROR(__xludf.DUMMYFUNCTION("GOOGLEFINANCE(A148,""PRICEOPEN"")"),14064)</f>
        <v>14064</v>
      </c>
      <c r="D148" s="11">
        <f ca="1">IFERROR(__xludf.DUMMYFUNCTION("GOOGLEFINANCE(A148,""HIGH"")"),14378)</f>
        <v>14378</v>
      </c>
      <c r="E148" s="11">
        <f ca="1">IFERROR(__xludf.DUMMYFUNCTION("GOOGLEFINANCE(A148,""LOW"")"),13940)</f>
        <v>13940</v>
      </c>
      <c r="F148" s="12" t="str">
        <f t="shared" ca="1" si="7"/>
        <v/>
      </c>
      <c r="G148" s="13">
        <f ca="1">IFERROR(__xludf.DUMMYFUNCTION("GOOGLEFINANCE(A148,""CLOSEYEST"")"),14114)</f>
        <v>14114</v>
      </c>
      <c r="H148" s="14" t="str">
        <f t="shared" ca="1" si="13"/>
        <v/>
      </c>
      <c r="I148" s="15">
        <f t="shared" ca="1" si="8"/>
        <v>14144</v>
      </c>
      <c r="J148" s="16">
        <f t="shared" ca="1" si="9"/>
        <v>14348</v>
      </c>
      <c r="K148" s="16"/>
      <c r="L148" s="16">
        <f t="shared" ca="1" si="10"/>
        <v>13910</v>
      </c>
      <c r="M148" s="16">
        <f t="shared" ca="1" si="11"/>
        <v>14582</v>
      </c>
      <c r="N148" s="16">
        <f t="shared" ca="1" si="12"/>
        <v>13706</v>
      </c>
    </row>
    <row r="149" spans="1:14" ht="24.75" customHeight="1" x14ac:dyDescent="0.8">
      <c r="A149" s="18" t="s">
        <v>721</v>
      </c>
      <c r="B149" s="10">
        <f ca="1">IFERROR(__xludf.DUMMYFUNCTION("GOOGLEFINANCE(A149,""PRICE"")"),628.05)</f>
        <v>628.04999999999995</v>
      </c>
      <c r="C149" s="11">
        <f ca="1">IFERROR(__xludf.DUMMYFUNCTION("GOOGLEFINANCE(A149,""PRICEOPEN"")"),619.6)</f>
        <v>619.6</v>
      </c>
      <c r="D149" s="11">
        <f ca="1">IFERROR(__xludf.DUMMYFUNCTION("GOOGLEFINANCE(A149,""HIGH"")"),630)</f>
        <v>630</v>
      </c>
      <c r="E149" s="11">
        <f ca="1">IFERROR(__xludf.DUMMYFUNCTION("GOOGLEFINANCE(A149,""LOW"")"),619.4)</f>
        <v>619.4</v>
      </c>
      <c r="F149" s="12" t="str">
        <f t="shared" ca="1" si="7"/>
        <v/>
      </c>
      <c r="G149" s="13">
        <f ca="1">IFERROR(__xludf.DUMMYFUNCTION("GOOGLEFINANCE(A149,""CLOSEYEST"")"),619.4)</f>
        <v>619.4</v>
      </c>
      <c r="H149" s="14" t="str">
        <f t="shared" ca="1" si="13"/>
        <v/>
      </c>
      <c r="I149" s="15">
        <f t="shared" ca="1" si="8"/>
        <v>622.93333333333339</v>
      </c>
      <c r="J149" s="16">
        <f t="shared" ca="1" si="9"/>
        <v>626.46666666666681</v>
      </c>
      <c r="K149" s="16"/>
      <c r="L149" s="16">
        <f t="shared" ca="1" si="10"/>
        <v>615.86666666666679</v>
      </c>
      <c r="M149" s="16">
        <f t="shared" ca="1" si="11"/>
        <v>633.53333333333342</v>
      </c>
      <c r="N149" s="16">
        <f t="shared" ca="1" si="12"/>
        <v>612.33333333333337</v>
      </c>
    </row>
    <row r="150" spans="1:14" ht="24.75" customHeight="1" x14ac:dyDescent="0.8">
      <c r="A150" s="18" t="s">
        <v>329</v>
      </c>
      <c r="B150" s="10">
        <f ca="1">IFERROR(__xludf.DUMMYFUNCTION("GOOGLEFINANCE(A150,""PRICE"")"),5545.5)</f>
        <v>5545.5</v>
      </c>
      <c r="C150" s="11">
        <f ca="1">IFERROR(__xludf.DUMMYFUNCTION("GOOGLEFINANCE(A150,""PRICEOPEN"")"),5465)</f>
        <v>5465</v>
      </c>
      <c r="D150" s="11">
        <f ca="1">IFERROR(__xludf.DUMMYFUNCTION("GOOGLEFINANCE(A150,""HIGH"")"),5584)</f>
        <v>5584</v>
      </c>
      <c r="E150" s="11">
        <f ca="1">IFERROR(__xludf.DUMMYFUNCTION("GOOGLEFINANCE(A150,""LOW"")"),5370.5)</f>
        <v>5370.5</v>
      </c>
      <c r="F150" s="12" t="str">
        <f t="shared" ca="1" si="7"/>
        <v/>
      </c>
      <c r="G150" s="13">
        <f ca="1">IFERROR(__xludf.DUMMYFUNCTION("GOOGLEFINANCE(A150,""CLOSEYEST"")"),5432.5)</f>
        <v>5432.5</v>
      </c>
      <c r="H150" s="14" t="str">
        <f t="shared" ca="1" si="13"/>
        <v/>
      </c>
      <c r="I150" s="15">
        <f t="shared" ca="1" si="8"/>
        <v>5462.333333333333</v>
      </c>
      <c r="J150" s="16">
        <f t="shared" ca="1" si="9"/>
        <v>5554.1666666666661</v>
      </c>
      <c r="K150" s="16"/>
      <c r="L150" s="16">
        <f t="shared" ca="1" si="10"/>
        <v>5340.6666666666661</v>
      </c>
      <c r="M150" s="16">
        <f t="shared" ca="1" si="11"/>
        <v>5675.833333333333</v>
      </c>
      <c r="N150" s="16">
        <f t="shared" ca="1" si="12"/>
        <v>5248.833333333333</v>
      </c>
    </row>
    <row r="151" spans="1:14" ht="24.75" customHeight="1" x14ac:dyDescent="0.8">
      <c r="A151" s="18" t="s">
        <v>229</v>
      </c>
      <c r="B151" s="10">
        <f ca="1">IFERROR(__xludf.DUMMYFUNCTION("GOOGLEFINANCE(A151,""PRICE"")"),540.9)</f>
        <v>540.9</v>
      </c>
      <c r="C151" s="11">
        <f ca="1">IFERROR(__xludf.DUMMYFUNCTION("GOOGLEFINANCE(A151,""PRICEOPEN"")"),537)</f>
        <v>537</v>
      </c>
      <c r="D151" s="11">
        <f ca="1">IFERROR(__xludf.DUMMYFUNCTION("GOOGLEFINANCE(A151,""HIGH"")"),542.35)</f>
        <v>542.35</v>
      </c>
      <c r="E151" s="11">
        <f ca="1">IFERROR(__xludf.DUMMYFUNCTION("GOOGLEFINANCE(A151,""LOW"")"),532.05)</f>
        <v>532.04999999999995</v>
      </c>
      <c r="F151" s="12" t="str">
        <f t="shared" ca="1" si="7"/>
        <v/>
      </c>
      <c r="G151" s="13">
        <f ca="1">IFERROR(__xludf.DUMMYFUNCTION("GOOGLEFINANCE(A151,""CLOSEYEST"")"),536.45)</f>
        <v>536.45000000000005</v>
      </c>
      <c r="H151" s="14" t="str">
        <f t="shared" ca="1" si="13"/>
        <v/>
      </c>
      <c r="I151" s="15">
        <f t="shared" ca="1" si="8"/>
        <v>536.95000000000005</v>
      </c>
      <c r="J151" s="16">
        <f t="shared" ca="1" si="9"/>
        <v>541.85000000000014</v>
      </c>
      <c r="K151" s="16"/>
      <c r="L151" s="16">
        <f t="shared" ca="1" si="10"/>
        <v>531.55000000000007</v>
      </c>
      <c r="M151" s="16">
        <f t="shared" ca="1" si="11"/>
        <v>547.25000000000011</v>
      </c>
      <c r="N151" s="16">
        <f t="shared" ca="1" si="12"/>
        <v>526.65</v>
      </c>
    </row>
    <row r="152" spans="1:14" ht="24.75" customHeight="1" x14ac:dyDescent="0.8">
      <c r="A152" s="18" t="s">
        <v>1582</v>
      </c>
      <c r="B152" s="10">
        <f ca="1">IFERROR(__xludf.DUMMYFUNCTION("GOOGLEFINANCE(A152,""PRICE"")"),38555)</f>
        <v>38555</v>
      </c>
      <c r="C152" s="11">
        <f ca="1">IFERROR(__xludf.DUMMYFUNCTION("GOOGLEFINANCE(A152,""PRICEOPEN"")"),38320)</f>
        <v>38320</v>
      </c>
      <c r="D152" s="11">
        <f ca="1">IFERROR(__xludf.DUMMYFUNCTION("GOOGLEFINANCE(A152,""HIGH"")"),38705)</f>
        <v>38705</v>
      </c>
      <c r="E152" s="11">
        <f ca="1">IFERROR(__xludf.DUMMYFUNCTION("GOOGLEFINANCE(A152,""LOW"")"),38010)</f>
        <v>38010</v>
      </c>
      <c r="F152" s="12" t="str">
        <f t="shared" ca="1" si="7"/>
        <v/>
      </c>
      <c r="G152" s="13">
        <f ca="1">IFERROR(__xludf.DUMMYFUNCTION("GOOGLEFINANCE(A152,""CLOSEYEST"")"),38320)</f>
        <v>38320</v>
      </c>
      <c r="H152" s="14" t="str">
        <f t="shared" ca="1" si="13"/>
        <v/>
      </c>
      <c r="I152" s="15">
        <f t="shared" ca="1" si="8"/>
        <v>38345</v>
      </c>
      <c r="J152" s="16">
        <f t="shared" ca="1" si="9"/>
        <v>38680</v>
      </c>
      <c r="K152" s="16"/>
      <c r="L152" s="16">
        <f t="shared" ca="1" si="10"/>
        <v>37985</v>
      </c>
      <c r="M152" s="16">
        <f t="shared" ca="1" si="11"/>
        <v>39040</v>
      </c>
      <c r="N152" s="16">
        <f t="shared" ca="1" si="12"/>
        <v>37650</v>
      </c>
    </row>
    <row r="153" spans="1:14" ht="24.75" customHeight="1" x14ac:dyDescent="0.8">
      <c r="A153" s="18" t="s">
        <v>218</v>
      </c>
      <c r="B153" s="10">
        <f ca="1">IFERROR(__xludf.DUMMYFUNCTION("GOOGLEFINANCE(A153,""PRICE"")"),0.02)</f>
        <v>0.02</v>
      </c>
      <c r="C153" s="11">
        <f ca="1">IFERROR(__xludf.DUMMYFUNCTION("GOOGLEFINANCE(A153,""PRICEOPEN"")"),0.02)</f>
        <v>0.02</v>
      </c>
      <c r="D153" s="11">
        <f ca="1">IFERROR(__xludf.DUMMYFUNCTION("GOOGLEFINANCE(A153,""HIGH"")"),0.02)</f>
        <v>0.02</v>
      </c>
      <c r="E153" s="11">
        <f ca="1">IFERROR(__xludf.DUMMYFUNCTION("GOOGLEFINANCE(A153,""LOW"")"),0.02)</f>
        <v>0.02</v>
      </c>
      <c r="F153" s="12" t="str">
        <f t="shared" ca="1" si="7"/>
        <v>SELL</v>
      </c>
      <c r="G153" s="13">
        <f ca="1">IFERROR(__xludf.DUMMYFUNCTION("GOOGLEFINANCE(A153,""CLOSEYEST"")"),0.02)</f>
        <v>0.02</v>
      </c>
      <c r="H153" s="14" t="str">
        <f t="shared" ca="1" si="13"/>
        <v/>
      </c>
      <c r="I153" s="15">
        <f t="shared" ca="1" si="8"/>
        <v>0.02</v>
      </c>
      <c r="J153" s="16">
        <f t="shared" ca="1" si="9"/>
        <v>0.02</v>
      </c>
      <c r="K153" s="16"/>
      <c r="L153" s="16">
        <f t="shared" ca="1" si="10"/>
        <v>0.02</v>
      </c>
      <c r="M153" s="16">
        <f t="shared" ca="1" si="11"/>
        <v>0.02</v>
      </c>
      <c r="N153" s="16">
        <f t="shared" ca="1" si="12"/>
        <v>0.02</v>
      </c>
    </row>
    <row r="154" spans="1:14" ht="24.75" customHeight="1" x14ac:dyDescent="0.8">
      <c r="A154" s="18" t="s">
        <v>556</v>
      </c>
      <c r="B154" s="10">
        <f ca="1">IFERROR(__xludf.DUMMYFUNCTION("GOOGLEFINANCE(A154,""PRICE"")"),1385.1)</f>
        <v>1385.1</v>
      </c>
      <c r="C154" s="11">
        <f ca="1">IFERROR(__xludf.DUMMYFUNCTION("GOOGLEFINANCE(A154,""PRICEOPEN"")"),1376.4)</f>
        <v>1376.4</v>
      </c>
      <c r="D154" s="11">
        <f ca="1">IFERROR(__xludf.DUMMYFUNCTION("GOOGLEFINANCE(A154,""HIGH"")"),1387.1)</f>
        <v>1387.1</v>
      </c>
      <c r="E154" s="11">
        <f ca="1">IFERROR(__xludf.DUMMYFUNCTION("GOOGLEFINANCE(A154,""LOW"")"),1360.8)</f>
        <v>1360.8</v>
      </c>
      <c r="F154" s="12" t="str">
        <f t="shared" ca="1" si="7"/>
        <v/>
      </c>
      <c r="G154" s="13">
        <f ca="1">IFERROR(__xludf.DUMMYFUNCTION("GOOGLEFINANCE(A154,""CLOSEYEST"")"),1376.4)</f>
        <v>1376.4</v>
      </c>
      <c r="H154" s="14" t="str">
        <f t="shared" ca="1" si="13"/>
        <v/>
      </c>
      <c r="I154" s="15">
        <f t="shared" ca="1" si="8"/>
        <v>1374.7666666666664</v>
      </c>
      <c r="J154" s="16">
        <f t="shared" ca="1" si="9"/>
        <v>1388.7333333333329</v>
      </c>
      <c r="K154" s="16"/>
      <c r="L154" s="16">
        <f t="shared" ca="1" si="10"/>
        <v>1362.4333333333329</v>
      </c>
      <c r="M154" s="16">
        <f t="shared" ca="1" si="11"/>
        <v>1401.0666666666664</v>
      </c>
      <c r="N154" s="16">
        <f t="shared" ca="1" si="12"/>
        <v>1348.4666666666665</v>
      </c>
    </row>
    <row r="155" spans="1:14" ht="24.75" customHeight="1" x14ac:dyDescent="0.8">
      <c r="A155" s="18" t="s">
        <v>351</v>
      </c>
      <c r="B155" s="10">
        <f ca="1">IFERROR(__xludf.DUMMYFUNCTION("GOOGLEFINANCE(A155,""PRICE"")"),5.87)</f>
        <v>5.87</v>
      </c>
      <c r="C155" s="11">
        <f ca="1">IFERROR(__xludf.DUMMYFUNCTION("GOOGLEFINANCE(A155,""PRICEOPEN"")"),5.8)</f>
        <v>5.8</v>
      </c>
      <c r="D155" s="11">
        <f ca="1">IFERROR(__xludf.DUMMYFUNCTION("GOOGLEFINANCE(A155,""HIGH"")"),5.87)</f>
        <v>5.87</v>
      </c>
      <c r="E155" s="11">
        <f ca="1">IFERROR(__xludf.DUMMYFUNCTION("GOOGLEFINANCE(A155,""LOW"")"),5.78)</f>
        <v>5.78</v>
      </c>
      <c r="F155" s="12" t="str">
        <f t="shared" ca="1" si="7"/>
        <v/>
      </c>
      <c r="G155" s="13">
        <f ca="1">IFERROR(__xludf.DUMMYFUNCTION("GOOGLEFINANCE(A155,""CLOSEYEST"")"),5.81)</f>
        <v>5.81</v>
      </c>
      <c r="H155" s="14" t="str">
        <f t="shared" ca="1" si="13"/>
        <v/>
      </c>
      <c r="I155" s="15">
        <f t="shared" ca="1" si="8"/>
        <v>5.82</v>
      </c>
      <c r="J155" s="16">
        <f t="shared" ca="1" si="9"/>
        <v>5.86</v>
      </c>
      <c r="K155" s="16"/>
      <c r="L155" s="16">
        <f t="shared" ca="1" si="10"/>
        <v>5.7700000000000005</v>
      </c>
      <c r="M155" s="16">
        <f t="shared" ca="1" si="11"/>
        <v>5.91</v>
      </c>
      <c r="N155" s="16">
        <f t="shared" ca="1" si="12"/>
        <v>5.73</v>
      </c>
    </row>
    <row r="156" spans="1:14" ht="24.75" customHeight="1" x14ac:dyDescent="0.8">
      <c r="A156" s="18" t="s">
        <v>212</v>
      </c>
      <c r="B156" s="10">
        <f ca="1">IFERROR(__xludf.DUMMYFUNCTION("GOOGLEFINANCE(A156,""PRICE"")"),435.6)</f>
        <v>435.6</v>
      </c>
      <c r="C156" s="11">
        <f ca="1">IFERROR(__xludf.DUMMYFUNCTION("GOOGLEFINANCE(A156,""PRICEOPEN"")"),435.1)</f>
        <v>435.1</v>
      </c>
      <c r="D156" s="11">
        <f ca="1">IFERROR(__xludf.DUMMYFUNCTION("GOOGLEFINANCE(A156,""HIGH"")"),437.8)</f>
        <v>437.8</v>
      </c>
      <c r="E156" s="11">
        <f ca="1">IFERROR(__xludf.DUMMYFUNCTION("GOOGLEFINANCE(A156,""LOW"")"),430.7)</f>
        <v>430.7</v>
      </c>
      <c r="F156" s="12" t="str">
        <f t="shared" ca="1" si="7"/>
        <v/>
      </c>
      <c r="G156" s="13">
        <f ca="1">IFERROR(__xludf.DUMMYFUNCTION("GOOGLEFINANCE(A156,""CLOSEYEST"")"),435.1)</f>
        <v>435.1</v>
      </c>
      <c r="H156" s="14" t="str">
        <f t="shared" ca="1" si="13"/>
        <v/>
      </c>
      <c r="I156" s="15">
        <f t="shared" ca="1" si="8"/>
        <v>434.5333333333333</v>
      </c>
      <c r="J156" s="16">
        <f t="shared" ca="1" si="9"/>
        <v>438.36666666666662</v>
      </c>
      <c r="K156" s="16"/>
      <c r="L156" s="16">
        <f t="shared" ca="1" si="10"/>
        <v>431.26666666666659</v>
      </c>
      <c r="M156" s="16">
        <f t="shared" ca="1" si="11"/>
        <v>441.63333333333333</v>
      </c>
      <c r="N156" s="16">
        <f t="shared" ca="1" si="12"/>
        <v>427.43333333333328</v>
      </c>
    </row>
    <row r="157" spans="1:14" ht="24.75" customHeight="1" x14ac:dyDescent="0.8">
      <c r="A157" s="18" t="s">
        <v>1583</v>
      </c>
      <c r="B157" s="10">
        <f ca="1">IFERROR(__xludf.DUMMYFUNCTION("GOOGLEFINANCE(A157,""PRICE"")"),1572)</f>
        <v>1572</v>
      </c>
      <c r="C157" s="11">
        <f ca="1">IFERROR(__xludf.DUMMYFUNCTION("GOOGLEFINANCE(A157,""PRICEOPEN"")"),1607.8)</f>
        <v>1607.8</v>
      </c>
      <c r="D157" s="11">
        <f ca="1">IFERROR(__xludf.DUMMYFUNCTION("GOOGLEFINANCE(A157,""HIGH"")"),1607.8)</f>
        <v>1607.8</v>
      </c>
      <c r="E157" s="11">
        <f ca="1">IFERROR(__xludf.DUMMYFUNCTION("GOOGLEFINANCE(A157,""LOW"")"),1557.8)</f>
        <v>1557.8</v>
      </c>
      <c r="F157" s="12" t="str">
        <f t="shared" ca="1" si="7"/>
        <v>SELL</v>
      </c>
      <c r="G157" s="13">
        <f ca="1">IFERROR(__xludf.DUMMYFUNCTION("GOOGLEFINANCE(A157,""CLOSEYEST"")"),1605.3)</f>
        <v>1605.3</v>
      </c>
      <c r="H157" s="14" t="str">
        <f t="shared" ca="1" si="13"/>
        <v/>
      </c>
      <c r="I157" s="15">
        <f t="shared" ca="1" si="8"/>
        <v>1590.3</v>
      </c>
      <c r="J157" s="16">
        <f t="shared" ca="1" si="9"/>
        <v>1622.8</v>
      </c>
      <c r="K157" s="16"/>
      <c r="L157" s="16">
        <f t="shared" ca="1" si="10"/>
        <v>1572.8</v>
      </c>
      <c r="M157" s="16">
        <f t="shared" ca="1" si="11"/>
        <v>1640.3</v>
      </c>
      <c r="N157" s="16">
        <f t="shared" ca="1" si="12"/>
        <v>1540.3</v>
      </c>
    </row>
    <row r="158" spans="1:14" ht="24.75" customHeight="1" x14ac:dyDescent="0.8">
      <c r="A158" s="18" t="s">
        <v>289</v>
      </c>
      <c r="B158" s="10">
        <f ca="1">IFERROR(__xludf.DUMMYFUNCTION("GOOGLEFINANCE(A158,""PRICE"")"),42945)</f>
        <v>42945</v>
      </c>
      <c r="C158" s="11">
        <f ca="1">IFERROR(__xludf.DUMMYFUNCTION("GOOGLEFINANCE(A158,""PRICEOPEN"")"),42110)</f>
        <v>42110</v>
      </c>
      <c r="D158" s="11">
        <f ca="1">IFERROR(__xludf.DUMMYFUNCTION("GOOGLEFINANCE(A158,""HIGH"")"),43135)</f>
        <v>43135</v>
      </c>
      <c r="E158" s="11">
        <f ca="1">IFERROR(__xludf.DUMMYFUNCTION("GOOGLEFINANCE(A158,""LOW"")"),41645)</f>
        <v>41645</v>
      </c>
      <c r="F158" s="12" t="str">
        <f t="shared" ca="1" si="7"/>
        <v/>
      </c>
      <c r="G158" s="13">
        <f ca="1">IFERROR(__xludf.DUMMYFUNCTION("GOOGLEFINANCE(A158,""CLOSEYEST"")"),42110)</f>
        <v>42110</v>
      </c>
      <c r="H158" s="14" t="str">
        <f t="shared" ca="1" si="13"/>
        <v/>
      </c>
      <c r="I158" s="15">
        <f t="shared" ca="1" si="8"/>
        <v>42296.666666666664</v>
      </c>
      <c r="J158" s="16">
        <f t="shared" ca="1" si="9"/>
        <v>42948.333333333328</v>
      </c>
      <c r="K158" s="16"/>
      <c r="L158" s="16">
        <f t="shared" ca="1" si="10"/>
        <v>41458.333333333328</v>
      </c>
      <c r="M158" s="16">
        <f t="shared" ca="1" si="11"/>
        <v>43786.666666666664</v>
      </c>
      <c r="N158" s="16">
        <f t="shared" ca="1" si="12"/>
        <v>40806.666666666664</v>
      </c>
    </row>
    <row r="159" spans="1:14" ht="24.75" customHeight="1" x14ac:dyDescent="0.8">
      <c r="A159" s="18" t="s">
        <v>1584</v>
      </c>
      <c r="B159" s="10">
        <f ca="1">IFERROR(__xludf.DUMMYFUNCTION("GOOGLEFINANCE(A159,""PRICE"")"),263.8)</f>
        <v>263.8</v>
      </c>
      <c r="C159" s="11">
        <f ca="1">IFERROR(__xludf.DUMMYFUNCTION("GOOGLEFINANCE(A159,""PRICEOPEN"")"),260.1)</f>
        <v>260.10000000000002</v>
      </c>
      <c r="D159" s="11">
        <f ca="1">IFERROR(__xludf.DUMMYFUNCTION("GOOGLEFINANCE(A159,""HIGH"")"),265.35)</f>
        <v>265.35000000000002</v>
      </c>
      <c r="E159" s="11">
        <f ca="1">IFERROR(__xludf.DUMMYFUNCTION("GOOGLEFINANCE(A159,""LOW"")"),257.8)</f>
        <v>257.8</v>
      </c>
      <c r="F159" s="12" t="str">
        <f t="shared" ca="1" si="7"/>
        <v/>
      </c>
      <c r="G159" s="13">
        <f ca="1">IFERROR(__xludf.DUMMYFUNCTION("GOOGLEFINANCE(A159,""CLOSEYEST"")"),259.6)</f>
        <v>259.60000000000002</v>
      </c>
      <c r="H159" s="14" t="str">
        <f t="shared" ca="1" si="13"/>
        <v/>
      </c>
      <c r="I159" s="15">
        <f t="shared" ca="1" si="8"/>
        <v>260.91666666666669</v>
      </c>
      <c r="J159" s="16">
        <f t="shared" ca="1" si="9"/>
        <v>264.03333333333336</v>
      </c>
      <c r="K159" s="16"/>
      <c r="L159" s="16">
        <f t="shared" ca="1" si="10"/>
        <v>256.48333333333335</v>
      </c>
      <c r="M159" s="16">
        <f t="shared" ca="1" si="11"/>
        <v>268.4666666666667</v>
      </c>
      <c r="N159" s="16">
        <f t="shared" ca="1" si="12"/>
        <v>253.36666666666667</v>
      </c>
    </row>
    <row r="160" spans="1:14" ht="24.75" customHeight="1" x14ac:dyDescent="0.8">
      <c r="A160" s="18" t="s">
        <v>243</v>
      </c>
      <c r="B160" s="10">
        <f ca="1">IFERROR(__xludf.DUMMYFUNCTION("GOOGLEFINANCE(A160,""PRICE"")"),2304.6)</f>
        <v>2304.6</v>
      </c>
      <c r="C160" s="11">
        <f ca="1">IFERROR(__xludf.DUMMYFUNCTION("GOOGLEFINANCE(A160,""PRICEOPEN"")"),2315)</f>
        <v>2315</v>
      </c>
      <c r="D160" s="11">
        <f ca="1">IFERROR(__xludf.DUMMYFUNCTION("GOOGLEFINANCE(A160,""HIGH"")"),2317)</f>
        <v>2317</v>
      </c>
      <c r="E160" s="11">
        <f ca="1">IFERROR(__xludf.DUMMYFUNCTION("GOOGLEFINANCE(A160,""LOW"")"),2295)</f>
        <v>2295</v>
      </c>
      <c r="F160" s="12" t="str">
        <f t="shared" ca="1" si="7"/>
        <v/>
      </c>
      <c r="G160" s="13">
        <f ca="1">IFERROR(__xludf.DUMMYFUNCTION("GOOGLEFINANCE(A160,""CLOSEYEST"")"),2305.6)</f>
        <v>2305.6</v>
      </c>
      <c r="H160" s="14" t="str">
        <f t="shared" ca="1" si="13"/>
        <v/>
      </c>
      <c r="I160" s="15">
        <f t="shared" ca="1" si="8"/>
        <v>2305.8666666666668</v>
      </c>
      <c r="J160" s="16">
        <f t="shared" ca="1" si="9"/>
        <v>2316.7333333333336</v>
      </c>
      <c r="K160" s="16"/>
      <c r="L160" s="16">
        <f t="shared" ca="1" si="10"/>
        <v>2294.7333333333336</v>
      </c>
      <c r="M160" s="16">
        <f t="shared" ca="1" si="11"/>
        <v>2327.8666666666668</v>
      </c>
      <c r="N160" s="16">
        <f t="shared" ca="1" si="12"/>
        <v>2283.8666666666668</v>
      </c>
    </row>
    <row r="161" spans="1:14" ht="24.75" customHeight="1" x14ac:dyDescent="0.8">
      <c r="A161" s="18" t="s">
        <v>376</v>
      </c>
      <c r="B161" s="10" t="str">
        <f ca="1">IFERROR(__xludf.DUMMYFUNCTION("GOOGLEFINANCE(A161,""PRICE"")"),"#N/A")</f>
        <v>#N/A</v>
      </c>
      <c r="C161" s="11" t="str">
        <f ca="1">IFERROR(__xludf.DUMMYFUNCTION("GOOGLEFINANCE(A161,""PRICEOPEN"")"),"#N/A")</f>
        <v>#N/A</v>
      </c>
      <c r="D161" s="11" t="str">
        <f ca="1">IFERROR(__xludf.DUMMYFUNCTION("GOOGLEFINANCE(A161,""HIGH"")"),"#N/A")</f>
        <v>#N/A</v>
      </c>
      <c r="E161" s="11" t="str">
        <f ca="1">IFERROR(__xludf.DUMMYFUNCTION("GOOGLEFINANCE(A161,""LOW"")"),"#N/A")</f>
        <v>#N/A</v>
      </c>
      <c r="F161" s="12" t="str">
        <f t="shared" ca="1" si="7"/>
        <v>SELL</v>
      </c>
      <c r="G161" s="13" t="str">
        <f ca="1">IFERROR(__xludf.DUMMYFUNCTION("GOOGLEFINANCE(A161,""CLOSEYEST"")"),"#N/A")</f>
        <v>#N/A</v>
      </c>
      <c r="H161" s="14" t="e">
        <f t="shared" ca="1" si="13"/>
        <v>#VALUE!</v>
      </c>
      <c r="I161" s="15" t="e">
        <f t="shared" ca="1" si="8"/>
        <v>#VALUE!</v>
      </c>
      <c r="J161" s="16" t="e">
        <f t="shared" ca="1" si="9"/>
        <v>#VALUE!</v>
      </c>
      <c r="K161" s="16"/>
      <c r="L161" s="16" t="e">
        <f t="shared" ca="1" si="10"/>
        <v>#VALUE!</v>
      </c>
      <c r="M161" s="16" t="e">
        <f t="shared" ca="1" si="11"/>
        <v>#VALUE!</v>
      </c>
      <c r="N161" s="16" t="e">
        <f t="shared" ca="1" si="12"/>
        <v>#VALUE!</v>
      </c>
    </row>
    <row r="162" spans="1:14" ht="24.75" customHeight="1" x14ac:dyDescent="0.8">
      <c r="A162" s="18" t="s">
        <v>400</v>
      </c>
      <c r="B162" s="10">
        <f ca="1">IFERROR(__xludf.DUMMYFUNCTION("GOOGLEFINANCE(A162,""PRICE"")"),165.8)</f>
        <v>165.8</v>
      </c>
      <c r="C162" s="11">
        <f ca="1">IFERROR(__xludf.DUMMYFUNCTION("GOOGLEFINANCE(A162,""PRICEOPEN"")"),163.54)</f>
        <v>163.54</v>
      </c>
      <c r="D162" s="11">
        <f ca="1">IFERROR(__xludf.DUMMYFUNCTION("GOOGLEFINANCE(A162,""HIGH"")"),166.41)</f>
        <v>166.41</v>
      </c>
      <c r="E162" s="11">
        <f ca="1">IFERROR(__xludf.DUMMYFUNCTION("GOOGLEFINANCE(A162,""LOW"")"),163)</f>
        <v>163</v>
      </c>
      <c r="F162" s="12" t="str">
        <f t="shared" ca="1" si="7"/>
        <v/>
      </c>
      <c r="G162" s="13">
        <f ca="1">IFERROR(__xludf.DUMMYFUNCTION("GOOGLEFINANCE(A162,""CLOSEYEST"")"),163.54)</f>
        <v>163.54</v>
      </c>
      <c r="H162" s="14" t="str">
        <f t="shared" ca="1" si="13"/>
        <v/>
      </c>
      <c r="I162" s="15">
        <f t="shared" ca="1" si="8"/>
        <v>164.31666666666663</v>
      </c>
      <c r="J162" s="16">
        <f t="shared" ca="1" si="9"/>
        <v>165.63333333333327</v>
      </c>
      <c r="K162" s="16"/>
      <c r="L162" s="16">
        <f t="shared" ca="1" si="10"/>
        <v>162.22333333333327</v>
      </c>
      <c r="M162" s="16">
        <f t="shared" ca="1" si="11"/>
        <v>167.72666666666663</v>
      </c>
      <c r="N162" s="16">
        <f t="shared" ca="1" si="12"/>
        <v>160.90666666666664</v>
      </c>
    </row>
    <row r="163" spans="1:14" ht="24.75" customHeight="1" x14ac:dyDescent="0.8">
      <c r="A163" s="18" t="s">
        <v>314</v>
      </c>
      <c r="B163" s="10">
        <f ca="1">IFERROR(__xludf.DUMMYFUNCTION("GOOGLEFINANCE(A163,""PRICE"")"),445.2)</f>
        <v>445.2</v>
      </c>
      <c r="C163" s="11">
        <f ca="1">IFERROR(__xludf.DUMMYFUNCTION("GOOGLEFINANCE(A163,""PRICEOPEN"")"),439)</f>
        <v>439</v>
      </c>
      <c r="D163" s="11">
        <f ca="1">IFERROR(__xludf.DUMMYFUNCTION("GOOGLEFINANCE(A163,""HIGH"")"),447)</f>
        <v>447</v>
      </c>
      <c r="E163" s="11">
        <f ca="1">IFERROR(__xludf.DUMMYFUNCTION("GOOGLEFINANCE(A163,""LOW"")"),431.8)</f>
        <v>431.8</v>
      </c>
      <c r="F163" s="12" t="str">
        <f t="shared" ca="1" si="7"/>
        <v/>
      </c>
      <c r="G163" s="13">
        <f ca="1">IFERROR(__xludf.DUMMYFUNCTION("GOOGLEFINANCE(A163,""CLOSEYEST"")"),434.4)</f>
        <v>434.4</v>
      </c>
      <c r="H163" s="14" t="str">
        <f t="shared" ca="1" si="13"/>
        <v>GAP UP</v>
      </c>
      <c r="I163" s="15">
        <f t="shared" ca="1" si="8"/>
        <v>437.73333333333329</v>
      </c>
      <c r="J163" s="16">
        <f t="shared" ca="1" si="9"/>
        <v>443.66666666666657</v>
      </c>
      <c r="K163" s="16"/>
      <c r="L163" s="16">
        <f t="shared" ca="1" si="10"/>
        <v>428.46666666666658</v>
      </c>
      <c r="M163" s="16">
        <f t="shared" ca="1" si="11"/>
        <v>452.93333333333328</v>
      </c>
      <c r="N163" s="16">
        <f t="shared" ca="1" si="12"/>
        <v>422.5333333333333</v>
      </c>
    </row>
    <row r="164" spans="1:14" ht="24.75" customHeight="1" x14ac:dyDescent="0.8">
      <c r="A164" s="18" t="s">
        <v>310</v>
      </c>
      <c r="B164" s="10">
        <f ca="1">IFERROR(__xludf.DUMMYFUNCTION("GOOGLEFINANCE(A164,""PRICE"")"),147.48)</f>
        <v>147.47999999999999</v>
      </c>
      <c r="C164" s="11">
        <f ca="1">IFERROR(__xludf.DUMMYFUNCTION("GOOGLEFINANCE(A164,""PRICEOPEN"")"),152.9)</f>
        <v>152.9</v>
      </c>
      <c r="D164" s="11">
        <f ca="1">IFERROR(__xludf.DUMMYFUNCTION("GOOGLEFINANCE(A164,""HIGH"")"),153)</f>
        <v>153</v>
      </c>
      <c r="E164" s="11">
        <f ca="1">IFERROR(__xludf.DUMMYFUNCTION("GOOGLEFINANCE(A164,""LOW"")"),143.15)</f>
        <v>143.15</v>
      </c>
      <c r="F164" s="12" t="str">
        <f t="shared" ca="1" si="7"/>
        <v/>
      </c>
      <c r="G164" s="13">
        <f ca="1">IFERROR(__xludf.DUMMYFUNCTION("GOOGLEFINANCE(A164,""CLOSEYEST"")"),152.51)</f>
        <v>152.51</v>
      </c>
      <c r="H164" s="14" t="str">
        <f t="shared" ca="1" si="13"/>
        <v/>
      </c>
      <c r="I164" s="15">
        <f t="shared" ca="1" si="8"/>
        <v>149.55333333333331</v>
      </c>
      <c r="J164" s="16">
        <f t="shared" ca="1" si="9"/>
        <v>155.95666666666662</v>
      </c>
      <c r="K164" s="16"/>
      <c r="L164" s="16">
        <f t="shared" ca="1" si="10"/>
        <v>146.10666666666663</v>
      </c>
      <c r="M164" s="16">
        <f t="shared" ca="1" si="11"/>
        <v>159.40333333333331</v>
      </c>
      <c r="N164" s="16">
        <f t="shared" ca="1" si="12"/>
        <v>139.70333333333332</v>
      </c>
    </row>
    <row r="165" spans="1:14" ht="24.75" customHeight="1" x14ac:dyDescent="0.8">
      <c r="A165" s="18" t="s">
        <v>1585</v>
      </c>
      <c r="B165" s="10">
        <f ca="1">IFERROR(__xludf.DUMMYFUNCTION("GOOGLEFINANCE(A165,""PRICE"")"),114.3)</f>
        <v>114.3</v>
      </c>
      <c r="C165" s="11">
        <f ca="1">IFERROR(__xludf.DUMMYFUNCTION("GOOGLEFINANCE(A165,""PRICEOPEN"")"),112.65)</f>
        <v>112.65</v>
      </c>
      <c r="D165" s="11">
        <f ca="1">IFERROR(__xludf.DUMMYFUNCTION("GOOGLEFINANCE(A165,""HIGH"")"),114.85)</f>
        <v>114.85</v>
      </c>
      <c r="E165" s="11">
        <f ca="1">IFERROR(__xludf.DUMMYFUNCTION("GOOGLEFINANCE(A165,""LOW"")"),112.44)</f>
        <v>112.44</v>
      </c>
      <c r="F165" s="12" t="str">
        <f t="shared" ca="1" si="7"/>
        <v/>
      </c>
      <c r="G165" s="13">
        <f ca="1">IFERROR(__xludf.DUMMYFUNCTION("GOOGLEFINANCE(A165,""CLOSEYEST"")"),112.55)</f>
        <v>112.55</v>
      </c>
      <c r="H165" s="14" t="str">
        <f t="shared" ca="1" si="13"/>
        <v/>
      </c>
      <c r="I165" s="15">
        <f t="shared" ca="1" si="8"/>
        <v>113.27999999999999</v>
      </c>
      <c r="J165" s="16">
        <f t="shared" ca="1" si="9"/>
        <v>114.11999999999998</v>
      </c>
      <c r="K165" s="16"/>
      <c r="L165" s="16">
        <f t="shared" ca="1" si="10"/>
        <v>111.70999999999998</v>
      </c>
      <c r="M165" s="16">
        <f t="shared" ca="1" si="11"/>
        <v>115.68999999999998</v>
      </c>
      <c r="N165" s="16">
        <f t="shared" ca="1" si="12"/>
        <v>110.86999999999999</v>
      </c>
    </row>
    <row r="166" spans="1:14" ht="24.75" customHeight="1" x14ac:dyDescent="0.8">
      <c r="A166" s="18" t="s">
        <v>233</v>
      </c>
      <c r="B166" s="10">
        <f ca="1">IFERROR(__xludf.DUMMYFUNCTION("GOOGLEFINANCE(A166,""PRICE"")"),5425)</f>
        <v>5425</v>
      </c>
      <c r="C166" s="11">
        <f ca="1">IFERROR(__xludf.DUMMYFUNCTION("GOOGLEFINANCE(A166,""PRICEOPEN"")"),5519)</f>
        <v>5519</v>
      </c>
      <c r="D166" s="11">
        <f ca="1">IFERROR(__xludf.DUMMYFUNCTION("GOOGLEFINANCE(A166,""HIGH"")"),5519)</f>
        <v>5519</v>
      </c>
      <c r="E166" s="11">
        <f ca="1">IFERROR(__xludf.DUMMYFUNCTION("GOOGLEFINANCE(A166,""LOW"")"),5425)</f>
        <v>5425</v>
      </c>
      <c r="F166" s="12" t="str">
        <f t="shared" ca="1" si="7"/>
        <v>SELL</v>
      </c>
      <c r="G166" s="13">
        <f ca="1">IFERROR(__xludf.DUMMYFUNCTION("GOOGLEFINANCE(A166,""CLOSEYEST"")"),5459.5)</f>
        <v>5459.5</v>
      </c>
      <c r="H166" s="14" t="str">
        <f t="shared" ca="1" si="13"/>
        <v>GAP UP</v>
      </c>
      <c r="I166" s="15">
        <f t="shared" ca="1" si="8"/>
        <v>5467.833333333333</v>
      </c>
      <c r="J166" s="16">
        <f t="shared" ca="1" si="9"/>
        <v>5510.6666666666661</v>
      </c>
      <c r="K166" s="16"/>
      <c r="L166" s="16">
        <f t="shared" ca="1" si="10"/>
        <v>5416.6666666666661</v>
      </c>
      <c r="M166" s="16">
        <f t="shared" ca="1" si="11"/>
        <v>5561.833333333333</v>
      </c>
      <c r="N166" s="16">
        <f t="shared" ca="1" si="12"/>
        <v>5373.833333333333</v>
      </c>
    </row>
    <row r="167" spans="1:14" ht="24.75" customHeight="1" x14ac:dyDescent="0.8">
      <c r="A167" s="18" t="s">
        <v>99</v>
      </c>
      <c r="B167" s="10">
        <f ca="1">IFERROR(__xludf.DUMMYFUNCTION("GOOGLEFINANCE(A167,""PRICE"")"),24.31)</f>
        <v>24.31</v>
      </c>
      <c r="C167" s="11">
        <f ca="1">IFERROR(__xludf.DUMMYFUNCTION("GOOGLEFINANCE(A167,""PRICEOPEN"")"),24.72)</f>
        <v>24.72</v>
      </c>
      <c r="D167" s="11">
        <f ca="1">IFERROR(__xludf.DUMMYFUNCTION("GOOGLEFINANCE(A167,""HIGH"")"),24.79)</f>
        <v>24.79</v>
      </c>
      <c r="E167" s="11">
        <f ca="1">IFERROR(__xludf.DUMMYFUNCTION("GOOGLEFINANCE(A167,""LOW"")"),24.26)</f>
        <v>24.26</v>
      </c>
      <c r="F167" s="12" t="str">
        <f t="shared" ca="1" si="7"/>
        <v/>
      </c>
      <c r="G167" s="13">
        <f ca="1">IFERROR(__xludf.DUMMYFUNCTION("GOOGLEFINANCE(A167,""CLOSEYEST"")"),24.4)</f>
        <v>24.4</v>
      </c>
      <c r="H167" s="14" t="str">
        <f t="shared" ca="1" si="13"/>
        <v>GAP UP</v>
      </c>
      <c r="I167" s="15">
        <f t="shared" ca="1" si="8"/>
        <v>24.483333333333331</v>
      </c>
      <c r="J167" s="16">
        <f t="shared" ca="1" si="9"/>
        <v>24.70666666666666</v>
      </c>
      <c r="K167" s="16"/>
      <c r="L167" s="16">
        <f t="shared" ca="1" si="10"/>
        <v>24.176666666666662</v>
      </c>
      <c r="M167" s="16">
        <f t="shared" ca="1" si="11"/>
        <v>25.013333333333328</v>
      </c>
      <c r="N167" s="16">
        <f t="shared" ca="1" si="12"/>
        <v>23.953333333333333</v>
      </c>
    </row>
    <row r="168" spans="1:14" ht="24.75" customHeight="1" x14ac:dyDescent="0.8">
      <c r="A168" s="18" t="s">
        <v>1586</v>
      </c>
      <c r="B168" s="10">
        <f ca="1">IFERROR(__xludf.DUMMYFUNCTION("GOOGLEFINANCE(A168,""PRICE"")"),3621.1)</f>
        <v>3621.1</v>
      </c>
      <c r="C168" s="11">
        <f ca="1">IFERROR(__xludf.DUMMYFUNCTION("GOOGLEFINANCE(A168,""PRICEOPEN"")"),3570)</f>
        <v>3570</v>
      </c>
      <c r="D168" s="11">
        <f ca="1">IFERROR(__xludf.DUMMYFUNCTION("GOOGLEFINANCE(A168,""HIGH"")"),3628.6)</f>
        <v>3628.6</v>
      </c>
      <c r="E168" s="11">
        <f ca="1">IFERROR(__xludf.DUMMYFUNCTION("GOOGLEFINANCE(A168,""LOW"")"),3562.2)</f>
        <v>3562.2</v>
      </c>
      <c r="F168" s="12" t="str">
        <f t="shared" ca="1" si="7"/>
        <v/>
      </c>
      <c r="G168" s="13">
        <f ca="1">IFERROR(__xludf.DUMMYFUNCTION("GOOGLEFINANCE(A168,""CLOSEYEST"")"),3584.1)</f>
        <v>3584.1</v>
      </c>
      <c r="H168" s="14" t="str">
        <f t="shared" ca="1" si="13"/>
        <v/>
      </c>
      <c r="I168" s="15">
        <f t="shared" ca="1" si="8"/>
        <v>3591.6333333333332</v>
      </c>
      <c r="J168" s="16">
        <f t="shared" ca="1" si="9"/>
        <v>3621.0666666666666</v>
      </c>
      <c r="K168" s="16"/>
      <c r="L168" s="16">
        <f t="shared" ca="1" si="10"/>
        <v>3554.6666666666665</v>
      </c>
      <c r="M168" s="16">
        <f t="shared" ca="1" si="11"/>
        <v>3658.0333333333333</v>
      </c>
      <c r="N168" s="16">
        <f t="shared" ca="1" si="12"/>
        <v>3525.2333333333331</v>
      </c>
    </row>
    <row r="169" spans="1:14" ht="24.75" customHeight="1" x14ac:dyDescent="0.8">
      <c r="A169" s="18" t="s">
        <v>1587</v>
      </c>
      <c r="B169" s="10">
        <f ca="1">IFERROR(__xludf.DUMMYFUNCTION("GOOGLEFINANCE(A169,""PRICE"")"),421.4)</f>
        <v>421.4</v>
      </c>
      <c r="C169" s="11">
        <f ca="1">IFERROR(__xludf.DUMMYFUNCTION("GOOGLEFINANCE(A169,""PRICEOPEN"")"),413.75)</f>
        <v>413.75</v>
      </c>
      <c r="D169" s="11">
        <f ca="1">IFERROR(__xludf.DUMMYFUNCTION("GOOGLEFINANCE(A169,""HIGH"")"),421.4)</f>
        <v>421.4</v>
      </c>
      <c r="E169" s="11">
        <f ca="1">IFERROR(__xludf.DUMMYFUNCTION("GOOGLEFINANCE(A169,""LOW"")"),410.25)</f>
        <v>410.25</v>
      </c>
      <c r="F169" s="12" t="str">
        <f t="shared" ca="1" si="7"/>
        <v/>
      </c>
      <c r="G169" s="13">
        <f ca="1">IFERROR(__xludf.DUMMYFUNCTION("GOOGLEFINANCE(A169,""CLOSEYEST"")"),413.75)</f>
        <v>413.75</v>
      </c>
      <c r="H169" s="14" t="str">
        <f t="shared" ca="1" si="13"/>
        <v/>
      </c>
      <c r="I169" s="15">
        <f t="shared" ca="1" si="8"/>
        <v>415.13333333333338</v>
      </c>
      <c r="J169" s="16">
        <f t="shared" ca="1" si="9"/>
        <v>420.01666666666677</v>
      </c>
      <c r="K169" s="16"/>
      <c r="L169" s="16">
        <f t="shared" ca="1" si="10"/>
        <v>408.86666666666679</v>
      </c>
      <c r="M169" s="16">
        <f t="shared" ca="1" si="11"/>
        <v>426.28333333333336</v>
      </c>
      <c r="N169" s="16">
        <f t="shared" ca="1" si="12"/>
        <v>403.98333333333341</v>
      </c>
    </row>
    <row r="170" spans="1:14" ht="24.75" customHeight="1" x14ac:dyDescent="0.8">
      <c r="A170" s="18" t="s">
        <v>649</v>
      </c>
      <c r="B170" s="10" t="str">
        <f ca="1">IFERROR(__xludf.DUMMYFUNCTION("GOOGLEFINANCE(A170,""PRICE"")"),"#N/A")</f>
        <v>#N/A</v>
      </c>
      <c r="C170" s="11" t="str">
        <f ca="1">IFERROR(__xludf.DUMMYFUNCTION("GOOGLEFINANCE(A170,""PRICEOPEN"")"),"#N/A")</f>
        <v>#N/A</v>
      </c>
      <c r="D170" s="11" t="str">
        <f ca="1">IFERROR(__xludf.DUMMYFUNCTION("GOOGLEFINANCE(A170,""HIGH"")"),"#N/A")</f>
        <v>#N/A</v>
      </c>
      <c r="E170" s="11" t="str">
        <f ca="1">IFERROR(__xludf.DUMMYFUNCTION("GOOGLEFINANCE(A170,""LOW"")"),"#N/A")</f>
        <v>#N/A</v>
      </c>
      <c r="F170" s="12" t="str">
        <f t="shared" ca="1" si="7"/>
        <v>SELL</v>
      </c>
      <c r="G170" s="13" t="str">
        <f ca="1">IFERROR(__xludf.DUMMYFUNCTION("GOOGLEFINANCE(A170,""CLOSEYEST"")"),"#N/A")</f>
        <v>#N/A</v>
      </c>
      <c r="H170" s="14" t="e">
        <f t="shared" ca="1" si="13"/>
        <v>#VALUE!</v>
      </c>
      <c r="I170" s="15" t="e">
        <f t="shared" ca="1" si="8"/>
        <v>#VALUE!</v>
      </c>
      <c r="J170" s="16" t="e">
        <f t="shared" ca="1" si="9"/>
        <v>#VALUE!</v>
      </c>
      <c r="K170" s="16"/>
      <c r="L170" s="16" t="e">
        <f t="shared" ca="1" si="10"/>
        <v>#VALUE!</v>
      </c>
      <c r="M170" s="16" t="e">
        <f t="shared" ca="1" si="11"/>
        <v>#VALUE!</v>
      </c>
      <c r="N170" s="16" t="e">
        <f t="shared" ca="1" si="12"/>
        <v>#VALUE!</v>
      </c>
    </row>
    <row r="171" spans="1:14" ht="24.75" customHeight="1" x14ac:dyDescent="0.8">
      <c r="A171" s="18" t="s">
        <v>214</v>
      </c>
      <c r="B171" s="10">
        <f ca="1">IFERROR(__xludf.DUMMYFUNCTION("GOOGLEFINANCE(A171,""PRICE"")"),351.6)</f>
        <v>351.6</v>
      </c>
      <c r="C171" s="11">
        <f ca="1">IFERROR(__xludf.DUMMYFUNCTION("GOOGLEFINANCE(A171,""PRICEOPEN"")"),347.6)</f>
        <v>347.6</v>
      </c>
      <c r="D171" s="11">
        <f ca="1">IFERROR(__xludf.DUMMYFUNCTION("GOOGLEFINANCE(A171,""HIGH"")"),352.95)</f>
        <v>352.95</v>
      </c>
      <c r="E171" s="11">
        <f ca="1">IFERROR(__xludf.DUMMYFUNCTION("GOOGLEFINANCE(A171,""LOW"")"),346.75)</f>
        <v>346.75</v>
      </c>
      <c r="F171" s="12" t="str">
        <f t="shared" ca="1" si="7"/>
        <v/>
      </c>
      <c r="G171" s="13">
        <f ca="1">IFERROR(__xludf.DUMMYFUNCTION("GOOGLEFINANCE(A171,""CLOSEYEST"")"),346.45)</f>
        <v>346.45</v>
      </c>
      <c r="H171" s="14" t="str">
        <f t="shared" ca="1" si="13"/>
        <v/>
      </c>
      <c r="I171" s="15">
        <f t="shared" ca="1" si="8"/>
        <v>348.7166666666667</v>
      </c>
      <c r="J171" s="16">
        <f t="shared" ca="1" si="9"/>
        <v>350.68333333333339</v>
      </c>
      <c r="K171" s="16"/>
      <c r="L171" s="16">
        <f t="shared" ca="1" si="10"/>
        <v>344.48333333333341</v>
      </c>
      <c r="M171" s="16">
        <f t="shared" ca="1" si="11"/>
        <v>354.91666666666669</v>
      </c>
      <c r="N171" s="16">
        <f t="shared" ca="1" si="12"/>
        <v>342.51666666666671</v>
      </c>
    </row>
    <row r="172" spans="1:14" ht="24.75" customHeight="1" x14ac:dyDescent="0.8">
      <c r="A172" s="18" t="s">
        <v>270</v>
      </c>
      <c r="B172" s="10">
        <f ca="1">IFERROR(__xludf.DUMMYFUNCTION("GOOGLEFINANCE(A172,""PRICE"")"),23.52)</f>
        <v>23.52</v>
      </c>
      <c r="C172" s="11">
        <f ca="1">IFERROR(__xludf.DUMMYFUNCTION("GOOGLEFINANCE(A172,""PRICEOPEN"")"),23.37)</f>
        <v>23.37</v>
      </c>
      <c r="D172" s="11">
        <f ca="1">IFERROR(__xludf.DUMMYFUNCTION("GOOGLEFINANCE(A172,""HIGH"")"),23.87)</f>
        <v>23.87</v>
      </c>
      <c r="E172" s="11">
        <f ca="1">IFERROR(__xludf.DUMMYFUNCTION("GOOGLEFINANCE(A172,""LOW"")"),23.19)</f>
        <v>23.19</v>
      </c>
      <c r="F172" s="12" t="str">
        <f t="shared" ca="1" si="7"/>
        <v/>
      </c>
      <c r="G172" s="13">
        <f ca="1">IFERROR(__xludf.DUMMYFUNCTION("GOOGLEFINANCE(A172,""CLOSEYEST"")"),23.36)</f>
        <v>23.36</v>
      </c>
      <c r="H172" s="14" t="str">
        <f t="shared" ca="1" si="13"/>
        <v/>
      </c>
      <c r="I172" s="15">
        <f t="shared" ca="1" si="8"/>
        <v>23.473333333333333</v>
      </c>
      <c r="J172" s="16">
        <f t="shared" ca="1" si="9"/>
        <v>23.756666666666664</v>
      </c>
      <c r="K172" s="16"/>
      <c r="L172" s="16">
        <f t="shared" ca="1" si="10"/>
        <v>23.076666666666664</v>
      </c>
      <c r="M172" s="16">
        <f t="shared" ca="1" si="11"/>
        <v>24.153333333333332</v>
      </c>
      <c r="N172" s="16">
        <f t="shared" ca="1" si="12"/>
        <v>22.793333333333333</v>
      </c>
    </row>
    <row r="173" spans="1:14" ht="24.75" customHeight="1" x14ac:dyDescent="0.8">
      <c r="A173" s="18" t="s">
        <v>103</v>
      </c>
      <c r="B173" s="10">
        <f ca="1">IFERROR(__xludf.DUMMYFUNCTION("GOOGLEFINANCE(A173,""PRICE"")"),1095)</f>
        <v>1095</v>
      </c>
      <c r="C173" s="11">
        <f ca="1">IFERROR(__xludf.DUMMYFUNCTION("GOOGLEFINANCE(A173,""PRICEOPEN"")"),1095)</f>
        <v>1095</v>
      </c>
      <c r="D173" s="11">
        <f ca="1">IFERROR(__xludf.DUMMYFUNCTION("GOOGLEFINANCE(A173,""HIGH"")"),1102.6)</f>
        <v>1102.5999999999999</v>
      </c>
      <c r="E173" s="11">
        <f ca="1">IFERROR(__xludf.DUMMYFUNCTION("GOOGLEFINANCE(A173,""LOW"")"),1086.8)</f>
        <v>1086.8</v>
      </c>
      <c r="F173" s="12" t="str">
        <f t="shared" ca="1" si="7"/>
        <v/>
      </c>
      <c r="G173" s="13">
        <f ca="1">IFERROR(__xludf.DUMMYFUNCTION("GOOGLEFINANCE(A173,""CLOSEYEST"")"),1086)</f>
        <v>1086</v>
      </c>
      <c r="H173" s="14" t="str">
        <f t="shared" ca="1" si="13"/>
        <v/>
      </c>
      <c r="I173" s="15">
        <f t="shared" ca="1" si="8"/>
        <v>1091.8</v>
      </c>
      <c r="J173" s="16">
        <f t="shared" ca="1" si="9"/>
        <v>1096.8</v>
      </c>
      <c r="K173" s="16"/>
      <c r="L173" s="16">
        <f t="shared" ca="1" si="10"/>
        <v>1081</v>
      </c>
      <c r="M173" s="16">
        <f t="shared" ca="1" si="11"/>
        <v>1107.5999999999999</v>
      </c>
      <c r="N173" s="16">
        <f t="shared" ca="1" si="12"/>
        <v>1076</v>
      </c>
    </row>
    <row r="174" spans="1:14" ht="24.75" customHeight="1" x14ac:dyDescent="0.8">
      <c r="A174" s="18" t="s">
        <v>187</v>
      </c>
      <c r="B174" s="10">
        <f ca="1">IFERROR(__xludf.DUMMYFUNCTION("GOOGLEFINANCE(A174,""PRICE"")"),1975)</f>
        <v>1975</v>
      </c>
      <c r="C174" s="11">
        <f ca="1">IFERROR(__xludf.DUMMYFUNCTION("GOOGLEFINANCE(A174,""PRICEOPEN"")"),1984.4)</f>
        <v>1984.4</v>
      </c>
      <c r="D174" s="11">
        <f ca="1">IFERROR(__xludf.DUMMYFUNCTION("GOOGLEFINANCE(A174,""HIGH"")"),2006.1)</f>
        <v>2006.1</v>
      </c>
      <c r="E174" s="11">
        <f ca="1">IFERROR(__xludf.DUMMYFUNCTION("GOOGLEFINANCE(A174,""LOW"")"),1969.1)</f>
        <v>1969.1</v>
      </c>
      <c r="F174" s="12" t="str">
        <f t="shared" ca="1" si="7"/>
        <v/>
      </c>
      <c r="G174" s="13">
        <f ca="1">IFERROR(__xludf.DUMMYFUNCTION("GOOGLEFINANCE(A174,""CLOSEYEST"")"),1981.3)</f>
        <v>1981.3</v>
      </c>
      <c r="H174" s="14" t="str">
        <f t="shared" ca="1" si="13"/>
        <v/>
      </c>
      <c r="I174" s="15">
        <f t="shared" ca="1" si="8"/>
        <v>1985.5</v>
      </c>
      <c r="J174" s="16">
        <f t="shared" ca="1" si="9"/>
        <v>2001.9</v>
      </c>
      <c r="K174" s="16"/>
      <c r="L174" s="16">
        <f t="shared" ca="1" si="10"/>
        <v>1964.9</v>
      </c>
      <c r="M174" s="16">
        <f t="shared" ca="1" si="11"/>
        <v>2022.5</v>
      </c>
      <c r="N174" s="16">
        <f t="shared" ca="1" si="12"/>
        <v>1948.5</v>
      </c>
    </row>
    <row r="175" spans="1:14" ht="24.75" customHeight="1" x14ac:dyDescent="0.8">
      <c r="A175" s="18" t="s">
        <v>291</v>
      </c>
      <c r="B175" s="10">
        <f ca="1">IFERROR(__xludf.DUMMYFUNCTION("GOOGLEFINANCE(A175,""PRICE"")"),1799)</f>
        <v>1799</v>
      </c>
      <c r="C175" s="11">
        <f ca="1">IFERROR(__xludf.DUMMYFUNCTION("GOOGLEFINANCE(A175,""PRICEOPEN"")"),1810)</f>
        <v>1810</v>
      </c>
      <c r="D175" s="11">
        <f ca="1">IFERROR(__xludf.DUMMYFUNCTION("GOOGLEFINANCE(A175,""HIGH"")"),1824.5)</f>
        <v>1824.5</v>
      </c>
      <c r="E175" s="11">
        <f ca="1">IFERROR(__xludf.DUMMYFUNCTION("GOOGLEFINANCE(A175,""LOW"")"),1795.3)</f>
        <v>1795.3</v>
      </c>
      <c r="F175" s="12" t="str">
        <f t="shared" ca="1" si="7"/>
        <v/>
      </c>
      <c r="G175" s="13">
        <f ca="1">IFERROR(__xludf.DUMMYFUNCTION("GOOGLEFINANCE(A175,""CLOSEYEST"")"),1798.8)</f>
        <v>1798.8</v>
      </c>
      <c r="H175" s="14" t="str">
        <f t="shared" ca="1" si="13"/>
        <v/>
      </c>
      <c r="I175" s="15">
        <f t="shared" ca="1" si="8"/>
        <v>1806.2</v>
      </c>
      <c r="J175" s="16">
        <f t="shared" ca="1" si="9"/>
        <v>1817.1000000000001</v>
      </c>
      <c r="K175" s="16"/>
      <c r="L175" s="16">
        <f t="shared" ca="1" si="10"/>
        <v>1787.9</v>
      </c>
      <c r="M175" s="16">
        <f t="shared" ca="1" si="11"/>
        <v>1835.4</v>
      </c>
      <c r="N175" s="16">
        <f t="shared" ca="1" si="12"/>
        <v>1777</v>
      </c>
    </row>
    <row r="176" spans="1:14" ht="24.75" customHeight="1" x14ac:dyDescent="0.8">
      <c r="A176" s="18" t="s">
        <v>1588</v>
      </c>
      <c r="B176" s="10">
        <f ca="1">IFERROR(__xludf.DUMMYFUNCTION("GOOGLEFINANCE(A176,""PRICE"")"),1616)</f>
        <v>1616</v>
      </c>
      <c r="C176" s="11">
        <f ca="1">IFERROR(__xludf.DUMMYFUNCTION("GOOGLEFINANCE(A176,""PRICEOPEN"")"),1613.2)</f>
        <v>1613.2</v>
      </c>
      <c r="D176" s="11">
        <f ca="1">IFERROR(__xludf.DUMMYFUNCTION("GOOGLEFINANCE(A176,""HIGH"")"),1622.6)</f>
        <v>1622.6</v>
      </c>
      <c r="E176" s="11">
        <f ca="1">IFERROR(__xludf.DUMMYFUNCTION("GOOGLEFINANCE(A176,""LOW"")"),1599.2)</f>
        <v>1599.2</v>
      </c>
      <c r="F176" s="12" t="str">
        <f t="shared" ca="1" si="7"/>
        <v/>
      </c>
      <c r="G176" s="13">
        <f ca="1">IFERROR(__xludf.DUMMYFUNCTION("GOOGLEFINANCE(A176,""CLOSEYEST"")"),1613.2)</f>
        <v>1613.2</v>
      </c>
      <c r="H176" s="14" t="str">
        <f t="shared" ca="1" si="13"/>
        <v/>
      </c>
      <c r="I176" s="15">
        <f t="shared" ca="1" si="8"/>
        <v>1611.6666666666667</v>
      </c>
      <c r="J176" s="16">
        <f t="shared" ca="1" si="9"/>
        <v>1624.1333333333334</v>
      </c>
      <c r="K176" s="16"/>
      <c r="L176" s="16">
        <f t="shared" ca="1" si="10"/>
        <v>1600.7333333333336</v>
      </c>
      <c r="M176" s="16">
        <f t="shared" ca="1" si="11"/>
        <v>1635.0666666666666</v>
      </c>
      <c r="N176" s="16">
        <f t="shared" ca="1" si="12"/>
        <v>1588.2666666666669</v>
      </c>
    </row>
    <row r="177" spans="1:14" ht="24.75" customHeight="1" x14ac:dyDescent="0.8">
      <c r="A177" s="18" t="s">
        <v>1589</v>
      </c>
      <c r="B177" s="10">
        <f ca="1">IFERROR(__xludf.DUMMYFUNCTION("GOOGLEFINANCE(A177,""PRICE"")"),1360)</f>
        <v>1360</v>
      </c>
      <c r="C177" s="11">
        <f ca="1">IFERROR(__xludf.DUMMYFUNCTION("GOOGLEFINANCE(A177,""PRICEOPEN"")"),1350)</f>
        <v>1350</v>
      </c>
      <c r="D177" s="11">
        <f ca="1">IFERROR(__xludf.DUMMYFUNCTION("GOOGLEFINANCE(A177,""HIGH"")"),1366.1)</f>
        <v>1366.1</v>
      </c>
      <c r="E177" s="11">
        <f ca="1">IFERROR(__xludf.DUMMYFUNCTION("GOOGLEFINANCE(A177,""LOW"")"),1346.1)</f>
        <v>1346.1</v>
      </c>
      <c r="F177" s="12" t="str">
        <f t="shared" ca="1" si="7"/>
        <v/>
      </c>
      <c r="G177" s="13">
        <f ca="1">IFERROR(__xludf.DUMMYFUNCTION("GOOGLEFINANCE(A177,""CLOSEYEST"")"),1353.5)</f>
        <v>1353.5</v>
      </c>
      <c r="H177" s="14" t="str">
        <f t="shared" ca="1" si="13"/>
        <v/>
      </c>
      <c r="I177" s="15">
        <f t="shared" ca="1" si="8"/>
        <v>1355.2333333333333</v>
      </c>
      <c r="J177" s="16">
        <f t="shared" ca="1" si="9"/>
        <v>1364.3666666666668</v>
      </c>
      <c r="K177" s="16"/>
      <c r="L177" s="16">
        <f t="shared" ca="1" si="10"/>
        <v>1344.3666666666668</v>
      </c>
      <c r="M177" s="16">
        <f t="shared" ca="1" si="11"/>
        <v>1375.2333333333333</v>
      </c>
      <c r="N177" s="16">
        <f t="shared" ca="1" si="12"/>
        <v>1335.2333333333333</v>
      </c>
    </row>
    <row r="178" spans="1:14" ht="24.75" customHeight="1" x14ac:dyDescent="0.8">
      <c r="A178" s="18" t="s">
        <v>583</v>
      </c>
      <c r="B178" s="10">
        <f ca="1">IFERROR(__xludf.DUMMYFUNCTION("GOOGLEFINANCE(A178,""PRICE"")"),77.17)</f>
        <v>77.17</v>
      </c>
      <c r="C178" s="11">
        <f ca="1">IFERROR(__xludf.DUMMYFUNCTION("GOOGLEFINANCE(A178,""PRICEOPEN"")"),76.61)</f>
        <v>76.61</v>
      </c>
      <c r="D178" s="11">
        <f ca="1">IFERROR(__xludf.DUMMYFUNCTION("GOOGLEFINANCE(A178,""HIGH"")"),77.98)</f>
        <v>77.98</v>
      </c>
      <c r="E178" s="11">
        <f ca="1">IFERROR(__xludf.DUMMYFUNCTION("GOOGLEFINANCE(A178,""LOW"")"),76.09)</f>
        <v>76.09</v>
      </c>
      <c r="F178" s="12" t="str">
        <f t="shared" ca="1" si="7"/>
        <v/>
      </c>
      <c r="G178" s="13">
        <f ca="1">IFERROR(__xludf.DUMMYFUNCTION("GOOGLEFINANCE(A178,""CLOSEYEST"")"),76.16)</f>
        <v>76.16</v>
      </c>
      <c r="H178" s="14" t="str">
        <f t="shared" ca="1" si="13"/>
        <v/>
      </c>
      <c r="I178" s="15">
        <f t="shared" ca="1" si="8"/>
        <v>76.743333333333325</v>
      </c>
      <c r="J178" s="16">
        <f t="shared" ca="1" si="9"/>
        <v>77.396666666666647</v>
      </c>
      <c r="K178" s="16"/>
      <c r="L178" s="16">
        <f t="shared" ca="1" si="10"/>
        <v>75.506666666666646</v>
      </c>
      <c r="M178" s="16">
        <f t="shared" ca="1" si="11"/>
        <v>78.633333333333326</v>
      </c>
      <c r="N178" s="16">
        <f t="shared" ca="1" si="12"/>
        <v>74.853333333333325</v>
      </c>
    </row>
    <row r="179" spans="1:14" ht="24.75" customHeight="1" x14ac:dyDescent="0.8">
      <c r="A179" s="18" t="s">
        <v>467</v>
      </c>
      <c r="B179" s="10">
        <f ca="1">IFERROR(__xludf.DUMMYFUNCTION("GOOGLEFINANCE(A179,""PRICE"")"),740.5)</f>
        <v>740.5</v>
      </c>
      <c r="C179" s="11">
        <f ca="1">IFERROR(__xludf.DUMMYFUNCTION("GOOGLEFINANCE(A179,""PRICEOPEN"")"),722.05)</f>
        <v>722.05</v>
      </c>
      <c r="D179" s="11">
        <f ca="1">IFERROR(__xludf.DUMMYFUNCTION("GOOGLEFINANCE(A179,""HIGH"")"),743.7)</f>
        <v>743.7</v>
      </c>
      <c r="E179" s="11">
        <f ca="1">IFERROR(__xludf.DUMMYFUNCTION("GOOGLEFINANCE(A179,""LOW"")"),720.7)</f>
        <v>720.7</v>
      </c>
      <c r="F179" s="12" t="str">
        <f t="shared" ca="1" si="7"/>
        <v/>
      </c>
      <c r="G179" s="13">
        <f ca="1">IFERROR(__xludf.DUMMYFUNCTION("GOOGLEFINANCE(A179,""CLOSEYEST"")"),724.55)</f>
        <v>724.55</v>
      </c>
      <c r="H179" s="14" t="str">
        <f t="shared" ca="1" si="13"/>
        <v/>
      </c>
      <c r="I179" s="15">
        <f t="shared" ca="1" si="8"/>
        <v>729.65</v>
      </c>
      <c r="J179" s="16">
        <f t="shared" ca="1" si="9"/>
        <v>738.59999999999991</v>
      </c>
      <c r="K179" s="16"/>
      <c r="L179" s="16">
        <f t="shared" ca="1" si="10"/>
        <v>715.59999999999991</v>
      </c>
      <c r="M179" s="16">
        <f t="shared" ca="1" si="11"/>
        <v>752.65</v>
      </c>
      <c r="N179" s="16">
        <f t="shared" ca="1" si="12"/>
        <v>706.65</v>
      </c>
    </row>
    <row r="180" spans="1:14" ht="24.75" customHeight="1" x14ac:dyDescent="0.8">
      <c r="A180" s="18" t="s">
        <v>344</v>
      </c>
      <c r="B180" s="10">
        <f ca="1">IFERROR(__xludf.DUMMYFUNCTION("GOOGLEFINANCE(A180,""PRICE"")"),125.98)</f>
        <v>125.98</v>
      </c>
      <c r="C180" s="11">
        <f ca="1">IFERROR(__xludf.DUMMYFUNCTION("GOOGLEFINANCE(A180,""PRICEOPEN"")"),123.77)</f>
        <v>123.77</v>
      </c>
      <c r="D180" s="11">
        <f ca="1">IFERROR(__xludf.DUMMYFUNCTION("GOOGLEFINANCE(A180,""HIGH"")"),126.42)</f>
        <v>126.42</v>
      </c>
      <c r="E180" s="11">
        <f ca="1">IFERROR(__xludf.DUMMYFUNCTION("GOOGLEFINANCE(A180,""LOW"")"),123.32)</f>
        <v>123.32</v>
      </c>
      <c r="F180" s="12" t="str">
        <f t="shared" ca="1" si="7"/>
        <v/>
      </c>
      <c r="G180" s="13">
        <f ca="1">IFERROR(__xludf.DUMMYFUNCTION("GOOGLEFINANCE(A180,""CLOSEYEST"")"),123.76)</f>
        <v>123.76</v>
      </c>
      <c r="H180" s="14" t="str">
        <f t="shared" ca="1" si="13"/>
        <v/>
      </c>
      <c r="I180" s="15">
        <f t="shared" ca="1" si="8"/>
        <v>124.5</v>
      </c>
      <c r="J180" s="16">
        <f t="shared" ca="1" si="9"/>
        <v>125.68</v>
      </c>
      <c r="K180" s="16"/>
      <c r="L180" s="16">
        <f t="shared" ca="1" si="10"/>
        <v>122.58</v>
      </c>
      <c r="M180" s="16">
        <f t="shared" ca="1" si="11"/>
        <v>127.60000000000001</v>
      </c>
      <c r="N180" s="16">
        <f t="shared" ca="1" si="12"/>
        <v>121.39999999999999</v>
      </c>
    </row>
    <row r="181" spans="1:14" ht="24.75" customHeight="1" x14ac:dyDescent="0.8">
      <c r="A181" s="18" t="s">
        <v>81</v>
      </c>
      <c r="B181" s="10">
        <f ca="1">IFERROR(__xludf.DUMMYFUNCTION("GOOGLEFINANCE(A181,""PRICE"")"),4817.8)</f>
        <v>4817.8</v>
      </c>
      <c r="C181" s="11">
        <f ca="1">IFERROR(__xludf.DUMMYFUNCTION("GOOGLEFINANCE(A181,""PRICEOPEN"")"),4804)</f>
        <v>4804</v>
      </c>
      <c r="D181" s="11">
        <f ca="1">IFERROR(__xludf.DUMMYFUNCTION("GOOGLEFINANCE(A181,""HIGH"")"),4836.5)</f>
        <v>4836.5</v>
      </c>
      <c r="E181" s="11">
        <f ca="1">IFERROR(__xludf.DUMMYFUNCTION("GOOGLEFINANCE(A181,""LOW"")"),4738)</f>
        <v>4738</v>
      </c>
      <c r="F181" s="12" t="str">
        <f t="shared" ca="1" si="7"/>
        <v/>
      </c>
      <c r="G181" s="13">
        <f ca="1">IFERROR(__xludf.DUMMYFUNCTION("GOOGLEFINANCE(A181,""CLOSEYEST"")"),4832)</f>
        <v>4832</v>
      </c>
      <c r="H181" s="14" t="str">
        <f t="shared" ca="1" si="13"/>
        <v/>
      </c>
      <c r="I181" s="15">
        <f t="shared" ca="1" si="8"/>
        <v>4802.166666666667</v>
      </c>
      <c r="J181" s="16">
        <f t="shared" ca="1" si="9"/>
        <v>4866.3333333333339</v>
      </c>
      <c r="K181" s="16"/>
      <c r="L181" s="16">
        <f t="shared" ca="1" si="10"/>
        <v>4767.8333333333339</v>
      </c>
      <c r="M181" s="16">
        <f t="shared" ca="1" si="11"/>
        <v>4900.666666666667</v>
      </c>
      <c r="N181" s="16">
        <f t="shared" ca="1" si="12"/>
        <v>4703.666666666667</v>
      </c>
    </row>
    <row r="182" spans="1:14" ht="24.75" customHeight="1" x14ac:dyDescent="0.8">
      <c r="A182" s="18" t="s">
        <v>236</v>
      </c>
      <c r="B182" s="10">
        <f ca="1">IFERROR(__xludf.DUMMYFUNCTION("GOOGLEFINANCE(A182,""PRICE"")"),10.5)</f>
        <v>10.5</v>
      </c>
      <c r="C182" s="11">
        <f ca="1">IFERROR(__xludf.DUMMYFUNCTION("GOOGLEFINANCE(A182,""PRICEOPEN"")"),10.5)</f>
        <v>10.5</v>
      </c>
      <c r="D182" s="11">
        <f ca="1">IFERROR(__xludf.DUMMYFUNCTION("GOOGLEFINANCE(A182,""HIGH"")"),10.5)</f>
        <v>10.5</v>
      </c>
      <c r="E182" s="11">
        <f ca="1">IFERROR(__xludf.DUMMYFUNCTION("GOOGLEFINANCE(A182,""LOW"")"),10.5)</f>
        <v>10.5</v>
      </c>
      <c r="F182" s="12" t="str">
        <f t="shared" ca="1" si="7"/>
        <v>SELL</v>
      </c>
      <c r="G182" s="13">
        <f ca="1">IFERROR(__xludf.DUMMYFUNCTION("GOOGLEFINANCE(A182,""CLOSEYEST"")"),10.42)</f>
        <v>10.42</v>
      </c>
      <c r="H182" s="14" t="str">
        <f t="shared" ca="1" si="13"/>
        <v/>
      </c>
      <c r="I182" s="15">
        <f t="shared" ca="1" si="8"/>
        <v>10.473333333333334</v>
      </c>
      <c r="J182" s="16">
        <f t="shared" ca="1" si="9"/>
        <v>10.446666666666669</v>
      </c>
      <c r="K182" s="16"/>
      <c r="L182" s="16">
        <f t="shared" ca="1" si="10"/>
        <v>10.446666666666669</v>
      </c>
      <c r="M182" s="16">
        <f t="shared" ca="1" si="11"/>
        <v>10.473333333333334</v>
      </c>
      <c r="N182" s="16">
        <f t="shared" ca="1" si="12"/>
        <v>10.473333333333334</v>
      </c>
    </row>
    <row r="183" spans="1:14" ht="24.75" customHeight="1" x14ac:dyDescent="0.8">
      <c r="A183" s="18" t="s">
        <v>109</v>
      </c>
      <c r="B183" s="10">
        <f ca="1">IFERROR(__xludf.DUMMYFUNCTION("GOOGLEFINANCE(A183,""PRICE"")"),534.15)</f>
        <v>534.15</v>
      </c>
      <c r="C183" s="11">
        <f ca="1">IFERROR(__xludf.DUMMYFUNCTION("GOOGLEFINANCE(A183,""PRICEOPEN"")"),526.55)</f>
        <v>526.54999999999995</v>
      </c>
      <c r="D183" s="11">
        <f ca="1">IFERROR(__xludf.DUMMYFUNCTION("GOOGLEFINANCE(A183,""HIGH"")"),534.25)</f>
        <v>534.25</v>
      </c>
      <c r="E183" s="11">
        <f ca="1">IFERROR(__xludf.DUMMYFUNCTION("GOOGLEFINANCE(A183,""LOW"")"),525.5)</f>
        <v>525.5</v>
      </c>
      <c r="F183" s="12" t="str">
        <f t="shared" ca="1" si="7"/>
        <v/>
      </c>
      <c r="G183" s="13">
        <f ca="1">IFERROR(__xludf.DUMMYFUNCTION("GOOGLEFINANCE(A183,""CLOSEYEST"")"),526.55)</f>
        <v>526.54999999999995</v>
      </c>
      <c r="H183" s="14" t="str">
        <f t="shared" ca="1" si="13"/>
        <v/>
      </c>
      <c r="I183" s="15">
        <f t="shared" ca="1" si="8"/>
        <v>528.76666666666665</v>
      </c>
      <c r="J183" s="16">
        <f t="shared" ca="1" si="9"/>
        <v>532.0333333333333</v>
      </c>
      <c r="K183" s="16"/>
      <c r="L183" s="16">
        <f t="shared" ca="1" si="10"/>
        <v>523.2833333333333</v>
      </c>
      <c r="M183" s="16">
        <f t="shared" ca="1" si="11"/>
        <v>537.51666666666665</v>
      </c>
      <c r="N183" s="16">
        <f t="shared" ca="1" si="12"/>
        <v>520.01666666666665</v>
      </c>
    </row>
    <row r="184" spans="1:14" ht="24.75" customHeight="1" x14ac:dyDescent="0.8">
      <c r="A184" s="18" t="s">
        <v>399</v>
      </c>
      <c r="B184" s="10">
        <f ca="1">IFERROR(__xludf.DUMMYFUNCTION("GOOGLEFINANCE(A184,""PRICE"")"),139.74)</f>
        <v>139.74</v>
      </c>
      <c r="C184" s="11">
        <f ca="1">IFERROR(__xludf.DUMMYFUNCTION("GOOGLEFINANCE(A184,""PRICEOPEN"")"),141.42)</f>
        <v>141.41999999999999</v>
      </c>
      <c r="D184" s="11">
        <f ca="1">IFERROR(__xludf.DUMMYFUNCTION("GOOGLEFINANCE(A184,""HIGH"")"),142.95)</f>
        <v>142.94999999999999</v>
      </c>
      <c r="E184" s="11">
        <f ca="1">IFERROR(__xludf.DUMMYFUNCTION("GOOGLEFINANCE(A184,""LOW"")"),138.16)</f>
        <v>138.16</v>
      </c>
      <c r="F184" s="12" t="str">
        <f t="shared" ca="1" si="7"/>
        <v/>
      </c>
      <c r="G184" s="13">
        <f ca="1">IFERROR(__xludf.DUMMYFUNCTION("GOOGLEFINANCE(A184,""CLOSEYEST"")"),141.23)</f>
        <v>141.22999999999999</v>
      </c>
      <c r="H184" s="14" t="str">
        <f t="shared" ca="1" si="13"/>
        <v/>
      </c>
      <c r="I184" s="15">
        <f t="shared" ca="1" si="8"/>
        <v>140.78</v>
      </c>
      <c r="J184" s="16">
        <f t="shared" ca="1" si="9"/>
        <v>143.4</v>
      </c>
      <c r="K184" s="16"/>
      <c r="L184" s="16">
        <f t="shared" ca="1" si="10"/>
        <v>138.61000000000001</v>
      </c>
      <c r="M184" s="16">
        <f t="shared" ca="1" si="11"/>
        <v>145.57</v>
      </c>
      <c r="N184" s="16">
        <f t="shared" ca="1" si="12"/>
        <v>135.99</v>
      </c>
    </row>
    <row r="185" spans="1:14" ht="24.75" customHeight="1" x14ac:dyDescent="0.8">
      <c r="A185" s="18" t="s">
        <v>348</v>
      </c>
      <c r="B185" s="10">
        <f ca="1">IFERROR(__xludf.DUMMYFUNCTION("GOOGLEFINANCE(A185,""PRICE"")"),381.05)</f>
        <v>381.05</v>
      </c>
      <c r="C185" s="11">
        <f ca="1">IFERROR(__xludf.DUMMYFUNCTION("GOOGLEFINANCE(A185,""PRICEOPEN"")"),379.6)</f>
        <v>379.6</v>
      </c>
      <c r="D185" s="11">
        <f ca="1">IFERROR(__xludf.DUMMYFUNCTION("GOOGLEFINANCE(A185,""HIGH"")"),382.8)</f>
        <v>382.8</v>
      </c>
      <c r="E185" s="11">
        <f ca="1">IFERROR(__xludf.DUMMYFUNCTION("GOOGLEFINANCE(A185,""LOW"")"),379)</f>
        <v>379</v>
      </c>
      <c r="F185" s="12" t="str">
        <f t="shared" ca="1" si="7"/>
        <v/>
      </c>
      <c r="G185" s="13">
        <f ca="1">IFERROR(__xludf.DUMMYFUNCTION("GOOGLEFINANCE(A185,""CLOSEYEST"")"),379.6)</f>
        <v>379.6</v>
      </c>
      <c r="H185" s="14" t="str">
        <f t="shared" ca="1" si="13"/>
        <v/>
      </c>
      <c r="I185" s="15">
        <f t="shared" ca="1" si="8"/>
        <v>380.4666666666667</v>
      </c>
      <c r="J185" s="16">
        <f t="shared" ca="1" si="9"/>
        <v>381.93333333333339</v>
      </c>
      <c r="K185" s="16"/>
      <c r="L185" s="16">
        <f t="shared" ca="1" si="10"/>
        <v>378.13333333333338</v>
      </c>
      <c r="M185" s="16">
        <f t="shared" ca="1" si="11"/>
        <v>384.26666666666671</v>
      </c>
      <c r="N185" s="16">
        <f t="shared" ca="1" si="12"/>
        <v>376.66666666666669</v>
      </c>
    </row>
    <row r="186" spans="1:14" ht="24.75" customHeight="1" x14ac:dyDescent="0.8">
      <c r="A186" s="18" t="s">
        <v>31</v>
      </c>
      <c r="B186" s="10">
        <f ca="1">IFERROR(__xludf.DUMMYFUNCTION("GOOGLEFINANCE(A186,""PRICE"")"),1077)</f>
        <v>1077</v>
      </c>
      <c r="C186" s="11">
        <f ca="1">IFERROR(__xludf.DUMMYFUNCTION("GOOGLEFINANCE(A186,""PRICEOPEN"")"),1063)</f>
        <v>1063</v>
      </c>
      <c r="D186" s="11">
        <f ca="1">IFERROR(__xludf.DUMMYFUNCTION("GOOGLEFINANCE(A186,""HIGH"")"),1087.6)</f>
        <v>1087.5999999999999</v>
      </c>
      <c r="E186" s="11">
        <f ca="1">IFERROR(__xludf.DUMMYFUNCTION("GOOGLEFINANCE(A186,""LOW"")"),1049.3)</f>
        <v>1049.3</v>
      </c>
      <c r="F186" s="12" t="str">
        <f t="shared" ca="1" si="7"/>
        <v/>
      </c>
      <c r="G186" s="13">
        <f ca="1">IFERROR(__xludf.DUMMYFUNCTION("GOOGLEFINANCE(A186,""CLOSEYEST"")"),1065)</f>
        <v>1065</v>
      </c>
      <c r="H186" s="14" t="str">
        <f t="shared" ca="1" si="13"/>
        <v/>
      </c>
      <c r="I186" s="15">
        <f t="shared" ca="1" si="8"/>
        <v>1067.3</v>
      </c>
      <c r="J186" s="16">
        <f t="shared" ca="1" si="9"/>
        <v>1085.3</v>
      </c>
      <c r="K186" s="16"/>
      <c r="L186" s="16">
        <f t="shared" ca="1" si="10"/>
        <v>1047</v>
      </c>
      <c r="M186" s="16">
        <f t="shared" ca="1" si="11"/>
        <v>1105.5999999999999</v>
      </c>
      <c r="N186" s="16">
        <f t="shared" ca="1" si="12"/>
        <v>1029</v>
      </c>
    </row>
    <row r="187" spans="1:14" ht="24.75" customHeight="1" x14ac:dyDescent="0.8">
      <c r="A187" s="18" t="s">
        <v>719</v>
      </c>
      <c r="B187" s="10">
        <f ca="1">IFERROR(__xludf.DUMMYFUNCTION("GOOGLEFINANCE(A187,""PRICE"")"),2214.5)</f>
        <v>2214.5</v>
      </c>
      <c r="C187" s="11">
        <f ca="1">IFERROR(__xludf.DUMMYFUNCTION("GOOGLEFINANCE(A187,""PRICEOPEN"")"),2228.8)</f>
        <v>2228.8000000000002</v>
      </c>
      <c r="D187" s="11">
        <f ca="1">IFERROR(__xludf.DUMMYFUNCTION("GOOGLEFINANCE(A187,""HIGH"")"),2229)</f>
        <v>2229</v>
      </c>
      <c r="E187" s="11">
        <f ca="1">IFERROR(__xludf.DUMMYFUNCTION("GOOGLEFINANCE(A187,""LOW"")"),2191.6)</f>
        <v>2191.6</v>
      </c>
      <c r="F187" s="12" t="str">
        <f t="shared" ca="1" si="7"/>
        <v/>
      </c>
      <c r="G187" s="13">
        <f ca="1">IFERROR(__xludf.DUMMYFUNCTION("GOOGLEFINANCE(A187,""CLOSEYEST"")"),2224.9)</f>
        <v>2224.9</v>
      </c>
      <c r="H187" s="14" t="str">
        <f t="shared" ca="1" si="13"/>
        <v/>
      </c>
      <c r="I187" s="15">
        <f t="shared" ca="1" si="8"/>
        <v>2215.1666666666665</v>
      </c>
      <c r="J187" s="16">
        <f t="shared" ca="1" si="9"/>
        <v>2238.7333333333331</v>
      </c>
      <c r="K187" s="16"/>
      <c r="L187" s="16">
        <f t="shared" ca="1" si="10"/>
        <v>2201.333333333333</v>
      </c>
      <c r="M187" s="16">
        <f t="shared" ca="1" si="11"/>
        <v>2252.5666666666666</v>
      </c>
      <c r="N187" s="16">
        <f t="shared" ca="1" si="12"/>
        <v>2177.7666666666664</v>
      </c>
    </row>
    <row r="188" spans="1:14" ht="24.75" customHeight="1" x14ac:dyDescent="0.8">
      <c r="A188" s="18" t="s">
        <v>514</v>
      </c>
      <c r="B188" s="10">
        <f ca="1">IFERROR(__xludf.DUMMYFUNCTION("GOOGLEFINANCE(A188,""PRICE"")"),443.45)</f>
        <v>443.45</v>
      </c>
      <c r="C188" s="11">
        <f ca="1">IFERROR(__xludf.DUMMYFUNCTION("GOOGLEFINANCE(A188,""PRICEOPEN"")"),442.95)</f>
        <v>442.95</v>
      </c>
      <c r="D188" s="11">
        <f ca="1">IFERROR(__xludf.DUMMYFUNCTION("GOOGLEFINANCE(A188,""HIGH"")"),445.2)</f>
        <v>445.2</v>
      </c>
      <c r="E188" s="11">
        <f ca="1">IFERROR(__xludf.DUMMYFUNCTION("GOOGLEFINANCE(A188,""LOW"")"),437.55)</f>
        <v>437.55</v>
      </c>
      <c r="F188" s="12" t="str">
        <f t="shared" ca="1" si="7"/>
        <v/>
      </c>
      <c r="G188" s="13">
        <f ca="1">IFERROR(__xludf.DUMMYFUNCTION("GOOGLEFINANCE(A188,""CLOSEYEST"")"),442.95)</f>
        <v>442.95</v>
      </c>
      <c r="H188" s="14" t="str">
        <f t="shared" ca="1" si="13"/>
        <v/>
      </c>
      <c r="I188" s="15">
        <f t="shared" ca="1" si="8"/>
        <v>441.90000000000003</v>
      </c>
      <c r="J188" s="16">
        <f t="shared" ca="1" si="9"/>
        <v>446.25000000000006</v>
      </c>
      <c r="K188" s="16"/>
      <c r="L188" s="16">
        <f t="shared" ca="1" si="10"/>
        <v>438.60000000000008</v>
      </c>
      <c r="M188" s="16">
        <f t="shared" ca="1" si="11"/>
        <v>449.55</v>
      </c>
      <c r="N188" s="16">
        <f t="shared" ca="1" si="12"/>
        <v>434.25000000000006</v>
      </c>
    </row>
    <row r="189" spans="1:14" ht="24.75" customHeight="1" x14ac:dyDescent="0.8">
      <c r="A189" s="18" t="s">
        <v>184</v>
      </c>
      <c r="B189" s="10">
        <f ca="1">IFERROR(__xludf.DUMMYFUNCTION("GOOGLEFINANCE(A189,""PRICE"")"),1070)</f>
        <v>1070</v>
      </c>
      <c r="C189" s="11">
        <f ca="1">IFERROR(__xludf.DUMMYFUNCTION("GOOGLEFINANCE(A189,""PRICEOPEN"")"),1098)</f>
        <v>1098</v>
      </c>
      <c r="D189" s="11">
        <f ca="1">IFERROR(__xludf.DUMMYFUNCTION("GOOGLEFINANCE(A189,""HIGH"")"),1110.3)</f>
        <v>1110.3</v>
      </c>
      <c r="E189" s="11">
        <f ca="1">IFERROR(__xludf.DUMMYFUNCTION("GOOGLEFINANCE(A189,""LOW"")"),1060)</f>
        <v>1060</v>
      </c>
      <c r="F189" s="12" t="str">
        <f t="shared" ca="1" si="7"/>
        <v/>
      </c>
      <c r="G189" s="13">
        <f ca="1">IFERROR(__xludf.DUMMYFUNCTION("GOOGLEFINANCE(A189,""CLOSEYEST"")"),1113.2)</f>
        <v>1113.2</v>
      </c>
      <c r="H189" s="14" t="str">
        <f t="shared" ca="1" si="13"/>
        <v>GAP DOWN</v>
      </c>
      <c r="I189" s="15">
        <f t="shared" ca="1" si="8"/>
        <v>1094.5</v>
      </c>
      <c r="J189" s="16">
        <f t="shared" ca="1" si="9"/>
        <v>1129</v>
      </c>
      <c r="K189" s="16"/>
      <c r="L189" s="16">
        <f t="shared" ca="1" si="10"/>
        <v>1078.7</v>
      </c>
      <c r="M189" s="16">
        <f t="shared" ca="1" si="11"/>
        <v>1144.8</v>
      </c>
      <c r="N189" s="16">
        <f t="shared" ca="1" si="12"/>
        <v>1044.2</v>
      </c>
    </row>
    <row r="190" spans="1:14" ht="24.75" customHeight="1" x14ac:dyDescent="0.8">
      <c r="A190" s="18" t="s">
        <v>120</v>
      </c>
      <c r="B190" s="10">
        <f ca="1">IFERROR(__xludf.DUMMYFUNCTION("GOOGLEFINANCE(A190,""PRICE"")"),35690)</f>
        <v>35690</v>
      </c>
      <c r="C190" s="11">
        <f ca="1">IFERROR(__xludf.DUMMYFUNCTION("GOOGLEFINANCE(A190,""PRICEOPEN"")"),36400)</f>
        <v>36400</v>
      </c>
      <c r="D190" s="11">
        <f ca="1">IFERROR(__xludf.DUMMYFUNCTION("GOOGLEFINANCE(A190,""HIGH"")"),36400)</f>
        <v>36400</v>
      </c>
      <c r="E190" s="11">
        <f ca="1">IFERROR(__xludf.DUMMYFUNCTION("GOOGLEFINANCE(A190,""LOW"")"),35520)</f>
        <v>35520</v>
      </c>
      <c r="F190" s="12" t="str">
        <f t="shared" ca="1" si="7"/>
        <v>SELL</v>
      </c>
      <c r="G190" s="13">
        <f ca="1">IFERROR(__xludf.DUMMYFUNCTION("GOOGLEFINANCE(A190,""CLOSEYEST"")"),35970)</f>
        <v>35970</v>
      </c>
      <c r="H190" s="14" t="str">
        <f t="shared" ca="1" si="13"/>
        <v>GAP UP</v>
      </c>
      <c r="I190" s="15">
        <f t="shared" ca="1" si="8"/>
        <v>35963.333333333336</v>
      </c>
      <c r="J190" s="16">
        <f t="shared" ca="1" si="9"/>
        <v>36406.666666666672</v>
      </c>
      <c r="K190" s="16"/>
      <c r="L190" s="16">
        <f t="shared" ca="1" si="10"/>
        <v>35526.666666666672</v>
      </c>
      <c r="M190" s="16">
        <f t="shared" ca="1" si="11"/>
        <v>36843.333333333336</v>
      </c>
      <c r="N190" s="16">
        <f t="shared" ca="1" si="12"/>
        <v>35083.333333333336</v>
      </c>
    </row>
    <row r="191" spans="1:14" ht="24.75" customHeight="1" x14ac:dyDescent="0.8">
      <c r="A191" s="18" t="s">
        <v>658</v>
      </c>
      <c r="B191" s="10">
        <f ca="1">IFERROR(__xludf.DUMMYFUNCTION("GOOGLEFINANCE(A191,""PRICE"")"),29900)</f>
        <v>29900</v>
      </c>
      <c r="C191" s="11">
        <f ca="1">IFERROR(__xludf.DUMMYFUNCTION("GOOGLEFINANCE(A191,""PRICEOPEN"")"),30080)</f>
        <v>30080</v>
      </c>
      <c r="D191" s="11">
        <f ca="1">IFERROR(__xludf.DUMMYFUNCTION("GOOGLEFINANCE(A191,""HIGH"")"),30400)</f>
        <v>30400</v>
      </c>
      <c r="E191" s="11">
        <f ca="1">IFERROR(__xludf.DUMMYFUNCTION("GOOGLEFINANCE(A191,""LOW"")"),29830)</f>
        <v>29830</v>
      </c>
      <c r="F191" s="12" t="str">
        <f t="shared" ca="1" si="7"/>
        <v/>
      </c>
      <c r="G191" s="13">
        <f ca="1">IFERROR(__xludf.DUMMYFUNCTION("GOOGLEFINANCE(A191,""CLOSEYEST"")"),29890)</f>
        <v>29890</v>
      </c>
      <c r="H191" s="14" t="str">
        <f t="shared" ca="1" si="13"/>
        <v/>
      </c>
      <c r="I191" s="15">
        <f t="shared" ca="1" si="8"/>
        <v>30040</v>
      </c>
      <c r="J191" s="16">
        <f t="shared" ca="1" si="9"/>
        <v>30250</v>
      </c>
      <c r="K191" s="16"/>
      <c r="L191" s="16">
        <f t="shared" ca="1" si="10"/>
        <v>29680</v>
      </c>
      <c r="M191" s="16">
        <f t="shared" ca="1" si="11"/>
        <v>30610</v>
      </c>
      <c r="N191" s="16">
        <f t="shared" ca="1" si="12"/>
        <v>29470</v>
      </c>
    </row>
    <row r="192" spans="1:14" ht="24.75" customHeight="1" x14ac:dyDescent="0.8">
      <c r="A192" s="18" t="s">
        <v>439</v>
      </c>
      <c r="B192" s="10">
        <f ca="1">IFERROR(__xludf.DUMMYFUNCTION("GOOGLEFINANCE(A192,""PRICE"")"),2250)</f>
        <v>2250</v>
      </c>
      <c r="C192" s="11">
        <f ca="1">IFERROR(__xludf.DUMMYFUNCTION("GOOGLEFINANCE(A192,""PRICEOPEN"")"),2231.8)</f>
        <v>2231.8000000000002</v>
      </c>
      <c r="D192" s="11">
        <f ca="1">IFERROR(__xludf.DUMMYFUNCTION("GOOGLEFINANCE(A192,""HIGH"")"),2264.9)</f>
        <v>2264.9</v>
      </c>
      <c r="E192" s="11">
        <f ca="1">IFERROR(__xludf.DUMMYFUNCTION("GOOGLEFINANCE(A192,""LOW"")"),2231.8)</f>
        <v>2231.8000000000002</v>
      </c>
      <c r="F192" s="12" t="str">
        <f t="shared" ca="1" si="7"/>
        <v>BUY</v>
      </c>
      <c r="G192" s="13">
        <f ca="1">IFERROR(__xludf.DUMMYFUNCTION("GOOGLEFINANCE(A192,""CLOSEYEST"")"),2229.4)</f>
        <v>2229.4</v>
      </c>
      <c r="H192" s="14" t="str">
        <f t="shared" ca="1" si="13"/>
        <v/>
      </c>
      <c r="I192" s="15">
        <f t="shared" ca="1" si="8"/>
        <v>2242.0333333333333</v>
      </c>
      <c r="J192" s="16">
        <f t="shared" ca="1" si="9"/>
        <v>2252.2666666666664</v>
      </c>
      <c r="K192" s="16"/>
      <c r="L192" s="16">
        <f t="shared" ca="1" si="10"/>
        <v>2219.1666666666665</v>
      </c>
      <c r="M192" s="16">
        <f t="shared" ca="1" si="11"/>
        <v>2275.1333333333332</v>
      </c>
      <c r="N192" s="16">
        <f t="shared" ca="1" si="12"/>
        <v>2208.9333333333334</v>
      </c>
    </row>
    <row r="193" spans="1:14" ht="24.75" customHeight="1" x14ac:dyDescent="0.8">
      <c r="A193" s="18" t="s">
        <v>505</v>
      </c>
      <c r="B193" s="10">
        <f ca="1">IFERROR(__xludf.DUMMYFUNCTION("GOOGLEFINANCE(A193,""PRICE"")"),7385)</f>
        <v>7385</v>
      </c>
      <c r="C193" s="11">
        <f ca="1">IFERROR(__xludf.DUMMYFUNCTION("GOOGLEFINANCE(A193,""PRICEOPEN"")"),7390)</f>
        <v>7390</v>
      </c>
      <c r="D193" s="11">
        <f ca="1">IFERROR(__xludf.DUMMYFUNCTION("GOOGLEFINANCE(A193,""HIGH"")"),7415)</f>
        <v>7415</v>
      </c>
      <c r="E193" s="11">
        <f ca="1">IFERROR(__xludf.DUMMYFUNCTION("GOOGLEFINANCE(A193,""LOW"")"),7309.5)</f>
        <v>7309.5</v>
      </c>
      <c r="F193" s="12" t="str">
        <f t="shared" ca="1" si="7"/>
        <v/>
      </c>
      <c r="G193" s="13">
        <f ca="1">IFERROR(__xludf.DUMMYFUNCTION("GOOGLEFINANCE(A193,""CLOSEYEST"")"),7351)</f>
        <v>7351</v>
      </c>
      <c r="H193" s="14" t="str">
        <f t="shared" ca="1" si="13"/>
        <v/>
      </c>
      <c r="I193" s="15">
        <f t="shared" ca="1" si="8"/>
        <v>7358.5</v>
      </c>
      <c r="J193" s="16">
        <f t="shared" ca="1" si="9"/>
        <v>7407.5</v>
      </c>
      <c r="K193" s="16"/>
      <c r="L193" s="16">
        <f t="shared" ca="1" si="10"/>
        <v>7302</v>
      </c>
      <c r="M193" s="16">
        <f t="shared" ca="1" si="11"/>
        <v>7464</v>
      </c>
      <c r="N193" s="16">
        <f t="shared" ca="1" si="12"/>
        <v>7253</v>
      </c>
    </row>
    <row r="194" spans="1:14" ht="24.75" customHeight="1" x14ac:dyDescent="0.8">
      <c r="A194" s="18" t="s">
        <v>261</v>
      </c>
      <c r="B194" s="10">
        <f ca="1">IFERROR(__xludf.DUMMYFUNCTION("GOOGLEFINANCE(A194,""PRICE"")"),5350)</f>
        <v>5350</v>
      </c>
      <c r="C194" s="11">
        <f ca="1">IFERROR(__xludf.DUMMYFUNCTION("GOOGLEFINANCE(A194,""PRICEOPEN"")"),5222.5)</f>
        <v>5222.5</v>
      </c>
      <c r="D194" s="11">
        <f ca="1">IFERROR(__xludf.DUMMYFUNCTION("GOOGLEFINANCE(A194,""HIGH"")"),5369)</f>
        <v>5369</v>
      </c>
      <c r="E194" s="11">
        <f ca="1">IFERROR(__xludf.DUMMYFUNCTION("GOOGLEFINANCE(A194,""LOW"")"),5190)</f>
        <v>5190</v>
      </c>
      <c r="F194" s="12" t="str">
        <f t="shared" ca="1" si="7"/>
        <v/>
      </c>
      <c r="G194" s="13">
        <f ca="1">IFERROR(__xludf.DUMMYFUNCTION("GOOGLEFINANCE(A194,""CLOSEYEST"")"),5226)</f>
        <v>5226</v>
      </c>
      <c r="H194" s="14" t="str">
        <f t="shared" ca="1" si="13"/>
        <v/>
      </c>
      <c r="I194" s="15">
        <f t="shared" ca="1" si="8"/>
        <v>5261.666666666667</v>
      </c>
      <c r="J194" s="16">
        <f t="shared" ca="1" si="9"/>
        <v>5333.3333333333339</v>
      </c>
      <c r="K194" s="16"/>
      <c r="L194" s="16">
        <f t="shared" ca="1" si="10"/>
        <v>5154.3333333333339</v>
      </c>
      <c r="M194" s="16">
        <f t="shared" ca="1" si="11"/>
        <v>5440.666666666667</v>
      </c>
      <c r="N194" s="16">
        <f t="shared" ca="1" si="12"/>
        <v>5082.666666666667</v>
      </c>
    </row>
    <row r="195" spans="1:14" ht="24.75" customHeight="1" x14ac:dyDescent="0.8">
      <c r="A195" s="18" t="s">
        <v>438</v>
      </c>
      <c r="B195" s="10">
        <f ca="1">IFERROR(__xludf.DUMMYFUNCTION("GOOGLEFINANCE(A195,""PRICE"")"),8941)</f>
        <v>8941</v>
      </c>
      <c r="C195" s="11">
        <f ca="1">IFERROR(__xludf.DUMMYFUNCTION("GOOGLEFINANCE(A195,""PRICEOPEN"")"),8724)</f>
        <v>8724</v>
      </c>
      <c r="D195" s="11">
        <f ca="1">IFERROR(__xludf.DUMMYFUNCTION("GOOGLEFINANCE(A195,""HIGH"")"),8984)</f>
        <v>8984</v>
      </c>
      <c r="E195" s="11">
        <f ca="1">IFERROR(__xludf.DUMMYFUNCTION("GOOGLEFINANCE(A195,""LOW"")"),8641)</f>
        <v>8641</v>
      </c>
      <c r="F195" s="12" t="str">
        <f t="shared" ca="1" si="7"/>
        <v/>
      </c>
      <c r="G195" s="13">
        <f ca="1">IFERROR(__xludf.DUMMYFUNCTION("GOOGLEFINANCE(A195,""CLOSEYEST"")"),8724)</f>
        <v>8724</v>
      </c>
      <c r="H195" s="14" t="str">
        <f t="shared" ca="1" si="13"/>
        <v/>
      </c>
      <c r="I195" s="15">
        <f t="shared" ca="1" si="8"/>
        <v>8783</v>
      </c>
      <c r="J195" s="16">
        <f t="shared" ca="1" si="9"/>
        <v>8925</v>
      </c>
      <c r="K195" s="16"/>
      <c r="L195" s="16">
        <f t="shared" ca="1" si="10"/>
        <v>8582</v>
      </c>
      <c r="M195" s="16">
        <f t="shared" ca="1" si="11"/>
        <v>9126</v>
      </c>
      <c r="N195" s="16">
        <f t="shared" ca="1" si="12"/>
        <v>8440</v>
      </c>
    </row>
    <row r="196" spans="1:14" ht="24.75" customHeight="1" x14ac:dyDescent="0.8">
      <c r="A196" s="18" t="s">
        <v>1590</v>
      </c>
      <c r="B196" s="10">
        <f ca="1">IFERROR(__xludf.DUMMYFUNCTION("GOOGLEFINANCE(A196,""PRICE"")"),1604.5)</f>
        <v>1604.5</v>
      </c>
      <c r="C196" s="11">
        <f ca="1">IFERROR(__xludf.DUMMYFUNCTION("GOOGLEFINANCE(A196,""PRICEOPEN"")"),1622)</f>
        <v>1622</v>
      </c>
      <c r="D196" s="11">
        <f ca="1">IFERROR(__xludf.DUMMYFUNCTION("GOOGLEFINANCE(A196,""HIGH"")"),1647.9)</f>
        <v>1647.9</v>
      </c>
      <c r="E196" s="11">
        <f ca="1">IFERROR(__xludf.DUMMYFUNCTION("GOOGLEFINANCE(A196,""LOW"")"),1599.9)</f>
        <v>1599.9</v>
      </c>
      <c r="F196" s="12" t="str">
        <f t="shared" ca="1" si="7"/>
        <v/>
      </c>
      <c r="G196" s="13">
        <f ca="1">IFERROR(__xludf.DUMMYFUNCTION("GOOGLEFINANCE(A196,""CLOSEYEST"")"),1621.9)</f>
        <v>1621.9</v>
      </c>
      <c r="H196" s="14" t="str">
        <f t="shared" ca="1" si="13"/>
        <v/>
      </c>
      <c r="I196" s="15">
        <f t="shared" ca="1" si="8"/>
        <v>1623.2333333333336</v>
      </c>
      <c r="J196" s="16">
        <f t="shared" ca="1" si="9"/>
        <v>1646.5666666666671</v>
      </c>
      <c r="K196" s="16"/>
      <c r="L196" s="16">
        <f t="shared" ca="1" si="10"/>
        <v>1598.5666666666671</v>
      </c>
      <c r="M196" s="16">
        <f t="shared" ca="1" si="11"/>
        <v>1671.2333333333336</v>
      </c>
      <c r="N196" s="16">
        <f t="shared" ca="1" si="12"/>
        <v>1575.2333333333336</v>
      </c>
    </row>
    <row r="197" spans="1:14" ht="24.75" customHeight="1" x14ac:dyDescent="0.8">
      <c r="A197" s="18" t="s">
        <v>32</v>
      </c>
      <c r="B197" s="10">
        <f ca="1">IFERROR(__xludf.DUMMYFUNCTION("GOOGLEFINANCE(A197,""PRICE"")"),0.03)</f>
        <v>0.03</v>
      </c>
      <c r="C197" s="11">
        <f ca="1">IFERROR(__xludf.DUMMYFUNCTION("GOOGLEFINANCE(A197,""PRICEOPEN"")"),0.02)</f>
        <v>0.02</v>
      </c>
      <c r="D197" s="11">
        <f ca="1">IFERROR(__xludf.DUMMYFUNCTION("GOOGLEFINANCE(A197,""HIGH"")"),0.03)</f>
        <v>0.03</v>
      </c>
      <c r="E197" s="11">
        <f ca="1">IFERROR(__xludf.DUMMYFUNCTION("GOOGLEFINANCE(A197,""LOW"")"),0.02)</f>
        <v>0.02</v>
      </c>
      <c r="F197" s="12" t="str">
        <f t="shared" ca="1" si="7"/>
        <v>BUY</v>
      </c>
      <c r="G197" s="13">
        <f ca="1">IFERROR(__xludf.DUMMYFUNCTION("GOOGLEFINANCE(A197,""CLOSEYEST"")"),0.02)</f>
        <v>0.02</v>
      </c>
      <c r="H197" s="14" t="str">
        <f t="shared" ca="1" si="13"/>
        <v/>
      </c>
      <c r="I197" s="15">
        <f t="shared" ca="1" si="8"/>
        <v>2.3333333333333334E-2</v>
      </c>
      <c r="J197" s="16">
        <f t="shared" ca="1" si="9"/>
        <v>2.6666666666666668E-2</v>
      </c>
      <c r="K197" s="16"/>
      <c r="L197" s="16">
        <f t="shared" ca="1" si="10"/>
        <v>1.666666666666667E-2</v>
      </c>
      <c r="M197" s="16">
        <f t="shared" ca="1" si="11"/>
        <v>3.3333333333333333E-2</v>
      </c>
      <c r="N197" s="16">
        <f t="shared" ca="1" si="12"/>
        <v>1.3333333333333336E-2</v>
      </c>
    </row>
    <row r="198" spans="1:14" ht="24.75" customHeight="1" x14ac:dyDescent="0.8">
      <c r="A198" s="18" t="s">
        <v>111</v>
      </c>
      <c r="B198" s="10">
        <f ca="1">IFERROR(__xludf.DUMMYFUNCTION("GOOGLEFINANCE(A198,""PRICE"")"),1849)</f>
        <v>1849</v>
      </c>
      <c r="C198" s="11">
        <f ca="1">IFERROR(__xludf.DUMMYFUNCTION("GOOGLEFINANCE(A198,""PRICEOPEN"")"),1841.5)</f>
        <v>1841.5</v>
      </c>
      <c r="D198" s="11">
        <f ca="1">IFERROR(__xludf.DUMMYFUNCTION("GOOGLEFINANCE(A198,""HIGH"")"),1858)</f>
        <v>1858</v>
      </c>
      <c r="E198" s="11">
        <f ca="1">IFERROR(__xludf.DUMMYFUNCTION("GOOGLEFINANCE(A198,""LOW"")"),1841.5)</f>
        <v>1841.5</v>
      </c>
      <c r="F198" s="12" t="str">
        <f t="shared" ca="1" si="7"/>
        <v>BUY</v>
      </c>
      <c r="G198" s="13">
        <f ca="1">IFERROR(__xludf.DUMMYFUNCTION("GOOGLEFINANCE(A198,""CLOSEYEST"")"),1841.5)</f>
        <v>1841.5</v>
      </c>
      <c r="H198" s="14" t="str">
        <f t="shared" ca="1" si="13"/>
        <v/>
      </c>
      <c r="I198" s="15">
        <f t="shared" ca="1" si="8"/>
        <v>1847</v>
      </c>
      <c r="J198" s="16">
        <f t="shared" ca="1" si="9"/>
        <v>1852.5</v>
      </c>
      <c r="K198" s="16"/>
      <c r="L198" s="16">
        <f t="shared" ca="1" si="10"/>
        <v>1836</v>
      </c>
      <c r="M198" s="16">
        <f t="shared" ca="1" si="11"/>
        <v>1863.5</v>
      </c>
      <c r="N198" s="16">
        <f t="shared" ca="1" si="12"/>
        <v>1830.5</v>
      </c>
    </row>
    <row r="199" spans="1:14" ht="24.75" customHeight="1" x14ac:dyDescent="0.8">
      <c r="A199" s="18" t="s">
        <v>33</v>
      </c>
      <c r="B199" s="10">
        <f ca="1">IFERROR(__xludf.DUMMYFUNCTION("GOOGLEFINANCE(A199,""PRICE"")"),1614.9)</f>
        <v>1614.9</v>
      </c>
      <c r="C199" s="11">
        <f ca="1">IFERROR(__xludf.DUMMYFUNCTION("GOOGLEFINANCE(A199,""PRICEOPEN"")"),1595)</f>
        <v>1595</v>
      </c>
      <c r="D199" s="11">
        <f ca="1">IFERROR(__xludf.DUMMYFUNCTION("GOOGLEFINANCE(A199,""HIGH"")"),1619.8)</f>
        <v>1619.8</v>
      </c>
      <c r="E199" s="11">
        <f ca="1">IFERROR(__xludf.DUMMYFUNCTION("GOOGLEFINANCE(A199,""LOW"")"),1588.5)</f>
        <v>1588.5</v>
      </c>
      <c r="F199" s="12" t="str">
        <f t="shared" ca="1" si="7"/>
        <v/>
      </c>
      <c r="G199" s="13">
        <f ca="1">IFERROR(__xludf.DUMMYFUNCTION("GOOGLEFINANCE(A199,""CLOSEYEST"")"),1600.8)</f>
        <v>1600.8</v>
      </c>
      <c r="H199" s="14" t="str">
        <f t="shared" ca="1" si="13"/>
        <v/>
      </c>
      <c r="I199" s="15">
        <f t="shared" ca="1" si="8"/>
        <v>1603.0333333333335</v>
      </c>
      <c r="J199" s="16">
        <f t="shared" ca="1" si="9"/>
        <v>1617.5666666666671</v>
      </c>
      <c r="K199" s="16"/>
      <c r="L199" s="16">
        <f t="shared" ca="1" si="10"/>
        <v>1586.2666666666671</v>
      </c>
      <c r="M199" s="16">
        <f t="shared" ca="1" si="11"/>
        <v>1634.3333333333335</v>
      </c>
      <c r="N199" s="16">
        <f t="shared" ca="1" si="12"/>
        <v>1571.7333333333336</v>
      </c>
    </row>
    <row r="200" spans="1:14" ht="24.75" customHeight="1" x14ac:dyDescent="0.8">
      <c r="A200" s="18" t="s">
        <v>34</v>
      </c>
      <c r="B200" s="10">
        <f ca="1">IFERROR(__xludf.DUMMYFUNCTION("GOOGLEFINANCE(A200,""PRICE"")"),1222)</f>
        <v>1222</v>
      </c>
      <c r="C200" s="11">
        <f ca="1">IFERROR(__xludf.DUMMYFUNCTION("GOOGLEFINANCE(A200,""PRICEOPEN"")"),1219.6)</f>
        <v>1219.5999999999999</v>
      </c>
      <c r="D200" s="11">
        <f ca="1">IFERROR(__xludf.DUMMYFUNCTION("GOOGLEFINANCE(A200,""HIGH"")"),1230)</f>
        <v>1230</v>
      </c>
      <c r="E200" s="11">
        <f ca="1">IFERROR(__xludf.DUMMYFUNCTION("GOOGLEFINANCE(A200,""LOW"")"),1210.2)</f>
        <v>1210.2</v>
      </c>
      <c r="F200" s="12" t="str">
        <f t="shared" ca="1" si="7"/>
        <v/>
      </c>
      <c r="G200" s="13">
        <f ca="1">IFERROR(__xludf.DUMMYFUNCTION("GOOGLEFINANCE(A200,""CLOSEYEST"")"),1219.6)</f>
        <v>1219.5999999999999</v>
      </c>
      <c r="H200" s="14" t="str">
        <f t="shared" ca="1" si="13"/>
        <v/>
      </c>
      <c r="I200" s="15">
        <f t="shared" ca="1" si="8"/>
        <v>1219.9333333333332</v>
      </c>
      <c r="J200" s="16">
        <f t="shared" ca="1" si="9"/>
        <v>1229.6666666666663</v>
      </c>
      <c r="K200" s="16"/>
      <c r="L200" s="16">
        <f t="shared" ca="1" si="10"/>
        <v>1209.8666666666663</v>
      </c>
      <c r="M200" s="16">
        <f t="shared" ca="1" si="11"/>
        <v>1239.7333333333331</v>
      </c>
      <c r="N200" s="16">
        <f t="shared" ca="1" si="12"/>
        <v>1200.1333333333332</v>
      </c>
    </row>
    <row r="201" spans="1:14" ht="24.75" customHeight="1" x14ac:dyDescent="0.8">
      <c r="A201" s="18" t="s">
        <v>326</v>
      </c>
      <c r="B201" s="10">
        <f ca="1">IFERROR(__xludf.DUMMYFUNCTION("GOOGLEFINANCE(A201,""PRICE"")"),1606)</f>
        <v>1606</v>
      </c>
      <c r="C201" s="11">
        <f ca="1">IFERROR(__xludf.DUMMYFUNCTION("GOOGLEFINANCE(A201,""PRICEOPEN"")"),1609.8)</f>
        <v>1609.8</v>
      </c>
      <c r="D201" s="11">
        <f ca="1">IFERROR(__xludf.DUMMYFUNCTION("GOOGLEFINANCE(A201,""HIGH"")"),1613.3)</f>
        <v>1613.3</v>
      </c>
      <c r="E201" s="11">
        <f ca="1">IFERROR(__xludf.DUMMYFUNCTION("GOOGLEFINANCE(A201,""LOW"")"),1583.7)</f>
        <v>1583.7</v>
      </c>
      <c r="F201" s="12" t="str">
        <f t="shared" ca="1" si="7"/>
        <v/>
      </c>
      <c r="G201" s="13">
        <f ca="1">IFERROR(__xludf.DUMMYFUNCTION("GOOGLEFINANCE(A201,""CLOSEYEST"")"),1595.6)</f>
        <v>1595.6</v>
      </c>
      <c r="H201" s="14" t="str">
        <f t="shared" ca="1" si="13"/>
        <v/>
      </c>
      <c r="I201" s="15">
        <f t="shared" ca="1" si="8"/>
        <v>1597.5333333333335</v>
      </c>
      <c r="J201" s="16">
        <f t="shared" ca="1" si="9"/>
        <v>1611.366666666667</v>
      </c>
      <c r="K201" s="16"/>
      <c r="L201" s="16">
        <f t="shared" ca="1" si="10"/>
        <v>1581.7666666666671</v>
      </c>
      <c r="M201" s="16">
        <f t="shared" ca="1" si="11"/>
        <v>1627.1333333333334</v>
      </c>
      <c r="N201" s="16">
        <f t="shared" ca="1" si="12"/>
        <v>1567.9333333333336</v>
      </c>
    </row>
    <row r="202" spans="1:14" ht="24.75" customHeight="1" x14ac:dyDescent="0.8">
      <c r="A202" s="18" t="s">
        <v>251</v>
      </c>
      <c r="B202" s="10">
        <f ca="1">IFERROR(__xludf.DUMMYFUNCTION("GOOGLEFINANCE(A202,""PRICE"")"),21.84)</f>
        <v>21.84</v>
      </c>
      <c r="C202" s="11">
        <f ca="1">IFERROR(__xludf.DUMMYFUNCTION("GOOGLEFINANCE(A202,""PRICEOPEN"")"),21.76)</f>
        <v>21.76</v>
      </c>
      <c r="D202" s="11">
        <f ca="1">IFERROR(__xludf.DUMMYFUNCTION("GOOGLEFINANCE(A202,""HIGH"")"),21.97)</f>
        <v>21.97</v>
      </c>
      <c r="E202" s="11">
        <f ca="1">IFERROR(__xludf.DUMMYFUNCTION("GOOGLEFINANCE(A202,""LOW"")"),21.68)</f>
        <v>21.68</v>
      </c>
      <c r="F202" s="12" t="str">
        <f t="shared" ca="1" si="7"/>
        <v/>
      </c>
      <c r="G202" s="13">
        <f ca="1">IFERROR(__xludf.DUMMYFUNCTION("GOOGLEFINANCE(A202,""CLOSEYEST"")"),21.76)</f>
        <v>21.76</v>
      </c>
      <c r="H202" s="14" t="str">
        <f t="shared" ca="1" si="13"/>
        <v/>
      </c>
      <c r="I202" s="15">
        <f t="shared" ca="1" si="8"/>
        <v>21.803333333333331</v>
      </c>
      <c r="J202" s="16">
        <f t="shared" ca="1" si="9"/>
        <v>21.926666666666662</v>
      </c>
      <c r="K202" s="16"/>
      <c r="L202" s="16">
        <f t="shared" ca="1" si="10"/>
        <v>21.636666666666663</v>
      </c>
      <c r="M202" s="16">
        <f t="shared" ca="1" si="11"/>
        <v>22.09333333333333</v>
      </c>
      <c r="N202" s="16">
        <f t="shared" ca="1" si="12"/>
        <v>21.513333333333332</v>
      </c>
    </row>
    <row r="203" spans="1:14" ht="24.75" customHeight="1" x14ac:dyDescent="0.8">
      <c r="A203" s="18" t="s">
        <v>83</v>
      </c>
      <c r="B203" s="10">
        <f ca="1">IFERROR(__xludf.DUMMYFUNCTION("GOOGLEFINANCE(A203,""PRICE"")"),5072)</f>
        <v>5072</v>
      </c>
      <c r="C203" s="11">
        <f ca="1">IFERROR(__xludf.DUMMYFUNCTION("GOOGLEFINANCE(A203,""PRICEOPEN"")"),4975)</f>
        <v>4975</v>
      </c>
      <c r="D203" s="11">
        <f ca="1">IFERROR(__xludf.DUMMYFUNCTION("GOOGLEFINANCE(A203,""HIGH"")"),5077.1)</f>
        <v>5077.1000000000004</v>
      </c>
      <c r="E203" s="11">
        <f ca="1">IFERROR(__xludf.DUMMYFUNCTION("GOOGLEFINANCE(A203,""LOW"")"),4953.7)</f>
        <v>4953.7</v>
      </c>
      <c r="F203" s="12" t="str">
        <f t="shared" ca="1" si="7"/>
        <v/>
      </c>
      <c r="G203" s="13">
        <f ca="1">IFERROR(__xludf.DUMMYFUNCTION("GOOGLEFINANCE(A203,""CLOSEYEST"")"),4955.4)</f>
        <v>4955.3999999999996</v>
      </c>
      <c r="H203" s="14" t="str">
        <f t="shared" ca="1" si="13"/>
        <v/>
      </c>
      <c r="I203" s="15">
        <f t="shared" ca="1" si="8"/>
        <v>4995.3999999999996</v>
      </c>
      <c r="J203" s="16">
        <f t="shared" ca="1" si="9"/>
        <v>5037.0999999999995</v>
      </c>
      <c r="K203" s="16"/>
      <c r="L203" s="16">
        <f t="shared" ca="1" si="10"/>
        <v>4913.6999999999989</v>
      </c>
      <c r="M203" s="16">
        <f t="shared" ca="1" si="11"/>
        <v>5118.8</v>
      </c>
      <c r="N203" s="16">
        <f t="shared" ca="1" si="12"/>
        <v>4871.9999999999991</v>
      </c>
    </row>
    <row r="204" spans="1:14" ht="24.75" customHeight="1" x14ac:dyDescent="0.8">
      <c r="A204" s="18" t="s">
        <v>35</v>
      </c>
      <c r="B204" s="10">
        <f ca="1">IFERROR(__xludf.DUMMYFUNCTION("GOOGLEFINANCE(A204,""PRICE"")"),3130)</f>
        <v>3130</v>
      </c>
      <c r="C204" s="11">
        <f ca="1">IFERROR(__xludf.DUMMYFUNCTION("GOOGLEFINANCE(A204,""PRICEOPEN"")"),3090)</f>
        <v>3090</v>
      </c>
      <c r="D204" s="11">
        <f ca="1">IFERROR(__xludf.DUMMYFUNCTION("GOOGLEFINANCE(A204,""HIGH"")"),3150)</f>
        <v>3150</v>
      </c>
      <c r="E204" s="11">
        <f ca="1">IFERROR(__xludf.DUMMYFUNCTION("GOOGLEFINANCE(A204,""LOW"")"),3082.2)</f>
        <v>3082.2</v>
      </c>
      <c r="F204" s="12" t="str">
        <f t="shared" ca="1" si="7"/>
        <v/>
      </c>
      <c r="G204" s="13">
        <f ca="1">IFERROR(__xludf.DUMMYFUNCTION("GOOGLEFINANCE(A204,""CLOSEYEST"")"),3084.1)</f>
        <v>3084.1</v>
      </c>
      <c r="H204" s="14" t="str">
        <f t="shared" ca="1" si="13"/>
        <v/>
      </c>
      <c r="I204" s="15">
        <f t="shared" ca="1" si="8"/>
        <v>3105.4333333333329</v>
      </c>
      <c r="J204" s="16">
        <f t="shared" ca="1" si="9"/>
        <v>3128.6666666666661</v>
      </c>
      <c r="K204" s="16"/>
      <c r="L204" s="16">
        <f t="shared" ca="1" si="10"/>
        <v>3060.8666666666659</v>
      </c>
      <c r="M204" s="16">
        <f t="shared" ca="1" si="11"/>
        <v>3173.2333333333331</v>
      </c>
      <c r="N204" s="16">
        <f t="shared" ca="1" si="12"/>
        <v>3037.6333333333328</v>
      </c>
    </row>
    <row r="205" spans="1:14" ht="24.75" customHeight="1" x14ac:dyDescent="0.8">
      <c r="A205" s="18" t="s">
        <v>738</v>
      </c>
      <c r="B205" s="10" t="str">
        <f ca="1">IFERROR(__xludf.DUMMYFUNCTION("GOOGLEFINANCE(A205,""PRICE"")"),"#N/A")</f>
        <v>#N/A</v>
      </c>
      <c r="C205" s="11" t="str">
        <f ca="1">IFERROR(__xludf.DUMMYFUNCTION("GOOGLEFINANCE(A205,""PRICEOPEN"")"),"#N/A")</f>
        <v>#N/A</v>
      </c>
      <c r="D205" s="11" t="str">
        <f ca="1">IFERROR(__xludf.DUMMYFUNCTION("GOOGLEFINANCE(A205,""HIGH"")"),"#N/A")</f>
        <v>#N/A</v>
      </c>
      <c r="E205" s="11" t="str">
        <f ca="1">IFERROR(__xludf.DUMMYFUNCTION("GOOGLEFINANCE(A205,""LOW"")"),"#N/A")</f>
        <v>#N/A</v>
      </c>
      <c r="F205" s="12" t="str">
        <f t="shared" ca="1" si="7"/>
        <v>SELL</v>
      </c>
      <c r="G205" s="13" t="str">
        <f ca="1">IFERROR(__xludf.DUMMYFUNCTION("GOOGLEFINANCE(A205,""CLOSEYEST"")"),"#N/A")</f>
        <v>#N/A</v>
      </c>
      <c r="H205" s="14" t="e">
        <f t="shared" ca="1" si="13"/>
        <v>#VALUE!</v>
      </c>
      <c r="I205" s="15" t="e">
        <f t="shared" ca="1" si="8"/>
        <v>#VALUE!</v>
      </c>
      <c r="J205" s="16" t="e">
        <f t="shared" ca="1" si="9"/>
        <v>#VALUE!</v>
      </c>
      <c r="K205" s="16"/>
      <c r="L205" s="16" t="e">
        <f t="shared" ca="1" si="10"/>
        <v>#VALUE!</v>
      </c>
      <c r="M205" s="16" t="e">
        <f t="shared" ca="1" si="11"/>
        <v>#VALUE!</v>
      </c>
      <c r="N205" s="16" t="e">
        <f t="shared" ca="1" si="12"/>
        <v>#VALUE!</v>
      </c>
    </row>
    <row r="206" spans="1:14" ht="24.75" customHeight="1" x14ac:dyDescent="0.8">
      <c r="A206" s="18" t="s">
        <v>36</v>
      </c>
      <c r="B206" s="10">
        <f ca="1">IFERROR(__xludf.DUMMYFUNCTION("GOOGLEFINANCE(A206,""PRICE"")"),277.85)</f>
        <v>277.85000000000002</v>
      </c>
      <c r="C206" s="11">
        <f ca="1">IFERROR(__xludf.DUMMYFUNCTION("GOOGLEFINANCE(A206,""PRICEOPEN"")"),274.5)</f>
        <v>274.5</v>
      </c>
      <c r="D206" s="11">
        <f ca="1">IFERROR(__xludf.DUMMYFUNCTION("GOOGLEFINANCE(A206,""HIGH"")"),279.95)</f>
        <v>279.95</v>
      </c>
      <c r="E206" s="11">
        <f ca="1">IFERROR(__xludf.DUMMYFUNCTION("GOOGLEFINANCE(A206,""LOW"")"),273.75)</f>
        <v>273.75</v>
      </c>
      <c r="F206" s="12" t="str">
        <f t="shared" ca="1" si="7"/>
        <v/>
      </c>
      <c r="G206" s="13">
        <f ca="1">IFERROR(__xludf.DUMMYFUNCTION("GOOGLEFINANCE(A206,""CLOSEYEST"")"),274.5)</f>
        <v>274.5</v>
      </c>
      <c r="H206" s="14" t="str">
        <f t="shared" ca="1" si="13"/>
        <v/>
      </c>
      <c r="I206" s="15">
        <f t="shared" ca="1" si="8"/>
        <v>276.06666666666666</v>
      </c>
      <c r="J206" s="16">
        <f t="shared" ca="1" si="9"/>
        <v>278.38333333333333</v>
      </c>
      <c r="K206" s="16"/>
      <c r="L206" s="16">
        <f t="shared" ca="1" si="10"/>
        <v>272.18333333333334</v>
      </c>
      <c r="M206" s="16">
        <f t="shared" ca="1" si="11"/>
        <v>282.26666666666665</v>
      </c>
      <c r="N206" s="16">
        <f t="shared" ca="1" si="12"/>
        <v>269.86666666666667</v>
      </c>
    </row>
    <row r="207" spans="1:14" ht="24.75" customHeight="1" x14ac:dyDescent="0.8">
      <c r="A207" s="18" t="s">
        <v>131</v>
      </c>
      <c r="B207" s="10">
        <f ca="1">IFERROR(__xludf.DUMMYFUNCTION("GOOGLEFINANCE(A207,""PRICE"")"),252.59)</f>
        <v>252.59</v>
      </c>
      <c r="C207" s="11">
        <f ca="1">IFERROR(__xludf.DUMMYFUNCTION("GOOGLEFINANCE(A207,""PRICEOPEN"")"),248.5)</f>
        <v>248.5</v>
      </c>
      <c r="D207" s="11">
        <f ca="1">IFERROR(__xludf.DUMMYFUNCTION("GOOGLEFINANCE(A207,""HIGH"")"),254.95)</f>
        <v>254.95</v>
      </c>
      <c r="E207" s="11">
        <f ca="1">IFERROR(__xludf.DUMMYFUNCTION("GOOGLEFINANCE(A207,""LOW"")"),247.9)</f>
        <v>247.9</v>
      </c>
      <c r="F207" s="12" t="str">
        <f t="shared" ca="1" si="7"/>
        <v/>
      </c>
      <c r="G207" s="13">
        <f ca="1">IFERROR(__xludf.DUMMYFUNCTION("GOOGLEFINANCE(A207,""CLOSEYEST"")"),249.22)</f>
        <v>249.22</v>
      </c>
      <c r="H207" s="14" t="str">
        <f t="shared" ca="1" si="13"/>
        <v/>
      </c>
      <c r="I207" s="15">
        <f t="shared" ca="1" si="8"/>
        <v>250.69000000000003</v>
      </c>
      <c r="J207" s="16">
        <f t="shared" ca="1" si="9"/>
        <v>253.48000000000005</v>
      </c>
      <c r="K207" s="16"/>
      <c r="L207" s="16">
        <f t="shared" ca="1" si="10"/>
        <v>246.43000000000006</v>
      </c>
      <c r="M207" s="16">
        <f t="shared" ca="1" si="11"/>
        <v>257.74</v>
      </c>
      <c r="N207" s="16">
        <f t="shared" ca="1" si="12"/>
        <v>243.64000000000004</v>
      </c>
    </row>
    <row r="208" spans="1:14" ht="24.75" customHeight="1" x14ac:dyDescent="0.8">
      <c r="A208" s="18" t="s">
        <v>311</v>
      </c>
      <c r="B208" s="10">
        <f ca="1">IFERROR(__xludf.DUMMYFUNCTION("GOOGLEFINANCE(A208,""PRICE"")"),442.5)</f>
        <v>442.5</v>
      </c>
      <c r="C208" s="11">
        <f ca="1">IFERROR(__xludf.DUMMYFUNCTION("GOOGLEFINANCE(A208,""PRICEOPEN"")"),445.6)</f>
        <v>445.6</v>
      </c>
      <c r="D208" s="11">
        <f ca="1">IFERROR(__xludf.DUMMYFUNCTION("GOOGLEFINANCE(A208,""HIGH"")"),447.7)</f>
        <v>447.7</v>
      </c>
      <c r="E208" s="11">
        <f ca="1">IFERROR(__xludf.DUMMYFUNCTION("GOOGLEFINANCE(A208,""LOW"")"),440)</f>
        <v>440</v>
      </c>
      <c r="F208" s="12" t="str">
        <f t="shared" ca="1" si="7"/>
        <v/>
      </c>
      <c r="G208" s="13">
        <f ca="1">IFERROR(__xludf.DUMMYFUNCTION("GOOGLEFINANCE(A208,""CLOSEYEST"")"),445.6)</f>
        <v>445.6</v>
      </c>
      <c r="H208" s="14" t="str">
        <f t="shared" ca="1" si="13"/>
        <v/>
      </c>
      <c r="I208" s="15">
        <f t="shared" ca="1" si="8"/>
        <v>444.43333333333339</v>
      </c>
      <c r="J208" s="16">
        <f t="shared" ca="1" si="9"/>
        <v>448.86666666666679</v>
      </c>
      <c r="K208" s="16"/>
      <c r="L208" s="16">
        <f t="shared" ca="1" si="10"/>
        <v>441.1666666666668</v>
      </c>
      <c r="M208" s="16">
        <f t="shared" ca="1" si="11"/>
        <v>452.13333333333338</v>
      </c>
      <c r="N208" s="16">
        <f t="shared" ca="1" si="12"/>
        <v>436.73333333333341</v>
      </c>
    </row>
    <row r="209" spans="1:14" ht="24.75" customHeight="1" x14ac:dyDescent="0.8">
      <c r="A209" s="18" t="s">
        <v>127</v>
      </c>
      <c r="B209" s="10" t="str">
        <f ca="1">IFERROR(__xludf.DUMMYFUNCTION("GOOGLEFINANCE(A209,""PRICE"")"),"#N/A")</f>
        <v>#N/A</v>
      </c>
      <c r="C209" s="11" t="str">
        <f ca="1">IFERROR(__xludf.DUMMYFUNCTION("GOOGLEFINANCE(A209,""PRICEOPEN"")"),"#N/A")</f>
        <v>#N/A</v>
      </c>
      <c r="D209" s="11" t="str">
        <f ca="1">IFERROR(__xludf.DUMMYFUNCTION("GOOGLEFINANCE(A209,""HIGH"")"),"#N/A")</f>
        <v>#N/A</v>
      </c>
      <c r="E209" s="11" t="str">
        <f ca="1">IFERROR(__xludf.DUMMYFUNCTION("GOOGLEFINANCE(A209,""LOW"")"),"#N/A")</f>
        <v>#N/A</v>
      </c>
      <c r="F209" s="12" t="str">
        <f t="shared" ca="1" si="7"/>
        <v>SELL</v>
      </c>
      <c r="G209" s="13" t="str">
        <f ca="1">IFERROR(__xludf.DUMMYFUNCTION("GOOGLEFINANCE(A209,""CLOSEYEST"")"),"#N/A")</f>
        <v>#N/A</v>
      </c>
      <c r="H209" s="14" t="e">
        <f t="shared" ca="1" si="13"/>
        <v>#VALUE!</v>
      </c>
      <c r="I209" s="15" t="e">
        <f t="shared" ca="1" si="8"/>
        <v>#VALUE!</v>
      </c>
      <c r="J209" s="16" t="e">
        <f t="shared" ca="1" si="9"/>
        <v>#VALUE!</v>
      </c>
      <c r="K209" s="16"/>
      <c r="L209" s="16" t="e">
        <f t="shared" ca="1" si="10"/>
        <v>#VALUE!</v>
      </c>
      <c r="M209" s="16" t="e">
        <f t="shared" ca="1" si="11"/>
        <v>#VALUE!</v>
      </c>
      <c r="N209" s="16" t="e">
        <f t="shared" ca="1" si="12"/>
        <v>#VALUE!</v>
      </c>
    </row>
    <row r="210" spans="1:14" ht="24.75" customHeight="1" x14ac:dyDescent="0.8">
      <c r="A210" s="18" t="s">
        <v>38</v>
      </c>
      <c r="B210" s="10">
        <f ca="1">IFERROR(__xludf.DUMMYFUNCTION("GOOGLEFINANCE(A210,""PRICE"")"),4)</f>
        <v>4</v>
      </c>
      <c r="C210" s="11" t="str">
        <f ca="1">IFERROR(__xludf.DUMMYFUNCTION("GOOGLEFINANCE(A210,""PRICEOPEN"")"),"#N/A")</f>
        <v>#N/A</v>
      </c>
      <c r="D210" s="11" t="str">
        <f ca="1">IFERROR(__xludf.DUMMYFUNCTION("GOOGLEFINANCE(A210,""HIGH"")"),"#N/A")</f>
        <v>#N/A</v>
      </c>
      <c r="E210" s="11" t="str">
        <f ca="1">IFERROR(__xludf.DUMMYFUNCTION("GOOGLEFINANCE(A210,""LOW"")"),"#N/A")</f>
        <v>#N/A</v>
      </c>
      <c r="F210" s="12" t="str">
        <f t="shared" ca="1" si="7"/>
        <v>SELL</v>
      </c>
      <c r="G210" s="13">
        <f ca="1">IFERROR(__xludf.DUMMYFUNCTION("GOOGLEFINANCE(A210,""CLOSEYEST"")"),4)</f>
        <v>4</v>
      </c>
      <c r="H210" s="14" t="str">
        <f t="shared" ca="1" si="13"/>
        <v>GAP UP</v>
      </c>
      <c r="I210" s="15" t="e">
        <f t="shared" ca="1" si="8"/>
        <v>#VALUE!</v>
      </c>
      <c r="J210" s="16" t="e">
        <f t="shared" ca="1" si="9"/>
        <v>#VALUE!</v>
      </c>
      <c r="K210" s="16"/>
      <c r="L210" s="16" t="e">
        <f t="shared" ca="1" si="10"/>
        <v>#VALUE!</v>
      </c>
      <c r="M210" s="16" t="e">
        <f t="shared" ca="1" si="11"/>
        <v>#VALUE!</v>
      </c>
      <c r="N210" s="16" t="e">
        <f t="shared" ca="1" si="12"/>
        <v>#VALUE!</v>
      </c>
    </row>
    <row r="211" spans="1:14" ht="24.75" customHeight="1" x14ac:dyDescent="0.8">
      <c r="A211" s="18" t="s">
        <v>72</v>
      </c>
      <c r="B211" s="10">
        <f ca="1">IFERROR(__xludf.DUMMYFUNCTION("GOOGLEFINANCE(A211,""PRICE"")"),2.84)</f>
        <v>2.84</v>
      </c>
      <c r="C211" s="11">
        <f ca="1">IFERROR(__xludf.DUMMYFUNCTION("GOOGLEFINANCE(A211,""PRICEOPEN"")"),2.8)</f>
        <v>2.8</v>
      </c>
      <c r="D211" s="11">
        <f ca="1">IFERROR(__xludf.DUMMYFUNCTION("GOOGLEFINANCE(A211,""HIGH"")"),2.84)</f>
        <v>2.84</v>
      </c>
      <c r="E211" s="11">
        <f ca="1">IFERROR(__xludf.DUMMYFUNCTION("GOOGLEFINANCE(A211,""LOW"")"),2.79)</f>
        <v>2.79</v>
      </c>
      <c r="F211" s="12" t="str">
        <f t="shared" ca="1" si="7"/>
        <v/>
      </c>
      <c r="G211" s="13">
        <f ca="1">IFERROR(__xludf.DUMMYFUNCTION("GOOGLEFINANCE(A211,""CLOSEYEST"")"),2.8)</f>
        <v>2.8</v>
      </c>
      <c r="H211" s="14" t="str">
        <f t="shared" ca="1" si="13"/>
        <v/>
      </c>
      <c r="I211" s="15">
        <f t="shared" ca="1" si="8"/>
        <v>2.81</v>
      </c>
      <c r="J211" s="16">
        <f t="shared" ca="1" si="9"/>
        <v>2.83</v>
      </c>
      <c r="K211" s="16"/>
      <c r="L211" s="16">
        <f t="shared" ca="1" si="10"/>
        <v>2.7800000000000002</v>
      </c>
      <c r="M211" s="16">
        <f t="shared" ca="1" si="11"/>
        <v>2.86</v>
      </c>
      <c r="N211" s="16">
        <f t="shared" ca="1" si="12"/>
        <v>2.7600000000000002</v>
      </c>
    </row>
    <row r="212" spans="1:14" ht="24.75" customHeight="1" x14ac:dyDescent="0.8">
      <c r="A212" s="18" t="s">
        <v>342</v>
      </c>
      <c r="B212" s="10">
        <f ca="1">IFERROR(__xludf.DUMMYFUNCTION("GOOGLEFINANCE(A212,""PRICE"")"),304.5)</f>
        <v>304.5</v>
      </c>
      <c r="C212" s="11">
        <f ca="1">IFERROR(__xludf.DUMMYFUNCTION("GOOGLEFINANCE(A212,""PRICEOPEN"")"),300.6)</f>
        <v>300.60000000000002</v>
      </c>
      <c r="D212" s="11">
        <f ca="1">IFERROR(__xludf.DUMMYFUNCTION("GOOGLEFINANCE(A212,""HIGH"")"),304.95)</f>
        <v>304.95</v>
      </c>
      <c r="E212" s="11">
        <f ca="1">IFERROR(__xludf.DUMMYFUNCTION("GOOGLEFINANCE(A212,""LOW"")"),297.6)</f>
        <v>297.60000000000002</v>
      </c>
      <c r="F212" s="12" t="str">
        <f t="shared" ca="1" si="7"/>
        <v/>
      </c>
      <c r="G212" s="13">
        <f ca="1">IFERROR(__xludf.DUMMYFUNCTION("GOOGLEFINANCE(A212,""CLOSEYEST"")"),299.85)</f>
        <v>299.85000000000002</v>
      </c>
      <c r="H212" s="14" t="str">
        <f t="shared" ca="1" si="13"/>
        <v/>
      </c>
      <c r="I212" s="15">
        <f t="shared" ca="1" si="8"/>
        <v>300.8</v>
      </c>
      <c r="J212" s="16">
        <f t="shared" ca="1" si="9"/>
        <v>304</v>
      </c>
      <c r="K212" s="16"/>
      <c r="L212" s="16">
        <f t="shared" ca="1" si="10"/>
        <v>296.65000000000003</v>
      </c>
      <c r="M212" s="16">
        <f t="shared" ca="1" si="11"/>
        <v>308.14999999999998</v>
      </c>
      <c r="N212" s="16">
        <f t="shared" ca="1" si="12"/>
        <v>293.45000000000005</v>
      </c>
    </row>
    <row r="213" spans="1:14" ht="24.75" customHeight="1" x14ac:dyDescent="0.8">
      <c r="A213" s="18" t="s">
        <v>436</v>
      </c>
      <c r="B213" s="10">
        <f ca="1">IFERROR(__xludf.DUMMYFUNCTION("GOOGLEFINANCE(A213,""PRICE"")"),114.15)</f>
        <v>114.15</v>
      </c>
      <c r="C213" s="11">
        <f ca="1">IFERROR(__xludf.DUMMYFUNCTION("GOOGLEFINANCE(A213,""PRICEOPEN"")"),114.49)</f>
        <v>114.49</v>
      </c>
      <c r="D213" s="11">
        <f ca="1">IFERROR(__xludf.DUMMYFUNCTION("GOOGLEFINANCE(A213,""HIGH"")"),115.07)</f>
        <v>115.07</v>
      </c>
      <c r="E213" s="11">
        <f ca="1">IFERROR(__xludf.DUMMYFUNCTION("GOOGLEFINANCE(A213,""LOW"")"),112.63)</f>
        <v>112.63</v>
      </c>
      <c r="F213" s="12" t="str">
        <f t="shared" ca="1" si="7"/>
        <v/>
      </c>
      <c r="G213" s="13">
        <f ca="1">IFERROR(__xludf.DUMMYFUNCTION("GOOGLEFINANCE(A213,""CLOSEYEST"")"),114.21)</f>
        <v>114.21</v>
      </c>
      <c r="H213" s="14" t="str">
        <f t="shared" ca="1" si="13"/>
        <v/>
      </c>
      <c r="I213" s="15">
        <f t="shared" ca="1" si="8"/>
        <v>113.96999999999998</v>
      </c>
      <c r="J213" s="16">
        <f t="shared" ca="1" si="9"/>
        <v>115.30999999999997</v>
      </c>
      <c r="K213" s="16"/>
      <c r="L213" s="16">
        <f t="shared" ca="1" si="10"/>
        <v>112.86999999999998</v>
      </c>
      <c r="M213" s="16">
        <f t="shared" ca="1" si="11"/>
        <v>116.40999999999998</v>
      </c>
      <c r="N213" s="16">
        <f t="shared" ca="1" si="12"/>
        <v>111.52999999999999</v>
      </c>
    </row>
    <row r="214" spans="1:14" ht="24.75" customHeight="1" x14ac:dyDescent="0.8">
      <c r="A214" s="18" t="s">
        <v>1591</v>
      </c>
      <c r="B214" s="10">
        <f ca="1">IFERROR(__xludf.DUMMYFUNCTION("GOOGLEFINANCE(A214,""PRICE"")"),114)</f>
        <v>114</v>
      </c>
      <c r="C214" s="11">
        <f ca="1">IFERROR(__xludf.DUMMYFUNCTION("GOOGLEFINANCE(A214,""PRICEOPEN"")"),112)</f>
        <v>112</v>
      </c>
      <c r="D214" s="11">
        <f ca="1">IFERROR(__xludf.DUMMYFUNCTION("GOOGLEFINANCE(A214,""HIGH"")"),114)</f>
        <v>114</v>
      </c>
      <c r="E214" s="11">
        <f ca="1">IFERROR(__xludf.DUMMYFUNCTION("GOOGLEFINANCE(A214,""LOW"")"),110)</f>
        <v>110</v>
      </c>
      <c r="F214" s="12" t="str">
        <f t="shared" ca="1" si="7"/>
        <v/>
      </c>
      <c r="G214" s="13">
        <f ca="1">IFERROR(__xludf.DUMMYFUNCTION("GOOGLEFINANCE(A214,""CLOSEYEST"")"),114)</f>
        <v>114</v>
      </c>
      <c r="H214" s="14" t="str">
        <f t="shared" ca="1" si="13"/>
        <v>GAP DOWN</v>
      </c>
      <c r="I214" s="15">
        <f t="shared" ca="1" si="8"/>
        <v>112.66666666666667</v>
      </c>
      <c r="J214" s="16">
        <f t="shared" ca="1" si="9"/>
        <v>115.33333333333334</v>
      </c>
      <c r="K214" s="16"/>
      <c r="L214" s="16">
        <f t="shared" ca="1" si="10"/>
        <v>111.33333333333334</v>
      </c>
      <c r="M214" s="16">
        <f t="shared" ca="1" si="11"/>
        <v>116.66666666666667</v>
      </c>
      <c r="N214" s="16">
        <f t="shared" ca="1" si="12"/>
        <v>108.66666666666667</v>
      </c>
    </row>
    <row r="215" spans="1:14" ht="24.75" customHeight="1" x14ac:dyDescent="0.8">
      <c r="A215" s="18" t="s">
        <v>154</v>
      </c>
      <c r="B215" s="10">
        <f ca="1">IFERROR(__xludf.DUMMYFUNCTION("GOOGLEFINANCE(A215,""PRICE"")"),16597)</f>
        <v>16597</v>
      </c>
      <c r="C215" s="11">
        <f ca="1">IFERROR(__xludf.DUMMYFUNCTION("GOOGLEFINANCE(A215,""PRICEOPEN"")"),16500)</f>
        <v>16500</v>
      </c>
      <c r="D215" s="11">
        <f ca="1">IFERROR(__xludf.DUMMYFUNCTION("GOOGLEFINANCE(A215,""HIGH"")"),16649)</f>
        <v>16649</v>
      </c>
      <c r="E215" s="11">
        <f ca="1">IFERROR(__xludf.DUMMYFUNCTION("GOOGLEFINANCE(A215,""LOW"")"),16393)</f>
        <v>16393</v>
      </c>
      <c r="F215" s="12" t="str">
        <f t="shared" ca="1" si="7"/>
        <v/>
      </c>
      <c r="G215" s="13">
        <f ca="1">IFERROR(__xludf.DUMMYFUNCTION("GOOGLEFINANCE(A215,""CLOSEYEST"")"),16453)</f>
        <v>16453</v>
      </c>
      <c r="H215" s="14" t="str">
        <f t="shared" ca="1" si="13"/>
        <v/>
      </c>
      <c r="I215" s="15">
        <f t="shared" ca="1" si="8"/>
        <v>16498.333333333332</v>
      </c>
      <c r="J215" s="16">
        <f t="shared" ca="1" si="9"/>
        <v>16603.666666666664</v>
      </c>
      <c r="K215" s="16"/>
      <c r="L215" s="16">
        <f t="shared" ca="1" si="10"/>
        <v>16347.666666666664</v>
      </c>
      <c r="M215" s="16">
        <f t="shared" ca="1" si="11"/>
        <v>16754.333333333332</v>
      </c>
      <c r="N215" s="16">
        <f t="shared" ca="1" si="12"/>
        <v>16242.333333333332</v>
      </c>
    </row>
    <row r="216" spans="1:14" ht="24.75" customHeight="1" x14ac:dyDescent="0.8">
      <c r="A216" s="18" t="s">
        <v>382</v>
      </c>
      <c r="B216" s="10">
        <f ca="1">IFERROR(__xludf.DUMMYFUNCTION("GOOGLEFINANCE(A216,""PRICE"")"),87)</f>
        <v>87</v>
      </c>
      <c r="C216" s="11">
        <f ca="1">IFERROR(__xludf.DUMMYFUNCTION("GOOGLEFINANCE(A216,""PRICEOPEN"")"),86.5)</f>
        <v>86.5</v>
      </c>
      <c r="D216" s="11">
        <f ca="1">IFERROR(__xludf.DUMMYFUNCTION("GOOGLEFINANCE(A216,""HIGH"")"),87.15)</f>
        <v>87.15</v>
      </c>
      <c r="E216" s="11">
        <f ca="1">IFERROR(__xludf.DUMMYFUNCTION("GOOGLEFINANCE(A216,""LOW"")"),85.6)</f>
        <v>85.6</v>
      </c>
      <c r="F216" s="12" t="str">
        <f t="shared" ca="1" si="7"/>
        <v/>
      </c>
      <c r="G216" s="13">
        <f ca="1">IFERROR(__xludf.DUMMYFUNCTION("GOOGLEFINANCE(A216,""CLOSEYEST"")"),86.37)</f>
        <v>86.37</v>
      </c>
      <c r="H216" s="14" t="str">
        <f t="shared" ca="1" si="13"/>
        <v/>
      </c>
      <c r="I216" s="15">
        <f t="shared" ca="1" si="8"/>
        <v>86.373333333333335</v>
      </c>
      <c r="J216" s="16">
        <f t="shared" ca="1" si="9"/>
        <v>87.146666666666675</v>
      </c>
      <c r="K216" s="16"/>
      <c r="L216" s="16">
        <f t="shared" ca="1" si="10"/>
        <v>85.596666666666664</v>
      </c>
      <c r="M216" s="16">
        <f t="shared" ca="1" si="11"/>
        <v>87.923333333333346</v>
      </c>
      <c r="N216" s="16">
        <f t="shared" ca="1" si="12"/>
        <v>84.823333333333323</v>
      </c>
    </row>
    <row r="217" spans="1:14" ht="24.75" customHeight="1" x14ac:dyDescent="0.8">
      <c r="A217" s="18" t="s">
        <v>1592</v>
      </c>
      <c r="B217" s="10">
        <f ca="1">IFERROR(__xludf.DUMMYFUNCTION("GOOGLEFINANCE(A217,""PRICE"")"),137.7)</f>
        <v>137.69999999999999</v>
      </c>
      <c r="C217" s="11">
        <f ca="1">IFERROR(__xludf.DUMMYFUNCTION("GOOGLEFINANCE(A217,""PRICEOPEN"")"),138.78)</f>
        <v>138.78</v>
      </c>
      <c r="D217" s="11">
        <f ca="1">IFERROR(__xludf.DUMMYFUNCTION("GOOGLEFINANCE(A217,""HIGH"")"),140.45)</f>
        <v>140.44999999999999</v>
      </c>
      <c r="E217" s="11">
        <f ca="1">IFERROR(__xludf.DUMMYFUNCTION("GOOGLEFINANCE(A217,""LOW"")"),135.29)</f>
        <v>135.29</v>
      </c>
      <c r="F217" s="12" t="str">
        <f t="shared" ca="1" si="7"/>
        <v/>
      </c>
      <c r="G217" s="13">
        <f ca="1">IFERROR(__xludf.DUMMYFUNCTION("GOOGLEFINANCE(A217,""CLOSEYEST"")"),138.75)</f>
        <v>138.75</v>
      </c>
      <c r="H217" s="14" t="str">
        <f t="shared" ca="1" si="13"/>
        <v/>
      </c>
      <c r="I217" s="15">
        <f t="shared" ca="1" si="8"/>
        <v>138.16333333333333</v>
      </c>
      <c r="J217" s="16">
        <f t="shared" ca="1" si="9"/>
        <v>141.03666666666666</v>
      </c>
      <c r="K217" s="16"/>
      <c r="L217" s="16">
        <f t="shared" ca="1" si="10"/>
        <v>135.87666666666667</v>
      </c>
      <c r="M217" s="16">
        <f t="shared" ca="1" si="11"/>
        <v>143.32333333333332</v>
      </c>
      <c r="N217" s="16">
        <f t="shared" ca="1" si="12"/>
        <v>133.00333333333333</v>
      </c>
    </row>
    <row r="218" spans="1:14" ht="24.75" customHeight="1" x14ac:dyDescent="0.8">
      <c r="A218" s="18" t="s">
        <v>40</v>
      </c>
      <c r="B218" s="10">
        <f ca="1">IFERROR(__xludf.DUMMYFUNCTION("GOOGLEFINANCE(A218,""PRICE"")"),3125)</f>
        <v>3125</v>
      </c>
      <c r="C218" s="11">
        <f ca="1">IFERROR(__xludf.DUMMYFUNCTION("GOOGLEFINANCE(A218,""PRICEOPEN"")"),3151)</f>
        <v>3151</v>
      </c>
      <c r="D218" s="11">
        <f ca="1">IFERROR(__xludf.DUMMYFUNCTION("GOOGLEFINANCE(A218,""HIGH"")"),3168.7)</f>
        <v>3168.7</v>
      </c>
      <c r="E218" s="11">
        <f ca="1">IFERROR(__xludf.DUMMYFUNCTION("GOOGLEFINANCE(A218,""LOW"")"),3117)</f>
        <v>3117</v>
      </c>
      <c r="F218" s="12" t="str">
        <f t="shared" ca="1" si="7"/>
        <v/>
      </c>
      <c r="G218" s="13">
        <f ca="1">IFERROR(__xludf.DUMMYFUNCTION("GOOGLEFINANCE(A218,""CLOSEYEST"")"),3168.7)</f>
        <v>3168.7</v>
      </c>
      <c r="H218" s="14" t="str">
        <f t="shared" ca="1" si="13"/>
        <v/>
      </c>
      <c r="I218" s="15">
        <f t="shared" ca="1" si="8"/>
        <v>3151.4666666666667</v>
      </c>
      <c r="J218" s="16">
        <f t="shared" ca="1" si="9"/>
        <v>3185.9333333333334</v>
      </c>
      <c r="K218" s="16"/>
      <c r="L218" s="16">
        <f t="shared" ca="1" si="10"/>
        <v>3134.2333333333336</v>
      </c>
      <c r="M218" s="16">
        <f t="shared" ca="1" si="11"/>
        <v>3203.1666666666665</v>
      </c>
      <c r="N218" s="16">
        <f t="shared" ca="1" si="12"/>
        <v>3099.7666666666669</v>
      </c>
    </row>
    <row r="219" spans="1:14" ht="24.75" customHeight="1" x14ac:dyDescent="0.8">
      <c r="A219" s="18" t="s">
        <v>95</v>
      </c>
      <c r="B219" s="10">
        <f ca="1">IFERROR(__xludf.DUMMYFUNCTION("GOOGLEFINANCE(A219,""PRICE"")"),69.15)</f>
        <v>69.150000000000006</v>
      </c>
      <c r="C219" s="11">
        <f ca="1">IFERROR(__xludf.DUMMYFUNCTION("GOOGLEFINANCE(A219,""PRICEOPEN"")"),68.99)</f>
        <v>68.989999999999995</v>
      </c>
      <c r="D219" s="11">
        <f ca="1">IFERROR(__xludf.DUMMYFUNCTION("GOOGLEFINANCE(A219,""HIGH"")"),69.77)</f>
        <v>69.77</v>
      </c>
      <c r="E219" s="11">
        <f ca="1">IFERROR(__xludf.DUMMYFUNCTION("GOOGLEFINANCE(A219,""LOW"")"),68.77)</f>
        <v>68.77</v>
      </c>
      <c r="F219" s="12" t="str">
        <f t="shared" ca="1" si="7"/>
        <v/>
      </c>
      <c r="G219" s="13">
        <f ca="1">IFERROR(__xludf.DUMMYFUNCTION("GOOGLEFINANCE(A219,""CLOSEYEST"")"),69.02)</f>
        <v>69.02</v>
      </c>
      <c r="H219" s="14" t="str">
        <f t="shared" ca="1" si="13"/>
        <v/>
      </c>
      <c r="I219" s="15">
        <f t="shared" ca="1" si="8"/>
        <v>69.186666666666667</v>
      </c>
      <c r="J219" s="16">
        <f t="shared" ca="1" si="9"/>
        <v>69.603333333333339</v>
      </c>
      <c r="K219" s="16"/>
      <c r="L219" s="16">
        <f t="shared" ca="1" si="10"/>
        <v>68.603333333333339</v>
      </c>
      <c r="M219" s="16">
        <f t="shared" ca="1" si="11"/>
        <v>70.186666666666667</v>
      </c>
      <c r="N219" s="16">
        <f t="shared" ca="1" si="12"/>
        <v>68.186666666666667</v>
      </c>
    </row>
    <row r="220" spans="1:14" ht="24.75" customHeight="1" x14ac:dyDescent="0.8">
      <c r="A220" s="18" t="s">
        <v>84</v>
      </c>
      <c r="B220" s="10">
        <f ca="1">IFERROR(__xludf.DUMMYFUNCTION("GOOGLEFINANCE(A220,""PRICE"")"),3447.6)</f>
        <v>3447.6</v>
      </c>
      <c r="C220" s="11">
        <f ca="1">IFERROR(__xludf.DUMMYFUNCTION("GOOGLEFINANCE(A220,""PRICEOPEN"")"),3460)</f>
        <v>3460</v>
      </c>
      <c r="D220" s="11">
        <f ca="1">IFERROR(__xludf.DUMMYFUNCTION("GOOGLEFINANCE(A220,""HIGH"")"),3465)</f>
        <v>3465</v>
      </c>
      <c r="E220" s="11">
        <f ca="1">IFERROR(__xludf.DUMMYFUNCTION("GOOGLEFINANCE(A220,""LOW"")"),3367.2)</f>
        <v>3367.2</v>
      </c>
      <c r="F220" s="12" t="str">
        <f t="shared" ca="1" si="7"/>
        <v/>
      </c>
      <c r="G220" s="13">
        <f ca="1">IFERROR(__xludf.DUMMYFUNCTION("GOOGLEFINANCE(A220,""CLOSEYEST"")"),3457.8)</f>
        <v>3457.8</v>
      </c>
      <c r="H220" s="14" t="str">
        <f t="shared" ca="1" si="13"/>
        <v/>
      </c>
      <c r="I220" s="15">
        <f t="shared" ca="1" si="8"/>
        <v>3430</v>
      </c>
      <c r="J220" s="16">
        <f t="shared" ca="1" si="9"/>
        <v>3492.8</v>
      </c>
      <c r="K220" s="16"/>
      <c r="L220" s="16">
        <f t="shared" ca="1" si="10"/>
        <v>3395</v>
      </c>
      <c r="M220" s="16">
        <f t="shared" ca="1" si="11"/>
        <v>3527.8</v>
      </c>
      <c r="N220" s="16">
        <f t="shared" ca="1" si="12"/>
        <v>3332.2</v>
      </c>
    </row>
    <row r="221" spans="1:14" ht="24.75" customHeight="1" x14ac:dyDescent="0.8">
      <c r="A221" s="18" t="s">
        <v>108</v>
      </c>
      <c r="B221" s="10">
        <f ca="1">IFERROR(__xludf.DUMMYFUNCTION("GOOGLEFINANCE(A221,""PRICE"")"),3700)</f>
        <v>3700</v>
      </c>
      <c r="C221" s="11">
        <f ca="1">IFERROR(__xludf.DUMMYFUNCTION("GOOGLEFINANCE(A221,""PRICEOPEN"")"),3714)</f>
        <v>3714</v>
      </c>
      <c r="D221" s="11">
        <f ca="1">IFERROR(__xludf.DUMMYFUNCTION("GOOGLEFINANCE(A221,""HIGH"")"),3755)</f>
        <v>3755</v>
      </c>
      <c r="E221" s="11">
        <f ca="1">IFERROR(__xludf.DUMMYFUNCTION("GOOGLEFINANCE(A221,""LOW"")"),3695)</f>
        <v>3695</v>
      </c>
      <c r="F221" s="12" t="str">
        <f t="shared" ca="1" si="7"/>
        <v/>
      </c>
      <c r="G221" s="13">
        <f ca="1">IFERROR(__xludf.DUMMYFUNCTION("GOOGLEFINANCE(A221,""CLOSEYEST"")"),3714)</f>
        <v>3714</v>
      </c>
      <c r="H221" s="14" t="str">
        <f t="shared" ca="1" si="13"/>
        <v/>
      </c>
      <c r="I221" s="15">
        <f t="shared" ca="1" si="8"/>
        <v>3721.3333333333335</v>
      </c>
      <c r="J221" s="16">
        <f t="shared" ca="1" si="9"/>
        <v>3747.666666666667</v>
      </c>
      <c r="K221" s="16"/>
      <c r="L221" s="16">
        <f t="shared" ca="1" si="10"/>
        <v>3687.666666666667</v>
      </c>
      <c r="M221" s="16">
        <f t="shared" ca="1" si="11"/>
        <v>3781.3333333333335</v>
      </c>
      <c r="N221" s="16">
        <f t="shared" ca="1" si="12"/>
        <v>3661.3333333333335</v>
      </c>
    </row>
    <row r="222" spans="1:14" ht="24.75" customHeight="1" x14ac:dyDescent="0.8">
      <c r="A222" s="18" t="s">
        <v>182</v>
      </c>
      <c r="B222" s="10">
        <f ca="1">IFERROR(__xludf.DUMMYFUNCTION("GOOGLEFINANCE(A222,""PRICE"")"),126)</f>
        <v>126</v>
      </c>
      <c r="C222" s="11">
        <f ca="1">IFERROR(__xludf.DUMMYFUNCTION("GOOGLEFINANCE(A222,""PRICEOPEN"")"),125.54)</f>
        <v>125.54</v>
      </c>
      <c r="D222" s="11">
        <f ca="1">IFERROR(__xludf.DUMMYFUNCTION("GOOGLEFINANCE(A222,""HIGH"")"),127.18)</f>
        <v>127.18</v>
      </c>
      <c r="E222" s="11">
        <f ca="1">IFERROR(__xludf.DUMMYFUNCTION("GOOGLEFINANCE(A222,""LOW"")"),125.01)</f>
        <v>125.01</v>
      </c>
      <c r="F222" s="12" t="str">
        <f t="shared" ca="1" si="7"/>
        <v/>
      </c>
      <c r="G222" s="13">
        <f ca="1">IFERROR(__xludf.DUMMYFUNCTION("GOOGLEFINANCE(A222,""CLOSEYEST"")"),125.54)</f>
        <v>125.54</v>
      </c>
      <c r="H222" s="14" t="str">
        <f t="shared" ca="1" si="13"/>
        <v/>
      </c>
      <c r="I222" s="15">
        <f t="shared" ca="1" si="8"/>
        <v>125.91000000000001</v>
      </c>
      <c r="J222" s="16">
        <f t="shared" ca="1" si="9"/>
        <v>126.81000000000002</v>
      </c>
      <c r="K222" s="16"/>
      <c r="L222" s="16">
        <f t="shared" ca="1" si="10"/>
        <v>124.64000000000001</v>
      </c>
      <c r="M222" s="16">
        <f t="shared" ca="1" si="11"/>
        <v>128.08000000000001</v>
      </c>
      <c r="N222" s="16">
        <f t="shared" ca="1" si="12"/>
        <v>123.74000000000001</v>
      </c>
    </row>
    <row r="223" spans="1:14" ht="24.75" customHeight="1" x14ac:dyDescent="0.8">
      <c r="A223" s="18" t="s">
        <v>595</v>
      </c>
      <c r="B223" s="10">
        <f ca="1">IFERROR(__xludf.DUMMYFUNCTION("GOOGLEFINANCE(A223,""PRICE"")"),28.69)</f>
        <v>28.69</v>
      </c>
      <c r="C223" s="11">
        <f ca="1">IFERROR(__xludf.DUMMYFUNCTION("GOOGLEFINANCE(A223,""PRICEOPEN"")"),28.31)</f>
        <v>28.31</v>
      </c>
      <c r="D223" s="11">
        <f ca="1">IFERROR(__xludf.DUMMYFUNCTION("GOOGLEFINANCE(A223,""HIGH"")"),28.69)</f>
        <v>28.69</v>
      </c>
      <c r="E223" s="11">
        <f ca="1">IFERROR(__xludf.DUMMYFUNCTION("GOOGLEFINANCE(A223,""LOW"")"),28.25)</f>
        <v>28.25</v>
      </c>
      <c r="F223" s="12" t="str">
        <f t="shared" ca="1" si="7"/>
        <v/>
      </c>
      <c r="G223" s="13">
        <f ca="1">IFERROR(__xludf.DUMMYFUNCTION("GOOGLEFINANCE(A223,""CLOSEYEST"")"),28.31)</f>
        <v>28.31</v>
      </c>
      <c r="H223" s="14" t="str">
        <f t="shared" ca="1" si="13"/>
        <v/>
      </c>
      <c r="I223" s="15">
        <f t="shared" ca="1" si="8"/>
        <v>28.416666666666668</v>
      </c>
      <c r="J223" s="16">
        <f t="shared" ca="1" si="9"/>
        <v>28.583333333333336</v>
      </c>
      <c r="K223" s="16"/>
      <c r="L223" s="16">
        <f t="shared" ca="1" si="10"/>
        <v>28.143333333333334</v>
      </c>
      <c r="M223" s="16">
        <f t="shared" ca="1" si="11"/>
        <v>28.856666666666669</v>
      </c>
      <c r="N223" s="16">
        <f t="shared" ca="1" si="12"/>
        <v>27.976666666666667</v>
      </c>
    </row>
    <row r="224" spans="1:14" ht="24.75" customHeight="1" x14ac:dyDescent="0.8">
      <c r="A224" s="18" t="s">
        <v>323</v>
      </c>
      <c r="B224" s="10">
        <f ca="1">IFERROR(__xludf.DUMMYFUNCTION("GOOGLEFINANCE(A224,""PRICE"")"),2741)</f>
        <v>2741</v>
      </c>
      <c r="C224" s="11">
        <f ca="1">IFERROR(__xludf.DUMMYFUNCTION("GOOGLEFINANCE(A224,""PRICEOPEN"")"),2693)</f>
        <v>2693</v>
      </c>
      <c r="D224" s="11">
        <f ca="1">IFERROR(__xludf.DUMMYFUNCTION("GOOGLEFINANCE(A224,""HIGH"")"),2759.9)</f>
        <v>2759.9</v>
      </c>
      <c r="E224" s="11">
        <f ca="1">IFERROR(__xludf.DUMMYFUNCTION("GOOGLEFINANCE(A224,""LOW"")"),2686)</f>
        <v>2686</v>
      </c>
      <c r="F224" s="12" t="str">
        <f t="shared" ca="1" si="7"/>
        <v/>
      </c>
      <c r="G224" s="13">
        <f ca="1">IFERROR(__xludf.DUMMYFUNCTION("GOOGLEFINANCE(A224,""CLOSEYEST"")"),2697.2)</f>
        <v>2697.2</v>
      </c>
      <c r="H224" s="14" t="str">
        <f t="shared" ca="1" si="13"/>
        <v/>
      </c>
      <c r="I224" s="15">
        <f t="shared" ca="1" si="8"/>
        <v>2714.3666666666663</v>
      </c>
      <c r="J224" s="16">
        <f t="shared" ca="1" si="9"/>
        <v>2742.7333333333327</v>
      </c>
      <c r="K224" s="16"/>
      <c r="L224" s="16">
        <f t="shared" ca="1" si="10"/>
        <v>2668.8333333333326</v>
      </c>
      <c r="M224" s="16">
        <f t="shared" ca="1" si="11"/>
        <v>2788.2666666666664</v>
      </c>
      <c r="N224" s="16">
        <f t="shared" ca="1" si="12"/>
        <v>2640.4666666666662</v>
      </c>
    </row>
    <row r="225" spans="1:14" ht="24.75" customHeight="1" x14ac:dyDescent="0.8">
      <c r="A225" s="18" t="s">
        <v>1593</v>
      </c>
      <c r="B225" s="10">
        <f ca="1">IFERROR(__xludf.DUMMYFUNCTION("GOOGLEFINANCE(A225,""PRICE"")"),4244.4)</f>
        <v>4244.3999999999996</v>
      </c>
      <c r="C225" s="11">
        <f ca="1">IFERROR(__xludf.DUMMYFUNCTION("GOOGLEFINANCE(A225,""PRICEOPEN"")"),4142.2)</f>
        <v>4142.2</v>
      </c>
      <c r="D225" s="11">
        <f ca="1">IFERROR(__xludf.DUMMYFUNCTION("GOOGLEFINANCE(A225,""HIGH"")"),4302)</f>
        <v>4302</v>
      </c>
      <c r="E225" s="11">
        <f ca="1">IFERROR(__xludf.DUMMYFUNCTION("GOOGLEFINANCE(A225,""LOW"")"),4142.2)</f>
        <v>4142.2</v>
      </c>
      <c r="F225" s="12" t="str">
        <f t="shared" ca="1" si="7"/>
        <v>BUY</v>
      </c>
      <c r="G225" s="13">
        <f ca="1">IFERROR(__xludf.DUMMYFUNCTION("GOOGLEFINANCE(A225,""CLOSEYEST"")"),4182.5)</f>
        <v>4182.5</v>
      </c>
      <c r="H225" s="14" t="str">
        <f t="shared" ca="1" si="13"/>
        <v/>
      </c>
      <c r="I225" s="15">
        <f t="shared" ca="1" si="8"/>
        <v>4208.9000000000005</v>
      </c>
      <c r="J225" s="16">
        <f t="shared" ca="1" si="9"/>
        <v>4275.6000000000013</v>
      </c>
      <c r="K225" s="16"/>
      <c r="L225" s="16">
        <f t="shared" ca="1" si="10"/>
        <v>4115.8000000000011</v>
      </c>
      <c r="M225" s="16">
        <f t="shared" ca="1" si="11"/>
        <v>4368.7000000000007</v>
      </c>
      <c r="N225" s="16">
        <f t="shared" ca="1" si="12"/>
        <v>4049.1000000000004</v>
      </c>
    </row>
    <row r="226" spans="1:14" ht="24.75" customHeight="1" x14ac:dyDescent="0.8">
      <c r="A226" s="18" t="s">
        <v>287</v>
      </c>
      <c r="B226" s="10">
        <f ca="1">IFERROR(__xludf.DUMMYFUNCTION("GOOGLEFINANCE(A226,""PRICE"")"),87.4)</f>
        <v>87.4</v>
      </c>
      <c r="C226" s="11">
        <f ca="1">IFERROR(__xludf.DUMMYFUNCTION("GOOGLEFINANCE(A226,""PRICEOPEN"")"),86.69)</f>
        <v>86.69</v>
      </c>
      <c r="D226" s="11">
        <f ca="1">IFERROR(__xludf.DUMMYFUNCTION("GOOGLEFINANCE(A226,""HIGH"")"),88.99)</f>
        <v>88.99</v>
      </c>
      <c r="E226" s="11">
        <f ca="1">IFERROR(__xludf.DUMMYFUNCTION("GOOGLEFINANCE(A226,""LOW"")"),86.4)</f>
        <v>86.4</v>
      </c>
      <c r="F226" s="12" t="str">
        <f t="shared" ca="1" si="7"/>
        <v/>
      </c>
      <c r="G226" s="13">
        <f ca="1">IFERROR(__xludf.DUMMYFUNCTION("GOOGLEFINANCE(A226,""CLOSEYEST"")"),86.39)</f>
        <v>86.39</v>
      </c>
      <c r="H226" s="14" t="str">
        <f t="shared" ca="1" si="13"/>
        <v/>
      </c>
      <c r="I226" s="15">
        <f t="shared" ca="1" si="8"/>
        <v>87.259999999999991</v>
      </c>
      <c r="J226" s="16">
        <f t="shared" ca="1" si="9"/>
        <v>88.119999999999976</v>
      </c>
      <c r="K226" s="16"/>
      <c r="L226" s="16">
        <f t="shared" ca="1" si="10"/>
        <v>85.529999999999987</v>
      </c>
      <c r="M226" s="16">
        <f t="shared" ca="1" si="11"/>
        <v>89.84999999999998</v>
      </c>
      <c r="N226" s="16">
        <f t="shared" ca="1" si="12"/>
        <v>84.67</v>
      </c>
    </row>
    <row r="227" spans="1:14" ht="24.75" customHeight="1" x14ac:dyDescent="0.8">
      <c r="A227" s="18" t="s">
        <v>529</v>
      </c>
      <c r="B227" s="10">
        <f ca="1">IFERROR(__xludf.DUMMYFUNCTION("GOOGLEFINANCE(A227,""PRICE"")"),4200)</f>
        <v>4200</v>
      </c>
      <c r="C227" s="11">
        <f ca="1">IFERROR(__xludf.DUMMYFUNCTION("GOOGLEFINANCE(A227,""PRICEOPEN"")"),4190)</f>
        <v>4190</v>
      </c>
      <c r="D227" s="11">
        <f ca="1">IFERROR(__xludf.DUMMYFUNCTION("GOOGLEFINANCE(A227,""HIGH"")"),4223)</f>
        <v>4223</v>
      </c>
      <c r="E227" s="11">
        <f ca="1">IFERROR(__xludf.DUMMYFUNCTION("GOOGLEFINANCE(A227,""LOW"")"),4141.8)</f>
        <v>4141.8</v>
      </c>
      <c r="F227" s="12" t="str">
        <f t="shared" ca="1" si="7"/>
        <v/>
      </c>
      <c r="G227" s="13">
        <f ca="1">IFERROR(__xludf.DUMMYFUNCTION("GOOGLEFINANCE(A227,""CLOSEYEST"")"),4190.2)</f>
        <v>4190.2</v>
      </c>
      <c r="H227" s="14" t="str">
        <f t="shared" ca="1" si="13"/>
        <v/>
      </c>
      <c r="I227" s="15">
        <f t="shared" ca="1" si="8"/>
        <v>4185</v>
      </c>
      <c r="J227" s="16">
        <f t="shared" ca="1" si="9"/>
        <v>4228.2</v>
      </c>
      <c r="K227" s="16"/>
      <c r="L227" s="16">
        <f t="shared" ca="1" si="10"/>
        <v>4147</v>
      </c>
      <c r="M227" s="16">
        <f t="shared" ca="1" si="11"/>
        <v>4266.2</v>
      </c>
      <c r="N227" s="16">
        <f t="shared" ca="1" si="12"/>
        <v>4103.8</v>
      </c>
    </row>
    <row r="228" spans="1:14" ht="24.75" customHeight="1" x14ac:dyDescent="0.8">
      <c r="A228" s="18" t="s">
        <v>41</v>
      </c>
      <c r="B228" s="10">
        <f ca="1">IFERROR(__xludf.DUMMYFUNCTION("GOOGLEFINANCE(A228,""PRICE"")"),6106)</f>
        <v>6106</v>
      </c>
      <c r="C228" s="11">
        <f ca="1">IFERROR(__xludf.DUMMYFUNCTION("GOOGLEFINANCE(A228,""PRICEOPEN"")"),6185)</f>
        <v>6185</v>
      </c>
      <c r="D228" s="11">
        <f ca="1">IFERROR(__xludf.DUMMYFUNCTION("GOOGLEFINANCE(A228,""HIGH"")"),6185)</f>
        <v>6185</v>
      </c>
      <c r="E228" s="11">
        <f ca="1">IFERROR(__xludf.DUMMYFUNCTION("GOOGLEFINANCE(A228,""LOW"")"),6086)</f>
        <v>6086</v>
      </c>
      <c r="F228" s="12" t="str">
        <f t="shared" ca="1" si="7"/>
        <v>SELL</v>
      </c>
      <c r="G228" s="13">
        <f ca="1">IFERROR(__xludf.DUMMYFUNCTION("GOOGLEFINANCE(A228,""CLOSEYEST"")"),6186.5)</f>
        <v>6186.5</v>
      </c>
      <c r="H228" s="14" t="str">
        <f t="shared" ca="1" si="13"/>
        <v/>
      </c>
      <c r="I228" s="15">
        <f t="shared" ca="1" si="8"/>
        <v>6152.5</v>
      </c>
      <c r="J228" s="16">
        <f t="shared" ca="1" si="9"/>
        <v>6219</v>
      </c>
      <c r="K228" s="16"/>
      <c r="L228" s="16">
        <f t="shared" ca="1" si="10"/>
        <v>6120</v>
      </c>
      <c r="M228" s="16">
        <f t="shared" ca="1" si="11"/>
        <v>6251.5</v>
      </c>
      <c r="N228" s="16">
        <f t="shared" ca="1" si="12"/>
        <v>6053.5</v>
      </c>
    </row>
    <row r="229" spans="1:14" ht="24.75" customHeight="1" x14ac:dyDescent="0.8">
      <c r="A229" s="18" t="s">
        <v>332</v>
      </c>
      <c r="B229" s="10">
        <f ca="1">IFERROR(__xludf.DUMMYFUNCTION("GOOGLEFINANCE(A229,""PRICE"")"),29130)</f>
        <v>29130</v>
      </c>
      <c r="C229" s="11">
        <f ca="1">IFERROR(__xludf.DUMMYFUNCTION("GOOGLEFINANCE(A229,""PRICEOPEN"")"),29400)</f>
        <v>29400</v>
      </c>
      <c r="D229" s="11">
        <f ca="1">IFERROR(__xludf.DUMMYFUNCTION("GOOGLEFINANCE(A229,""HIGH"")"),29400)</f>
        <v>29400</v>
      </c>
      <c r="E229" s="11">
        <f ca="1">IFERROR(__xludf.DUMMYFUNCTION("GOOGLEFINANCE(A229,""LOW"")"),28855)</f>
        <v>28855</v>
      </c>
      <c r="F229" s="12" t="str">
        <f t="shared" ca="1" si="7"/>
        <v>SELL</v>
      </c>
      <c r="G229" s="13">
        <f ca="1">IFERROR(__xludf.DUMMYFUNCTION("GOOGLEFINANCE(A229,""CLOSEYEST"")"),29135)</f>
        <v>29135</v>
      </c>
      <c r="H229" s="14" t="str">
        <f t="shared" ca="1" si="13"/>
        <v/>
      </c>
      <c r="I229" s="15">
        <f t="shared" ca="1" si="8"/>
        <v>29130</v>
      </c>
      <c r="J229" s="16">
        <f t="shared" ca="1" si="9"/>
        <v>29405</v>
      </c>
      <c r="K229" s="16"/>
      <c r="L229" s="16">
        <f t="shared" ca="1" si="10"/>
        <v>28860</v>
      </c>
      <c r="M229" s="16">
        <f t="shared" ca="1" si="11"/>
        <v>29675</v>
      </c>
      <c r="N229" s="16">
        <f t="shared" ca="1" si="12"/>
        <v>28585</v>
      </c>
    </row>
    <row r="230" spans="1:14" ht="24.75" customHeight="1" x14ac:dyDescent="0.8">
      <c r="A230" s="18" t="s">
        <v>1594</v>
      </c>
      <c r="B230" s="10">
        <f ca="1">IFERROR(__xludf.DUMMYFUNCTION("GOOGLEFINANCE(A230,""PRICE"")"),295)</f>
        <v>295</v>
      </c>
      <c r="C230" s="11">
        <f ca="1">IFERROR(__xludf.DUMMYFUNCTION("GOOGLEFINANCE(A230,""PRICEOPEN"")"),295)</f>
        <v>295</v>
      </c>
      <c r="D230" s="11">
        <f ca="1">IFERROR(__xludf.DUMMYFUNCTION("GOOGLEFINANCE(A230,""HIGH"")"),296.05)</f>
        <v>296.05</v>
      </c>
      <c r="E230" s="11">
        <f ca="1">IFERROR(__xludf.DUMMYFUNCTION("GOOGLEFINANCE(A230,""LOW"")"),292.35)</f>
        <v>292.35000000000002</v>
      </c>
      <c r="F230" s="12" t="str">
        <f t="shared" ca="1" si="7"/>
        <v/>
      </c>
      <c r="G230" s="13">
        <f ca="1">IFERROR(__xludf.DUMMYFUNCTION("GOOGLEFINANCE(A230,""CLOSEYEST"")"),293.1)</f>
        <v>293.10000000000002</v>
      </c>
      <c r="H230" s="14" t="str">
        <f t="shared" ca="1" si="13"/>
        <v/>
      </c>
      <c r="I230" s="15">
        <f t="shared" ca="1" si="8"/>
        <v>293.83333333333337</v>
      </c>
      <c r="J230" s="16">
        <f t="shared" ca="1" si="9"/>
        <v>295.31666666666672</v>
      </c>
      <c r="K230" s="16"/>
      <c r="L230" s="16">
        <f t="shared" ca="1" si="10"/>
        <v>291.61666666666673</v>
      </c>
      <c r="M230" s="16">
        <f t="shared" ca="1" si="11"/>
        <v>297.53333333333336</v>
      </c>
      <c r="N230" s="16">
        <f t="shared" ca="1" si="12"/>
        <v>290.13333333333338</v>
      </c>
    </row>
    <row r="231" spans="1:14" ht="24.75" customHeight="1" x14ac:dyDescent="0.8">
      <c r="A231" s="18" t="s">
        <v>420</v>
      </c>
      <c r="B231" s="10">
        <f ca="1">IFERROR(__xludf.DUMMYFUNCTION("GOOGLEFINANCE(A231,""PRICE"")"),869.9)</f>
        <v>869.9</v>
      </c>
      <c r="C231" s="11">
        <f ca="1">IFERROR(__xludf.DUMMYFUNCTION("GOOGLEFINANCE(A231,""PRICEOPEN"")"),872)</f>
        <v>872</v>
      </c>
      <c r="D231" s="11">
        <f ca="1">IFERROR(__xludf.DUMMYFUNCTION("GOOGLEFINANCE(A231,""HIGH"")"),881.3)</f>
        <v>881.3</v>
      </c>
      <c r="E231" s="11">
        <f ca="1">IFERROR(__xludf.DUMMYFUNCTION("GOOGLEFINANCE(A231,""LOW"")"),862.3)</f>
        <v>862.3</v>
      </c>
      <c r="F231" s="12" t="str">
        <f t="shared" ca="1" si="7"/>
        <v/>
      </c>
      <c r="G231" s="13">
        <f ca="1">IFERROR(__xludf.DUMMYFUNCTION("GOOGLEFINANCE(A231,""CLOSEYEST"")"),872)</f>
        <v>872</v>
      </c>
      <c r="H231" s="14" t="str">
        <f t="shared" ca="1" si="13"/>
        <v/>
      </c>
      <c r="I231" s="15">
        <f t="shared" ca="1" si="8"/>
        <v>871.86666666666667</v>
      </c>
      <c r="J231" s="16">
        <f t="shared" ca="1" si="9"/>
        <v>881.43333333333339</v>
      </c>
      <c r="K231" s="16"/>
      <c r="L231" s="16">
        <f t="shared" ca="1" si="10"/>
        <v>862.43333333333339</v>
      </c>
      <c r="M231" s="16">
        <f t="shared" ca="1" si="11"/>
        <v>890.86666666666667</v>
      </c>
      <c r="N231" s="16">
        <f t="shared" ca="1" si="12"/>
        <v>852.86666666666667</v>
      </c>
    </row>
    <row r="232" spans="1:14" ht="24.75" customHeight="1" x14ac:dyDescent="0.8">
      <c r="A232" s="18" t="s">
        <v>242</v>
      </c>
      <c r="B232" s="10">
        <f ca="1">IFERROR(__xludf.DUMMYFUNCTION("GOOGLEFINANCE(A232,""PRICE"")"),1219)</f>
        <v>1219</v>
      </c>
      <c r="C232" s="11">
        <f ca="1">IFERROR(__xludf.DUMMYFUNCTION("GOOGLEFINANCE(A232,""PRICEOPEN"")"),1216)</f>
        <v>1216</v>
      </c>
      <c r="D232" s="11">
        <f ca="1">IFERROR(__xludf.DUMMYFUNCTION("GOOGLEFINANCE(A232,""HIGH"")"),1227)</f>
        <v>1227</v>
      </c>
      <c r="E232" s="11">
        <f ca="1">IFERROR(__xludf.DUMMYFUNCTION("GOOGLEFINANCE(A232,""LOW"")"),1210.1)</f>
        <v>1210.0999999999999</v>
      </c>
      <c r="F232" s="12" t="str">
        <f t="shared" ca="1" si="7"/>
        <v/>
      </c>
      <c r="G232" s="13">
        <f ca="1">IFERROR(__xludf.DUMMYFUNCTION("GOOGLEFINANCE(A232,""CLOSEYEST"")"),1216)</f>
        <v>1216</v>
      </c>
      <c r="H232" s="14" t="str">
        <f t="shared" ca="1" si="13"/>
        <v/>
      </c>
      <c r="I232" s="15">
        <f t="shared" ca="1" si="8"/>
        <v>1217.7</v>
      </c>
      <c r="J232" s="16">
        <f t="shared" ca="1" si="9"/>
        <v>1225.3000000000002</v>
      </c>
      <c r="K232" s="16"/>
      <c r="L232" s="16">
        <f t="shared" ca="1" si="10"/>
        <v>1208.4000000000001</v>
      </c>
      <c r="M232" s="16">
        <f t="shared" ca="1" si="11"/>
        <v>1234.6000000000001</v>
      </c>
      <c r="N232" s="16">
        <f t="shared" ca="1" si="12"/>
        <v>1200.8</v>
      </c>
    </row>
    <row r="233" spans="1:14" ht="24.75" customHeight="1" x14ac:dyDescent="0.8">
      <c r="A233" s="18" t="s">
        <v>263</v>
      </c>
      <c r="B233" s="10">
        <f ca="1">IFERROR(__xludf.DUMMYFUNCTION("GOOGLEFINANCE(A233,""PRICE"")"),2235.35)</f>
        <v>2235.35</v>
      </c>
      <c r="C233" s="11">
        <f ca="1">IFERROR(__xludf.DUMMYFUNCTION("GOOGLEFINANCE(A233,""PRICEOPEN"")"),2231.57)</f>
        <v>2231.5700000000002</v>
      </c>
      <c r="D233" s="11">
        <f ca="1">IFERROR(__xludf.DUMMYFUNCTION("GOOGLEFINANCE(A233,""HIGH"")"),2243.15)</f>
        <v>2243.15</v>
      </c>
      <c r="E233" s="11">
        <f ca="1">IFERROR(__xludf.DUMMYFUNCTION("GOOGLEFINANCE(A233,""LOW"")"),2220.1)</f>
        <v>2220.1</v>
      </c>
      <c r="F233" s="12" t="str">
        <f t="shared" ca="1" si="7"/>
        <v/>
      </c>
      <c r="G233" s="13">
        <f ca="1">IFERROR(__xludf.DUMMYFUNCTION("GOOGLEFINANCE(A233,""CLOSEYEST"")"),2231.41)</f>
        <v>2231.41</v>
      </c>
      <c r="H233" s="14" t="str">
        <f t="shared" ca="1" si="13"/>
        <v/>
      </c>
      <c r="I233" s="15">
        <f t="shared" ca="1" si="8"/>
        <v>2231.5533333333333</v>
      </c>
      <c r="J233" s="16">
        <f t="shared" ca="1" si="9"/>
        <v>2243.0066666666667</v>
      </c>
      <c r="K233" s="16"/>
      <c r="L233" s="16">
        <f t="shared" ca="1" si="10"/>
        <v>2219.9566666666665</v>
      </c>
      <c r="M233" s="16">
        <f t="shared" ca="1" si="11"/>
        <v>2254.6033333333335</v>
      </c>
      <c r="N233" s="16">
        <f t="shared" ca="1" si="12"/>
        <v>2208.5033333333331</v>
      </c>
    </row>
    <row r="234" spans="1:14" ht="24.75" customHeight="1" x14ac:dyDescent="0.8">
      <c r="A234" s="18" t="s">
        <v>222</v>
      </c>
      <c r="B234" s="10">
        <f ca="1">IFERROR(__xludf.DUMMYFUNCTION("GOOGLEFINANCE(A234,""PRICE"")"),380.5)</f>
        <v>380.5</v>
      </c>
      <c r="C234" s="11">
        <f ca="1">IFERROR(__xludf.DUMMYFUNCTION("GOOGLEFINANCE(A234,""PRICEOPEN"")"),378.3)</f>
        <v>378.3</v>
      </c>
      <c r="D234" s="11">
        <f ca="1">IFERROR(__xludf.DUMMYFUNCTION("GOOGLEFINANCE(A234,""HIGH"")"),381.2)</f>
        <v>381.2</v>
      </c>
      <c r="E234" s="11">
        <f ca="1">IFERROR(__xludf.DUMMYFUNCTION("GOOGLEFINANCE(A234,""LOW"")"),375.05)</f>
        <v>375.05</v>
      </c>
      <c r="F234" s="12" t="str">
        <f t="shared" ca="1" si="7"/>
        <v/>
      </c>
      <c r="G234" s="13">
        <f ca="1">IFERROR(__xludf.DUMMYFUNCTION("GOOGLEFINANCE(A234,""CLOSEYEST"")"),377.55)</f>
        <v>377.55</v>
      </c>
      <c r="H234" s="14" t="str">
        <f t="shared" ca="1" si="13"/>
        <v/>
      </c>
      <c r="I234" s="15">
        <f t="shared" ca="1" si="8"/>
        <v>377.93333333333334</v>
      </c>
      <c r="J234" s="16">
        <f t="shared" ca="1" si="9"/>
        <v>380.81666666666666</v>
      </c>
      <c r="K234" s="16"/>
      <c r="L234" s="16">
        <f t="shared" ca="1" si="10"/>
        <v>374.66666666666669</v>
      </c>
      <c r="M234" s="16">
        <f t="shared" ca="1" si="11"/>
        <v>384.08333333333331</v>
      </c>
      <c r="N234" s="16">
        <f t="shared" ca="1" si="12"/>
        <v>371.78333333333336</v>
      </c>
    </row>
    <row r="235" spans="1:14" ht="24.75" customHeight="1" x14ac:dyDescent="0.8">
      <c r="A235" s="18" t="s">
        <v>199</v>
      </c>
      <c r="B235" s="10">
        <f ca="1">IFERROR(__xludf.DUMMYFUNCTION("GOOGLEFINANCE(A235,""PRICE"")"),1311.2)</f>
        <v>1311.2</v>
      </c>
      <c r="C235" s="11">
        <f ca="1">IFERROR(__xludf.DUMMYFUNCTION("GOOGLEFINANCE(A235,""PRICEOPEN"")"),1337)</f>
        <v>1337</v>
      </c>
      <c r="D235" s="11">
        <f ca="1">IFERROR(__xludf.DUMMYFUNCTION("GOOGLEFINANCE(A235,""HIGH"")"),1339)</f>
        <v>1339</v>
      </c>
      <c r="E235" s="11">
        <f ca="1">IFERROR(__xludf.DUMMYFUNCTION("GOOGLEFINANCE(A235,""LOW"")"),1307.3)</f>
        <v>1307.3</v>
      </c>
      <c r="F235" s="12" t="str">
        <f t="shared" ca="1" si="7"/>
        <v/>
      </c>
      <c r="G235" s="13">
        <f ca="1">IFERROR(__xludf.DUMMYFUNCTION("GOOGLEFINANCE(A235,""CLOSEYEST"")"),1327.3)</f>
        <v>1327.3</v>
      </c>
      <c r="H235" s="14" t="str">
        <f t="shared" ca="1" si="13"/>
        <v/>
      </c>
      <c r="I235" s="15">
        <f t="shared" ca="1" si="8"/>
        <v>1324.5333333333335</v>
      </c>
      <c r="J235" s="16">
        <f t="shared" ca="1" si="9"/>
        <v>1341.7666666666671</v>
      </c>
      <c r="K235" s="16"/>
      <c r="L235" s="16">
        <f t="shared" ca="1" si="10"/>
        <v>1310.0666666666671</v>
      </c>
      <c r="M235" s="16">
        <f t="shared" ca="1" si="11"/>
        <v>1356.2333333333336</v>
      </c>
      <c r="N235" s="16">
        <f t="shared" ca="1" si="12"/>
        <v>1292.8333333333335</v>
      </c>
    </row>
    <row r="236" spans="1:14" ht="24.75" customHeight="1" x14ac:dyDescent="0.8">
      <c r="A236" s="18" t="s">
        <v>76</v>
      </c>
      <c r="B236" s="10">
        <f ca="1">IFERROR(__xludf.DUMMYFUNCTION("GOOGLEFINANCE(A236,""PRICE"")"),725)</f>
        <v>725</v>
      </c>
      <c r="C236" s="11">
        <f ca="1">IFERROR(__xludf.DUMMYFUNCTION("GOOGLEFINANCE(A236,""PRICEOPEN"")"),725.05)</f>
        <v>725.05</v>
      </c>
      <c r="D236" s="11">
        <f ca="1">IFERROR(__xludf.DUMMYFUNCTION("GOOGLEFINANCE(A236,""HIGH"")"),727.3)</f>
        <v>727.3</v>
      </c>
      <c r="E236" s="11">
        <f ca="1">IFERROR(__xludf.DUMMYFUNCTION("GOOGLEFINANCE(A236,""LOW"")"),720.2)</f>
        <v>720.2</v>
      </c>
      <c r="F236" s="12" t="str">
        <f t="shared" ca="1" si="7"/>
        <v/>
      </c>
      <c r="G236" s="13">
        <f ca="1">IFERROR(__xludf.DUMMYFUNCTION("GOOGLEFINANCE(A236,""CLOSEYEST"")"),723.25)</f>
        <v>723.25</v>
      </c>
      <c r="H236" s="14" t="str">
        <f t="shared" ca="1" si="13"/>
        <v/>
      </c>
      <c r="I236" s="15">
        <f t="shared" ca="1" si="8"/>
        <v>723.58333333333337</v>
      </c>
      <c r="J236" s="16">
        <f t="shared" ca="1" si="9"/>
        <v>726.9666666666667</v>
      </c>
      <c r="K236" s="16"/>
      <c r="L236" s="16">
        <f t="shared" ca="1" si="10"/>
        <v>719.86666666666679</v>
      </c>
      <c r="M236" s="16">
        <f t="shared" ca="1" si="11"/>
        <v>730.68333333333328</v>
      </c>
      <c r="N236" s="16">
        <f t="shared" ca="1" si="12"/>
        <v>716.48333333333346</v>
      </c>
    </row>
    <row r="237" spans="1:14" ht="24.75" customHeight="1" x14ac:dyDescent="0.8">
      <c r="A237" s="18" t="s">
        <v>146</v>
      </c>
      <c r="B237" s="10" t="str">
        <f ca="1">IFERROR(__xludf.DUMMYFUNCTION("GOOGLEFINANCE(A237,""PRICE"")"),"#N/A")</f>
        <v>#N/A</v>
      </c>
      <c r="C237" s="11" t="str">
        <f ca="1">IFERROR(__xludf.DUMMYFUNCTION("GOOGLEFINANCE(A237,""PRICEOPEN"")"),"#N/A")</f>
        <v>#N/A</v>
      </c>
      <c r="D237" s="11" t="str">
        <f ca="1">IFERROR(__xludf.DUMMYFUNCTION("GOOGLEFINANCE(A237,""HIGH"")"),"#N/A")</f>
        <v>#N/A</v>
      </c>
      <c r="E237" s="11" t="str">
        <f ca="1">IFERROR(__xludf.DUMMYFUNCTION("GOOGLEFINANCE(A237,""LOW"")"),"#N/A")</f>
        <v>#N/A</v>
      </c>
      <c r="F237" s="12" t="str">
        <f t="shared" ca="1" si="7"/>
        <v>SELL</v>
      </c>
      <c r="G237" s="13" t="str">
        <f ca="1">IFERROR(__xludf.DUMMYFUNCTION("GOOGLEFINANCE(A237,""CLOSEYEST"")"),"#N/A")</f>
        <v>#N/A</v>
      </c>
      <c r="H237" s="14" t="e">
        <f t="shared" ca="1" si="13"/>
        <v>#VALUE!</v>
      </c>
      <c r="I237" s="15" t="e">
        <f t="shared" ca="1" si="8"/>
        <v>#VALUE!</v>
      </c>
      <c r="J237" s="16" t="e">
        <f t="shared" ca="1" si="9"/>
        <v>#VALUE!</v>
      </c>
      <c r="K237" s="16"/>
      <c r="L237" s="16" t="e">
        <f t="shared" ca="1" si="10"/>
        <v>#VALUE!</v>
      </c>
      <c r="M237" s="16" t="e">
        <f t="shared" ca="1" si="11"/>
        <v>#VALUE!</v>
      </c>
      <c r="N237" s="16" t="e">
        <f t="shared" ca="1" si="12"/>
        <v>#VALUE!</v>
      </c>
    </row>
    <row r="238" spans="1:14" ht="24.75" customHeight="1" x14ac:dyDescent="0.8">
      <c r="A238" s="18" t="s">
        <v>96</v>
      </c>
      <c r="B238" s="10">
        <f ca="1">IFERROR(__xludf.DUMMYFUNCTION("GOOGLEFINANCE(A238,""PRICE"")"),3929)</f>
        <v>3929</v>
      </c>
      <c r="C238" s="11">
        <f ca="1">IFERROR(__xludf.DUMMYFUNCTION("GOOGLEFINANCE(A238,""PRICEOPEN"")"),3849.4)</f>
        <v>3849.4</v>
      </c>
      <c r="D238" s="11">
        <f ca="1">IFERROR(__xludf.DUMMYFUNCTION("GOOGLEFINANCE(A238,""HIGH"")"),3950.7)</f>
        <v>3950.7</v>
      </c>
      <c r="E238" s="11">
        <f ca="1">IFERROR(__xludf.DUMMYFUNCTION("GOOGLEFINANCE(A238,""LOW"")"),3833)</f>
        <v>3833</v>
      </c>
      <c r="F238" s="12" t="str">
        <f t="shared" ca="1" si="7"/>
        <v/>
      </c>
      <c r="G238" s="13">
        <f ca="1">IFERROR(__xludf.DUMMYFUNCTION("GOOGLEFINANCE(A238,""CLOSEYEST"")"),3849)</f>
        <v>3849</v>
      </c>
      <c r="H238" s="14" t="str">
        <f t="shared" ca="1" si="13"/>
        <v/>
      </c>
      <c r="I238" s="15">
        <f t="shared" ca="1" si="8"/>
        <v>3877.5666666666671</v>
      </c>
      <c r="J238" s="16">
        <f t="shared" ca="1" si="9"/>
        <v>3922.1333333333341</v>
      </c>
      <c r="K238" s="16"/>
      <c r="L238" s="16">
        <f t="shared" ca="1" si="10"/>
        <v>3804.4333333333343</v>
      </c>
      <c r="M238" s="16">
        <f t="shared" ca="1" si="11"/>
        <v>3995.2666666666669</v>
      </c>
      <c r="N238" s="16">
        <f t="shared" ca="1" si="12"/>
        <v>3759.8666666666672</v>
      </c>
    </row>
    <row r="239" spans="1:14" ht="24.75" customHeight="1" x14ac:dyDescent="0.8">
      <c r="A239" s="18" t="s">
        <v>185</v>
      </c>
      <c r="B239" s="10">
        <f ca="1">IFERROR(__xludf.DUMMYFUNCTION("GOOGLEFINANCE(A239,""PRICE"")"),6325)</f>
        <v>6325</v>
      </c>
      <c r="C239" s="11">
        <f ca="1">IFERROR(__xludf.DUMMYFUNCTION("GOOGLEFINANCE(A239,""PRICEOPEN"")"),6300)</f>
        <v>6300</v>
      </c>
      <c r="D239" s="11">
        <f ca="1">IFERROR(__xludf.DUMMYFUNCTION("GOOGLEFINANCE(A239,""HIGH"")"),6391)</f>
        <v>6391</v>
      </c>
      <c r="E239" s="11">
        <f ca="1">IFERROR(__xludf.DUMMYFUNCTION("GOOGLEFINANCE(A239,""LOW"")"),6255)</f>
        <v>6255</v>
      </c>
      <c r="F239" s="12" t="str">
        <f t="shared" ca="1" si="7"/>
        <v/>
      </c>
      <c r="G239" s="13">
        <f ca="1">IFERROR(__xludf.DUMMYFUNCTION("GOOGLEFINANCE(A239,""CLOSEYEST"")"),6305)</f>
        <v>6305</v>
      </c>
      <c r="H239" s="14" t="str">
        <f t="shared" ca="1" si="13"/>
        <v/>
      </c>
      <c r="I239" s="15">
        <f t="shared" ca="1" si="8"/>
        <v>6317</v>
      </c>
      <c r="J239" s="16">
        <f t="shared" ca="1" si="9"/>
        <v>6379</v>
      </c>
      <c r="K239" s="16"/>
      <c r="L239" s="16">
        <f t="shared" ca="1" si="10"/>
        <v>6243</v>
      </c>
      <c r="M239" s="16">
        <f t="shared" ca="1" si="11"/>
        <v>6453</v>
      </c>
      <c r="N239" s="16">
        <f t="shared" ca="1" si="12"/>
        <v>6181</v>
      </c>
    </row>
    <row r="240" spans="1:14" ht="24.75" customHeight="1" x14ac:dyDescent="0.8">
      <c r="A240" s="18" t="s">
        <v>1595</v>
      </c>
      <c r="B240" s="10">
        <f ca="1">IFERROR(__xludf.DUMMYFUNCTION("GOOGLEFINANCE(A240,""PRICE"")"),919)</f>
        <v>919</v>
      </c>
      <c r="C240" s="11">
        <f ca="1">IFERROR(__xludf.DUMMYFUNCTION("GOOGLEFINANCE(A240,""PRICEOPEN"")"),927.7)</f>
        <v>927.7</v>
      </c>
      <c r="D240" s="11">
        <f ca="1">IFERROR(__xludf.DUMMYFUNCTION("GOOGLEFINANCE(A240,""HIGH"")"),930)</f>
        <v>930</v>
      </c>
      <c r="E240" s="11">
        <f ca="1">IFERROR(__xludf.DUMMYFUNCTION("GOOGLEFINANCE(A240,""LOW"")"),912.8)</f>
        <v>912.8</v>
      </c>
      <c r="F240" s="12" t="str">
        <f t="shared" ca="1" si="7"/>
        <v/>
      </c>
      <c r="G240" s="13">
        <f ca="1">IFERROR(__xludf.DUMMYFUNCTION("GOOGLEFINANCE(A240,""CLOSEYEST"")"),912.95)</f>
        <v>912.95</v>
      </c>
      <c r="H240" s="14" t="str">
        <f t="shared" ca="1" si="13"/>
        <v>GAP UP</v>
      </c>
      <c r="I240" s="15">
        <f t="shared" ca="1" si="8"/>
        <v>918.58333333333337</v>
      </c>
      <c r="J240" s="16">
        <f t="shared" ca="1" si="9"/>
        <v>924.36666666666679</v>
      </c>
      <c r="K240" s="16"/>
      <c r="L240" s="16">
        <f t="shared" ca="1" si="10"/>
        <v>907.16666666666674</v>
      </c>
      <c r="M240" s="16">
        <f t="shared" ca="1" si="11"/>
        <v>935.78333333333342</v>
      </c>
      <c r="N240" s="16">
        <f t="shared" ca="1" si="12"/>
        <v>901.38333333333333</v>
      </c>
    </row>
    <row r="241" spans="1:14" ht="24.75" customHeight="1" x14ac:dyDescent="0.8">
      <c r="A241" s="18" t="s">
        <v>175</v>
      </c>
      <c r="B241" s="10">
        <f ca="1">IFERROR(__xludf.DUMMYFUNCTION("GOOGLEFINANCE(A241,""PRICE"")"),4419)</f>
        <v>4419</v>
      </c>
      <c r="C241" s="11">
        <f ca="1">IFERROR(__xludf.DUMMYFUNCTION("GOOGLEFINANCE(A241,""PRICEOPEN"")"),4424.1)</f>
        <v>4424.1000000000004</v>
      </c>
      <c r="D241" s="11">
        <f ca="1">IFERROR(__xludf.DUMMYFUNCTION("GOOGLEFINANCE(A241,""HIGH"")"),4469.9)</f>
        <v>4469.8999999999996</v>
      </c>
      <c r="E241" s="11">
        <f ca="1">IFERROR(__xludf.DUMMYFUNCTION("GOOGLEFINANCE(A241,""LOW"")"),4360.7)</f>
        <v>4360.7</v>
      </c>
      <c r="F241" s="12" t="str">
        <f t="shared" ca="1" si="7"/>
        <v/>
      </c>
      <c r="G241" s="13">
        <f ca="1">IFERROR(__xludf.DUMMYFUNCTION("GOOGLEFINANCE(A241,""CLOSEYEST"")"),4385.2)</f>
        <v>4385.2</v>
      </c>
      <c r="H241" s="14" t="str">
        <f t="shared" ca="1" si="13"/>
        <v/>
      </c>
      <c r="I241" s="15">
        <f t="shared" ca="1" si="8"/>
        <v>4405.2666666666664</v>
      </c>
      <c r="J241" s="16">
        <f t="shared" ca="1" si="9"/>
        <v>4449.833333333333</v>
      </c>
      <c r="K241" s="16"/>
      <c r="L241" s="16">
        <f t="shared" ca="1" si="10"/>
        <v>4340.6333333333332</v>
      </c>
      <c r="M241" s="16">
        <f t="shared" ca="1" si="11"/>
        <v>4514.4666666666662</v>
      </c>
      <c r="N241" s="16">
        <f t="shared" ca="1" si="12"/>
        <v>4296.0666666666666</v>
      </c>
    </row>
    <row r="242" spans="1:14" ht="24.75" customHeight="1" x14ac:dyDescent="0.8">
      <c r="A242" s="18" t="s">
        <v>93</v>
      </c>
      <c r="B242" s="10">
        <f ca="1">IFERROR(__xludf.DUMMYFUNCTION("GOOGLEFINANCE(A242,""PRICE"")"),1071.6)</f>
        <v>1071.5999999999999</v>
      </c>
      <c r="C242" s="11">
        <f ca="1">IFERROR(__xludf.DUMMYFUNCTION("GOOGLEFINANCE(A242,""PRICEOPEN"")"),1053.1)</f>
        <v>1053.0999999999999</v>
      </c>
      <c r="D242" s="11">
        <f ca="1">IFERROR(__xludf.DUMMYFUNCTION("GOOGLEFINANCE(A242,""HIGH"")"),1075.8)</f>
        <v>1075.8</v>
      </c>
      <c r="E242" s="11">
        <f ca="1">IFERROR(__xludf.DUMMYFUNCTION("GOOGLEFINANCE(A242,""LOW"")"),1044.8)</f>
        <v>1044.8</v>
      </c>
      <c r="F242" s="12" t="str">
        <f t="shared" ca="1" si="7"/>
        <v/>
      </c>
      <c r="G242" s="13">
        <f ca="1">IFERROR(__xludf.DUMMYFUNCTION("GOOGLEFINANCE(A242,""CLOSEYEST"")"),1053.2)</f>
        <v>1053.2</v>
      </c>
      <c r="H242" s="14" t="str">
        <f t="shared" ca="1" si="13"/>
        <v/>
      </c>
      <c r="I242" s="15">
        <f t="shared" ca="1" si="8"/>
        <v>1057.9333333333334</v>
      </c>
      <c r="J242" s="16">
        <f t="shared" ca="1" si="9"/>
        <v>1071.0666666666668</v>
      </c>
      <c r="K242" s="16"/>
      <c r="L242" s="16">
        <f t="shared" ca="1" si="10"/>
        <v>1040.0666666666668</v>
      </c>
      <c r="M242" s="16">
        <f t="shared" ca="1" si="11"/>
        <v>1088.9333333333334</v>
      </c>
      <c r="N242" s="16">
        <f t="shared" ca="1" si="12"/>
        <v>1026.9333333333334</v>
      </c>
    </row>
    <row r="243" spans="1:14" ht="24.75" customHeight="1" x14ac:dyDescent="0.8">
      <c r="A243" s="18" t="s">
        <v>42</v>
      </c>
      <c r="B243" s="10" t="str">
        <f ca="1">IFERROR(__xludf.DUMMYFUNCTION("GOOGLEFINANCE(A243,""PRICE"")"),"#N/A")</f>
        <v>#N/A</v>
      </c>
      <c r="C243" s="11" t="str">
        <f ca="1">IFERROR(__xludf.DUMMYFUNCTION("GOOGLEFINANCE(A243,""PRICEOPEN"")"),"#N/A")</f>
        <v>#N/A</v>
      </c>
      <c r="D243" s="11" t="str">
        <f ca="1">IFERROR(__xludf.DUMMYFUNCTION("GOOGLEFINANCE(A243,""HIGH"")"),"#N/A")</f>
        <v>#N/A</v>
      </c>
      <c r="E243" s="11" t="str">
        <f ca="1">IFERROR(__xludf.DUMMYFUNCTION("GOOGLEFINANCE(A243,""LOW"")"),"#N/A")</f>
        <v>#N/A</v>
      </c>
      <c r="F243" s="12" t="str">
        <f t="shared" ca="1" si="7"/>
        <v>SELL</v>
      </c>
      <c r="G243" s="13" t="str">
        <f ca="1">IFERROR(__xludf.DUMMYFUNCTION("GOOGLEFINANCE(A243,""CLOSEYEST"")"),"#N/A")</f>
        <v>#N/A</v>
      </c>
      <c r="H243" s="14" t="e">
        <f t="shared" ca="1" si="13"/>
        <v>#VALUE!</v>
      </c>
      <c r="I243" s="15" t="e">
        <f t="shared" ca="1" si="8"/>
        <v>#VALUE!</v>
      </c>
      <c r="J243" s="16" t="e">
        <f t="shared" ca="1" si="9"/>
        <v>#VALUE!</v>
      </c>
      <c r="K243" s="16"/>
      <c r="L243" s="16" t="e">
        <f t="shared" ca="1" si="10"/>
        <v>#VALUE!</v>
      </c>
      <c r="M243" s="16" t="e">
        <f t="shared" ca="1" si="11"/>
        <v>#VALUE!</v>
      </c>
      <c r="N243" s="16" t="e">
        <f t="shared" ca="1" si="12"/>
        <v>#VALUE!</v>
      </c>
    </row>
    <row r="244" spans="1:14" ht="24.75" customHeight="1" x14ac:dyDescent="0.8">
      <c r="A244" s="18" t="s">
        <v>94</v>
      </c>
      <c r="B244" s="10">
        <f ca="1">IFERROR(__xludf.DUMMYFUNCTION("GOOGLEFINANCE(A244,""PRICE"")"),748.35)</f>
        <v>748.35</v>
      </c>
      <c r="C244" s="11">
        <f ca="1">IFERROR(__xludf.DUMMYFUNCTION("GOOGLEFINANCE(A244,""PRICEOPEN"")"),745)</f>
        <v>745</v>
      </c>
      <c r="D244" s="11">
        <f ca="1">IFERROR(__xludf.DUMMYFUNCTION("GOOGLEFINANCE(A244,""HIGH"")"),751.7)</f>
        <v>751.7</v>
      </c>
      <c r="E244" s="11">
        <f ca="1">IFERROR(__xludf.DUMMYFUNCTION("GOOGLEFINANCE(A244,""LOW"")"),737.3)</f>
        <v>737.3</v>
      </c>
      <c r="F244" s="12" t="str">
        <f t="shared" ca="1" si="7"/>
        <v/>
      </c>
      <c r="G244" s="13">
        <f ca="1">IFERROR(__xludf.DUMMYFUNCTION("GOOGLEFINANCE(A244,""CLOSEYEST"")"),739.8)</f>
        <v>739.8</v>
      </c>
      <c r="H244" s="14" t="str">
        <f t="shared" ca="1" si="13"/>
        <v/>
      </c>
      <c r="I244" s="15">
        <f t="shared" ca="1" si="8"/>
        <v>742.93333333333339</v>
      </c>
      <c r="J244" s="16">
        <f t="shared" ca="1" si="9"/>
        <v>748.56666666666683</v>
      </c>
      <c r="K244" s="16"/>
      <c r="L244" s="16">
        <f t="shared" ca="1" si="10"/>
        <v>734.16666666666674</v>
      </c>
      <c r="M244" s="16">
        <f t="shared" ca="1" si="11"/>
        <v>757.33333333333348</v>
      </c>
      <c r="N244" s="16">
        <f t="shared" ca="1" si="12"/>
        <v>728.5333333333333</v>
      </c>
    </row>
    <row r="245" spans="1:14" ht="24.75" customHeight="1" x14ac:dyDescent="0.8">
      <c r="A245" s="18" t="s">
        <v>43</v>
      </c>
      <c r="B245" s="10">
        <f ca="1">IFERROR(__xludf.DUMMYFUNCTION("GOOGLEFINANCE(A245,""PRICE"")"),100.83)</f>
        <v>100.83</v>
      </c>
      <c r="C245" s="11">
        <f ca="1">IFERROR(__xludf.DUMMYFUNCTION("GOOGLEFINANCE(A245,""PRICEOPEN"")"),100.82)</f>
        <v>100.82</v>
      </c>
      <c r="D245" s="11">
        <f ca="1">IFERROR(__xludf.DUMMYFUNCTION("GOOGLEFINANCE(A245,""HIGH"")"),100.83)</f>
        <v>100.83</v>
      </c>
      <c r="E245" s="11">
        <f ca="1">IFERROR(__xludf.DUMMYFUNCTION("GOOGLEFINANCE(A245,""LOW"")"),100.79)</f>
        <v>100.79</v>
      </c>
      <c r="F245" s="12" t="str">
        <f t="shared" ca="1" si="7"/>
        <v/>
      </c>
      <c r="G245" s="13">
        <f ca="1">IFERROR(__xludf.DUMMYFUNCTION("GOOGLEFINANCE(A245,""CLOSEYEST"")"),100.83)</f>
        <v>100.83</v>
      </c>
      <c r="H245" s="14" t="str">
        <f t="shared" ca="1" si="13"/>
        <v/>
      </c>
      <c r="I245" s="15">
        <f t="shared" ca="1" si="8"/>
        <v>100.81666666666666</v>
      </c>
      <c r="J245" s="16">
        <f t="shared" ca="1" si="9"/>
        <v>100.84333333333332</v>
      </c>
      <c r="K245" s="16"/>
      <c r="L245" s="16">
        <f t="shared" ca="1" si="10"/>
        <v>100.80333333333333</v>
      </c>
      <c r="M245" s="16">
        <f t="shared" ca="1" si="11"/>
        <v>100.85666666666665</v>
      </c>
      <c r="N245" s="16">
        <f t="shared" ca="1" si="12"/>
        <v>100.77666666666667</v>
      </c>
    </row>
    <row r="246" spans="1:14" ht="24.75" customHeight="1" x14ac:dyDescent="0.8">
      <c r="A246" s="18" t="s">
        <v>646</v>
      </c>
      <c r="B246" s="10">
        <f ca="1">IFERROR(__xludf.DUMMYFUNCTION("GOOGLEFINANCE(A246,""PRICE"")"),724)</f>
        <v>724</v>
      </c>
      <c r="C246" s="11">
        <f ca="1">IFERROR(__xludf.DUMMYFUNCTION("GOOGLEFINANCE(A246,""PRICEOPEN"")"),688)</f>
        <v>688</v>
      </c>
      <c r="D246" s="11">
        <f ca="1">IFERROR(__xludf.DUMMYFUNCTION("GOOGLEFINANCE(A246,""HIGH"")"),729)</f>
        <v>729</v>
      </c>
      <c r="E246" s="11">
        <f ca="1">IFERROR(__xludf.DUMMYFUNCTION("GOOGLEFINANCE(A246,""LOW"")"),683.65)</f>
        <v>683.65</v>
      </c>
      <c r="F246" s="12" t="str">
        <f t="shared" ca="1" si="7"/>
        <v/>
      </c>
      <c r="G246" s="13">
        <f ca="1">IFERROR(__xludf.DUMMYFUNCTION("GOOGLEFINANCE(A246,""CLOSEYEST"")"),690.4)</f>
        <v>690.4</v>
      </c>
      <c r="H246" s="14" t="str">
        <f t="shared" ca="1" si="13"/>
        <v/>
      </c>
      <c r="I246" s="15">
        <f t="shared" ca="1" si="8"/>
        <v>701.01666666666677</v>
      </c>
      <c r="J246" s="16">
        <f t="shared" ca="1" si="9"/>
        <v>718.38333333333355</v>
      </c>
      <c r="K246" s="16"/>
      <c r="L246" s="16">
        <f t="shared" ca="1" si="10"/>
        <v>673.03333333333353</v>
      </c>
      <c r="M246" s="16">
        <f t="shared" ca="1" si="11"/>
        <v>746.36666666666679</v>
      </c>
      <c r="N246" s="16">
        <f t="shared" ca="1" si="12"/>
        <v>655.66666666666674</v>
      </c>
    </row>
    <row r="247" spans="1:14" ht="24.75" customHeight="1" x14ac:dyDescent="0.8">
      <c r="A247" s="18" t="s">
        <v>352</v>
      </c>
      <c r="B247" s="10">
        <f ca="1">IFERROR(__xludf.DUMMYFUNCTION("GOOGLEFINANCE(A247,""PRICE"")"),1211)</f>
        <v>1211</v>
      </c>
      <c r="C247" s="11">
        <f ca="1">IFERROR(__xludf.DUMMYFUNCTION("GOOGLEFINANCE(A247,""PRICEOPEN"")"),1188.3)</f>
        <v>1188.3</v>
      </c>
      <c r="D247" s="11">
        <f ca="1">IFERROR(__xludf.DUMMYFUNCTION("GOOGLEFINANCE(A247,""HIGH"")"),1235.2)</f>
        <v>1235.2</v>
      </c>
      <c r="E247" s="11">
        <f ca="1">IFERROR(__xludf.DUMMYFUNCTION("GOOGLEFINANCE(A247,""LOW"")"),1188.3)</f>
        <v>1188.3</v>
      </c>
      <c r="F247" s="12" t="str">
        <f t="shared" ca="1" si="7"/>
        <v>BUY</v>
      </c>
      <c r="G247" s="13">
        <f ca="1">IFERROR(__xludf.DUMMYFUNCTION("GOOGLEFINANCE(A247,""CLOSEYEST"")"),1188.1)</f>
        <v>1188.0999999999999</v>
      </c>
      <c r="H247" s="14" t="str">
        <f t="shared" ca="1" si="13"/>
        <v/>
      </c>
      <c r="I247" s="15">
        <f t="shared" ca="1" si="8"/>
        <v>1203.8666666666666</v>
      </c>
      <c r="J247" s="16">
        <f t="shared" ca="1" si="9"/>
        <v>1219.4333333333332</v>
      </c>
      <c r="K247" s="16"/>
      <c r="L247" s="16">
        <f t="shared" ca="1" si="10"/>
        <v>1172.5333333333331</v>
      </c>
      <c r="M247" s="16">
        <f t="shared" ca="1" si="11"/>
        <v>1250.7666666666667</v>
      </c>
      <c r="N247" s="16">
        <f t="shared" ca="1" si="12"/>
        <v>1156.9666666666665</v>
      </c>
    </row>
    <row r="248" spans="1:14" ht="24.75" customHeight="1" x14ac:dyDescent="0.8">
      <c r="A248" s="18" t="s">
        <v>86</v>
      </c>
      <c r="B248" s="10">
        <f ca="1">IFERROR(__xludf.DUMMYFUNCTION("GOOGLEFINANCE(A248,""PRICE"")"),633.45)</f>
        <v>633.45000000000005</v>
      </c>
      <c r="C248" s="11">
        <f ca="1">IFERROR(__xludf.DUMMYFUNCTION("GOOGLEFINANCE(A248,""PRICEOPEN"")"),631)</f>
        <v>631</v>
      </c>
      <c r="D248" s="11">
        <f ca="1">IFERROR(__xludf.DUMMYFUNCTION("GOOGLEFINANCE(A248,""HIGH"")"),640.6)</f>
        <v>640.6</v>
      </c>
      <c r="E248" s="11">
        <f ca="1">IFERROR(__xludf.DUMMYFUNCTION("GOOGLEFINANCE(A248,""LOW"")"),627.5)</f>
        <v>627.5</v>
      </c>
      <c r="F248" s="12" t="str">
        <f t="shared" ca="1" si="7"/>
        <v/>
      </c>
      <c r="G248" s="13">
        <f ca="1">IFERROR(__xludf.DUMMYFUNCTION("GOOGLEFINANCE(A248,""CLOSEYEST"")"),631.6)</f>
        <v>631.6</v>
      </c>
      <c r="H248" s="14" t="str">
        <f t="shared" ca="1" si="13"/>
        <v/>
      </c>
      <c r="I248" s="15">
        <f t="shared" ca="1" si="8"/>
        <v>633.23333333333323</v>
      </c>
      <c r="J248" s="16">
        <f t="shared" ca="1" si="9"/>
        <v>638.96666666666647</v>
      </c>
      <c r="K248" s="16"/>
      <c r="L248" s="16">
        <f t="shared" ca="1" si="10"/>
        <v>625.86666666666645</v>
      </c>
      <c r="M248" s="16">
        <f t="shared" ca="1" si="11"/>
        <v>646.33333333333326</v>
      </c>
      <c r="N248" s="16">
        <f t="shared" ca="1" si="12"/>
        <v>620.13333333333321</v>
      </c>
    </row>
    <row r="249" spans="1:14" ht="24.75" customHeight="1" x14ac:dyDescent="0.8">
      <c r="A249" s="18" t="s">
        <v>1596</v>
      </c>
      <c r="B249" s="10">
        <f ca="1">IFERROR(__xludf.DUMMYFUNCTION("GOOGLEFINANCE(A249,""PRICE"")"),3580)</f>
        <v>3580</v>
      </c>
      <c r="C249" s="11">
        <f ca="1">IFERROR(__xludf.DUMMYFUNCTION("GOOGLEFINANCE(A249,""PRICEOPEN"")"),3670)</f>
        <v>3670</v>
      </c>
      <c r="D249" s="11">
        <f ca="1">IFERROR(__xludf.DUMMYFUNCTION("GOOGLEFINANCE(A249,""HIGH"")"),3671.9)</f>
        <v>3671.9</v>
      </c>
      <c r="E249" s="11">
        <f ca="1">IFERROR(__xludf.DUMMYFUNCTION("GOOGLEFINANCE(A249,""LOW"")"),3557.4)</f>
        <v>3557.4</v>
      </c>
      <c r="F249" s="12" t="str">
        <f t="shared" ca="1" si="7"/>
        <v/>
      </c>
      <c r="G249" s="13">
        <f ca="1">IFERROR(__xludf.DUMMYFUNCTION("GOOGLEFINANCE(A249,""CLOSEYEST"")"),3637.7)</f>
        <v>3637.7</v>
      </c>
      <c r="H249" s="14" t="str">
        <f t="shared" ca="1" si="13"/>
        <v/>
      </c>
      <c r="I249" s="15">
        <f t="shared" ca="1" si="8"/>
        <v>3622.3333333333335</v>
      </c>
      <c r="J249" s="16">
        <f t="shared" ca="1" si="9"/>
        <v>3687.2666666666669</v>
      </c>
      <c r="K249" s="16"/>
      <c r="L249" s="16">
        <f t="shared" ca="1" si="10"/>
        <v>3572.7666666666669</v>
      </c>
      <c r="M249" s="16">
        <f t="shared" ca="1" si="11"/>
        <v>3736.8333333333335</v>
      </c>
      <c r="N249" s="16">
        <f t="shared" ca="1" si="12"/>
        <v>3507.8333333333335</v>
      </c>
    </row>
    <row r="250" spans="1:14" ht="24.75" customHeight="1" x14ac:dyDescent="0.8">
      <c r="A250" s="18" t="s">
        <v>1597</v>
      </c>
      <c r="B250" s="10">
        <f ca="1">IFERROR(__xludf.DUMMYFUNCTION("GOOGLEFINANCE(A250,""PRICE"")"),926.1)</f>
        <v>926.1</v>
      </c>
      <c r="C250" s="11">
        <f ca="1">IFERROR(__xludf.DUMMYFUNCTION("GOOGLEFINANCE(A250,""PRICEOPEN"")"),921.5)</f>
        <v>921.5</v>
      </c>
      <c r="D250" s="11">
        <f ca="1">IFERROR(__xludf.DUMMYFUNCTION("GOOGLEFINANCE(A250,""HIGH"")"),928.35)</f>
        <v>928.35</v>
      </c>
      <c r="E250" s="11">
        <f ca="1">IFERROR(__xludf.DUMMYFUNCTION("GOOGLEFINANCE(A250,""LOW"")"),910.3)</f>
        <v>910.3</v>
      </c>
      <c r="F250" s="12" t="str">
        <f t="shared" ca="1" si="7"/>
        <v/>
      </c>
      <c r="G250" s="13">
        <f ca="1">IFERROR(__xludf.DUMMYFUNCTION("GOOGLEFINANCE(A250,""CLOSEYEST"")"),917.55)</f>
        <v>917.55</v>
      </c>
      <c r="H250" s="14" t="str">
        <f t="shared" ca="1" si="13"/>
        <v/>
      </c>
      <c r="I250" s="15">
        <f t="shared" ca="1" si="8"/>
        <v>918.73333333333323</v>
      </c>
      <c r="J250" s="16">
        <f t="shared" ca="1" si="9"/>
        <v>927.16666666666652</v>
      </c>
      <c r="K250" s="16"/>
      <c r="L250" s="16">
        <f t="shared" ca="1" si="10"/>
        <v>909.11666666666645</v>
      </c>
      <c r="M250" s="16">
        <f t="shared" ca="1" si="11"/>
        <v>936.7833333333333</v>
      </c>
      <c r="N250" s="16">
        <f t="shared" ca="1" si="12"/>
        <v>900.68333333333317</v>
      </c>
    </row>
    <row r="251" spans="1:14" ht="24.75" customHeight="1" x14ac:dyDescent="0.8">
      <c r="A251" s="18" t="s">
        <v>198</v>
      </c>
      <c r="B251" s="10">
        <f ca="1">IFERROR(__xludf.DUMMYFUNCTION("GOOGLEFINANCE(A251,""PRICE"")"),367.2)</f>
        <v>367.2</v>
      </c>
      <c r="C251" s="11">
        <f ca="1">IFERROR(__xludf.DUMMYFUNCTION("GOOGLEFINANCE(A251,""PRICEOPEN"")"),367.5)</f>
        <v>367.5</v>
      </c>
      <c r="D251" s="11">
        <f ca="1">IFERROR(__xludf.DUMMYFUNCTION("GOOGLEFINANCE(A251,""HIGH"")"),368.55)</f>
        <v>368.55</v>
      </c>
      <c r="E251" s="11">
        <f ca="1">IFERROR(__xludf.DUMMYFUNCTION("GOOGLEFINANCE(A251,""LOW"")"),363.6)</f>
        <v>363.6</v>
      </c>
      <c r="F251" s="12" t="str">
        <f t="shared" ca="1" si="7"/>
        <v/>
      </c>
      <c r="G251" s="13">
        <f ca="1">IFERROR(__xludf.DUMMYFUNCTION("GOOGLEFINANCE(A251,""CLOSEYEST"")"),366.3)</f>
        <v>366.3</v>
      </c>
      <c r="H251" s="14" t="str">
        <f t="shared" ca="1" si="13"/>
        <v/>
      </c>
      <c r="I251" s="15">
        <f t="shared" ca="1" si="8"/>
        <v>366.15000000000003</v>
      </c>
      <c r="J251" s="16">
        <f t="shared" ca="1" si="9"/>
        <v>368.70000000000005</v>
      </c>
      <c r="K251" s="16"/>
      <c r="L251" s="16">
        <f t="shared" ca="1" si="10"/>
        <v>363.75000000000006</v>
      </c>
      <c r="M251" s="16">
        <f t="shared" ca="1" si="11"/>
        <v>371.1</v>
      </c>
      <c r="N251" s="16">
        <f t="shared" ca="1" si="12"/>
        <v>361.20000000000005</v>
      </c>
    </row>
    <row r="252" spans="1:14" ht="24.75" customHeight="1" x14ac:dyDescent="0.8">
      <c r="A252" s="18" t="s">
        <v>304</v>
      </c>
      <c r="B252" s="10">
        <f ca="1">IFERROR(__xludf.DUMMYFUNCTION("GOOGLEFINANCE(A252,""PRICE"")"),185.26)</f>
        <v>185.26</v>
      </c>
      <c r="C252" s="11">
        <f ca="1">IFERROR(__xludf.DUMMYFUNCTION("GOOGLEFINANCE(A252,""PRICEOPEN"")"),184.8)</f>
        <v>184.8</v>
      </c>
      <c r="D252" s="11">
        <f ca="1">IFERROR(__xludf.DUMMYFUNCTION("GOOGLEFINANCE(A252,""HIGH"")"),185.9)</f>
        <v>185.9</v>
      </c>
      <c r="E252" s="11">
        <f ca="1">IFERROR(__xludf.DUMMYFUNCTION("GOOGLEFINANCE(A252,""LOW"")"),181.85)</f>
        <v>181.85</v>
      </c>
      <c r="F252" s="12" t="str">
        <f t="shared" ca="1" si="7"/>
        <v/>
      </c>
      <c r="G252" s="13">
        <f ca="1">IFERROR(__xludf.DUMMYFUNCTION("GOOGLEFINANCE(A252,""CLOSEYEST"")"),183.48)</f>
        <v>183.48</v>
      </c>
      <c r="H252" s="14" t="str">
        <f t="shared" ca="1" si="13"/>
        <v/>
      </c>
      <c r="I252" s="15">
        <f t="shared" ca="1" si="8"/>
        <v>183.74333333333334</v>
      </c>
      <c r="J252" s="16">
        <f t="shared" ca="1" si="9"/>
        <v>185.63666666666668</v>
      </c>
      <c r="K252" s="16"/>
      <c r="L252" s="16">
        <f t="shared" ca="1" si="10"/>
        <v>181.58666666666667</v>
      </c>
      <c r="M252" s="16">
        <f t="shared" ca="1" si="11"/>
        <v>187.79333333333335</v>
      </c>
      <c r="N252" s="16">
        <f t="shared" ca="1" si="12"/>
        <v>179.69333333333333</v>
      </c>
    </row>
    <row r="253" spans="1:14" ht="24.75" customHeight="1" x14ac:dyDescent="0.8">
      <c r="A253" s="18" t="s">
        <v>202</v>
      </c>
      <c r="B253" s="10">
        <f ca="1">IFERROR(__xludf.DUMMYFUNCTION("GOOGLEFINANCE(A253,""PRICE"")"),989.4)</f>
        <v>989.4</v>
      </c>
      <c r="C253" s="11">
        <f ca="1">IFERROR(__xludf.DUMMYFUNCTION("GOOGLEFINANCE(A253,""PRICEOPEN"")"),993)</f>
        <v>993</v>
      </c>
      <c r="D253" s="11">
        <f ca="1">IFERROR(__xludf.DUMMYFUNCTION("GOOGLEFINANCE(A253,""HIGH"")"),1004.8)</f>
        <v>1004.8</v>
      </c>
      <c r="E253" s="11">
        <f ca="1">IFERROR(__xludf.DUMMYFUNCTION("GOOGLEFINANCE(A253,""LOW"")"),977.35)</f>
        <v>977.35</v>
      </c>
      <c r="F253" s="12" t="str">
        <f t="shared" ca="1" si="7"/>
        <v/>
      </c>
      <c r="G253" s="13">
        <f ca="1">IFERROR(__xludf.DUMMYFUNCTION("GOOGLEFINANCE(A253,""CLOSEYEST"")"),992.7)</f>
        <v>992.7</v>
      </c>
      <c r="H253" s="14" t="str">
        <f t="shared" ca="1" si="13"/>
        <v/>
      </c>
      <c r="I253" s="15">
        <f t="shared" ca="1" si="8"/>
        <v>991.61666666666679</v>
      </c>
      <c r="J253" s="16">
        <f t="shared" ca="1" si="9"/>
        <v>1005.8833333333336</v>
      </c>
      <c r="K253" s="16"/>
      <c r="L253" s="16">
        <f t="shared" ca="1" si="10"/>
        <v>978.43333333333362</v>
      </c>
      <c r="M253" s="16">
        <f t="shared" ca="1" si="11"/>
        <v>1019.0666666666667</v>
      </c>
      <c r="N253" s="16">
        <f t="shared" ca="1" si="12"/>
        <v>964.16666666666686</v>
      </c>
    </row>
    <row r="254" spans="1:14" ht="24.75" customHeight="1" x14ac:dyDescent="0.8">
      <c r="A254" s="18" t="s">
        <v>431</v>
      </c>
      <c r="B254" s="10">
        <f ca="1">IFERROR(__xludf.DUMMYFUNCTION("GOOGLEFINANCE(A254,""PRICE"")"),4.9)</f>
        <v>4.9000000000000004</v>
      </c>
      <c r="C254" s="11" t="str">
        <f ca="1">IFERROR(__xludf.DUMMYFUNCTION("GOOGLEFINANCE(A254,""PRICEOPEN"")"),"#N/A")</f>
        <v>#N/A</v>
      </c>
      <c r="D254" s="11" t="str">
        <f ca="1">IFERROR(__xludf.DUMMYFUNCTION("GOOGLEFINANCE(A254,""HIGH"")"),"#N/A")</f>
        <v>#N/A</v>
      </c>
      <c r="E254" s="11" t="str">
        <f ca="1">IFERROR(__xludf.DUMMYFUNCTION("GOOGLEFINANCE(A254,""LOW"")"),"#N/A")</f>
        <v>#N/A</v>
      </c>
      <c r="F254" s="12" t="str">
        <f t="shared" ca="1" si="7"/>
        <v>SELL</v>
      </c>
      <c r="G254" s="13">
        <f ca="1">IFERROR(__xludf.DUMMYFUNCTION("GOOGLEFINANCE(A254,""CLOSEYEST"")"),4.9)</f>
        <v>4.9000000000000004</v>
      </c>
      <c r="H254" s="14" t="str">
        <f t="shared" ca="1" si="13"/>
        <v>GAP UP</v>
      </c>
      <c r="I254" s="15" t="e">
        <f t="shared" ca="1" si="8"/>
        <v>#VALUE!</v>
      </c>
      <c r="J254" s="16" t="e">
        <f t="shared" ca="1" si="9"/>
        <v>#VALUE!</v>
      </c>
      <c r="K254" s="16"/>
      <c r="L254" s="16" t="e">
        <f t="shared" ca="1" si="10"/>
        <v>#VALUE!</v>
      </c>
      <c r="M254" s="16" t="e">
        <f t="shared" ca="1" si="11"/>
        <v>#VALUE!</v>
      </c>
      <c r="N254" s="16" t="e">
        <f t="shared" ca="1" si="12"/>
        <v>#VALUE!</v>
      </c>
    </row>
    <row r="255" spans="1:14" ht="24.75" customHeight="1" x14ac:dyDescent="0.8">
      <c r="A255" s="18" t="s">
        <v>602</v>
      </c>
      <c r="B255" s="10">
        <f ca="1">IFERROR(__xludf.DUMMYFUNCTION("GOOGLEFINANCE(A255,""PRICE"")"),2889)</f>
        <v>2889</v>
      </c>
      <c r="C255" s="11">
        <f ca="1">IFERROR(__xludf.DUMMYFUNCTION("GOOGLEFINANCE(A255,""PRICEOPEN"")"),2821)</f>
        <v>2821</v>
      </c>
      <c r="D255" s="11">
        <f ca="1">IFERROR(__xludf.DUMMYFUNCTION("GOOGLEFINANCE(A255,""HIGH"")"),2903.5)</f>
        <v>2903.5</v>
      </c>
      <c r="E255" s="11">
        <f ca="1">IFERROR(__xludf.DUMMYFUNCTION("GOOGLEFINANCE(A255,""LOW"")"),2758)</f>
        <v>2758</v>
      </c>
      <c r="F255" s="12" t="str">
        <f t="shared" ca="1" si="7"/>
        <v/>
      </c>
      <c r="G255" s="13">
        <f ca="1">IFERROR(__xludf.DUMMYFUNCTION("GOOGLEFINANCE(A255,""CLOSEYEST"")"),2812.6)</f>
        <v>2812.6</v>
      </c>
      <c r="H255" s="14" t="str">
        <f t="shared" ca="1" si="13"/>
        <v/>
      </c>
      <c r="I255" s="15">
        <f t="shared" ca="1" si="8"/>
        <v>2824.7000000000003</v>
      </c>
      <c r="J255" s="16">
        <f t="shared" ca="1" si="9"/>
        <v>2891.4000000000005</v>
      </c>
      <c r="K255" s="16"/>
      <c r="L255" s="16">
        <f t="shared" ca="1" si="10"/>
        <v>2745.9000000000005</v>
      </c>
      <c r="M255" s="16">
        <f t="shared" ca="1" si="11"/>
        <v>2970.2000000000003</v>
      </c>
      <c r="N255" s="16">
        <f t="shared" ca="1" si="12"/>
        <v>2679.2000000000003</v>
      </c>
    </row>
    <row r="256" spans="1:14" ht="24.75" customHeight="1" x14ac:dyDescent="0.8">
      <c r="A256" s="18" t="s">
        <v>425</v>
      </c>
      <c r="B256" s="10">
        <f ca="1">IFERROR(__xludf.DUMMYFUNCTION("GOOGLEFINANCE(A256,""PRICE"")"),1180)</f>
        <v>1180</v>
      </c>
      <c r="C256" s="11">
        <f ca="1">IFERROR(__xludf.DUMMYFUNCTION("GOOGLEFINANCE(A256,""PRICEOPEN"")"),1170.2)</f>
        <v>1170.2</v>
      </c>
      <c r="D256" s="11">
        <f ca="1">IFERROR(__xludf.DUMMYFUNCTION("GOOGLEFINANCE(A256,""HIGH"")"),1185.8)</f>
        <v>1185.8</v>
      </c>
      <c r="E256" s="11">
        <f ca="1">IFERROR(__xludf.DUMMYFUNCTION("GOOGLEFINANCE(A256,""LOW"")"),1165.2)</f>
        <v>1165.2</v>
      </c>
      <c r="F256" s="12" t="str">
        <f t="shared" ca="1" si="7"/>
        <v/>
      </c>
      <c r="G256" s="13">
        <f ca="1">IFERROR(__xludf.DUMMYFUNCTION("GOOGLEFINANCE(A256,""CLOSEYEST"")"),1172.4)</f>
        <v>1172.4000000000001</v>
      </c>
      <c r="H256" s="14" t="str">
        <f t="shared" ca="1" si="13"/>
        <v/>
      </c>
      <c r="I256" s="15">
        <f t="shared" ca="1" si="8"/>
        <v>1174.4666666666667</v>
      </c>
      <c r="J256" s="16">
        <f t="shared" ca="1" si="9"/>
        <v>1183.7333333333333</v>
      </c>
      <c r="K256" s="16"/>
      <c r="L256" s="16">
        <f t="shared" ca="1" si="10"/>
        <v>1163.1333333333334</v>
      </c>
      <c r="M256" s="16">
        <f t="shared" ca="1" si="11"/>
        <v>1195.0666666666666</v>
      </c>
      <c r="N256" s="16">
        <f t="shared" ca="1" si="12"/>
        <v>1153.8666666666668</v>
      </c>
    </row>
    <row r="257" spans="1:14" ht="24.75" customHeight="1" x14ac:dyDescent="0.8">
      <c r="A257" s="18" t="s">
        <v>115</v>
      </c>
      <c r="B257" s="10">
        <f ca="1">IFERROR(__xludf.DUMMYFUNCTION("GOOGLEFINANCE(A257,""PRICE"")"),3182)</f>
        <v>3182</v>
      </c>
      <c r="C257" s="11">
        <f ca="1">IFERROR(__xludf.DUMMYFUNCTION("GOOGLEFINANCE(A257,""PRICEOPEN"")"),3160)</f>
        <v>3160</v>
      </c>
      <c r="D257" s="11">
        <f ca="1">IFERROR(__xludf.DUMMYFUNCTION("GOOGLEFINANCE(A257,""HIGH"")"),3192)</f>
        <v>3192</v>
      </c>
      <c r="E257" s="11">
        <f ca="1">IFERROR(__xludf.DUMMYFUNCTION("GOOGLEFINANCE(A257,""LOW"")"),3141)</f>
        <v>3141</v>
      </c>
      <c r="F257" s="12" t="str">
        <f t="shared" ca="1" si="7"/>
        <v/>
      </c>
      <c r="G257" s="13">
        <f ca="1">IFERROR(__xludf.DUMMYFUNCTION("GOOGLEFINANCE(A257,""CLOSEYEST"")"),3165.2)</f>
        <v>3165.2</v>
      </c>
      <c r="H257" s="14" t="str">
        <f t="shared" ca="1" si="13"/>
        <v/>
      </c>
      <c r="I257" s="15">
        <f t="shared" ca="1" si="8"/>
        <v>3166.0666666666671</v>
      </c>
      <c r="J257" s="16">
        <f t="shared" ca="1" si="9"/>
        <v>3191.1333333333341</v>
      </c>
      <c r="K257" s="16"/>
      <c r="L257" s="16">
        <f t="shared" ca="1" si="10"/>
        <v>3140.1333333333341</v>
      </c>
      <c r="M257" s="16">
        <f t="shared" ca="1" si="11"/>
        <v>3217.0666666666671</v>
      </c>
      <c r="N257" s="16">
        <f t="shared" ca="1" si="12"/>
        <v>3115.0666666666671</v>
      </c>
    </row>
    <row r="258" spans="1:14" ht="24.75" customHeight="1" x14ac:dyDescent="0.8">
      <c r="A258" s="18" t="s">
        <v>512</v>
      </c>
      <c r="B258" s="10">
        <f ca="1">IFERROR(__xludf.DUMMYFUNCTION("GOOGLEFINANCE(A258,""PRICE"")"),190.7)</f>
        <v>190.7</v>
      </c>
      <c r="C258" s="11">
        <f ca="1">IFERROR(__xludf.DUMMYFUNCTION("GOOGLEFINANCE(A258,""PRICEOPEN"")"),192)</f>
        <v>192</v>
      </c>
      <c r="D258" s="11">
        <f ca="1">IFERROR(__xludf.DUMMYFUNCTION("GOOGLEFINANCE(A258,""HIGH"")"),192)</f>
        <v>192</v>
      </c>
      <c r="E258" s="11">
        <f ca="1">IFERROR(__xludf.DUMMYFUNCTION("GOOGLEFINANCE(A258,""LOW"")"),189.55)</f>
        <v>189.55</v>
      </c>
      <c r="F258" s="12" t="str">
        <f t="shared" ca="1" si="7"/>
        <v>SELL</v>
      </c>
      <c r="G258" s="13">
        <f ca="1">IFERROR(__xludf.DUMMYFUNCTION("GOOGLEFINANCE(A258,""CLOSEYEST"")"),190.49)</f>
        <v>190.49</v>
      </c>
      <c r="H258" s="14" t="str">
        <f t="shared" ca="1" si="13"/>
        <v/>
      </c>
      <c r="I258" s="15">
        <f t="shared" ca="1" si="8"/>
        <v>190.67999999999998</v>
      </c>
      <c r="J258" s="16">
        <f t="shared" ca="1" si="9"/>
        <v>191.80999999999995</v>
      </c>
      <c r="K258" s="16"/>
      <c r="L258" s="16">
        <f t="shared" ca="1" si="10"/>
        <v>189.35999999999996</v>
      </c>
      <c r="M258" s="16">
        <f t="shared" ca="1" si="11"/>
        <v>193.12999999999997</v>
      </c>
      <c r="N258" s="16">
        <f t="shared" ca="1" si="12"/>
        <v>188.23</v>
      </c>
    </row>
    <row r="259" spans="1:14" ht="24.75" customHeight="1" x14ac:dyDescent="0.8">
      <c r="A259" s="18" t="s">
        <v>1598</v>
      </c>
      <c r="B259" s="10">
        <f ca="1">IFERROR(__xludf.DUMMYFUNCTION("GOOGLEFINANCE(A259,""PRICE"")"),167)</f>
        <v>167</v>
      </c>
      <c r="C259" s="11">
        <f ca="1">IFERROR(__xludf.DUMMYFUNCTION("GOOGLEFINANCE(A259,""PRICEOPEN"")"),166.73)</f>
        <v>166.73</v>
      </c>
      <c r="D259" s="11">
        <f ca="1">IFERROR(__xludf.DUMMYFUNCTION("GOOGLEFINANCE(A259,""HIGH"")"),168.29)</f>
        <v>168.29</v>
      </c>
      <c r="E259" s="11">
        <f ca="1">IFERROR(__xludf.DUMMYFUNCTION("GOOGLEFINANCE(A259,""LOW"")"),165.69)</f>
        <v>165.69</v>
      </c>
      <c r="F259" s="12" t="str">
        <f t="shared" ca="1" si="7"/>
        <v/>
      </c>
      <c r="G259" s="13">
        <f ca="1">IFERROR(__xludf.DUMMYFUNCTION("GOOGLEFINANCE(A259,""CLOSEYEST"")"),165.18)</f>
        <v>165.18</v>
      </c>
      <c r="H259" s="14" t="str">
        <f t="shared" ca="1" si="13"/>
        <v/>
      </c>
      <c r="I259" s="15">
        <f t="shared" ca="1" si="8"/>
        <v>166.38666666666668</v>
      </c>
      <c r="J259" s="16">
        <f t="shared" ca="1" si="9"/>
        <v>167.08333333333337</v>
      </c>
      <c r="K259" s="16"/>
      <c r="L259" s="16">
        <f t="shared" ca="1" si="10"/>
        <v>164.48333333333338</v>
      </c>
      <c r="M259" s="16">
        <f t="shared" ca="1" si="11"/>
        <v>168.98666666666668</v>
      </c>
      <c r="N259" s="16">
        <f t="shared" ca="1" si="12"/>
        <v>163.78666666666669</v>
      </c>
    </row>
    <row r="260" spans="1:14" ht="24.75" customHeight="1" x14ac:dyDescent="0.8">
      <c r="A260" s="18" t="s">
        <v>44</v>
      </c>
      <c r="B260" s="10">
        <f ca="1">IFERROR(__xludf.DUMMYFUNCTION("GOOGLEFINANCE(A260,""PRICE"")"),1735)</f>
        <v>1735</v>
      </c>
      <c r="C260" s="11">
        <f ca="1">IFERROR(__xludf.DUMMYFUNCTION("GOOGLEFINANCE(A260,""PRICEOPEN"")"),1740)</f>
        <v>1740</v>
      </c>
      <c r="D260" s="11">
        <f ca="1">IFERROR(__xludf.DUMMYFUNCTION("GOOGLEFINANCE(A260,""HIGH"")"),1752.5)</f>
        <v>1752.5</v>
      </c>
      <c r="E260" s="11">
        <f ca="1">IFERROR(__xludf.DUMMYFUNCTION("GOOGLEFINANCE(A260,""LOW"")"),1723.8)</f>
        <v>1723.8</v>
      </c>
      <c r="F260" s="12" t="str">
        <f t="shared" ca="1" si="7"/>
        <v/>
      </c>
      <c r="G260" s="13">
        <f ca="1">IFERROR(__xludf.DUMMYFUNCTION("GOOGLEFINANCE(A260,""CLOSEYEST"")"),1731.1)</f>
        <v>1731.1</v>
      </c>
      <c r="H260" s="14" t="str">
        <f t="shared" ca="1" si="13"/>
        <v/>
      </c>
      <c r="I260" s="15">
        <f t="shared" ca="1" si="8"/>
        <v>1735.8</v>
      </c>
      <c r="J260" s="16">
        <f t="shared" ca="1" si="9"/>
        <v>1747.8</v>
      </c>
      <c r="K260" s="16"/>
      <c r="L260" s="16">
        <f t="shared" ca="1" si="10"/>
        <v>1719.1</v>
      </c>
      <c r="M260" s="16">
        <f t="shared" ca="1" si="11"/>
        <v>1764.5</v>
      </c>
      <c r="N260" s="16">
        <f t="shared" ca="1" si="12"/>
        <v>1707.1</v>
      </c>
    </row>
    <row r="261" spans="1:14" ht="24.75" customHeight="1" x14ac:dyDescent="0.8">
      <c r="A261" s="18" t="s">
        <v>430</v>
      </c>
      <c r="B261" s="10">
        <f ca="1">IFERROR(__xludf.DUMMYFUNCTION("GOOGLEFINANCE(A261,""PRICE"")"),167.46)</f>
        <v>167.46</v>
      </c>
      <c r="C261" s="11">
        <f ca="1">IFERROR(__xludf.DUMMYFUNCTION("GOOGLEFINANCE(A261,""PRICEOPEN"")"),172.4)</f>
        <v>172.4</v>
      </c>
      <c r="D261" s="11">
        <f ca="1">IFERROR(__xludf.DUMMYFUNCTION("GOOGLEFINANCE(A261,""HIGH"")"),172.4)</f>
        <v>172.4</v>
      </c>
      <c r="E261" s="11">
        <f ca="1">IFERROR(__xludf.DUMMYFUNCTION("GOOGLEFINANCE(A261,""LOW"")"),167.05)</f>
        <v>167.05</v>
      </c>
      <c r="F261" s="12" t="str">
        <f t="shared" ca="1" si="7"/>
        <v>SELL</v>
      </c>
      <c r="G261" s="13">
        <f ca="1">IFERROR(__xludf.DUMMYFUNCTION("GOOGLEFINANCE(A261,""CLOSEYEST"")"),171.74)</f>
        <v>171.74</v>
      </c>
      <c r="H261" s="14" t="str">
        <f t="shared" ca="1" si="13"/>
        <v/>
      </c>
      <c r="I261" s="15">
        <f t="shared" ca="1" si="8"/>
        <v>170.39666666666668</v>
      </c>
      <c r="J261" s="16">
        <f t="shared" ca="1" si="9"/>
        <v>173.74333333333334</v>
      </c>
      <c r="K261" s="16"/>
      <c r="L261" s="16">
        <f t="shared" ca="1" si="10"/>
        <v>168.39333333333335</v>
      </c>
      <c r="M261" s="16">
        <f t="shared" ca="1" si="11"/>
        <v>175.74666666666667</v>
      </c>
      <c r="N261" s="16">
        <f t="shared" ca="1" si="12"/>
        <v>165.04666666666668</v>
      </c>
    </row>
    <row r="262" spans="1:14" ht="24.75" customHeight="1" x14ac:dyDescent="0.8">
      <c r="A262" s="18" t="s">
        <v>566</v>
      </c>
      <c r="B262" s="10">
        <f ca="1">IFERROR(__xludf.DUMMYFUNCTION("GOOGLEFINANCE(A262,""PRICE"")"),895)</f>
        <v>895</v>
      </c>
      <c r="C262" s="11">
        <f ca="1">IFERROR(__xludf.DUMMYFUNCTION("GOOGLEFINANCE(A262,""PRICEOPEN"")"),878)</f>
        <v>878</v>
      </c>
      <c r="D262" s="11">
        <f ca="1">IFERROR(__xludf.DUMMYFUNCTION("GOOGLEFINANCE(A262,""HIGH"")"),897.9)</f>
        <v>897.9</v>
      </c>
      <c r="E262" s="11">
        <f ca="1">IFERROR(__xludf.DUMMYFUNCTION("GOOGLEFINANCE(A262,""LOW"")"),871)</f>
        <v>871</v>
      </c>
      <c r="F262" s="12" t="str">
        <f t="shared" ca="1" si="7"/>
        <v/>
      </c>
      <c r="G262" s="13">
        <f ca="1">IFERROR(__xludf.DUMMYFUNCTION("GOOGLEFINANCE(A262,""CLOSEYEST"")"),876.1)</f>
        <v>876.1</v>
      </c>
      <c r="H262" s="14" t="str">
        <f t="shared" ca="1" si="13"/>
        <v/>
      </c>
      <c r="I262" s="15">
        <f t="shared" ca="1" si="8"/>
        <v>881.66666666666663</v>
      </c>
      <c r="J262" s="16">
        <f t="shared" ca="1" si="9"/>
        <v>892.33333333333326</v>
      </c>
      <c r="K262" s="16"/>
      <c r="L262" s="16">
        <f t="shared" ca="1" si="10"/>
        <v>865.43333333333328</v>
      </c>
      <c r="M262" s="16">
        <f t="shared" ca="1" si="11"/>
        <v>908.56666666666661</v>
      </c>
      <c r="N262" s="16">
        <f t="shared" ca="1" si="12"/>
        <v>854.76666666666665</v>
      </c>
    </row>
    <row r="263" spans="1:14" ht="24.75" customHeight="1" x14ac:dyDescent="0.8">
      <c r="A263" s="18" t="s">
        <v>608</v>
      </c>
      <c r="B263" s="10">
        <f ca="1">IFERROR(__xludf.DUMMYFUNCTION("GOOGLEFINANCE(A263,""PRICE"")"),1666)</f>
        <v>1666</v>
      </c>
      <c r="C263" s="11">
        <f ca="1">IFERROR(__xludf.DUMMYFUNCTION("GOOGLEFINANCE(A263,""PRICEOPEN"")"),1637.8)</f>
        <v>1637.8</v>
      </c>
      <c r="D263" s="11">
        <f ca="1">IFERROR(__xludf.DUMMYFUNCTION("GOOGLEFINANCE(A263,""HIGH"")"),1670)</f>
        <v>1670</v>
      </c>
      <c r="E263" s="11">
        <f ca="1">IFERROR(__xludf.DUMMYFUNCTION("GOOGLEFINANCE(A263,""LOW"")"),1636.9)</f>
        <v>1636.9</v>
      </c>
      <c r="F263" s="12" t="str">
        <f t="shared" ca="1" si="7"/>
        <v/>
      </c>
      <c r="G263" s="13">
        <f ca="1">IFERROR(__xludf.DUMMYFUNCTION("GOOGLEFINANCE(A263,""CLOSEYEST"")"),1637.8)</f>
        <v>1637.8</v>
      </c>
      <c r="H263" s="14" t="str">
        <f t="shared" ca="1" si="13"/>
        <v/>
      </c>
      <c r="I263" s="15">
        <f t="shared" ca="1" si="8"/>
        <v>1648.2333333333333</v>
      </c>
      <c r="J263" s="16">
        <f t="shared" ca="1" si="9"/>
        <v>1659.5666666666666</v>
      </c>
      <c r="K263" s="16"/>
      <c r="L263" s="16">
        <f t="shared" ca="1" si="10"/>
        <v>1626.4666666666667</v>
      </c>
      <c r="M263" s="16">
        <f t="shared" ca="1" si="11"/>
        <v>1681.3333333333333</v>
      </c>
      <c r="N263" s="16">
        <f t="shared" ca="1" si="12"/>
        <v>1615.1333333333334</v>
      </c>
    </row>
    <row r="264" spans="1:14" ht="24.75" customHeight="1" x14ac:dyDescent="0.8">
      <c r="A264" s="18" t="s">
        <v>358</v>
      </c>
      <c r="B264" s="10">
        <f ca="1">IFERROR(__xludf.DUMMYFUNCTION("GOOGLEFINANCE(A264,""PRICE"")"),2302)</f>
        <v>2302</v>
      </c>
      <c r="C264" s="11">
        <f ca="1">IFERROR(__xludf.DUMMYFUNCTION("GOOGLEFINANCE(A264,""PRICEOPEN"")"),2254)</f>
        <v>2254</v>
      </c>
      <c r="D264" s="11">
        <f ca="1">IFERROR(__xludf.DUMMYFUNCTION("GOOGLEFINANCE(A264,""HIGH"")"),2315)</f>
        <v>2315</v>
      </c>
      <c r="E264" s="11">
        <f ca="1">IFERROR(__xludf.DUMMYFUNCTION("GOOGLEFINANCE(A264,""LOW"")"),2242)</f>
        <v>2242</v>
      </c>
      <c r="F264" s="12" t="str">
        <f t="shared" ca="1" si="7"/>
        <v/>
      </c>
      <c r="G264" s="13">
        <f ca="1">IFERROR(__xludf.DUMMYFUNCTION("GOOGLEFINANCE(A264,""CLOSEYEST"")"),2251)</f>
        <v>2251</v>
      </c>
      <c r="H264" s="14" t="str">
        <f t="shared" ca="1" si="13"/>
        <v/>
      </c>
      <c r="I264" s="15">
        <f t="shared" ca="1" si="8"/>
        <v>2269.3333333333335</v>
      </c>
      <c r="J264" s="16">
        <f t="shared" ca="1" si="9"/>
        <v>2296.666666666667</v>
      </c>
      <c r="K264" s="16"/>
      <c r="L264" s="16">
        <f t="shared" ca="1" si="10"/>
        <v>2223.666666666667</v>
      </c>
      <c r="M264" s="16">
        <f t="shared" ca="1" si="11"/>
        <v>2342.3333333333335</v>
      </c>
      <c r="N264" s="16">
        <f t="shared" ca="1" si="12"/>
        <v>2196.3333333333335</v>
      </c>
    </row>
    <row r="265" spans="1:14" ht="24.75" customHeight="1" x14ac:dyDescent="0.8">
      <c r="A265" s="18" t="s">
        <v>150</v>
      </c>
      <c r="B265" s="10">
        <f ca="1">IFERROR(__xludf.DUMMYFUNCTION("GOOGLEFINANCE(A265,""PRICE"")"),5075)</f>
        <v>5075</v>
      </c>
      <c r="C265" s="11">
        <f ca="1">IFERROR(__xludf.DUMMYFUNCTION("GOOGLEFINANCE(A265,""PRICEOPEN"")"),4922)</f>
        <v>4922</v>
      </c>
      <c r="D265" s="11">
        <f ca="1">IFERROR(__xludf.DUMMYFUNCTION("GOOGLEFINANCE(A265,""HIGH"")"),5082)</f>
        <v>5082</v>
      </c>
      <c r="E265" s="11">
        <f ca="1">IFERROR(__xludf.DUMMYFUNCTION("GOOGLEFINANCE(A265,""LOW"")"),4902.8)</f>
        <v>4902.8</v>
      </c>
      <c r="F265" s="12" t="str">
        <f t="shared" ca="1" si="7"/>
        <v/>
      </c>
      <c r="G265" s="13">
        <f ca="1">IFERROR(__xludf.DUMMYFUNCTION("GOOGLEFINANCE(A265,""CLOSEYEST"")"),4912.9)</f>
        <v>4912.8999999999996</v>
      </c>
      <c r="H265" s="14" t="str">
        <f t="shared" ca="1" si="13"/>
        <v/>
      </c>
      <c r="I265" s="15">
        <f t="shared" ca="1" si="8"/>
        <v>4965.8999999999996</v>
      </c>
      <c r="J265" s="16">
        <f t="shared" ca="1" si="9"/>
        <v>5028.9999999999991</v>
      </c>
      <c r="K265" s="16"/>
      <c r="L265" s="16">
        <f t="shared" ca="1" si="10"/>
        <v>4849.7999999999993</v>
      </c>
      <c r="M265" s="16">
        <f t="shared" ca="1" si="11"/>
        <v>5145.0999999999995</v>
      </c>
      <c r="N265" s="16">
        <f t="shared" ca="1" si="12"/>
        <v>4786.7</v>
      </c>
    </row>
    <row r="266" spans="1:14" ht="24.75" customHeight="1" x14ac:dyDescent="0.8">
      <c r="A266" s="18" t="s">
        <v>1599</v>
      </c>
      <c r="B266" s="10">
        <f ca="1">IFERROR(__xludf.DUMMYFUNCTION("GOOGLEFINANCE(A266,""PRICE"")"),549)</f>
        <v>549</v>
      </c>
      <c r="C266" s="11">
        <f ca="1">IFERROR(__xludf.DUMMYFUNCTION("GOOGLEFINANCE(A266,""PRICEOPEN"")"),546.8)</f>
        <v>546.79999999999995</v>
      </c>
      <c r="D266" s="11">
        <f ca="1">IFERROR(__xludf.DUMMYFUNCTION("GOOGLEFINANCE(A266,""HIGH"")"),553.75)</f>
        <v>553.75</v>
      </c>
      <c r="E266" s="11">
        <f ca="1">IFERROR(__xludf.DUMMYFUNCTION("GOOGLEFINANCE(A266,""LOW"")"),542.25)</f>
        <v>542.25</v>
      </c>
      <c r="F266" s="12" t="str">
        <f t="shared" ca="1" si="7"/>
        <v/>
      </c>
      <c r="G266" s="13">
        <f ca="1">IFERROR(__xludf.DUMMYFUNCTION("GOOGLEFINANCE(A266,""CLOSEYEST"")"),542.05)</f>
        <v>542.04999999999995</v>
      </c>
      <c r="H266" s="14" t="str">
        <f t="shared" ca="1" si="13"/>
        <v/>
      </c>
      <c r="I266" s="15">
        <f t="shared" ca="1" si="8"/>
        <v>546.01666666666665</v>
      </c>
      <c r="J266" s="16">
        <f t="shared" ca="1" si="9"/>
        <v>549.7833333333333</v>
      </c>
      <c r="K266" s="16"/>
      <c r="L266" s="16">
        <f t="shared" ca="1" si="10"/>
        <v>538.2833333333333</v>
      </c>
      <c r="M266" s="16">
        <f t="shared" ca="1" si="11"/>
        <v>557.51666666666665</v>
      </c>
      <c r="N266" s="16">
        <f t="shared" ca="1" si="12"/>
        <v>534.51666666666665</v>
      </c>
    </row>
    <row r="267" spans="1:14" ht="24.75" customHeight="1" x14ac:dyDescent="0.8">
      <c r="A267" s="18" t="s">
        <v>114</v>
      </c>
      <c r="B267" s="10">
        <f ca="1">IFERROR(__xludf.DUMMYFUNCTION("GOOGLEFINANCE(A267,""PRICE"")"),125.41)</f>
        <v>125.41</v>
      </c>
      <c r="C267" s="11">
        <f ca="1">IFERROR(__xludf.DUMMYFUNCTION("GOOGLEFINANCE(A267,""PRICEOPEN"")"),124.65)</f>
        <v>124.65</v>
      </c>
      <c r="D267" s="11">
        <f ca="1">IFERROR(__xludf.DUMMYFUNCTION("GOOGLEFINANCE(A267,""HIGH"")"),125.95)</f>
        <v>125.95</v>
      </c>
      <c r="E267" s="11">
        <f ca="1">IFERROR(__xludf.DUMMYFUNCTION("GOOGLEFINANCE(A267,""LOW"")"),123.65)</f>
        <v>123.65</v>
      </c>
      <c r="F267" s="12" t="str">
        <f t="shared" ca="1" si="7"/>
        <v/>
      </c>
      <c r="G267" s="13">
        <f ca="1">IFERROR(__xludf.DUMMYFUNCTION("GOOGLEFINANCE(A267,""CLOSEYEST"")"),124.63)</f>
        <v>124.63</v>
      </c>
      <c r="H267" s="14" t="str">
        <f t="shared" ca="1" si="13"/>
        <v/>
      </c>
      <c r="I267" s="15">
        <f t="shared" ca="1" si="8"/>
        <v>124.74333333333334</v>
      </c>
      <c r="J267" s="16">
        <f t="shared" ca="1" si="9"/>
        <v>125.83666666666667</v>
      </c>
      <c r="K267" s="16"/>
      <c r="L267" s="16">
        <f t="shared" ca="1" si="10"/>
        <v>123.53666666666668</v>
      </c>
      <c r="M267" s="16">
        <f t="shared" ca="1" si="11"/>
        <v>127.04333333333334</v>
      </c>
      <c r="N267" s="16">
        <f t="shared" ca="1" si="12"/>
        <v>122.44333333333334</v>
      </c>
    </row>
    <row r="268" spans="1:14" ht="24.75" customHeight="1" x14ac:dyDescent="0.8">
      <c r="A268" s="18" t="s">
        <v>356</v>
      </c>
      <c r="B268" s="10">
        <f ca="1">IFERROR(__xludf.DUMMYFUNCTION("GOOGLEFINANCE(A268,""PRICE"")"),5220.5)</f>
        <v>5220.5</v>
      </c>
      <c r="C268" s="11">
        <f ca="1">IFERROR(__xludf.DUMMYFUNCTION("GOOGLEFINANCE(A268,""PRICEOPEN"")"),5192)</f>
        <v>5192</v>
      </c>
      <c r="D268" s="11">
        <f ca="1">IFERROR(__xludf.DUMMYFUNCTION("GOOGLEFINANCE(A268,""HIGH"")"),5252)</f>
        <v>5252</v>
      </c>
      <c r="E268" s="11">
        <f ca="1">IFERROR(__xludf.DUMMYFUNCTION("GOOGLEFINANCE(A268,""LOW"")"),5162)</f>
        <v>5162</v>
      </c>
      <c r="F268" s="12" t="str">
        <f t="shared" ca="1" si="7"/>
        <v/>
      </c>
      <c r="G268" s="13">
        <f ca="1">IFERROR(__xludf.DUMMYFUNCTION("GOOGLEFINANCE(A268,""CLOSEYEST"")"),5151)</f>
        <v>5151</v>
      </c>
      <c r="H268" s="14" t="str">
        <f t="shared" ca="1" si="13"/>
        <v/>
      </c>
      <c r="I268" s="15">
        <f t="shared" ca="1" si="8"/>
        <v>5188.333333333333</v>
      </c>
      <c r="J268" s="16">
        <f t="shared" ca="1" si="9"/>
        <v>5214.6666666666661</v>
      </c>
      <c r="K268" s="16"/>
      <c r="L268" s="16">
        <f t="shared" ca="1" si="10"/>
        <v>5124.6666666666661</v>
      </c>
      <c r="M268" s="16">
        <f t="shared" ca="1" si="11"/>
        <v>5278.333333333333</v>
      </c>
      <c r="N268" s="16">
        <f t="shared" ca="1" si="12"/>
        <v>5098.333333333333</v>
      </c>
    </row>
    <row r="269" spans="1:14" ht="24.75" customHeight="1" x14ac:dyDescent="0.8">
      <c r="A269" s="18" t="s">
        <v>371</v>
      </c>
      <c r="B269" s="10">
        <f ca="1">IFERROR(__xludf.DUMMYFUNCTION("GOOGLEFINANCE(A269,""PRICE"")"),6233)</f>
        <v>6233</v>
      </c>
      <c r="C269" s="11">
        <f ca="1">IFERROR(__xludf.DUMMYFUNCTION("GOOGLEFINANCE(A269,""PRICEOPEN"")"),6222)</f>
        <v>6222</v>
      </c>
      <c r="D269" s="11">
        <f ca="1">IFERROR(__xludf.DUMMYFUNCTION("GOOGLEFINANCE(A269,""HIGH"")"),6299)</f>
        <v>6299</v>
      </c>
      <c r="E269" s="11">
        <f ca="1">IFERROR(__xludf.DUMMYFUNCTION("GOOGLEFINANCE(A269,""LOW"")"),6201)</f>
        <v>6201</v>
      </c>
      <c r="F269" s="12" t="str">
        <f t="shared" ca="1" si="7"/>
        <v/>
      </c>
      <c r="G269" s="13">
        <f ca="1">IFERROR(__xludf.DUMMYFUNCTION("GOOGLEFINANCE(A269,""CLOSEYEST"")"),6266.5)</f>
        <v>6266.5</v>
      </c>
      <c r="H269" s="14" t="str">
        <f t="shared" ca="1" si="13"/>
        <v/>
      </c>
      <c r="I269" s="15">
        <f t="shared" ca="1" si="8"/>
        <v>6255.5</v>
      </c>
      <c r="J269" s="16">
        <f t="shared" ca="1" si="9"/>
        <v>6310</v>
      </c>
      <c r="K269" s="16"/>
      <c r="L269" s="16">
        <f t="shared" ca="1" si="10"/>
        <v>6212</v>
      </c>
      <c r="M269" s="16">
        <f t="shared" ca="1" si="11"/>
        <v>6353.5</v>
      </c>
      <c r="N269" s="16">
        <f t="shared" ca="1" si="12"/>
        <v>6157.5</v>
      </c>
    </row>
    <row r="270" spans="1:14" ht="24.75" customHeight="1" x14ac:dyDescent="0.8">
      <c r="A270" s="18" t="s">
        <v>1600</v>
      </c>
      <c r="B270" s="10">
        <f ca="1">IFERROR(__xludf.DUMMYFUNCTION("GOOGLEFINANCE(A270,""PRICE"")"),980)</f>
        <v>980</v>
      </c>
      <c r="C270" s="11">
        <f ca="1">IFERROR(__xludf.DUMMYFUNCTION("GOOGLEFINANCE(A270,""PRICEOPEN"")"),996.1)</f>
        <v>996.1</v>
      </c>
      <c r="D270" s="11">
        <f ca="1">IFERROR(__xludf.DUMMYFUNCTION("GOOGLEFINANCE(A270,""HIGH"")"),1004.7)</f>
        <v>1004.7</v>
      </c>
      <c r="E270" s="11">
        <f ca="1">IFERROR(__xludf.DUMMYFUNCTION("GOOGLEFINANCE(A270,""LOW"")"),970.85)</f>
        <v>970.85</v>
      </c>
      <c r="F270" s="12" t="str">
        <f t="shared" ca="1" si="7"/>
        <v/>
      </c>
      <c r="G270" s="13">
        <f ca="1">IFERROR(__xludf.DUMMYFUNCTION("GOOGLEFINANCE(A270,""CLOSEYEST"")"),989.65)</f>
        <v>989.65</v>
      </c>
      <c r="H270" s="14" t="str">
        <f t="shared" ca="1" si="13"/>
        <v/>
      </c>
      <c r="I270" s="15">
        <f t="shared" ca="1" si="8"/>
        <v>988.40000000000009</v>
      </c>
      <c r="J270" s="16">
        <f t="shared" ca="1" si="9"/>
        <v>1005.9500000000002</v>
      </c>
      <c r="K270" s="16"/>
      <c r="L270" s="16">
        <f t="shared" ca="1" si="10"/>
        <v>972.10000000000014</v>
      </c>
      <c r="M270" s="16">
        <f t="shared" ca="1" si="11"/>
        <v>1022.2500000000001</v>
      </c>
      <c r="N270" s="16">
        <f t="shared" ca="1" si="12"/>
        <v>954.55000000000007</v>
      </c>
    </row>
    <row r="271" spans="1:14" ht="24.75" customHeight="1" x14ac:dyDescent="0.8">
      <c r="A271" s="18" t="s">
        <v>434</v>
      </c>
      <c r="B271" s="10">
        <f ca="1">IFERROR(__xludf.DUMMYFUNCTION("GOOGLEFINANCE(A271,""PRICE"")"),1207.9)</f>
        <v>1207.9000000000001</v>
      </c>
      <c r="C271" s="11">
        <f ca="1">IFERROR(__xludf.DUMMYFUNCTION("GOOGLEFINANCE(A271,""PRICEOPEN"")"),1190.1)</f>
        <v>1190.0999999999999</v>
      </c>
      <c r="D271" s="11">
        <f ca="1">IFERROR(__xludf.DUMMYFUNCTION("GOOGLEFINANCE(A271,""HIGH"")"),1209.8)</f>
        <v>1209.8</v>
      </c>
      <c r="E271" s="11">
        <f ca="1">IFERROR(__xludf.DUMMYFUNCTION("GOOGLEFINANCE(A271,""LOW"")"),1172.2)</f>
        <v>1172.2</v>
      </c>
      <c r="F271" s="12" t="str">
        <f t="shared" ca="1" si="7"/>
        <v/>
      </c>
      <c r="G271" s="13">
        <f ca="1">IFERROR(__xludf.DUMMYFUNCTION("GOOGLEFINANCE(A271,""CLOSEYEST"")"),1191.8)</f>
        <v>1191.8</v>
      </c>
      <c r="H271" s="14" t="str">
        <f t="shared" ca="1" si="13"/>
        <v/>
      </c>
      <c r="I271" s="15">
        <f t="shared" ca="1" si="8"/>
        <v>1191.2666666666667</v>
      </c>
      <c r="J271" s="16">
        <f t="shared" ca="1" si="9"/>
        <v>1210.3333333333333</v>
      </c>
      <c r="K271" s="16"/>
      <c r="L271" s="16">
        <f t="shared" ca="1" si="10"/>
        <v>1172.7333333333333</v>
      </c>
      <c r="M271" s="16">
        <f t="shared" ca="1" si="11"/>
        <v>1228.8666666666666</v>
      </c>
      <c r="N271" s="16">
        <f t="shared" ca="1" si="12"/>
        <v>1153.6666666666667</v>
      </c>
    </row>
    <row r="272" spans="1:14" ht="24.75" customHeight="1" x14ac:dyDescent="0.8">
      <c r="A272" s="18" t="s">
        <v>489</v>
      </c>
      <c r="B272" s="10">
        <f ca="1">IFERROR(__xludf.DUMMYFUNCTION("GOOGLEFINANCE(A272,""PRICE"")"),1662.8)</f>
        <v>1662.8</v>
      </c>
      <c r="C272" s="11">
        <f ca="1">IFERROR(__xludf.DUMMYFUNCTION("GOOGLEFINANCE(A272,""PRICEOPEN"")"),1633.8)</f>
        <v>1633.8</v>
      </c>
      <c r="D272" s="11">
        <f ca="1">IFERROR(__xludf.DUMMYFUNCTION("GOOGLEFINANCE(A272,""HIGH"")"),1668)</f>
        <v>1668</v>
      </c>
      <c r="E272" s="11">
        <f ca="1">IFERROR(__xludf.DUMMYFUNCTION("GOOGLEFINANCE(A272,""LOW"")"),1624.3)</f>
        <v>1624.3</v>
      </c>
      <c r="F272" s="12" t="str">
        <f t="shared" ca="1" si="7"/>
        <v/>
      </c>
      <c r="G272" s="13">
        <f ca="1">IFERROR(__xludf.DUMMYFUNCTION("GOOGLEFINANCE(A272,""CLOSEYEST"")"),1633.2)</f>
        <v>1633.2</v>
      </c>
      <c r="H272" s="14" t="str">
        <f t="shared" ca="1" si="13"/>
        <v/>
      </c>
      <c r="I272" s="15">
        <f t="shared" ca="1" si="8"/>
        <v>1641.8333333333333</v>
      </c>
      <c r="J272" s="16">
        <f t="shared" ca="1" si="9"/>
        <v>1659.3666666666666</v>
      </c>
      <c r="K272" s="16"/>
      <c r="L272" s="16">
        <f t="shared" ca="1" si="10"/>
        <v>1615.6666666666665</v>
      </c>
      <c r="M272" s="16">
        <f t="shared" ca="1" si="11"/>
        <v>1685.5333333333333</v>
      </c>
      <c r="N272" s="16">
        <f t="shared" ca="1" si="12"/>
        <v>1598.1333333333332</v>
      </c>
    </row>
    <row r="273" spans="1:14" ht="24.75" customHeight="1" x14ac:dyDescent="0.8">
      <c r="A273" s="18" t="s">
        <v>1601</v>
      </c>
      <c r="B273" s="10">
        <f ca="1">IFERROR(__xludf.DUMMYFUNCTION("GOOGLEFINANCE(A273,""PRICE"")"),1165)</f>
        <v>1165</v>
      </c>
      <c r="C273" s="11">
        <f ca="1">IFERROR(__xludf.DUMMYFUNCTION("GOOGLEFINANCE(A273,""PRICEOPEN"")"),1196.5)</f>
        <v>1196.5</v>
      </c>
      <c r="D273" s="11">
        <f ca="1">IFERROR(__xludf.DUMMYFUNCTION("GOOGLEFINANCE(A273,""HIGH"")"),1199)</f>
        <v>1199</v>
      </c>
      <c r="E273" s="11">
        <f ca="1">IFERROR(__xludf.DUMMYFUNCTION("GOOGLEFINANCE(A273,""LOW"")"),1157)</f>
        <v>1157</v>
      </c>
      <c r="F273" s="12" t="str">
        <f t="shared" ca="1" si="7"/>
        <v/>
      </c>
      <c r="G273" s="13">
        <f ca="1">IFERROR(__xludf.DUMMYFUNCTION("GOOGLEFINANCE(A273,""CLOSEYEST"")"),1188.6)</f>
        <v>1188.5999999999999</v>
      </c>
      <c r="H273" s="14" t="str">
        <f t="shared" ca="1" si="13"/>
        <v/>
      </c>
      <c r="I273" s="15">
        <f t="shared" ca="1" si="8"/>
        <v>1181.5333333333333</v>
      </c>
      <c r="J273" s="16">
        <f t="shared" ca="1" si="9"/>
        <v>1206.0666666666666</v>
      </c>
      <c r="K273" s="16"/>
      <c r="L273" s="16">
        <f t="shared" ca="1" si="10"/>
        <v>1164.0666666666666</v>
      </c>
      <c r="M273" s="16">
        <f t="shared" ca="1" si="11"/>
        <v>1223.5333333333333</v>
      </c>
      <c r="N273" s="16">
        <f t="shared" ca="1" si="12"/>
        <v>1139.5333333333333</v>
      </c>
    </row>
    <row r="274" spans="1:14" ht="24.75" customHeight="1" x14ac:dyDescent="0.8">
      <c r="A274" s="18" t="s">
        <v>205</v>
      </c>
      <c r="B274" s="10">
        <f ca="1">IFERROR(__xludf.DUMMYFUNCTION("GOOGLEFINANCE(A274,""PRICE"")"),244.8)</f>
        <v>244.8</v>
      </c>
      <c r="C274" s="11">
        <f ca="1">IFERROR(__xludf.DUMMYFUNCTION("GOOGLEFINANCE(A274,""PRICEOPEN"")"),240.5)</f>
        <v>240.5</v>
      </c>
      <c r="D274" s="11">
        <f ca="1">IFERROR(__xludf.DUMMYFUNCTION("GOOGLEFINANCE(A274,""HIGH"")"),246.29)</f>
        <v>246.29</v>
      </c>
      <c r="E274" s="11">
        <f ca="1">IFERROR(__xludf.DUMMYFUNCTION("GOOGLEFINANCE(A274,""LOW"")"),240)</f>
        <v>240</v>
      </c>
      <c r="F274" s="12" t="str">
        <f t="shared" ca="1" si="7"/>
        <v/>
      </c>
      <c r="G274" s="13">
        <f ca="1">IFERROR(__xludf.DUMMYFUNCTION("GOOGLEFINANCE(A274,""CLOSEYEST"")"),240.17)</f>
        <v>240.17</v>
      </c>
      <c r="H274" s="14" t="str">
        <f t="shared" ca="1" si="13"/>
        <v/>
      </c>
      <c r="I274" s="15">
        <f t="shared" ca="1" si="8"/>
        <v>242.15333333333331</v>
      </c>
      <c r="J274" s="16">
        <f t="shared" ca="1" si="9"/>
        <v>244.30666666666662</v>
      </c>
      <c r="K274" s="16"/>
      <c r="L274" s="16">
        <f t="shared" ca="1" si="10"/>
        <v>238.01666666666662</v>
      </c>
      <c r="M274" s="16">
        <f t="shared" ca="1" si="11"/>
        <v>248.4433333333333</v>
      </c>
      <c r="N274" s="16">
        <f t="shared" ca="1" si="12"/>
        <v>235.86333333333332</v>
      </c>
    </row>
    <row r="275" spans="1:14" ht="24.75" customHeight="1" x14ac:dyDescent="0.8">
      <c r="A275" s="18" t="s">
        <v>346</v>
      </c>
      <c r="B275" s="10">
        <f ca="1">IFERROR(__xludf.DUMMYFUNCTION("GOOGLEFINANCE(A275,""PRICE"")"),4590)</f>
        <v>4590</v>
      </c>
      <c r="C275" s="11">
        <f ca="1">IFERROR(__xludf.DUMMYFUNCTION("GOOGLEFINANCE(A275,""PRICEOPEN"")"),4495)</f>
        <v>4495</v>
      </c>
      <c r="D275" s="11">
        <f ca="1">IFERROR(__xludf.DUMMYFUNCTION("GOOGLEFINANCE(A275,""HIGH"")"),4633)</f>
        <v>4633</v>
      </c>
      <c r="E275" s="11">
        <f ca="1">IFERROR(__xludf.DUMMYFUNCTION("GOOGLEFINANCE(A275,""LOW"")"),4450)</f>
        <v>4450</v>
      </c>
      <c r="F275" s="12" t="str">
        <f t="shared" ca="1" si="7"/>
        <v/>
      </c>
      <c r="G275" s="13">
        <f ca="1">IFERROR(__xludf.DUMMYFUNCTION("GOOGLEFINANCE(A275,""CLOSEYEST"")"),4451.4)</f>
        <v>4451.3999999999996</v>
      </c>
      <c r="H275" s="14" t="str">
        <f t="shared" ca="1" si="13"/>
        <v/>
      </c>
      <c r="I275" s="15">
        <f t="shared" ca="1" si="8"/>
        <v>4511.4666666666662</v>
      </c>
      <c r="J275" s="16">
        <f t="shared" ca="1" si="9"/>
        <v>4572.9333333333325</v>
      </c>
      <c r="K275" s="16"/>
      <c r="L275" s="16">
        <f t="shared" ca="1" si="10"/>
        <v>4389.9333333333325</v>
      </c>
      <c r="M275" s="16">
        <f t="shared" ca="1" si="11"/>
        <v>4694.4666666666662</v>
      </c>
      <c r="N275" s="16">
        <f t="shared" ca="1" si="12"/>
        <v>4328.4666666666662</v>
      </c>
    </row>
    <row r="276" spans="1:14" ht="24.75" customHeight="1" x14ac:dyDescent="0.8">
      <c r="A276" s="18" t="s">
        <v>377</v>
      </c>
      <c r="B276" s="10">
        <f ca="1">IFERROR(__xludf.DUMMYFUNCTION("GOOGLEFINANCE(A276,""PRICE"")"),1690)</f>
        <v>1690</v>
      </c>
      <c r="C276" s="11">
        <f ca="1">IFERROR(__xludf.DUMMYFUNCTION("GOOGLEFINANCE(A276,""PRICEOPEN"")"),1730.5)</f>
        <v>1730.5</v>
      </c>
      <c r="D276" s="11">
        <f ca="1">IFERROR(__xludf.DUMMYFUNCTION("GOOGLEFINANCE(A276,""HIGH"")"),1739)</f>
        <v>1739</v>
      </c>
      <c r="E276" s="11">
        <f ca="1">IFERROR(__xludf.DUMMYFUNCTION("GOOGLEFINANCE(A276,""LOW"")"),1674.2)</f>
        <v>1674.2</v>
      </c>
      <c r="F276" s="12" t="str">
        <f t="shared" ca="1" si="7"/>
        <v/>
      </c>
      <c r="G276" s="13">
        <f ca="1">IFERROR(__xludf.DUMMYFUNCTION("GOOGLEFINANCE(A276,""CLOSEYEST"")"),1730.5)</f>
        <v>1730.5</v>
      </c>
      <c r="H276" s="14" t="str">
        <f t="shared" ca="1" si="13"/>
        <v/>
      </c>
      <c r="I276" s="15">
        <f t="shared" ca="1" si="8"/>
        <v>1714.5666666666666</v>
      </c>
      <c r="J276" s="16">
        <f t="shared" ca="1" si="9"/>
        <v>1754.9333333333332</v>
      </c>
      <c r="K276" s="16"/>
      <c r="L276" s="16">
        <f t="shared" ca="1" si="10"/>
        <v>1690.1333333333332</v>
      </c>
      <c r="M276" s="16">
        <f t="shared" ca="1" si="11"/>
        <v>1779.3666666666666</v>
      </c>
      <c r="N276" s="16">
        <f t="shared" ca="1" si="12"/>
        <v>1649.7666666666667</v>
      </c>
    </row>
    <row r="277" spans="1:14" ht="24.75" customHeight="1" x14ac:dyDescent="0.8">
      <c r="A277" s="18" t="s">
        <v>252</v>
      </c>
      <c r="B277" s="10">
        <f ca="1">IFERROR(__xludf.DUMMYFUNCTION("GOOGLEFINANCE(A277,""PRICE"")"),524)</f>
        <v>524</v>
      </c>
      <c r="C277" s="11">
        <f ca="1">IFERROR(__xludf.DUMMYFUNCTION("GOOGLEFINANCE(A277,""PRICEOPEN"")"),505)</f>
        <v>505</v>
      </c>
      <c r="D277" s="11">
        <f ca="1">IFERROR(__xludf.DUMMYFUNCTION("GOOGLEFINANCE(A277,""HIGH"")"),528.8)</f>
        <v>528.79999999999995</v>
      </c>
      <c r="E277" s="11">
        <f ca="1">IFERROR(__xludf.DUMMYFUNCTION("GOOGLEFINANCE(A277,""LOW"")"),499.35)</f>
        <v>499.35</v>
      </c>
      <c r="F277" s="12" t="str">
        <f t="shared" ca="1" si="7"/>
        <v/>
      </c>
      <c r="G277" s="13">
        <f ca="1">IFERROR(__xludf.DUMMYFUNCTION("GOOGLEFINANCE(A277,""CLOSEYEST"")"),502.25)</f>
        <v>502.25</v>
      </c>
      <c r="H277" s="14" t="str">
        <f t="shared" ca="1" si="13"/>
        <v/>
      </c>
      <c r="I277" s="15">
        <f t="shared" ca="1" si="8"/>
        <v>510.13333333333338</v>
      </c>
      <c r="J277" s="16">
        <f t="shared" ca="1" si="9"/>
        <v>520.91666666666674</v>
      </c>
      <c r="K277" s="16"/>
      <c r="L277" s="16">
        <f t="shared" ca="1" si="10"/>
        <v>491.46666666666681</v>
      </c>
      <c r="M277" s="16">
        <f t="shared" ca="1" si="11"/>
        <v>539.58333333333326</v>
      </c>
      <c r="N277" s="16">
        <f t="shared" ca="1" si="12"/>
        <v>480.68333333333345</v>
      </c>
    </row>
    <row r="278" spans="1:14" ht="24.75" customHeight="1" x14ac:dyDescent="0.8">
      <c r="A278" s="18" t="s">
        <v>234</v>
      </c>
      <c r="B278" s="10">
        <f ca="1">IFERROR(__xludf.DUMMYFUNCTION("GOOGLEFINANCE(A278,""PRICE"")"),579.5)</f>
        <v>579.5</v>
      </c>
      <c r="C278" s="11">
        <f ca="1">IFERROR(__xludf.DUMMYFUNCTION("GOOGLEFINANCE(A278,""PRICEOPEN"")"),579)</f>
        <v>579</v>
      </c>
      <c r="D278" s="11">
        <f ca="1">IFERROR(__xludf.DUMMYFUNCTION("GOOGLEFINANCE(A278,""HIGH"")"),583.45)</f>
        <v>583.45000000000005</v>
      </c>
      <c r="E278" s="11">
        <f ca="1">IFERROR(__xludf.DUMMYFUNCTION("GOOGLEFINANCE(A278,""LOW"")"),574.05)</f>
        <v>574.04999999999995</v>
      </c>
      <c r="F278" s="12" t="str">
        <f t="shared" ca="1" si="7"/>
        <v/>
      </c>
      <c r="G278" s="13">
        <f ca="1">IFERROR(__xludf.DUMMYFUNCTION("GOOGLEFINANCE(A278,""CLOSEYEST"")"),577.2)</f>
        <v>577.20000000000005</v>
      </c>
      <c r="H278" s="14" t="str">
        <f t="shared" ca="1" si="13"/>
        <v/>
      </c>
      <c r="I278" s="15">
        <f t="shared" ca="1" si="8"/>
        <v>578.23333333333335</v>
      </c>
      <c r="J278" s="16">
        <f t="shared" ca="1" si="9"/>
        <v>582.41666666666674</v>
      </c>
      <c r="K278" s="16"/>
      <c r="L278" s="16">
        <f t="shared" ca="1" si="10"/>
        <v>573.01666666666665</v>
      </c>
      <c r="M278" s="16">
        <f t="shared" ca="1" si="11"/>
        <v>587.63333333333344</v>
      </c>
      <c r="N278" s="16">
        <f t="shared" ca="1" si="12"/>
        <v>568.83333333333326</v>
      </c>
    </row>
    <row r="279" spans="1:14" ht="24.75" customHeight="1" x14ac:dyDescent="0.8">
      <c r="A279" s="18" t="s">
        <v>1602</v>
      </c>
      <c r="B279" s="10">
        <f ca="1">IFERROR(__xludf.DUMMYFUNCTION("GOOGLEFINANCE(A279,""PRICE"")"),2365.8)</f>
        <v>2365.8000000000002</v>
      </c>
      <c r="C279" s="11">
        <f ca="1">IFERROR(__xludf.DUMMYFUNCTION("GOOGLEFINANCE(A279,""PRICEOPEN"")"),2395.6)</f>
        <v>2395.6</v>
      </c>
      <c r="D279" s="11">
        <f ca="1">IFERROR(__xludf.DUMMYFUNCTION("GOOGLEFINANCE(A279,""HIGH"")"),2409.9)</f>
        <v>2409.9</v>
      </c>
      <c r="E279" s="11">
        <f ca="1">IFERROR(__xludf.DUMMYFUNCTION("GOOGLEFINANCE(A279,""LOW"")"),2365)</f>
        <v>2365</v>
      </c>
      <c r="F279" s="12" t="str">
        <f t="shared" ref="F279:F533" ca="1" si="14">IF(C279=D279,"SELL",IF(C279=E279,"BUY", ""))</f>
        <v/>
      </c>
      <c r="G279" s="13">
        <f ca="1">IFERROR(__xludf.DUMMYFUNCTION("GOOGLEFINANCE(A279,""CLOSEYEST"")"),2398.9)</f>
        <v>2398.9</v>
      </c>
      <c r="H279" s="14" t="str">
        <f t="shared" ca="1" si="13"/>
        <v/>
      </c>
      <c r="I279" s="15">
        <f t="shared" ref="I279:I533" ca="1" si="15">(D279+E279+G279)/3</f>
        <v>2391.2666666666664</v>
      </c>
      <c r="J279" s="16">
        <f t="shared" ref="J279:J533" ca="1" si="16">(I279*2)-E279</f>
        <v>2417.5333333333328</v>
      </c>
      <c r="K279" s="16"/>
      <c r="L279" s="16">
        <f t="shared" ref="L279:L533" ca="1" si="17">(I279*2)-D279</f>
        <v>2372.6333333333328</v>
      </c>
      <c r="M279" s="16">
        <f t="shared" ref="M279:M533" ca="1" si="18">I279+(J279-L279)</f>
        <v>2436.1666666666665</v>
      </c>
      <c r="N279" s="16">
        <f t="shared" ref="N279:N533" ca="1" si="19">I279-(J279-L279)</f>
        <v>2346.3666666666663</v>
      </c>
    </row>
    <row r="280" spans="1:14" ht="24.75" customHeight="1" x14ac:dyDescent="0.8">
      <c r="A280" s="18" t="s">
        <v>426</v>
      </c>
      <c r="B280" s="10">
        <f ca="1">IFERROR(__xludf.DUMMYFUNCTION("GOOGLEFINANCE(A280,""PRICE"")"),192.25)</f>
        <v>192.25</v>
      </c>
      <c r="C280" s="11">
        <f ca="1">IFERROR(__xludf.DUMMYFUNCTION("GOOGLEFINANCE(A280,""PRICEOPEN"")"),193.61)</f>
        <v>193.61</v>
      </c>
      <c r="D280" s="11">
        <f ca="1">IFERROR(__xludf.DUMMYFUNCTION("GOOGLEFINANCE(A280,""HIGH"")"),195.5)</f>
        <v>195.5</v>
      </c>
      <c r="E280" s="11">
        <f ca="1">IFERROR(__xludf.DUMMYFUNCTION("GOOGLEFINANCE(A280,""LOW"")"),192.21)</f>
        <v>192.21</v>
      </c>
      <c r="F280" s="12" t="str">
        <f t="shared" ca="1" si="14"/>
        <v/>
      </c>
      <c r="G280" s="13">
        <f ca="1">IFERROR(__xludf.DUMMYFUNCTION("GOOGLEFINANCE(A280,""CLOSEYEST"")"),193.76)</f>
        <v>193.76</v>
      </c>
      <c r="H280" s="14" t="str">
        <f t="shared" ca="1" si="13"/>
        <v/>
      </c>
      <c r="I280" s="15">
        <f t="shared" ca="1" si="15"/>
        <v>193.82333333333335</v>
      </c>
      <c r="J280" s="16">
        <f t="shared" ca="1" si="16"/>
        <v>195.4366666666667</v>
      </c>
      <c r="K280" s="16"/>
      <c r="L280" s="16">
        <f t="shared" ca="1" si="17"/>
        <v>192.1466666666667</v>
      </c>
      <c r="M280" s="16">
        <f t="shared" ca="1" si="18"/>
        <v>197.11333333333334</v>
      </c>
      <c r="N280" s="16">
        <f t="shared" ca="1" si="19"/>
        <v>190.53333333333336</v>
      </c>
    </row>
    <row r="281" spans="1:14" ht="24.75" customHeight="1" x14ac:dyDescent="0.8">
      <c r="A281" s="18" t="s">
        <v>171</v>
      </c>
      <c r="B281" s="10">
        <f ca="1">IFERROR(__xludf.DUMMYFUNCTION("GOOGLEFINANCE(A281,""PRICE"")"),4580)</f>
        <v>4580</v>
      </c>
      <c r="C281" s="11">
        <f ca="1">IFERROR(__xludf.DUMMYFUNCTION("GOOGLEFINANCE(A281,""PRICEOPEN"")"),4639)</f>
        <v>4639</v>
      </c>
      <c r="D281" s="11">
        <f ca="1">IFERROR(__xludf.DUMMYFUNCTION("GOOGLEFINANCE(A281,""HIGH"")"),4658)</f>
        <v>4658</v>
      </c>
      <c r="E281" s="11">
        <f ca="1">IFERROR(__xludf.DUMMYFUNCTION("GOOGLEFINANCE(A281,""LOW"")"),4514.5)</f>
        <v>4514.5</v>
      </c>
      <c r="F281" s="12" t="str">
        <f t="shared" ca="1" si="14"/>
        <v/>
      </c>
      <c r="G281" s="13">
        <f ca="1">IFERROR(__xludf.DUMMYFUNCTION("GOOGLEFINANCE(A281,""CLOSEYEST"")"),4630.1)</f>
        <v>4630.1000000000004</v>
      </c>
      <c r="H281" s="14" t="str">
        <f t="shared" ref="H281:H535" ca="1" si="20">IF(C281&gt;=(G281+(G281*1%)),"GAP UP",IF(C281&lt;=(G281-(G281*1%)),"GAP DOWN",""))</f>
        <v/>
      </c>
      <c r="I281" s="15">
        <f t="shared" ca="1" si="15"/>
        <v>4600.8666666666668</v>
      </c>
      <c r="J281" s="16">
        <f t="shared" ca="1" si="16"/>
        <v>4687.2333333333336</v>
      </c>
      <c r="K281" s="16"/>
      <c r="L281" s="16">
        <f t="shared" ca="1" si="17"/>
        <v>4543.7333333333336</v>
      </c>
      <c r="M281" s="16">
        <f t="shared" ca="1" si="18"/>
        <v>4744.3666666666668</v>
      </c>
      <c r="N281" s="16">
        <f t="shared" ca="1" si="19"/>
        <v>4457.3666666666668</v>
      </c>
    </row>
    <row r="282" spans="1:14" ht="24.75" customHeight="1" x14ac:dyDescent="0.8">
      <c r="A282" s="18" t="s">
        <v>570</v>
      </c>
      <c r="B282" s="10">
        <f ca="1">IFERROR(__xludf.DUMMYFUNCTION("GOOGLEFINANCE(A282,""PRICE"")"),576.1)</f>
        <v>576.1</v>
      </c>
      <c r="C282" s="11">
        <f ca="1">IFERROR(__xludf.DUMMYFUNCTION("GOOGLEFINANCE(A282,""PRICEOPEN"")"),585.5)</f>
        <v>585.5</v>
      </c>
      <c r="D282" s="11">
        <f ca="1">IFERROR(__xludf.DUMMYFUNCTION("GOOGLEFINANCE(A282,""HIGH"")"),587.8)</f>
        <v>587.79999999999995</v>
      </c>
      <c r="E282" s="11">
        <f ca="1">IFERROR(__xludf.DUMMYFUNCTION("GOOGLEFINANCE(A282,""LOW"")"),561.8)</f>
        <v>561.79999999999995</v>
      </c>
      <c r="F282" s="12" t="str">
        <f t="shared" ca="1" si="14"/>
        <v/>
      </c>
      <c r="G282" s="13">
        <f ca="1">IFERROR(__xludf.DUMMYFUNCTION("GOOGLEFINANCE(A282,""CLOSEYEST"")"),602.9)</f>
        <v>602.9</v>
      </c>
      <c r="H282" s="14" t="str">
        <f t="shared" ca="1" si="20"/>
        <v>GAP DOWN</v>
      </c>
      <c r="I282" s="15">
        <f t="shared" ca="1" si="15"/>
        <v>584.16666666666663</v>
      </c>
      <c r="J282" s="16">
        <f t="shared" ca="1" si="16"/>
        <v>606.5333333333333</v>
      </c>
      <c r="K282" s="16"/>
      <c r="L282" s="16">
        <f t="shared" ca="1" si="17"/>
        <v>580.5333333333333</v>
      </c>
      <c r="M282" s="16">
        <f t="shared" ca="1" si="18"/>
        <v>610.16666666666663</v>
      </c>
      <c r="N282" s="16">
        <f t="shared" ca="1" si="19"/>
        <v>558.16666666666663</v>
      </c>
    </row>
    <row r="283" spans="1:14" ht="24.75" customHeight="1" x14ac:dyDescent="0.8">
      <c r="A283" s="18" t="s">
        <v>1603</v>
      </c>
      <c r="B283" s="10">
        <f ca="1">IFERROR(__xludf.DUMMYFUNCTION("GOOGLEFINANCE(A283,""PRICE"")"),221.1)</f>
        <v>221.1</v>
      </c>
      <c r="C283" s="11">
        <f ca="1">IFERROR(__xludf.DUMMYFUNCTION("GOOGLEFINANCE(A283,""PRICEOPEN"")"),214.5)</f>
        <v>214.5</v>
      </c>
      <c r="D283" s="11">
        <f ca="1">IFERROR(__xludf.DUMMYFUNCTION("GOOGLEFINANCE(A283,""HIGH"")"),224.6)</f>
        <v>224.6</v>
      </c>
      <c r="E283" s="11">
        <f ca="1">IFERROR(__xludf.DUMMYFUNCTION("GOOGLEFINANCE(A283,""LOW"")"),214.5)</f>
        <v>214.5</v>
      </c>
      <c r="F283" s="12" t="str">
        <f t="shared" ca="1" si="14"/>
        <v>BUY</v>
      </c>
      <c r="G283" s="13">
        <f ca="1">IFERROR(__xludf.DUMMYFUNCTION("GOOGLEFINANCE(A283,""CLOSEYEST"")"),214.5)</f>
        <v>214.5</v>
      </c>
      <c r="H283" s="14" t="str">
        <f t="shared" ca="1" si="20"/>
        <v/>
      </c>
      <c r="I283" s="15">
        <f t="shared" ca="1" si="15"/>
        <v>217.86666666666667</v>
      </c>
      <c r="J283" s="16">
        <f t="shared" ca="1" si="16"/>
        <v>221.23333333333335</v>
      </c>
      <c r="K283" s="16"/>
      <c r="L283" s="16">
        <f t="shared" ca="1" si="17"/>
        <v>211.13333333333335</v>
      </c>
      <c r="M283" s="16">
        <f t="shared" ca="1" si="18"/>
        <v>227.96666666666667</v>
      </c>
      <c r="N283" s="16">
        <f t="shared" ca="1" si="19"/>
        <v>207.76666666666668</v>
      </c>
    </row>
    <row r="284" spans="1:14" ht="24.75" customHeight="1" x14ac:dyDescent="0.8">
      <c r="A284" s="18" t="s">
        <v>309</v>
      </c>
      <c r="B284" s="10">
        <f ca="1">IFERROR(__xludf.DUMMYFUNCTION("GOOGLEFINANCE(A284,""PRICE"")"),13845)</f>
        <v>13845</v>
      </c>
      <c r="C284" s="11">
        <f ca="1">IFERROR(__xludf.DUMMYFUNCTION("GOOGLEFINANCE(A284,""PRICEOPEN"")"),13600)</f>
        <v>13600</v>
      </c>
      <c r="D284" s="11">
        <f ca="1">IFERROR(__xludf.DUMMYFUNCTION("GOOGLEFINANCE(A284,""HIGH"")"),14021)</f>
        <v>14021</v>
      </c>
      <c r="E284" s="11">
        <f ca="1">IFERROR(__xludf.DUMMYFUNCTION("GOOGLEFINANCE(A284,""LOW"")"),13600)</f>
        <v>13600</v>
      </c>
      <c r="F284" s="12" t="str">
        <f t="shared" ca="1" si="14"/>
        <v>BUY</v>
      </c>
      <c r="G284" s="13">
        <f ca="1">IFERROR(__xludf.DUMMYFUNCTION("GOOGLEFINANCE(A284,""CLOSEYEST"")"),13374)</f>
        <v>13374</v>
      </c>
      <c r="H284" s="14" t="str">
        <f t="shared" ca="1" si="20"/>
        <v>GAP UP</v>
      </c>
      <c r="I284" s="15">
        <f t="shared" ca="1" si="15"/>
        <v>13665</v>
      </c>
      <c r="J284" s="16">
        <f t="shared" ca="1" si="16"/>
        <v>13730</v>
      </c>
      <c r="K284" s="16"/>
      <c r="L284" s="16">
        <f t="shared" ca="1" si="17"/>
        <v>13309</v>
      </c>
      <c r="M284" s="16">
        <f t="shared" ca="1" si="18"/>
        <v>14086</v>
      </c>
      <c r="N284" s="16">
        <f t="shared" ca="1" si="19"/>
        <v>13244</v>
      </c>
    </row>
    <row r="285" spans="1:14" ht="24.75" customHeight="1" x14ac:dyDescent="0.8">
      <c r="A285" s="18" t="s">
        <v>1604</v>
      </c>
      <c r="B285" s="10" t="str">
        <f ca="1">IFERROR(__xludf.DUMMYFUNCTION("GOOGLEFINANCE(A285,""PRICE"")"),"#N/A")</f>
        <v>#N/A</v>
      </c>
      <c r="C285" s="11" t="str">
        <f ca="1">IFERROR(__xludf.DUMMYFUNCTION("GOOGLEFINANCE(A285,""PRICEOPEN"")"),"#N/A")</f>
        <v>#N/A</v>
      </c>
      <c r="D285" s="11" t="str">
        <f ca="1">IFERROR(__xludf.DUMMYFUNCTION("GOOGLEFINANCE(A285,""HIGH"")"),"#N/A")</f>
        <v>#N/A</v>
      </c>
      <c r="E285" s="11" t="str">
        <f ca="1">IFERROR(__xludf.DUMMYFUNCTION("GOOGLEFINANCE(A285,""LOW"")"),"#N/A")</f>
        <v>#N/A</v>
      </c>
      <c r="F285" s="12" t="str">
        <f t="shared" ca="1" si="14"/>
        <v>SELL</v>
      </c>
      <c r="G285" s="13" t="str">
        <f ca="1">IFERROR(__xludf.DUMMYFUNCTION("GOOGLEFINANCE(A285,""CLOSEYEST"")"),"#N/A")</f>
        <v>#N/A</v>
      </c>
      <c r="H285" s="14" t="e">
        <f t="shared" ca="1" si="20"/>
        <v>#VALUE!</v>
      </c>
      <c r="I285" s="15" t="e">
        <f t="shared" ca="1" si="15"/>
        <v>#VALUE!</v>
      </c>
      <c r="J285" s="16" t="e">
        <f t="shared" ca="1" si="16"/>
        <v>#VALUE!</v>
      </c>
      <c r="K285" s="16"/>
      <c r="L285" s="16" t="e">
        <f t="shared" ca="1" si="17"/>
        <v>#VALUE!</v>
      </c>
      <c r="M285" s="16" t="e">
        <f t="shared" ca="1" si="18"/>
        <v>#VALUE!</v>
      </c>
      <c r="N285" s="16" t="e">
        <f t="shared" ca="1" si="19"/>
        <v>#VALUE!</v>
      </c>
    </row>
    <row r="286" spans="1:14" ht="24.75" customHeight="1" x14ac:dyDescent="0.8">
      <c r="A286" s="18" t="s">
        <v>625</v>
      </c>
      <c r="B286" s="10">
        <f ca="1">IFERROR(__xludf.DUMMYFUNCTION("GOOGLEFINANCE(A286,""PRICE"")"),275.75)</f>
        <v>275.75</v>
      </c>
      <c r="C286" s="11">
        <f ca="1">IFERROR(__xludf.DUMMYFUNCTION("GOOGLEFINANCE(A286,""PRICEOPEN"")"),275)</f>
        <v>275</v>
      </c>
      <c r="D286" s="11">
        <f ca="1">IFERROR(__xludf.DUMMYFUNCTION("GOOGLEFINANCE(A286,""HIGH"")"),276.9)</f>
        <v>276.89999999999998</v>
      </c>
      <c r="E286" s="11">
        <f ca="1">IFERROR(__xludf.DUMMYFUNCTION("GOOGLEFINANCE(A286,""LOW"")"),269.5)</f>
        <v>269.5</v>
      </c>
      <c r="F286" s="12" t="str">
        <f t="shared" ca="1" si="14"/>
        <v/>
      </c>
      <c r="G286" s="13">
        <f ca="1">IFERROR(__xludf.DUMMYFUNCTION("GOOGLEFINANCE(A286,""CLOSEYEST"")"),273.4)</f>
        <v>273.39999999999998</v>
      </c>
      <c r="H286" s="14" t="str">
        <f t="shared" ca="1" si="20"/>
        <v/>
      </c>
      <c r="I286" s="15">
        <f t="shared" ca="1" si="15"/>
        <v>273.26666666666665</v>
      </c>
      <c r="J286" s="16">
        <f t="shared" ca="1" si="16"/>
        <v>277.0333333333333</v>
      </c>
      <c r="K286" s="16"/>
      <c r="L286" s="16">
        <f t="shared" ca="1" si="17"/>
        <v>269.63333333333333</v>
      </c>
      <c r="M286" s="16">
        <f t="shared" ca="1" si="18"/>
        <v>280.66666666666663</v>
      </c>
      <c r="N286" s="16">
        <f t="shared" ca="1" si="19"/>
        <v>265.86666666666667</v>
      </c>
    </row>
    <row r="287" spans="1:14" ht="24.75" customHeight="1" x14ac:dyDescent="0.8">
      <c r="A287" s="18" t="s">
        <v>664</v>
      </c>
      <c r="B287" s="10">
        <f ca="1">IFERROR(__xludf.DUMMYFUNCTION("GOOGLEFINANCE(A287,""PRICE"")"),2401.9)</f>
        <v>2401.9</v>
      </c>
      <c r="C287" s="11">
        <f ca="1">IFERROR(__xludf.DUMMYFUNCTION("GOOGLEFINANCE(A287,""PRICEOPEN"")"),2412)</f>
        <v>2412</v>
      </c>
      <c r="D287" s="11">
        <f ca="1">IFERROR(__xludf.DUMMYFUNCTION("GOOGLEFINANCE(A287,""HIGH"")"),2420.7)</f>
        <v>2420.6999999999998</v>
      </c>
      <c r="E287" s="11">
        <f ca="1">IFERROR(__xludf.DUMMYFUNCTION("GOOGLEFINANCE(A287,""LOW"")"),2379.3)</f>
        <v>2379.3000000000002</v>
      </c>
      <c r="F287" s="12" t="str">
        <f t="shared" ca="1" si="14"/>
        <v/>
      </c>
      <c r="G287" s="13">
        <f ca="1">IFERROR(__xludf.DUMMYFUNCTION("GOOGLEFINANCE(A287,""CLOSEYEST"")"),2398.2)</f>
        <v>2398.1999999999998</v>
      </c>
      <c r="H287" s="14" t="str">
        <f t="shared" ca="1" si="20"/>
        <v/>
      </c>
      <c r="I287" s="15">
        <f t="shared" ca="1" si="15"/>
        <v>2399.4</v>
      </c>
      <c r="J287" s="16">
        <f t="shared" ca="1" si="16"/>
        <v>2419.5</v>
      </c>
      <c r="K287" s="16"/>
      <c r="L287" s="16">
        <f t="shared" ca="1" si="17"/>
        <v>2378.1000000000004</v>
      </c>
      <c r="M287" s="16">
        <f t="shared" ca="1" si="18"/>
        <v>2440.7999999999997</v>
      </c>
      <c r="N287" s="16">
        <f t="shared" ca="1" si="19"/>
        <v>2358.0000000000005</v>
      </c>
    </row>
    <row r="288" spans="1:14" ht="24.75" customHeight="1" x14ac:dyDescent="0.8">
      <c r="A288" s="18" t="s">
        <v>45</v>
      </c>
      <c r="B288" s="10">
        <f ca="1">IFERROR(__xludf.DUMMYFUNCTION("GOOGLEFINANCE(A288,""PRICE"")"),525.95)</f>
        <v>525.95000000000005</v>
      </c>
      <c r="C288" s="11">
        <f ca="1">IFERROR(__xludf.DUMMYFUNCTION("GOOGLEFINANCE(A288,""PRICEOPEN"")"),528)</f>
        <v>528</v>
      </c>
      <c r="D288" s="11">
        <f ca="1">IFERROR(__xludf.DUMMYFUNCTION("GOOGLEFINANCE(A288,""HIGH"")"),531)</f>
        <v>531</v>
      </c>
      <c r="E288" s="11">
        <f ca="1">IFERROR(__xludf.DUMMYFUNCTION("GOOGLEFINANCE(A288,""LOW"")"),522.5)</f>
        <v>522.5</v>
      </c>
      <c r="F288" s="12" t="str">
        <f t="shared" ca="1" si="14"/>
        <v/>
      </c>
      <c r="G288" s="13">
        <f ca="1">IFERROR(__xludf.DUMMYFUNCTION("GOOGLEFINANCE(A288,""CLOSEYEST"")"),525.8)</f>
        <v>525.79999999999995</v>
      </c>
      <c r="H288" s="14" t="str">
        <f t="shared" ca="1" si="20"/>
        <v/>
      </c>
      <c r="I288" s="15">
        <f t="shared" ca="1" si="15"/>
        <v>526.43333333333328</v>
      </c>
      <c r="J288" s="16">
        <f t="shared" ca="1" si="16"/>
        <v>530.36666666666656</v>
      </c>
      <c r="K288" s="16"/>
      <c r="L288" s="16">
        <f t="shared" ca="1" si="17"/>
        <v>521.86666666666656</v>
      </c>
      <c r="M288" s="16">
        <f t="shared" ca="1" si="18"/>
        <v>534.93333333333328</v>
      </c>
      <c r="N288" s="16">
        <f t="shared" ca="1" si="19"/>
        <v>517.93333333333328</v>
      </c>
    </row>
    <row r="289" spans="1:14" ht="24.75" customHeight="1" x14ac:dyDescent="0.8">
      <c r="A289" s="18" t="s">
        <v>325</v>
      </c>
      <c r="B289" s="10">
        <f ca="1">IFERROR(__xludf.DUMMYFUNCTION("GOOGLEFINANCE(A289,""PRICE"")"),1156)</f>
        <v>1156</v>
      </c>
      <c r="C289" s="11">
        <f ca="1">IFERROR(__xludf.DUMMYFUNCTION("GOOGLEFINANCE(A289,""PRICEOPEN"")"),1153.2)</f>
        <v>1153.2</v>
      </c>
      <c r="D289" s="11">
        <f ca="1">IFERROR(__xludf.DUMMYFUNCTION("GOOGLEFINANCE(A289,""HIGH"")"),1160.6)</f>
        <v>1160.5999999999999</v>
      </c>
      <c r="E289" s="11">
        <f ca="1">IFERROR(__xludf.DUMMYFUNCTION("GOOGLEFINANCE(A289,""LOW"")"),1142)</f>
        <v>1142</v>
      </c>
      <c r="F289" s="12" t="str">
        <f t="shared" ca="1" si="14"/>
        <v/>
      </c>
      <c r="G289" s="13">
        <f ca="1">IFERROR(__xludf.DUMMYFUNCTION("GOOGLEFINANCE(A289,""CLOSEYEST"")"),1153.2)</f>
        <v>1153.2</v>
      </c>
      <c r="H289" s="14" t="str">
        <f t="shared" ca="1" si="20"/>
        <v/>
      </c>
      <c r="I289" s="15">
        <f t="shared" ca="1" si="15"/>
        <v>1151.9333333333334</v>
      </c>
      <c r="J289" s="16">
        <f t="shared" ca="1" si="16"/>
        <v>1161.8666666666668</v>
      </c>
      <c r="K289" s="16"/>
      <c r="L289" s="16">
        <f t="shared" ca="1" si="17"/>
        <v>1143.2666666666669</v>
      </c>
      <c r="M289" s="16">
        <f t="shared" ca="1" si="18"/>
        <v>1170.5333333333333</v>
      </c>
      <c r="N289" s="16">
        <f t="shared" ca="1" si="19"/>
        <v>1133.3333333333335</v>
      </c>
    </row>
    <row r="290" spans="1:14" ht="24.75" customHeight="1" x14ac:dyDescent="0.8">
      <c r="A290" s="18" t="s">
        <v>1605</v>
      </c>
      <c r="B290" s="10">
        <f ca="1">IFERROR(__xludf.DUMMYFUNCTION("GOOGLEFINANCE(A290,""PRICE"")"),538.15)</f>
        <v>538.15</v>
      </c>
      <c r="C290" s="11">
        <f ca="1">IFERROR(__xludf.DUMMYFUNCTION("GOOGLEFINANCE(A290,""PRICEOPEN"")"),549)</f>
        <v>549</v>
      </c>
      <c r="D290" s="11">
        <f ca="1">IFERROR(__xludf.DUMMYFUNCTION("GOOGLEFINANCE(A290,""HIGH"")"),549)</f>
        <v>549</v>
      </c>
      <c r="E290" s="11">
        <f ca="1">IFERROR(__xludf.DUMMYFUNCTION("GOOGLEFINANCE(A290,""LOW"")"),533.65)</f>
        <v>533.65</v>
      </c>
      <c r="F290" s="12" t="str">
        <f t="shared" ca="1" si="14"/>
        <v>SELL</v>
      </c>
      <c r="G290" s="13">
        <f ca="1">IFERROR(__xludf.DUMMYFUNCTION("GOOGLEFINANCE(A290,""CLOSEYEST"")"),544.05)</f>
        <v>544.04999999999995</v>
      </c>
      <c r="H290" s="14" t="str">
        <f t="shared" ca="1" si="20"/>
        <v/>
      </c>
      <c r="I290" s="15">
        <f t="shared" ca="1" si="15"/>
        <v>542.23333333333335</v>
      </c>
      <c r="J290" s="16">
        <f t="shared" ca="1" si="16"/>
        <v>550.81666666666672</v>
      </c>
      <c r="K290" s="16"/>
      <c r="L290" s="16">
        <f t="shared" ca="1" si="17"/>
        <v>535.4666666666667</v>
      </c>
      <c r="M290" s="16">
        <f t="shared" ca="1" si="18"/>
        <v>557.58333333333337</v>
      </c>
      <c r="N290" s="16">
        <f t="shared" ca="1" si="19"/>
        <v>526.88333333333333</v>
      </c>
    </row>
    <row r="291" spans="1:14" ht="24.75" customHeight="1" x14ac:dyDescent="0.8">
      <c r="A291" s="18" t="s">
        <v>106</v>
      </c>
      <c r="B291" s="10">
        <f ca="1">IFERROR(__xludf.DUMMYFUNCTION("GOOGLEFINANCE(A291,""PRICE"")"),1534.3)</f>
        <v>1534.3</v>
      </c>
      <c r="C291" s="11">
        <f ca="1">IFERROR(__xludf.DUMMYFUNCTION("GOOGLEFINANCE(A291,""PRICEOPEN"")"),1549.1)</f>
        <v>1549.1</v>
      </c>
      <c r="D291" s="11">
        <f ca="1">IFERROR(__xludf.DUMMYFUNCTION("GOOGLEFINANCE(A291,""HIGH"")"),1554)</f>
        <v>1554</v>
      </c>
      <c r="E291" s="11">
        <f ca="1">IFERROR(__xludf.DUMMYFUNCTION("GOOGLEFINANCE(A291,""LOW"")"),1510.3)</f>
        <v>1510.3</v>
      </c>
      <c r="F291" s="12" t="str">
        <f t="shared" ca="1" si="14"/>
        <v/>
      </c>
      <c r="G291" s="13">
        <f ca="1">IFERROR(__xludf.DUMMYFUNCTION("GOOGLEFINANCE(A291,""CLOSEYEST"")"),1542.1)</f>
        <v>1542.1</v>
      </c>
      <c r="H291" s="14" t="str">
        <f t="shared" ca="1" si="20"/>
        <v/>
      </c>
      <c r="I291" s="15">
        <f t="shared" ca="1" si="15"/>
        <v>1535.4666666666665</v>
      </c>
      <c r="J291" s="16">
        <f t="shared" ca="1" si="16"/>
        <v>1560.633333333333</v>
      </c>
      <c r="K291" s="16"/>
      <c r="L291" s="16">
        <f t="shared" ca="1" si="17"/>
        <v>1516.9333333333329</v>
      </c>
      <c r="M291" s="16">
        <f t="shared" ca="1" si="18"/>
        <v>1579.1666666666665</v>
      </c>
      <c r="N291" s="16">
        <f t="shared" ca="1" si="19"/>
        <v>1491.7666666666664</v>
      </c>
    </row>
    <row r="292" spans="1:14" ht="24.75" customHeight="1" x14ac:dyDescent="0.8">
      <c r="A292" s="18" t="s">
        <v>241</v>
      </c>
      <c r="B292" s="10">
        <f ca="1">IFERROR(__xludf.DUMMYFUNCTION("GOOGLEFINANCE(A292,""PRICE"")"),4869.1)</f>
        <v>4869.1000000000004</v>
      </c>
      <c r="C292" s="11">
        <f ca="1">IFERROR(__xludf.DUMMYFUNCTION("GOOGLEFINANCE(A292,""PRICEOPEN"")"),4845)</f>
        <v>4845</v>
      </c>
      <c r="D292" s="11">
        <f ca="1">IFERROR(__xludf.DUMMYFUNCTION("GOOGLEFINANCE(A292,""HIGH"")"),4950)</f>
        <v>4950</v>
      </c>
      <c r="E292" s="11">
        <f ca="1">IFERROR(__xludf.DUMMYFUNCTION("GOOGLEFINANCE(A292,""LOW"")"),4829.8)</f>
        <v>4829.8</v>
      </c>
      <c r="F292" s="12" t="str">
        <f t="shared" ca="1" si="14"/>
        <v/>
      </c>
      <c r="G292" s="13">
        <f ca="1">IFERROR(__xludf.DUMMYFUNCTION("GOOGLEFINANCE(A292,""CLOSEYEST"")"),4766.2)</f>
        <v>4766.2</v>
      </c>
      <c r="H292" s="14" t="str">
        <f t="shared" ca="1" si="20"/>
        <v>GAP UP</v>
      </c>
      <c r="I292" s="15">
        <f t="shared" ca="1" si="15"/>
        <v>4848.666666666667</v>
      </c>
      <c r="J292" s="16">
        <f t="shared" ca="1" si="16"/>
        <v>4867.5333333333338</v>
      </c>
      <c r="K292" s="16"/>
      <c r="L292" s="16">
        <f t="shared" ca="1" si="17"/>
        <v>4747.3333333333339</v>
      </c>
      <c r="M292" s="16">
        <f t="shared" ca="1" si="18"/>
        <v>4968.8666666666668</v>
      </c>
      <c r="N292" s="16">
        <f t="shared" ca="1" si="19"/>
        <v>4728.4666666666672</v>
      </c>
    </row>
    <row r="293" spans="1:14" ht="24.75" customHeight="1" x14ac:dyDescent="0.8">
      <c r="A293" s="18" t="s">
        <v>1606</v>
      </c>
      <c r="B293" s="10">
        <f ca="1">IFERROR(__xludf.DUMMYFUNCTION("GOOGLEFINANCE(A293,""PRICE"")"),1.7)</f>
        <v>1.7</v>
      </c>
      <c r="C293" s="11">
        <f ca="1">IFERROR(__xludf.DUMMYFUNCTION("GOOGLEFINANCE(A293,""PRICEOPEN"")"),1.7)</f>
        <v>1.7</v>
      </c>
      <c r="D293" s="11">
        <f ca="1">IFERROR(__xludf.DUMMYFUNCTION("GOOGLEFINANCE(A293,""HIGH"")"),1.75)</f>
        <v>1.75</v>
      </c>
      <c r="E293" s="11">
        <f ca="1">IFERROR(__xludf.DUMMYFUNCTION("GOOGLEFINANCE(A293,""LOW"")"),1.69)</f>
        <v>1.69</v>
      </c>
      <c r="F293" s="12" t="str">
        <f t="shared" ca="1" si="14"/>
        <v/>
      </c>
      <c r="G293" s="13">
        <f ca="1">IFERROR(__xludf.DUMMYFUNCTION("GOOGLEFINANCE(A293,""CLOSEYEST"")"),1.72)</f>
        <v>1.72</v>
      </c>
      <c r="H293" s="14" t="str">
        <f t="shared" ca="1" si="20"/>
        <v>GAP DOWN</v>
      </c>
      <c r="I293" s="15">
        <f t="shared" ca="1" si="15"/>
        <v>1.72</v>
      </c>
      <c r="J293" s="16">
        <f t="shared" ca="1" si="16"/>
        <v>1.75</v>
      </c>
      <c r="K293" s="16"/>
      <c r="L293" s="16">
        <f t="shared" ca="1" si="17"/>
        <v>1.69</v>
      </c>
      <c r="M293" s="16">
        <f t="shared" ca="1" si="18"/>
        <v>1.78</v>
      </c>
      <c r="N293" s="16">
        <f t="shared" ca="1" si="19"/>
        <v>1.66</v>
      </c>
    </row>
    <row r="294" spans="1:14" ht="24.75" customHeight="1" x14ac:dyDescent="0.8">
      <c r="A294" s="18" t="s">
        <v>1607</v>
      </c>
      <c r="B294" s="10">
        <f ca="1">IFERROR(__xludf.DUMMYFUNCTION("GOOGLEFINANCE(A294,""PRICE"")"),1887)</f>
        <v>1887</v>
      </c>
      <c r="C294" s="11">
        <f ca="1">IFERROR(__xludf.DUMMYFUNCTION("GOOGLEFINANCE(A294,""PRICEOPEN"")"),1910)</f>
        <v>1910</v>
      </c>
      <c r="D294" s="11">
        <f ca="1">IFERROR(__xludf.DUMMYFUNCTION("GOOGLEFINANCE(A294,""HIGH"")"),1922.3)</f>
        <v>1922.3</v>
      </c>
      <c r="E294" s="11">
        <f ca="1">IFERROR(__xludf.DUMMYFUNCTION("GOOGLEFINANCE(A294,""LOW"")"),1880)</f>
        <v>1880</v>
      </c>
      <c r="F294" s="12" t="str">
        <f t="shared" ca="1" si="14"/>
        <v/>
      </c>
      <c r="G294" s="13">
        <f ca="1">IFERROR(__xludf.DUMMYFUNCTION("GOOGLEFINANCE(A294,""CLOSEYEST"")"),1899.5)</f>
        <v>1899.5</v>
      </c>
      <c r="H294" s="14" t="str">
        <f t="shared" ca="1" si="20"/>
        <v/>
      </c>
      <c r="I294" s="15">
        <f t="shared" ca="1" si="15"/>
        <v>1900.6000000000001</v>
      </c>
      <c r="J294" s="16">
        <f t="shared" ca="1" si="16"/>
        <v>1921.2000000000003</v>
      </c>
      <c r="K294" s="16"/>
      <c r="L294" s="16">
        <f t="shared" ca="1" si="17"/>
        <v>1878.9000000000003</v>
      </c>
      <c r="M294" s="16">
        <f t="shared" ca="1" si="18"/>
        <v>1942.9</v>
      </c>
      <c r="N294" s="16">
        <f t="shared" ca="1" si="19"/>
        <v>1858.3000000000002</v>
      </c>
    </row>
    <row r="295" spans="1:14" ht="24.75" customHeight="1" x14ac:dyDescent="0.8">
      <c r="A295" s="18" t="s">
        <v>46</v>
      </c>
      <c r="B295" s="10">
        <f ca="1">IFERROR(__xludf.DUMMYFUNCTION("GOOGLEFINANCE(A295,""PRICE"")"),37.8)</f>
        <v>37.799999999999997</v>
      </c>
      <c r="C295" s="11">
        <f ca="1">IFERROR(__xludf.DUMMYFUNCTION("GOOGLEFINANCE(A295,""PRICEOPEN"")"),37.65)</f>
        <v>37.65</v>
      </c>
      <c r="D295" s="11">
        <f ca="1">IFERROR(__xludf.DUMMYFUNCTION("GOOGLEFINANCE(A295,""HIGH"")"),38.06)</f>
        <v>38.06</v>
      </c>
      <c r="E295" s="11">
        <f ca="1">IFERROR(__xludf.DUMMYFUNCTION("GOOGLEFINANCE(A295,""LOW"")"),37.51)</f>
        <v>37.51</v>
      </c>
      <c r="F295" s="12" t="str">
        <f t="shared" ca="1" si="14"/>
        <v/>
      </c>
      <c r="G295" s="13">
        <f ca="1">IFERROR(__xludf.DUMMYFUNCTION("GOOGLEFINANCE(A295,""CLOSEYEST"")"),37.63)</f>
        <v>37.630000000000003</v>
      </c>
      <c r="H295" s="14" t="str">
        <f t="shared" ca="1" si="20"/>
        <v/>
      </c>
      <c r="I295" s="15">
        <f t="shared" ca="1" si="15"/>
        <v>37.733333333333327</v>
      </c>
      <c r="J295" s="16">
        <f t="shared" ca="1" si="16"/>
        <v>37.956666666666656</v>
      </c>
      <c r="K295" s="16"/>
      <c r="L295" s="16">
        <f t="shared" ca="1" si="17"/>
        <v>37.406666666666652</v>
      </c>
      <c r="M295" s="16">
        <f t="shared" ca="1" si="18"/>
        <v>38.283333333333331</v>
      </c>
      <c r="N295" s="16">
        <f t="shared" ca="1" si="19"/>
        <v>37.183333333333323</v>
      </c>
    </row>
    <row r="296" spans="1:14" ht="24.75" customHeight="1" x14ac:dyDescent="0.8">
      <c r="A296" s="18" t="s">
        <v>1608</v>
      </c>
      <c r="B296" s="10">
        <f ca="1">IFERROR(__xludf.DUMMYFUNCTION("GOOGLEFINANCE(A296,""PRICE"")"),938.95)</f>
        <v>938.95</v>
      </c>
      <c r="C296" s="11">
        <f ca="1">IFERROR(__xludf.DUMMYFUNCTION("GOOGLEFINANCE(A296,""PRICEOPEN"")"),916.5)</f>
        <v>916.5</v>
      </c>
      <c r="D296" s="11">
        <f ca="1">IFERROR(__xludf.DUMMYFUNCTION("GOOGLEFINANCE(A296,""HIGH"")"),939.9)</f>
        <v>939.9</v>
      </c>
      <c r="E296" s="11">
        <f ca="1">IFERROR(__xludf.DUMMYFUNCTION("GOOGLEFINANCE(A296,""LOW"")"),916)</f>
        <v>916</v>
      </c>
      <c r="F296" s="12" t="str">
        <f t="shared" ca="1" si="14"/>
        <v/>
      </c>
      <c r="G296" s="13">
        <f ca="1">IFERROR(__xludf.DUMMYFUNCTION("GOOGLEFINANCE(A296,""CLOSEYEST"")"),916.45)</f>
        <v>916.45</v>
      </c>
      <c r="H296" s="14" t="str">
        <f t="shared" ca="1" si="20"/>
        <v/>
      </c>
      <c r="I296" s="15">
        <f t="shared" ca="1" si="15"/>
        <v>924.11666666666679</v>
      </c>
      <c r="J296" s="16">
        <f t="shared" ca="1" si="16"/>
        <v>932.23333333333358</v>
      </c>
      <c r="K296" s="16"/>
      <c r="L296" s="16">
        <f t="shared" ca="1" si="17"/>
        <v>908.3333333333336</v>
      </c>
      <c r="M296" s="16">
        <f t="shared" ca="1" si="18"/>
        <v>948.01666666666677</v>
      </c>
      <c r="N296" s="16">
        <f t="shared" ca="1" si="19"/>
        <v>900.21666666666681</v>
      </c>
    </row>
    <row r="297" spans="1:14" ht="24.75" customHeight="1" x14ac:dyDescent="0.8">
      <c r="A297" s="18" t="s">
        <v>194</v>
      </c>
      <c r="B297" s="10">
        <f ca="1">IFERROR(__xludf.DUMMYFUNCTION("GOOGLEFINANCE(A297,""PRICE"")"),1021)</f>
        <v>1021</v>
      </c>
      <c r="C297" s="11">
        <f ca="1">IFERROR(__xludf.DUMMYFUNCTION("GOOGLEFINANCE(A297,""PRICEOPEN"")"),1010.4)</f>
        <v>1010.4</v>
      </c>
      <c r="D297" s="11">
        <f ca="1">IFERROR(__xludf.DUMMYFUNCTION("GOOGLEFINANCE(A297,""HIGH"")"),1028.5)</f>
        <v>1028.5</v>
      </c>
      <c r="E297" s="11">
        <f ca="1">IFERROR(__xludf.DUMMYFUNCTION("GOOGLEFINANCE(A297,""LOW"")"),1007.3)</f>
        <v>1007.3</v>
      </c>
      <c r="F297" s="12" t="str">
        <f t="shared" ca="1" si="14"/>
        <v/>
      </c>
      <c r="G297" s="13">
        <f ca="1">IFERROR(__xludf.DUMMYFUNCTION("GOOGLEFINANCE(A297,""CLOSEYEST"")"),1010.4)</f>
        <v>1010.4</v>
      </c>
      <c r="H297" s="14" t="str">
        <f t="shared" ca="1" si="20"/>
        <v/>
      </c>
      <c r="I297" s="15">
        <f t="shared" ca="1" si="15"/>
        <v>1015.4</v>
      </c>
      <c r="J297" s="16">
        <f t="shared" ca="1" si="16"/>
        <v>1023.5</v>
      </c>
      <c r="K297" s="16"/>
      <c r="L297" s="16">
        <f t="shared" ca="1" si="17"/>
        <v>1002.3</v>
      </c>
      <c r="M297" s="16">
        <f t="shared" ca="1" si="18"/>
        <v>1036.5999999999999</v>
      </c>
      <c r="N297" s="16">
        <f t="shared" ca="1" si="19"/>
        <v>994.19999999999993</v>
      </c>
    </row>
    <row r="298" spans="1:14" ht="24.75" customHeight="1" x14ac:dyDescent="0.8">
      <c r="A298" s="18" t="s">
        <v>562</v>
      </c>
      <c r="B298" s="10">
        <f ca="1">IFERROR(__xludf.DUMMYFUNCTION("GOOGLEFINANCE(A298,""PRICE"")"),323)</f>
        <v>323</v>
      </c>
      <c r="C298" s="11">
        <f ca="1">IFERROR(__xludf.DUMMYFUNCTION("GOOGLEFINANCE(A298,""PRICEOPEN"")"),318.25)</f>
        <v>318.25</v>
      </c>
      <c r="D298" s="11">
        <f ca="1">IFERROR(__xludf.DUMMYFUNCTION("GOOGLEFINANCE(A298,""HIGH"")"),328.1)</f>
        <v>328.1</v>
      </c>
      <c r="E298" s="11">
        <f ca="1">IFERROR(__xludf.DUMMYFUNCTION("GOOGLEFINANCE(A298,""LOW"")"),314.75)</f>
        <v>314.75</v>
      </c>
      <c r="F298" s="12" t="str">
        <f t="shared" ca="1" si="14"/>
        <v/>
      </c>
      <c r="G298" s="13">
        <f ca="1">IFERROR(__xludf.DUMMYFUNCTION("GOOGLEFINANCE(A298,""CLOSEYEST"")"),318.25)</f>
        <v>318.25</v>
      </c>
      <c r="H298" s="14" t="str">
        <f t="shared" ca="1" si="20"/>
        <v/>
      </c>
      <c r="I298" s="15">
        <f t="shared" ca="1" si="15"/>
        <v>320.36666666666667</v>
      </c>
      <c r="J298" s="16">
        <f t="shared" ca="1" si="16"/>
        <v>325.98333333333335</v>
      </c>
      <c r="K298" s="16"/>
      <c r="L298" s="16">
        <f t="shared" ca="1" si="17"/>
        <v>312.63333333333333</v>
      </c>
      <c r="M298" s="16">
        <f t="shared" ca="1" si="18"/>
        <v>333.7166666666667</v>
      </c>
      <c r="N298" s="16">
        <f t="shared" ca="1" si="19"/>
        <v>307.01666666666665</v>
      </c>
    </row>
    <row r="299" spans="1:14" ht="24.75" customHeight="1" x14ac:dyDescent="0.8">
      <c r="A299" s="18" t="s">
        <v>1609</v>
      </c>
      <c r="B299" s="10">
        <f ca="1">IFERROR(__xludf.DUMMYFUNCTION("GOOGLEFINANCE(A299,""PRICE"")"),1939)</f>
        <v>1939</v>
      </c>
      <c r="C299" s="11">
        <f ca="1">IFERROR(__xludf.DUMMYFUNCTION("GOOGLEFINANCE(A299,""PRICEOPEN"")"),1975.1)</f>
        <v>1975.1</v>
      </c>
      <c r="D299" s="11">
        <f ca="1">IFERROR(__xludf.DUMMYFUNCTION("GOOGLEFINANCE(A299,""HIGH"")"),1979)</f>
        <v>1979</v>
      </c>
      <c r="E299" s="11">
        <f ca="1">IFERROR(__xludf.DUMMYFUNCTION("GOOGLEFINANCE(A299,""LOW"")"),1915.6)</f>
        <v>1915.6</v>
      </c>
      <c r="F299" s="12" t="str">
        <f t="shared" ca="1" si="14"/>
        <v/>
      </c>
      <c r="G299" s="13">
        <f ca="1">IFERROR(__xludf.DUMMYFUNCTION("GOOGLEFINANCE(A299,""CLOSEYEST"")"),1964.8)</f>
        <v>1964.8</v>
      </c>
      <c r="H299" s="14" t="str">
        <f t="shared" ca="1" si="20"/>
        <v/>
      </c>
      <c r="I299" s="15">
        <f t="shared" ca="1" si="15"/>
        <v>1953.1333333333332</v>
      </c>
      <c r="J299" s="16">
        <f t="shared" ca="1" si="16"/>
        <v>1990.6666666666665</v>
      </c>
      <c r="K299" s="16"/>
      <c r="L299" s="16">
        <f t="shared" ca="1" si="17"/>
        <v>1927.2666666666664</v>
      </c>
      <c r="M299" s="16">
        <f t="shared" ca="1" si="18"/>
        <v>2016.5333333333333</v>
      </c>
      <c r="N299" s="16">
        <f t="shared" ca="1" si="19"/>
        <v>1889.7333333333331</v>
      </c>
    </row>
    <row r="300" spans="1:14" ht="24.75" customHeight="1" x14ac:dyDescent="0.8">
      <c r="A300" s="18" t="s">
        <v>232</v>
      </c>
      <c r="B300" s="10">
        <f ca="1">IFERROR(__xludf.DUMMYFUNCTION("GOOGLEFINANCE(A300,""PRICE"")"),767.4)</f>
        <v>767.4</v>
      </c>
      <c r="C300" s="11">
        <f ca="1">IFERROR(__xludf.DUMMYFUNCTION("GOOGLEFINANCE(A300,""PRICEOPEN"")"),742)</f>
        <v>742</v>
      </c>
      <c r="D300" s="11">
        <f ca="1">IFERROR(__xludf.DUMMYFUNCTION("GOOGLEFINANCE(A300,""HIGH"")"),769.3)</f>
        <v>769.3</v>
      </c>
      <c r="E300" s="11">
        <f ca="1">IFERROR(__xludf.DUMMYFUNCTION("GOOGLEFINANCE(A300,""LOW"")"),742)</f>
        <v>742</v>
      </c>
      <c r="F300" s="12" t="str">
        <f t="shared" ca="1" si="14"/>
        <v>BUY</v>
      </c>
      <c r="G300" s="13">
        <f ca="1">IFERROR(__xludf.DUMMYFUNCTION("GOOGLEFINANCE(A300,""CLOSEYEST"")"),737.05)</f>
        <v>737.05</v>
      </c>
      <c r="H300" s="14" t="str">
        <f t="shared" ca="1" si="20"/>
        <v/>
      </c>
      <c r="I300" s="15">
        <f t="shared" ca="1" si="15"/>
        <v>749.44999999999993</v>
      </c>
      <c r="J300" s="16">
        <f t="shared" ca="1" si="16"/>
        <v>756.89999999999986</v>
      </c>
      <c r="K300" s="16"/>
      <c r="L300" s="16">
        <f t="shared" ca="1" si="17"/>
        <v>729.59999999999991</v>
      </c>
      <c r="M300" s="16">
        <f t="shared" ca="1" si="18"/>
        <v>776.74999999999989</v>
      </c>
      <c r="N300" s="16">
        <f t="shared" ca="1" si="19"/>
        <v>722.15</v>
      </c>
    </row>
    <row r="301" spans="1:14" ht="24.75" customHeight="1" x14ac:dyDescent="0.8">
      <c r="A301" s="18" t="s">
        <v>1610</v>
      </c>
      <c r="B301" s="10">
        <f ca="1">IFERROR(__xludf.DUMMYFUNCTION("GOOGLEFINANCE(A301,""PRICE"")"),1243)</f>
        <v>1243</v>
      </c>
      <c r="C301" s="11">
        <f ca="1">IFERROR(__xludf.DUMMYFUNCTION("GOOGLEFINANCE(A301,""PRICEOPEN"")"),1231.2)</f>
        <v>1231.2</v>
      </c>
      <c r="D301" s="11">
        <f ca="1">IFERROR(__xludf.DUMMYFUNCTION("GOOGLEFINANCE(A301,""HIGH"")"),1244.6)</f>
        <v>1244.5999999999999</v>
      </c>
      <c r="E301" s="11">
        <f ca="1">IFERROR(__xludf.DUMMYFUNCTION("GOOGLEFINANCE(A301,""LOW"")"),1225.1)</f>
        <v>1225.0999999999999</v>
      </c>
      <c r="F301" s="12" t="str">
        <f t="shared" ca="1" si="14"/>
        <v/>
      </c>
      <c r="G301" s="13">
        <f ca="1">IFERROR(__xludf.DUMMYFUNCTION("GOOGLEFINANCE(A301,""CLOSEYEST"")"),1230.8)</f>
        <v>1230.8</v>
      </c>
      <c r="H301" s="14" t="str">
        <f t="shared" ca="1" si="20"/>
        <v/>
      </c>
      <c r="I301" s="15">
        <f t="shared" ca="1" si="15"/>
        <v>1233.5</v>
      </c>
      <c r="J301" s="16">
        <f t="shared" ca="1" si="16"/>
        <v>1241.9000000000001</v>
      </c>
      <c r="K301" s="16"/>
      <c r="L301" s="16">
        <f t="shared" ca="1" si="17"/>
        <v>1222.4000000000001</v>
      </c>
      <c r="M301" s="16">
        <f t="shared" ca="1" si="18"/>
        <v>1253</v>
      </c>
      <c r="N301" s="16">
        <f t="shared" ca="1" si="19"/>
        <v>1214</v>
      </c>
    </row>
    <row r="302" spans="1:14" ht="24.75" customHeight="1" x14ac:dyDescent="0.8">
      <c r="A302" s="18" t="s">
        <v>104</v>
      </c>
      <c r="B302" s="10">
        <f ca="1">IFERROR(__xludf.DUMMYFUNCTION("GOOGLEFINANCE(A302,""PRICE"")"),519.6)</f>
        <v>519.6</v>
      </c>
      <c r="C302" s="11">
        <f ca="1">IFERROR(__xludf.DUMMYFUNCTION("GOOGLEFINANCE(A302,""PRICEOPEN"")"),510.6)</f>
        <v>510.6</v>
      </c>
      <c r="D302" s="11">
        <f ca="1">IFERROR(__xludf.DUMMYFUNCTION("GOOGLEFINANCE(A302,""HIGH"")"),521.35)</f>
        <v>521.35</v>
      </c>
      <c r="E302" s="11">
        <f ca="1">IFERROR(__xludf.DUMMYFUNCTION("GOOGLEFINANCE(A302,""LOW"")"),510.6)</f>
        <v>510.6</v>
      </c>
      <c r="F302" s="12" t="str">
        <f t="shared" ca="1" si="14"/>
        <v>BUY</v>
      </c>
      <c r="G302" s="13">
        <f ca="1">IFERROR(__xludf.DUMMYFUNCTION("GOOGLEFINANCE(A302,""CLOSEYEST"")"),510.6)</f>
        <v>510.6</v>
      </c>
      <c r="H302" s="14" t="str">
        <f t="shared" ca="1" si="20"/>
        <v/>
      </c>
      <c r="I302" s="15">
        <f t="shared" ca="1" si="15"/>
        <v>514.18333333333339</v>
      </c>
      <c r="J302" s="16">
        <f t="shared" ca="1" si="16"/>
        <v>517.76666666666677</v>
      </c>
      <c r="K302" s="16"/>
      <c r="L302" s="16">
        <f t="shared" ca="1" si="17"/>
        <v>507.01666666666677</v>
      </c>
      <c r="M302" s="16">
        <f t="shared" ca="1" si="18"/>
        <v>524.93333333333339</v>
      </c>
      <c r="N302" s="16">
        <f t="shared" ca="1" si="19"/>
        <v>503.43333333333339</v>
      </c>
    </row>
    <row r="303" spans="1:14" ht="24.75" customHeight="1" x14ac:dyDescent="0.8">
      <c r="A303" s="18" t="s">
        <v>138</v>
      </c>
      <c r="B303" s="10">
        <f ca="1">IFERROR(__xludf.DUMMYFUNCTION("GOOGLEFINANCE(A303,""PRICE"")"),326.15)</f>
        <v>326.14999999999998</v>
      </c>
      <c r="C303" s="11">
        <f ca="1">IFERROR(__xludf.DUMMYFUNCTION("GOOGLEFINANCE(A303,""PRICEOPEN"")"),326.2)</f>
        <v>326.2</v>
      </c>
      <c r="D303" s="11">
        <f ca="1">IFERROR(__xludf.DUMMYFUNCTION("GOOGLEFINANCE(A303,""HIGH"")"),332)</f>
        <v>332</v>
      </c>
      <c r="E303" s="11">
        <f ca="1">IFERROR(__xludf.DUMMYFUNCTION("GOOGLEFINANCE(A303,""LOW"")"),322.85)</f>
        <v>322.85000000000002</v>
      </c>
      <c r="F303" s="12" t="str">
        <f t="shared" ca="1" si="14"/>
        <v/>
      </c>
      <c r="G303" s="13">
        <f ca="1">IFERROR(__xludf.DUMMYFUNCTION("GOOGLEFINANCE(A303,""CLOSEYEST"")"),324.6)</f>
        <v>324.60000000000002</v>
      </c>
      <c r="H303" s="14" t="str">
        <f t="shared" ca="1" si="20"/>
        <v/>
      </c>
      <c r="I303" s="15">
        <f t="shared" ca="1" si="15"/>
        <v>326.48333333333335</v>
      </c>
      <c r="J303" s="16">
        <f t="shared" ca="1" si="16"/>
        <v>330.11666666666667</v>
      </c>
      <c r="K303" s="16"/>
      <c r="L303" s="16">
        <f t="shared" ca="1" si="17"/>
        <v>320.9666666666667</v>
      </c>
      <c r="M303" s="16">
        <f t="shared" ca="1" si="18"/>
        <v>335.63333333333333</v>
      </c>
      <c r="N303" s="16">
        <f t="shared" ca="1" si="19"/>
        <v>317.33333333333337</v>
      </c>
    </row>
    <row r="304" spans="1:14" ht="24.75" customHeight="1" x14ac:dyDescent="0.8">
      <c r="A304" s="18" t="s">
        <v>449</v>
      </c>
      <c r="B304" s="10">
        <f ca="1">IFERROR(__xludf.DUMMYFUNCTION("GOOGLEFINANCE(A304,""PRICE"")"),427)</f>
        <v>427</v>
      </c>
      <c r="C304" s="11">
        <f ca="1">IFERROR(__xludf.DUMMYFUNCTION("GOOGLEFINANCE(A304,""PRICEOPEN"")"),422.1)</f>
        <v>422.1</v>
      </c>
      <c r="D304" s="11">
        <f ca="1">IFERROR(__xludf.DUMMYFUNCTION("GOOGLEFINANCE(A304,""HIGH"")"),429.65)</f>
        <v>429.65</v>
      </c>
      <c r="E304" s="11">
        <f ca="1">IFERROR(__xludf.DUMMYFUNCTION("GOOGLEFINANCE(A304,""LOW"")"),417)</f>
        <v>417</v>
      </c>
      <c r="F304" s="12" t="str">
        <f t="shared" ca="1" si="14"/>
        <v/>
      </c>
      <c r="G304" s="13">
        <f ca="1">IFERROR(__xludf.DUMMYFUNCTION("GOOGLEFINANCE(A304,""CLOSEYEST"")"),423.2)</f>
        <v>423.2</v>
      </c>
      <c r="H304" s="14" t="str">
        <f t="shared" ca="1" si="20"/>
        <v/>
      </c>
      <c r="I304" s="15">
        <f t="shared" ca="1" si="15"/>
        <v>423.2833333333333</v>
      </c>
      <c r="J304" s="16">
        <f t="shared" ca="1" si="16"/>
        <v>429.56666666666661</v>
      </c>
      <c r="K304" s="16"/>
      <c r="L304" s="16">
        <f t="shared" ca="1" si="17"/>
        <v>416.91666666666663</v>
      </c>
      <c r="M304" s="16">
        <f t="shared" ca="1" si="18"/>
        <v>435.93333333333328</v>
      </c>
      <c r="N304" s="16">
        <f t="shared" ca="1" si="19"/>
        <v>410.63333333333333</v>
      </c>
    </row>
    <row r="305" spans="1:14" ht="24.75" customHeight="1" x14ac:dyDescent="0.8">
      <c r="A305" s="18" t="s">
        <v>177</v>
      </c>
      <c r="B305" s="10">
        <f ca="1">IFERROR(__xludf.DUMMYFUNCTION("GOOGLEFINANCE(A305,""PRICE"")"),4696)</f>
        <v>4696</v>
      </c>
      <c r="C305" s="11">
        <f ca="1">IFERROR(__xludf.DUMMYFUNCTION("GOOGLEFINANCE(A305,""PRICEOPEN"")"),4723.5)</f>
        <v>4723.5</v>
      </c>
      <c r="D305" s="11">
        <f ca="1">IFERROR(__xludf.DUMMYFUNCTION("GOOGLEFINANCE(A305,""HIGH"")"),4753.5)</f>
        <v>4753.5</v>
      </c>
      <c r="E305" s="11">
        <f ca="1">IFERROR(__xludf.DUMMYFUNCTION("GOOGLEFINANCE(A305,""LOW"")"),4692)</f>
        <v>4692</v>
      </c>
      <c r="F305" s="12" t="str">
        <f t="shared" ca="1" si="14"/>
        <v/>
      </c>
      <c r="G305" s="13">
        <f ca="1">IFERROR(__xludf.DUMMYFUNCTION("GOOGLEFINANCE(A305,""CLOSEYEST"")"),4704.8)</f>
        <v>4704.8</v>
      </c>
      <c r="H305" s="14" t="str">
        <f t="shared" ca="1" si="20"/>
        <v/>
      </c>
      <c r="I305" s="15">
        <f t="shared" ca="1" si="15"/>
        <v>4716.7666666666664</v>
      </c>
      <c r="J305" s="16">
        <f t="shared" ca="1" si="16"/>
        <v>4741.5333333333328</v>
      </c>
      <c r="K305" s="16"/>
      <c r="L305" s="16">
        <f t="shared" ca="1" si="17"/>
        <v>4680.0333333333328</v>
      </c>
      <c r="M305" s="16">
        <f t="shared" ca="1" si="18"/>
        <v>4778.2666666666664</v>
      </c>
      <c r="N305" s="16">
        <f t="shared" ca="1" si="19"/>
        <v>4655.2666666666664</v>
      </c>
    </row>
    <row r="306" spans="1:14" ht="24.75" customHeight="1" x14ac:dyDescent="0.8">
      <c r="A306" s="18" t="s">
        <v>381</v>
      </c>
      <c r="B306" s="10">
        <f ca="1">IFERROR(__xludf.DUMMYFUNCTION("GOOGLEFINANCE(A306,""PRICE"")"),3213)</f>
        <v>3213</v>
      </c>
      <c r="C306" s="11">
        <f ca="1">IFERROR(__xludf.DUMMYFUNCTION("GOOGLEFINANCE(A306,""PRICEOPEN"")"),3247.8)</f>
        <v>3247.8</v>
      </c>
      <c r="D306" s="11">
        <f ca="1">IFERROR(__xludf.DUMMYFUNCTION("GOOGLEFINANCE(A306,""HIGH"")"),3270.5)</f>
        <v>3270.5</v>
      </c>
      <c r="E306" s="11">
        <f ca="1">IFERROR(__xludf.DUMMYFUNCTION("GOOGLEFINANCE(A306,""LOW"")"),3189.8)</f>
        <v>3189.8</v>
      </c>
      <c r="F306" s="12" t="str">
        <f t="shared" ca="1" si="14"/>
        <v/>
      </c>
      <c r="G306" s="13">
        <f ca="1">IFERROR(__xludf.DUMMYFUNCTION("GOOGLEFINANCE(A306,""CLOSEYEST"")"),3247.8)</f>
        <v>3247.8</v>
      </c>
      <c r="H306" s="14" t="str">
        <f t="shared" ca="1" si="20"/>
        <v/>
      </c>
      <c r="I306" s="15">
        <f t="shared" ca="1" si="15"/>
        <v>3236.0333333333333</v>
      </c>
      <c r="J306" s="16">
        <f t="shared" ca="1" si="16"/>
        <v>3282.2666666666664</v>
      </c>
      <c r="K306" s="16"/>
      <c r="L306" s="16">
        <f t="shared" ca="1" si="17"/>
        <v>3201.5666666666666</v>
      </c>
      <c r="M306" s="16">
        <f t="shared" ca="1" si="18"/>
        <v>3316.7333333333331</v>
      </c>
      <c r="N306" s="16">
        <f t="shared" ca="1" si="19"/>
        <v>3155.3333333333335</v>
      </c>
    </row>
    <row r="307" spans="1:14" ht="24.75" customHeight="1" x14ac:dyDescent="0.8">
      <c r="A307" s="18" t="s">
        <v>577</v>
      </c>
      <c r="B307" s="10">
        <f ca="1">IFERROR(__xludf.DUMMYFUNCTION("GOOGLEFINANCE(A307,""PRICE"")"),9500)</f>
        <v>9500</v>
      </c>
      <c r="C307" s="11">
        <f ca="1">IFERROR(__xludf.DUMMYFUNCTION("GOOGLEFINANCE(A307,""PRICEOPEN"")"),9617)</f>
        <v>9617</v>
      </c>
      <c r="D307" s="11">
        <f ca="1">IFERROR(__xludf.DUMMYFUNCTION("GOOGLEFINANCE(A307,""HIGH"")"),9714)</f>
        <v>9714</v>
      </c>
      <c r="E307" s="11">
        <f ca="1">IFERROR(__xludf.DUMMYFUNCTION("GOOGLEFINANCE(A307,""LOW"")"),9441.5)</f>
        <v>9441.5</v>
      </c>
      <c r="F307" s="12" t="str">
        <f t="shared" ca="1" si="14"/>
        <v/>
      </c>
      <c r="G307" s="13">
        <f ca="1">IFERROR(__xludf.DUMMYFUNCTION("GOOGLEFINANCE(A307,""CLOSEYEST"")"),9598)</f>
        <v>9598</v>
      </c>
      <c r="H307" s="14" t="str">
        <f t="shared" ca="1" si="20"/>
        <v/>
      </c>
      <c r="I307" s="15">
        <f t="shared" ca="1" si="15"/>
        <v>9584.5</v>
      </c>
      <c r="J307" s="16">
        <f t="shared" ca="1" si="16"/>
        <v>9727.5</v>
      </c>
      <c r="K307" s="16"/>
      <c r="L307" s="16">
        <f t="shared" ca="1" si="17"/>
        <v>9455</v>
      </c>
      <c r="M307" s="16">
        <f t="shared" ca="1" si="18"/>
        <v>9857</v>
      </c>
      <c r="N307" s="16">
        <f t="shared" ca="1" si="19"/>
        <v>9312</v>
      </c>
    </row>
    <row r="308" spans="1:14" ht="24.75" customHeight="1" x14ac:dyDescent="0.8">
      <c r="A308" s="18" t="s">
        <v>249</v>
      </c>
      <c r="B308" s="10">
        <f ca="1">IFERROR(__xludf.DUMMYFUNCTION("GOOGLEFINANCE(A308,""PRICE"")"),1558.8)</f>
        <v>1558.8</v>
      </c>
      <c r="C308" s="11">
        <f ca="1">IFERROR(__xludf.DUMMYFUNCTION("GOOGLEFINANCE(A308,""PRICEOPEN"")"),1553)</f>
        <v>1553</v>
      </c>
      <c r="D308" s="11">
        <f ca="1">IFERROR(__xludf.DUMMYFUNCTION("GOOGLEFINANCE(A308,""HIGH"")"),1576.7)</f>
        <v>1576.7</v>
      </c>
      <c r="E308" s="11">
        <f ca="1">IFERROR(__xludf.DUMMYFUNCTION("GOOGLEFINANCE(A308,""LOW"")"),1541.2)</f>
        <v>1541.2</v>
      </c>
      <c r="F308" s="12" t="str">
        <f t="shared" ca="1" si="14"/>
        <v/>
      </c>
      <c r="G308" s="13">
        <f ca="1">IFERROR(__xludf.DUMMYFUNCTION("GOOGLEFINANCE(A308,""CLOSEYEST"")"),1563.8)</f>
        <v>1563.8</v>
      </c>
      <c r="H308" s="14" t="str">
        <f t="shared" ca="1" si="20"/>
        <v/>
      </c>
      <c r="I308" s="15">
        <f t="shared" ca="1" si="15"/>
        <v>1560.5666666666666</v>
      </c>
      <c r="J308" s="16">
        <f t="shared" ca="1" si="16"/>
        <v>1579.9333333333332</v>
      </c>
      <c r="K308" s="16"/>
      <c r="L308" s="16">
        <f t="shared" ca="1" si="17"/>
        <v>1544.4333333333332</v>
      </c>
      <c r="M308" s="16">
        <f t="shared" ca="1" si="18"/>
        <v>1596.0666666666666</v>
      </c>
      <c r="N308" s="16">
        <f t="shared" ca="1" si="19"/>
        <v>1525.0666666666666</v>
      </c>
    </row>
    <row r="309" spans="1:14" ht="24.75" customHeight="1" x14ac:dyDescent="0.8">
      <c r="A309" s="18" t="s">
        <v>47</v>
      </c>
      <c r="B309" s="10">
        <f ca="1">IFERROR(__xludf.DUMMYFUNCTION("GOOGLEFINANCE(A309,""PRICE"")"),5700)</f>
        <v>5700</v>
      </c>
      <c r="C309" s="11">
        <f ca="1">IFERROR(__xludf.DUMMYFUNCTION("GOOGLEFINANCE(A309,""PRICEOPEN"")"),5684)</f>
        <v>5684</v>
      </c>
      <c r="D309" s="11">
        <f ca="1">IFERROR(__xludf.DUMMYFUNCTION("GOOGLEFINANCE(A309,""HIGH"")"),5714)</f>
        <v>5714</v>
      </c>
      <c r="E309" s="11">
        <f ca="1">IFERROR(__xludf.DUMMYFUNCTION("GOOGLEFINANCE(A309,""LOW"")"),5606)</f>
        <v>5606</v>
      </c>
      <c r="F309" s="12" t="str">
        <f t="shared" ca="1" si="14"/>
        <v/>
      </c>
      <c r="G309" s="13">
        <f ca="1">IFERROR(__xludf.DUMMYFUNCTION("GOOGLEFINANCE(A309,""CLOSEYEST"")"),5713.5)</f>
        <v>5713.5</v>
      </c>
      <c r="H309" s="14" t="str">
        <f t="shared" ca="1" si="20"/>
        <v/>
      </c>
      <c r="I309" s="15">
        <f t="shared" ca="1" si="15"/>
        <v>5677.833333333333</v>
      </c>
      <c r="J309" s="16">
        <f t="shared" ca="1" si="16"/>
        <v>5749.6666666666661</v>
      </c>
      <c r="K309" s="16"/>
      <c r="L309" s="16">
        <f t="shared" ca="1" si="17"/>
        <v>5641.6666666666661</v>
      </c>
      <c r="M309" s="16">
        <f t="shared" ca="1" si="18"/>
        <v>5785.833333333333</v>
      </c>
      <c r="N309" s="16">
        <f t="shared" ca="1" si="19"/>
        <v>5569.833333333333</v>
      </c>
    </row>
    <row r="310" spans="1:14" ht="24.75" customHeight="1" x14ac:dyDescent="0.8">
      <c r="A310" s="18" t="s">
        <v>295</v>
      </c>
      <c r="B310" s="10">
        <f ca="1">IFERROR(__xludf.DUMMYFUNCTION("GOOGLEFINANCE(A310,""PRICE"")"),824.4)</f>
        <v>824.4</v>
      </c>
      <c r="C310" s="11">
        <f ca="1">IFERROR(__xludf.DUMMYFUNCTION("GOOGLEFINANCE(A310,""PRICEOPEN"")"),813.7)</f>
        <v>813.7</v>
      </c>
      <c r="D310" s="11">
        <f ca="1">IFERROR(__xludf.DUMMYFUNCTION("GOOGLEFINANCE(A310,""HIGH"")"),825.1)</f>
        <v>825.1</v>
      </c>
      <c r="E310" s="11">
        <f ca="1">IFERROR(__xludf.DUMMYFUNCTION("GOOGLEFINANCE(A310,""LOW"")"),808)</f>
        <v>808</v>
      </c>
      <c r="F310" s="12" t="str">
        <f t="shared" ca="1" si="14"/>
        <v/>
      </c>
      <c r="G310" s="13">
        <f ca="1">IFERROR(__xludf.DUMMYFUNCTION("GOOGLEFINANCE(A310,""CLOSEYEST"")"),806.55)</f>
        <v>806.55</v>
      </c>
      <c r="H310" s="14" t="str">
        <f t="shared" ca="1" si="20"/>
        <v/>
      </c>
      <c r="I310" s="15">
        <f t="shared" ca="1" si="15"/>
        <v>813.21666666666658</v>
      </c>
      <c r="J310" s="16">
        <f t="shared" ca="1" si="16"/>
        <v>818.43333333333317</v>
      </c>
      <c r="K310" s="16"/>
      <c r="L310" s="16">
        <f t="shared" ca="1" si="17"/>
        <v>801.33333333333314</v>
      </c>
      <c r="M310" s="16">
        <f t="shared" ca="1" si="18"/>
        <v>830.31666666666661</v>
      </c>
      <c r="N310" s="16">
        <f t="shared" ca="1" si="19"/>
        <v>796.11666666666656</v>
      </c>
    </row>
    <row r="311" spans="1:14" ht="24.75" customHeight="1" x14ac:dyDescent="0.8">
      <c r="A311" s="18" t="s">
        <v>409</v>
      </c>
      <c r="B311" s="10">
        <f ca="1">IFERROR(__xludf.DUMMYFUNCTION("GOOGLEFINANCE(A311,""PRICE"")"),2950.1)</f>
        <v>2950.1</v>
      </c>
      <c r="C311" s="11">
        <f ca="1">IFERROR(__xludf.DUMMYFUNCTION("GOOGLEFINANCE(A311,""PRICEOPEN"")"),2940)</f>
        <v>2940</v>
      </c>
      <c r="D311" s="11">
        <f ca="1">IFERROR(__xludf.DUMMYFUNCTION("GOOGLEFINANCE(A311,""HIGH"")"),2968.9)</f>
        <v>2968.9</v>
      </c>
      <c r="E311" s="11">
        <f ca="1">IFERROR(__xludf.DUMMYFUNCTION("GOOGLEFINANCE(A311,""LOW"")"),2897)</f>
        <v>2897</v>
      </c>
      <c r="F311" s="12" t="str">
        <f t="shared" ca="1" si="14"/>
        <v/>
      </c>
      <c r="G311" s="13">
        <f ca="1">IFERROR(__xludf.DUMMYFUNCTION("GOOGLEFINANCE(A311,""CLOSEYEST"")"),2914.2)</f>
        <v>2914.2</v>
      </c>
      <c r="H311" s="14" t="str">
        <f t="shared" ca="1" si="20"/>
        <v/>
      </c>
      <c r="I311" s="15">
        <f t="shared" ca="1" si="15"/>
        <v>2926.6999999999994</v>
      </c>
      <c r="J311" s="16">
        <f t="shared" ca="1" si="16"/>
        <v>2956.3999999999987</v>
      </c>
      <c r="K311" s="16"/>
      <c r="L311" s="16">
        <f t="shared" ca="1" si="17"/>
        <v>2884.4999999999986</v>
      </c>
      <c r="M311" s="16">
        <f t="shared" ca="1" si="18"/>
        <v>2998.5999999999995</v>
      </c>
      <c r="N311" s="16">
        <f t="shared" ca="1" si="19"/>
        <v>2854.7999999999993</v>
      </c>
    </row>
    <row r="312" spans="1:14" ht="24.75" customHeight="1" x14ac:dyDescent="0.8">
      <c r="A312" s="18" t="s">
        <v>1611</v>
      </c>
      <c r="B312" s="10">
        <f ca="1">IFERROR(__xludf.DUMMYFUNCTION("GOOGLEFINANCE(A312,""PRICE"")"),7.75)</f>
        <v>7.75</v>
      </c>
      <c r="C312" s="11">
        <f ca="1">IFERROR(__xludf.DUMMYFUNCTION("GOOGLEFINANCE(A312,""PRICEOPEN"")"),7.62)</f>
        <v>7.62</v>
      </c>
      <c r="D312" s="11">
        <f ca="1">IFERROR(__xludf.DUMMYFUNCTION("GOOGLEFINANCE(A312,""HIGH"")"),7.76)</f>
        <v>7.76</v>
      </c>
      <c r="E312" s="11">
        <f ca="1">IFERROR(__xludf.DUMMYFUNCTION("GOOGLEFINANCE(A312,""LOW"")"),7.58)</f>
        <v>7.58</v>
      </c>
      <c r="F312" s="12" t="str">
        <f t="shared" ca="1" si="14"/>
        <v/>
      </c>
      <c r="G312" s="13">
        <f ca="1">IFERROR(__xludf.DUMMYFUNCTION("GOOGLEFINANCE(A312,""CLOSEYEST"")"),7.56)</f>
        <v>7.56</v>
      </c>
      <c r="H312" s="14" t="str">
        <f t="shared" ca="1" si="20"/>
        <v/>
      </c>
      <c r="I312" s="15">
        <f t="shared" ca="1" si="15"/>
        <v>7.6333333333333329</v>
      </c>
      <c r="J312" s="16">
        <f t="shared" ca="1" si="16"/>
        <v>7.6866666666666656</v>
      </c>
      <c r="K312" s="16"/>
      <c r="L312" s="16">
        <f t="shared" ca="1" si="17"/>
        <v>7.5066666666666659</v>
      </c>
      <c r="M312" s="16">
        <f t="shared" ca="1" si="18"/>
        <v>7.8133333333333326</v>
      </c>
      <c r="N312" s="16">
        <f t="shared" ca="1" si="19"/>
        <v>7.4533333333333331</v>
      </c>
    </row>
    <row r="313" spans="1:14" ht="24.75" customHeight="1" x14ac:dyDescent="0.8">
      <c r="A313" s="18" t="s">
        <v>98</v>
      </c>
      <c r="B313" s="10">
        <f ca="1">IFERROR(__xludf.DUMMYFUNCTION("GOOGLEFINANCE(A313,""PRICE"")"),910)</f>
        <v>910</v>
      </c>
      <c r="C313" s="11">
        <f ca="1">IFERROR(__xludf.DUMMYFUNCTION("GOOGLEFINANCE(A313,""PRICEOPEN"")"),909)</f>
        <v>909</v>
      </c>
      <c r="D313" s="11">
        <f ca="1">IFERROR(__xludf.DUMMYFUNCTION("GOOGLEFINANCE(A313,""HIGH"")"),921.9)</f>
        <v>921.9</v>
      </c>
      <c r="E313" s="11">
        <f ca="1">IFERROR(__xludf.DUMMYFUNCTION("GOOGLEFINANCE(A313,""LOW"")"),905.7)</f>
        <v>905.7</v>
      </c>
      <c r="F313" s="12" t="str">
        <f t="shared" ca="1" si="14"/>
        <v/>
      </c>
      <c r="G313" s="13">
        <f ca="1">IFERROR(__xludf.DUMMYFUNCTION("GOOGLEFINANCE(A313,""CLOSEYEST"")"),904.3)</f>
        <v>904.3</v>
      </c>
      <c r="H313" s="14" t="str">
        <f t="shared" ca="1" si="20"/>
        <v/>
      </c>
      <c r="I313" s="15">
        <f t="shared" ca="1" si="15"/>
        <v>910.63333333333321</v>
      </c>
      <c r="J313" s="16">
        <f t="shared" ca="1" si="16"/>
        <v>915.56666666666638</v>
      </c>
      <c r="K313" s="16"/>
      <c r="L313" s="16">
        <f t="shared" ca="1" si="17"/>
        <v>899.36666666666645</v>
      </c>
      <c r="M313" s="16">
        <f t="shared" ca="1" si="18"/>
        <v>926.83333333333314</v>
      </c>
      <c r="N313" s="16">
        <f t="shared" ca="1" si="19"/>
        <v>894.43333333333328</v>
      </c>
    </row>
    <row r="314" spans="1:14" ht="24.75" customHeight="1" x14ac:dyDescent="0.8">
      <c r="A314" s="18" t="s">
        <v>48</v>
      </c>
      <c r="B314" s="10">
        <f ca="1">IFERROR(__xludf.DUMMYFUNCTION("GOOGLEFINANCE(A314,""PRICE"")"),1996.7)</f>
        <v>1996.7</v>
      </c>
      <c r="C314" s="11">
        <f ca="1">IFERROR(__xludf.DUMMYFUNCTION("GOOGLEFINANCE(A314,""PRICEOPEN"")"),2030)</f>
        <v>2030</v>
      </c>
      <c r="D314" s="11">
        <f ca="1">IFERROR(__xludf.DUMMYFUNCTION("GOOGLEFINANCE(A314,""HIGH"")"),2031.9)</f>
        <v>2031.9</v>
      </c>
      <c r="E314" s="11">
        <f ca="1">IFERROR(__xludf.DUMMYFUNCTION("GOOGLEFINANCE(A314,""LOW"")"),1991.1)</f>
        <v>1991.1</v>
      </c>
      <c r="F314" s="12" t="str">
        <f t="shared" ca="1" si="14"/>
        <v/>
      </c>
      <c r="G314" s="13">
        <f ca="1">IFERROR(__xludf.DUMMYFUNCTION("GOOGLEFINANCE(A314,""CLOSEYEST"")"),2041.1)</f>
        <v>2041.1</v>
      </c>
      <c r="H314" s="14" t="str">
        <f t="shared" ca="1" si="20"/>
        <v/>
      </c>
      <c r="I314" s="15">
        <f t="shared" ca="1" si="15"/>
        <v>2021.3666666666668</v>
      </c>
      <c r="J314" s="16">
        <f t="shared" ca="1" si="16"/>
        <v>2051.6333333333337</v>
      </c>
      <c r="K314" s="16"/>
      <c r="L314" s="16">
        <f t="shared" ca="1" si="17"/>
        <v>2010.8333333333335</v>
      </c>
      <c r="M314" s="16">
        <f t="shared" ca="1" si="18"/>
        <v>2062.166666666667</v>
      </c>
      <c r="N314" s="16">
        <f t="shared" ca="1" si="19"/>
        <v>1980.5666666666666</v>
      </c>
    </row>
    <row r="315" spans="1:14" ht="24.75" customHeight="1" x14ac:dyDescent="0.8">
      <c r="A315" s="18" t="s">
        <v>362</v>
      </c>
      <c r="B315" s="10">
        <f ca="1">IFERROR(__xludf.DUMMYFUNCTION("GOOGLEFINANCE(A315,""PRICE"")"),1489.8)</f>
        <v>1489.8</v>
      </c>
      <c r="C315" s="11">
        <f ca="1">IFERROR(__xludf.DUMMYFUNCTION("GOOGLEFINANCE(A315,""PRICEOPEN"")"),1475.5)</f>
        <v>1475.5</v>
      </c>
      <c r="D315" s="11">
        <f ca="1">IFERROR(__xludf.DUMMYFUNCTION("GOOGLEFINANCE(A315,""HIGH"")"),1493.9)</f>
        <v>1493.9</v>
      </c>
      <c r="E315" s="11">
        <f ca="1">IFERROR(__xludf.DUMMYFUNCTION("GOOGLEFINANCE(A315,""LOW"")"),1470)</f>
        <v>1470</v>
      </c>
      <c r="F315" s="12" t="str">
        <f t="shared" ca="1" si="14"/>
        <v/>
      </c>
      <c r="G315" s="13">
        <f ca="1">IFERROR(__xludf.DUMMYFUNCTION("GOOGLEFINANCE(A315,""CLOSEYEST"")"),1475.5)</f>
        <v>1475.5</v>
      </c>
      <c r="H315" s="14" t="str">
        <f t="shared" ca="1" si="20"/>
        <v/>
      </c>
      <c r="I315" s="15">
        <f t="shared" ca="1" si="15"/>
        <v>1479.8</v>
      </c>
      <c r="J315" s="16">
        <f t="shared" ca="1" si="16"/>
        <v>1489.6</v>
      </c>
      <c r="K315" s="16"/>
      <c r="L315" s="16">
        <f t="shared" ca="1" si="17"/>
        <v>1465.6999999999998</v>
      </c>
      <c r="M315" s="16">
        <f t="shared" ca="1" si="18"/>
        <v>1503.7</v>
      </c>
      <c r="N315" s="16">
        <f t="shared" ca="1" si="19"/>
        <v>1455.8999999999999</v>
      </c>
    </row>
    <row r="316" spans="1:14" ht="24.75" customHeight="1" x14ac:dyDescent="0.8">
      <c r="A316" s="18" t="s">
        <v>160</v>
      </c>
      <c r="B316" s="10" t="str">
        <f ca="1">IFERROR(__xludf.DUMMYFUNCTION("GOOGLEFINANCE(A316,""PRICE"")"),"#N/A")</f>
        <v>#N/A</v>
      </c>
      <c r="C316" s="11" t="str">
        <f ca="1">IFERROR(__xludf.DUMMYFUNCTION("GOOGLEFINANCE(A316,""PRICEOPEN"")"),"#N/A")</f>
        <v>#N/A</v>
      </c>
      <c r="D316" s="11" t="str">
        <f ca="1">IFERROR(__xludf.DUMMYFUNCTION("GOOGLEFINANCE(A316,""HIGH"")"),"#N/A")</f>
        <v>#N/A</v>
      </c>
      <c r="E316" s="11" t="str">
        <f ca="1">IFERROR(__xludf.DUMMYFUNCTION("GOOGLEFINANCE(A316,""LOW"")"),"#N/A")</f>
        <v>#N/A</v>
      </c>
      <c r="F316" s="12" t="str">
        <f t="shared" ca="1" si="14"/>
        <v>SELL</v>
      </c>
      <c r="G316" s="13" t="str">
        <f ca="1">IFERROR(__xludf.DUMMYFUNCTION("GOOGLEFINANCE(A316,""CLOSEYEST"")"),"#N/A")</f>
        <v>#N/A</v>
      </c>
      <c r="H316" s="14" t="e">
        <f t="shared" ca="1" si="20"/>
        <v>#VALUE!</v>
      </c>
      <c r="I316" s="15" t="e">
        <f t="shared" ca="1" si="15"/>
        <v>#VALUE!</v>
      </c>
      <c r="J316" s="16" t="e">
        <f t="shared" ca="1" si="16"/>
        <v>#VALUE!</v>
      </c>
      <c r="K316" s="16"/>
      <c r="L316" s="16" t="e">
        <f t="shared" ca="1" si="17"/>
        <v>#VALUE!</v>
      </c>
      <c r="M316" s="16" t="e">
        <f t="shared" ca="1" si="18"/>
        <v>#VALUE!</v>
      </c>
      <c r="N316" s="16" t="e">
        <f t="shared" ca="1" si="19"/>
        <v>#VALUE!</v>
      </c>
    </row>
    <row r="317" spans="1:14" ht="24.75" customHeight="1" x14ac:dyDescent="0.8">
      <c r="A317" s="18" t="s">
        <v>153</v>
      </c>
      <c r="B317" s="10">
        <f ca="1">IFERROR(__xludf.DUMMYFUNCTION("GOOGLEFINANCE(A317,""PRICE"")"),350.4)</f>
        <v>350.4</v>
      </c>
      <c r="C317" s="11">
        <f ca="1">IFERROR(__xludf.DUMMYFUNCTION("GOOGLEFINANCE(A317,""PRICEOPEN"")"),350.3)</f>
        <v>350.3</v>
      </c>
      <c r="D317" s="11">
        <f ca="1">IFERROR(__xludf.DUMMYFUNCTION("GOOGLEFINANCE(A317,""HIGH"")"),351.2)</f>
        <v>351.2</v>
      </c>
      <c r="E317" s="11">
        <f ca="1">IFERROR(__xludf.DUMMYFUNCTION("GOOGLEFINANCE(A317,""LOW"")"),346.5)</f>
        <v>346.5</v>
      </c>
      <c r="F317" s="12" t="str">
        <f t="shared" ca="1" si="14"/>
        <v/>
      </c>
      <c r="G317" s="13">
        <f ca="1">IFERROR(__xludf.DUMMYFUNCTION("GOOGLEFINANCE(A317,""CLOSEYEST"")"),350.3)</f>
        <v>350.3</v>
      </c>
      <c r="H317" s="14" t="str">
        <f t="shared" ca="1" si="20"/>
        <v/>
      </c>
      <c r="I317" s="15">
        <f t="shared" ca="1" si="15"/>
        <v>349.33333333333331</v>
      </c>
      <c r="J317" s="16">
        <f t="shared" ca="1" si="16"/>
        <v>352.16666666666663</v>
      </c>
      <c r="K317" s="16"/>
      <c r="L317" s="16">
        <f t="shared" ca="1" si="17"/>
        <v>347.46666666666664</v>
      </c>
      <c r="M317" s="16">
        <f t="shared" ca="1" si="18"/>
        <v>354.0333333333333</v>
      </c>
      <c r="N317" s="16">
        <f t="shared" ca="1" si="19"/>
        <v>344.63333333333333</v>
      </c>
    </row>
    <row r="318" spans="1:14" ht="24.75" customHeight="1" x14ac:dyDescent="0.8">
      <c r="A318" s="18" t="s">
        <v>477</v>
      </c>
      <c r="B318" s="10">
        <f ca="1">IFERROR(__xludf.DUMMYFUNCTION("GOOGLEFINANCE(A318,""PRICE"")"),30.82)</f>
        <v>30.82</v>
      </c>
      <c r="C318" s="11">
        <f ca="1">IFERROR(__xludf.DUMMYFUNCTION("GOOGLEFINANCE(A318,""PRICEOPEN"")"),30.62)</f>
        <v>30.62</v>
      </c>
      <c r="D318" s="11">
        <f ca="1">IFERROR(__xludf.DUMMYFUNCTION("GOOGLEFINANCE(A318,""HIGH"")"),30.99)</f>
        <v>30.99</v>
      </c>
      <c r="E318" s="11">
        <f ca="1">IFERROR(__xludf.DUMMYFUNCTION("GOOGLEFINANCE(A318,""LOW"")"),30.55)</f>
        <v>30.55</v>
      </c>
      <c r="F318" s="12" t="str">
        <f t="shared" ca="1" si="14"/>
        <v/>
      </c>
      <c r="G318" s="13">
        <f ca="1">IFERROR(__xludf.DUMMYFUNCTION("GOOGLEFINANCE(A318,""CLOSEYEST"")"),30.62)</f>
        <v>30.62</v>
      </c>
      <c r="H318" s="14" t="str">
        <f t="shared" ca="1" si="20"/>
        <v/>
      </c>
      <c r="I318" s="15">
        <f t="shared" ca="1" si="15"/>
        <v>30.72</v>
      </c>
      <c r="J318" s="16">
        <f t="shared" ca="1" si="16"/>
        <v>30.889999999999997</v>
      </c>
      <c r="K318" s="16"/>
      <c r="L318" s="16">
        <f t="shared" ca="1" si="17"/>
        <v>30.45</v>
      </c>
      <c r="M318" s="16">
        <f t="shared" ca="1" si="18"/>
        <v>31.159999999999997</v>
      </c>
      <c r="N318" s="16">
        <f t="shared" ca="1" si="19"/>
        <v>30.28</v>
      </c>
    </row>
    <row r="319" spans="1:14" ht="24.75" customHeight="1" x14ac:dyDescent="0.8">
      <c r="A319" s="18" t="s">
        <v>277</v>
      </c>
      <c r="B319" s="10">
        <f ca="1">IFERROR(__xludf.DUMMYFUNCTION("GOOGLEFINANCE(A319,""PRICE"")"),528.8)</f>
        <v>528.79999999999995</v>
      </c>
      <c r="C319" s="11">
        <f ca="1">IFERROR(__xludf.DUMMYFUNCTION("GOOGLEFINANCE(A319,""PRICEOPEN"")"),440.7)</f>
        <v>440.7</v>
      </c>
      <c r="D319" s="11">
        <f ca="1">IFERROR(__xludf.DUMMYFUNCTION("GOOGLEFINANCE(A319,""HIGH"")"),528.8)</f>
        <v>528.79999999999995</v>
      </c>
      <c r="E319" s="11">
        <f ca="1">IFERROR(__xludf.DUMMYFUNCTION("GOOGLEFINANCE(A319,""LOW"")"),438.35)</f>
        <v>438.35</v>
      </c>
      <c r="F319" s="12" t="str">
        <f t="shared" ca="1" si="14"/>
        <v/>
      </c>
      <c r="G319" s="13">
        <f ca="1">IFERROR(__xludf.DUMMYFUNCTION("GOOGLEFINANCE(A319,""CLOSEYEST"")"),440.7)</f>
        <v>440.7</v>
      </c>
      <c r="H319" s="14" t="str">
        <f t="shared" ca="1" si="20"/>
        <v/>
      </c>
      <c r="I319" s="15">
        <f t="shared" ca="1" si="15"/>
        <v>469.2833333333333</v>
      </c>
      <c r="J319" s="16">
        <f t="shared" ca="1" si="16"/>
        <v>500.21666666666658</v>
      </c>
      <c r="K319" s="16"/>
      <c r="L319" s="16">
        <f t="shared" ca="1" si="17"/>
        <v>409.76666666666665</v>
      </c>
      <c r="M319" s="16">
        <f t="shared" ca="1" si="18"/>
        <v>559.73333333333323</v>
      </c>
      <c r="N319" s="16">
        <f t="shared" ca="1" si="19"/>
        <v>378.83333333333337</v>
      </c>
    </row>
    <row r="320" spans="1:14" ht="24.75" customHeight="1" x14ac:dyDescent="0.8">
      <c r="A320" s="18" t="s">
        <v>516</v>
      </c>
      <c r="B320" s="10">
        <f ca="1">IFERROR(__xludf.DUMMYFUNCTION("GOOGLEFINANCE(A320,""PRICE"")"),1193)</f>
        <v>1193</v>
      </c>
      <c r="C320" s="11">
        <f ca="1">IFERROR(__xludf.DUMMYFUNCTION("GOOGLEFINANCE(A320,""PRICEOPEN"")"),1177.7)</f>
        <v>1177.7</v>
      </c>
      <c r="D320" s="11">
        <f ca="1">IFERROR(__xludf.DUMMYFUNCTION("GOOGLEFINANCE(A320,""HIGH"")"),1199.5)</f>
        <v>1199.5</v>
      </c>
      <c r="E320" s="11">
        <f ca="1">IFERROR(__xludf.DUMMYFUNCTION("GOOGLEFINANCE(A320,""LOW"")"),1169.7)</f>
        <v>1169.7</v>
      </c>
      <c r="F320" s="12" t="str">
        <f t="shared" ca="1" si="14"/>
        <v/>
      </c>
      <c r="G320" s="13">
        <f ca="1">IFERROR(__xludf.DUMMYFUNCTION("GOOGLEFINANCE(A320,""CLOSEYEST"")"),1169.5)</f>
        <v>1169.5</v>
      </c>
      <c r="H320" s="14" t="str">
        <f t="shared" ca="1" si="20"/>
        <v/>
      </c>
      <c r="I320" s="15">
        <f t="shared" ca="1" si="15"/>
        <v>1179.5666666666666</v>
      </c>
      <c r="J320" s="16">
        <f t="shared" ca="1" si="16"/>
        <v>1189.4333333333332</v>
      </c>
      <c r="K320" s="16"/>
      <c r="L320" s="16">
        <f t="shared" ca="1" si="17"/>
        <v>1159.6333333333332</v>
      </c>
      <c r="M320" s="16">
        <f t="shared" ca="1" si="18"/>
        <v>1209.3666666666666</v>
      </c>
      <c r="N320" s="16">
        <f t="shared" ca="1" si="19"/>
        <v>1149.7666666666667</v>
      </c>
    </row>
    <row r="321" spans="1:14" ht="24.75" customHeight="1" x14ac:dyDescent="0.8">
      <c r="A321" s="18" t="s">
        <v>1612</v>
      </c>
      <c r="B321" s="10">
        <f ca="1">IFERROR(__xludf.DUMMYFUNCTION("GOOGLEFINANCE(A321,""PRICE"")"),3075)</f>
        <v>3075</v>
      </c>
      <c r="C321" s="11">
        <f ca="1">IFERROR(__xludf.DUMMYFUNCTION("GOOGLEFINANCE(A321,""PRICEOPEN"")"),3068.8)</f>
        <v>3068.8</v>
      </c>
      <c r="D321" s="11">
        <f ca="1">IFERROR(__xludf.DUMMYFUNCTION("GOOGLEFINANCE(A321,""HIGH"")"),3091.6)</f>
        <v>3091.6</v>
      </c>
      <c r="E321" s="11">
        <f ca="1">IFERROR(__xludf.DUMMYFUNCTION("GOOGLEFINANCE(A321,""LOW"")"),3020.6)</f>
        <v>3020.6</v>
      </c>
      <c r="F321" s="12" t="str">
        <f t="shared" ca="1" si="14"/>
        <v/>
      </c>
      <c r="G321" s="13">
        <f ca="1">IFERROR(__xludf.DUMMYFUNCTION("GOOGLEFINANCE(A321,""CLOSEYEST"")"),3068.8)</f>
        <v>3068.8</v>
      </c>
      <c r="H321" s="14" t="str">
        <f t="shared" ca="1" si="20"/>
        <v/>
      </c>
      <c r="I321" s="15">
        <f t="shared" ca="1" si="15"/>
        <v>3060.3333333333335</v>
      </c>
      <c r="J321" s="16">
        <f t="shared" ca="1" si="16"/>
        <v>3100.0666666666671</v>
      </c>
      <c r="K321" s="16"/>
      <c r="L321" s="16">
        <f t="shared" ca="1" si="17"/>
        <v>3029.0666666666671</v>
      </c>
      <c r="M321" s="16">
        <f t="shared" ca="1" si="18"/>
        <v>3131.3333333333335</v>
      </c>
      <c r="N321" s="16">
        <f t="shared" ca="1" si="19"/>
        <v>2989.3333333333335</v>
      </c>
    </row>
    <row r="322" spans="1:14" ht="24.75" customHeight="1" x14ac:dyDescent="0.8">
      <c r="A322" s="18" t="s">
        <v>298</v>
      </c>
      <c r="B322" s="10" t="str">
        <f ca="1">IFERROR(__xludf.DUMMYFUNCTION("GOOGLEFINANCE(A322,""PRICE"")"),"#N/A")</f>
        <v>#N/A</v>
      </c>
      <c r="C322" s="11" t="str">
        <f ca="1">IFERROR(__xludf.DUMMYFUNCTION("GOOGLEFINANCE(A322,""PRICEOPEN"")"),"#N/A")</f>
        <v>#N/A</v>
      </c>
      <c r="D322" s="11" t="str">
        <f ca="1">IFERROR(__xludf.DUMMYFUNCTION("GOOGLEFINANCE(A322,""HIGH"")"),"#N/A")</f>
        <v>#N/A</v>
      </c>
      <c r="E322" s="11" t="str">
        <f ca="1">IFERROR(__xludf.DUMMYFUNCTION("GOOGLEFINANCE(A322,""LOW"")"),"#N/A")</f>
        <v>#N/A</v>
      </c>
      <c r="F322" s="12" t="str">
        <f t="shared" ca="1" si="14"/>
        <v>SELL</v>
      </c>
      <c r="G322" s="13" t="str">
        <f ca="1">IFERROR(__xludf.DUMMYFUNCTION("GOOGLEFINANCE(A322,""CLOSEYEST"")"),"#N/A")</f>
        <v>#N/A</v>
      </c>
      <c r="H322" s="14" t="e">
        <f t="shared" ca="1" si="20"/>
        <v>#VALUE!</v>
      </c>
      <c r="I322" s="15" t="e">
        <f t="shared" ca="1" si="15"/>
        <v>#VALUE!</v>
      </c>
      <c r="J322" s="16" t="e">
        <f t="shared" ca="1" si="16"/>
        <v>#VALUE!</v>
      </c>
      <c r="K322" s="16"/>
      <c r="L322" s="16" t="e">
        <f t="shared" ca="1" si="17"/>
        <v>#VALUE!</v>
      </c>
      <c r="M322" s="16" t="e">
        <f t="shared" ca="1" si="18"/>
        <v>#VALUE!</v>
      </c>
      <c r="N322" s="16" t="e">
        <f t="shared" ca="1" si="19"/>
        <v>#VALUE!</v>
      </c>
    </row>
    <row r="323" spans="1:14" ht="24.75" customHeight="1" x14ac:dyDescent="0.8">
      <c r="A323" s="18" t="s">
        <v>105</v>
      </c>
      <c r="B323" s="10">
        <f ca="1">IFERROR(__xludf.DUMMYFUNCTION("GOOGLEFINANCE(A323,""PRICE"")"),17.89)</f>
        <v>17.89</v>
      </c>
      <c r="C323" s="11">
        <f ca="1">IFERROR(__xludf.DUMMYFUNCTION("GOOGLEFINANCE(A323,""PRICEOPEN"")"),17.37)</f>
        <v>17.37</v>
      </c>
      <c r="D323" s="11">
        <f ca="1">IFERROR(__xludf.DUMMYFUNCTION("GOOGLEFINANCE(A323,""HIGH"")"),17.89)</f>
        <v>17.89</v>
      </c>
      <c r="E323" s="11">
        <f ca="1">IFERROR(__xludf.DUMMYFUNCTION("GOOGLEFINANCE(A323,""LOW"")"),17.37)</f>
        <v>17.37</v>
      </c>
      <c r="F323" s="12" t="str">
        <f t="shared" ca="1" si="14"/>
        <v>BUY</v>
      </c>
      <c r="G323" s="13">
        <f ca="1">IFERROR(__xludf.DUMMYFUNCTION("GOOGLEFINANCE(A323,""CLOSEYEST"")"),17.44)</f>
        <v>17.440000000000001</v>
      </c>
      <c r="H323" s="14" t="str">
        <f t="shared" ca="1" si="20"/>
        <v/>
      </c>
      <c r="I323" s="15">
        <f t="shared" ca="1" si="15"/>
        <v>17.566666666666666</v>
      </c>
      <c r="J323" s="16">
        <f t="shared" ca="1" si="16"/>
        <v>17.763333333333332</v>
      </c>
      <c r="K323" s="16"/>
      <c r="L323" s="16">
        <f t="shared" ca="1" si="17"/>
        <v>17.243333333333332</v>
      </c>
      <c r="M323" s="16">
        <f t="shared" ca="1" si="18"/>
        <v>18.086666666666666</v>
      </c>
      <c r="N323" s="16">
        <f t="shared" ca="1" si="19"/>
        <v>17.046666666666667</v>
      </c>
    </row>
    <row r="324" spans="1:14" ht="24.75" customHeight="1" x14ac:dyDescent="0.8">
      <c r="A324" s="18" t="s">
        <v>403</v>
      </c>
      <c r="B324" s="10">
        <f ca="1">IFERROR(__xludf.DUMMYFUNCTION("GOOGLEFINANCE(A324,""PRICE"")"),42.14)</f>
        <v>42.14</v>
      </c>
      <c r="C324" s="11">
        <f ca="1">IFERROR(__xludf.DUMMYFUNCTION("GOOGLEFINANCE(A324,""PRICEOPEN"")"),41.5)</f>
        <v>41.5</v>
      </c>
      <c r="D324" s="11">
        <f ca="1">IFERROR(__xludf.DUMMYFUNCTION("GOOGLEFINANCE(A324,""HIGH"")"),42.15)</f>
        <v>42.15</v>
      </c>
      <c r="E324" s="11">
        <f ca="1">IFERROR(__xludf.DUMMYFUNCTION("GOOGLEFINANCE(A324,""LOW"")"),41.4)</f>
        <v>41.4</v>
      </c>
      <c r="F324" s="12" t="str">
        <f t="shared" ca="1" si="14"/>
        <v/>
      </c>
      <c r="G324" s="13">
        <f ca="1">IFERROR(__xludf.DUMMYFUNCTION("GOOGLEFINANCE(A324,""CLOSEYEST"")"),41.47)</f>
        <v>41.47</v>
      </c>
      <c r="H324" s="14" t="str">
        <f t="shared" ca="1" si="20"/>
        <v/>
      </c>
      <c r="I324" s="15">
        <f t="shared" ca="1" si="15"/>
        <v>41.673333333333332</v>
      </c>
      <c r="J324" s="16">
        <f t="shared" ca="1" si="16"/>
        <v>41.946666666666665</v>
      </c>
      <c r="K324" s="16"/>
      <c r="L324" s="16">
        <f t="shared" ca="1" si="17"/>
        <v>41.196666666666665</v>
      </c>
      <c r="M324" s="16">
        <f t="shared" ca="1" si="18"/>
        <v>42.423333333333332</v>
      </c>
      <c r="N324" s="16">
        <f t="shared" ca="1" si="19"/>
        <v>40.923333333333332</v>
      </c>
    </row>
    <row r="325" spans="1:14" ht="24.75" customHeight="1" x14ac:dyDescent="0.8">
      <c r="A325" s="18" t="s">
        <v>102</v>
      </c>
      <c r="B325" s="10">
        <f ca="1">IFERROR(__xludf.DUMMYFUNCTION("GOOGLEFINANCE(A325,""PRICE"")"),407.2)</f>
        <v>407.2</v>
      </c>
      <c r="C325" s="11">
        <f ca="1">IFERROR(__xludf.DUMMYFUNCTION("GOOGLEFINANCE(A325,""PRICEOPEN"")"),413.85)</f>
        <v>413.85</v>
      </c>
      <c r="D325" s="11">
        <f ca="1">IFERROR(__xludf.DUMMYFUNCTION("GOOGLEFINANCE(A325,""HIGH"")"),413.85)</f>
        <v>413.85</v>
      </c>
      <c r="E325" s="11">
        <f ca="1">IFERROR(__xludf.DUMMYFUNCTION("GOOGLEFINANCE(A325,""LOW"")"),407.05)</f>
        <v>407.05</v>
      </c>
      <c r="F325" s="12" t="str">
        <f t="shared" ca="1" si="14"/>
        <v>SELL</v>
      </c>
      <c r="G325" s="13">
        <f ca="1">IFERROR(__xludf.DUMMYFUNCTION("GOOGLEFINANCE(A325,""CLOSEYEST"")"),409.45)</f>
        <v>409.45</v>
      </c>
      <c r="H325" s="14" t="str">
        <f t="shared" ca="1" si="20"/>
        <v>GAP UP</v>
      </c>
      <c r="I325" s="15">
        <f t="shared" ca="1" si="15"/>
        <v>410.11666666666673</v>
      </c>
      <c r="J325" s="16">
        <f t="shared" ca="1" si="16"/>
        <v>413.18333333333345</v>
      </c>
      <c r="K325" s="16"/>
      <c r="L325" s="16">
        <f t="shared" ca="1" si="17"/>
        <v>406.38333333333344</v>
      </c>
      <c r="M325" s="16">
        <f t="shared" ca="1" si="18"/>
        <v>416.91666666666674</v>
      </c>
      <c r="N325" s="16">
        <f t="shared" ca="1" si="19"/>
        <v>403.31666666666672</v>
      </c>
    </row>
    <row r="326" spans="1:14" ht="24.75" customHeight="1" x14ac:dyDescent="0.8">
      <c r="A326" s="18" t="s">
        <v>273</v>
      </c>
      <c r="B326" s="10">
        <f ca="1">IFERROR(__xludf.DUMMYFUNCTION("GOOGLEFINANCE(A326,""PRICE"")"),398)</f>
        <v>398</v>
      </c>
      <c r="C326" s="11">
        <f ca="1">IFERROR(__xludf.DUMMYFUNCTION("GOOGLEFINANCE(A326,""PRICEOPEN"")"),394.9)</f>
        <v>394.9</v>
      </c>
      <c r="D326" s="11">
        <f ca="1">IFERROR(__xludf.DUMMYFUNCTION("GOOGLEFINANCE(A326,""HIGH"")"),398.35)</f>
        <v>398.35</v>
      </c>
      <c r="E326" s="11">
        <f ca="1">IFERROR(__xludf.DUMMYFUNCTION("GOOGLEFINANCE(A326,""LOW"")"),392.5)</f>
        <v>392.5</v>
      </c>
      <c r="F326" s="12" t="str">
        <f t="shared" ca="1" si="14"/>
        <v/>
      </c>
      <c r="G326" s="13">
        <f ca="1">IFERROR(__xludf.DUMMYFUNCTION("GOOGLEFINANCE(A326,""CLOSEYEST"")"),395.05)</f>
        <v>395.05</v>
      </c>
      <c r="H326" s="14" t="str">
        <f t="shared" ca="1" si="20"/>
        <v/>
      </c>
      <c r="I326" s="15">
        <f t="shared" ca="1" si="15"/>
        <v>395.3</v>
      </c>
      <c r="J326" s="16">
        <f t="shared" ca="1" si="16"/>
        <v>398.1</v>
      </c>
      <c r="K326" s="16"/>
      <c r="L326" s="16">
        <f t="shared" ca="1" si="17"/>
        <v>392.25</v>
      </c>
      <c r="M326" s="16">
        <f t="shared" ca="1" si="18"/>
        <v>401.15000000000003</v>
      </c>
      <c r="N326" s="16">
        <f t="shared" ca="1" si="19"/>
        <v>389.45</v>
      </c>
    </row>
    <row r="327" spans="1:14" ht="24.75" customHeight="1" x14ac:dyDescent="0.8">
      <c r="A327" s="18" t="s">
        <v>364</v>
      </c>
      <c r="B327" s="10">
        <f ca="1">IFERROR(__xludf.DUMMYFUNCTION("GOOGLEFINANCE(A327,""PRICE"")"),472)</f>
        <v>472</v>
      </c>
      <c r="C327" s="11">
        <f ca="1">IFERROR(__xludf.DUMMYFUNCTION("GOOGLEFINANCE(A327,""PRICEOPEN"")"),469.2)</f>
        <v>469.2</v>
      </c>
      <c r="D327" s="11">
        <f ca="1">IFERROR(__xludf.DUMMYFUNCTION("GOOGLEFINANCE(A327,""HIGH"")"),475.5)</f>
        <v>475.5</v>
      </c>
      <c r="E327" s="11">
        <f ca="1">IFERROR(__xludf.DUMMYFUNCTION("GOOGLEFINANCE(A327,""LOW"")"),466.25)</f>
        <v>466.25</v>
      </c>
      <c r="F327" s="12" t="str">
        <f t="shared" ca="1" si="14"/>
        <v/>
      </c>
      <c r="G327" s="13">
        <f ca="1">IFERROR(__xludf.DUMMYFUNCTION("GOOGLEFINANCE(A327,""CLOSEYEST"")"),467.65)</f>
        <v>467.65</v>
      </c>
      <c r="H327" s="14" t="str">
        <f t="shared" ca="1" si="20"/>
        <v/>
      </c>
      <c r="I327" s="15">
        <f t="shared" ca="1" si="15"/>
        <v>469.8</v>
      </c>
      <c r="J327" s="16">
        <f t="shared" ca="1" si="16"/>
        <v>473.35</v>
      </c>
      <c r="K327" s="16"/>
      <c r="L327" s="16">
        <f t="shared" ca="1" si="17"/>
        <v>464.1</v>
      </c>
      <c r="M327" s="16">
        <f t="shared" ca="1" si="18"/>
        <v>479.05</v>
      </c>
      <c r="N327" s="16">
        <f t="shared" ca="1" si="19"/>
        <v>460.55</v>
      </c>
    </row>
    <row r="328" spans="1:14" ht="24.75" customHeight="1" x14ac:dyDescent="0.8">
      <c r="A328" s="18" t="s">
        <v>513</v>
      </c>
      <c r="B328" s="10">
        <f ca="1">IFERROR(__xludf.DUMMYFUNCTION("GOOGLEFINANCE(A328,""PRICE"")"),1977)</f>
        <v>1977</v>
      </c>
      <c r="C328" s="11">
        <f ca="1">IFERROR(__xludf.DUMMYFUNCTION("GOOGLEFINANCE(A328,""PRICEOPEN"")"),1959.2)</f>
        <v>1959.2</v>
      </c>
      <c r="D328" s="11">
        <f ca="1">IFERROR(__xludf.DUMMYFUNCTION("GOOGLEFINANCE(A328,""HIGH"")"),1990)</f>
        <v>1990</v>
      </c>
      <c r="E328" s="11">
        <f ca="1">IFERROR(__xludf.DUMMYFUNCTION("GOOGLEFINANCE(A328,""LOW"")"),1950.2)</f>
        <v>1950.2</v>
      </c>
      <c r="F328" s="12" t="str">
        <f t="shared" ca="1" si="14"/>
        <v/>
      </c>
      <c r="G328" s="13">
        <f ca="1">IFERROR(__xludf.DUMMYFUNCTION("GOOGLEFINANCE(A328,""CLOSEYEST"")"),1959.2)</f>
        <v>1959.2</v>
      </c>
      <c r="H328" s="14" t="str">
        <f t="shared" ca="1" si="20"/>
        <v/>
      </c>
      <c r="I328" s="15">
        <f t="shared" ca="1" si="15"/>
        <v>1966.4666666666665</v>
      </c>
      <c r="J328" s="16">
        <f t="shared" ca="1" si="16"/>
        <v>1982.7333333333329</v>
      </c>
      <c r="K328" s="16"/>
      <c r="L328" s="16">
        <f t="shared" ca="1" si="17"/>
        <v>1942.9333333333329</v>
      </c>
      <c r="M328" s="16">
        <f t="shared" ca="1" si="18"/>
        <v>2006.2666666666664</v>
      </c>
      <c r="N328" s="16">
        <f t="shared" ca="1" si="19"/>
        <v>1926.6666666666665</v>
      </c>
    </row>
    <row r="329" spans="1:14" ht="24.75" customHeight="1" x14ac:dyDescent="0.8">
      <c r="A329" s="18" t="s">
        <v>179</v>
      </c>
      <c r="B329" s="10">
        <f ca="1">IFERROR(__xludf.DUMMYFUNCTION("GOOGLEFINANCE(A329,""PRICE"")"),807.7)</f>
        <v>807.7</v>
      </c>
      <c r="C329" s="11">
        <f ca="1">IFERROR(__xludf.DUMMYFUNCTION("GOOGLEFINANCE(A329,""PRICEOPEN"")"),798.9)</f>
        <v>798.9</v>
      </c>
      <c r="D329" s="11">
        <f ca="1">IFERROR(__xludf.DUMMYFUNCTION("GOOGLEFINANCE(A329,""HIGH"")"),811)</f>
        <v>811</v>
      </c>
      <c r="E329" s="11">
        <f ca="1">IFERROR(__xludf.DUMMYFUNCTION("GOOGLEFINANCE(A329,""LOW"")"),798.9)</f>
        <v>798.9</v>
      </c>
      <c r="F329" s="12" t="str">
        <f t="shared" ca="1" si="14"/>
        <v>BUY</v>
      </c>
      <c r="G329" s="13">
        <f ca="1">IFERROR(__xludf.DUMMYFUNCTION("GOOGLEFINANCE(A329,""CLOSEYEST"")"),801.6)</f>
        <v>801.6</v>
      </c>
      <c r="H329" s="14" t="str">
        <f t="shared" ca="1" si="20"/>
        <v/>
      </c>
      <c r="I329" s="15">
        <f t="shared" ca="1" si="15"/>
        <v>803.83333333333337</v>
      </c>
      <c r="J329" s="16">
        <f t="shared" ca="1" si="16"/>
        <v>808.76666666666677</v>
      </c>
      <c r="K329" s="16"/>
      <c r="L329" s="16">
        <f t="shared" ca="1" si="17"/>
        <v>796.66666666666674</v>
      </c>
      <c r="M329" s="16">
        <f t="shared" ca="1" si="18"/>
        <v>815.93333333333339</v>
      </c>
      <c r="N329" s="16">
        <f t="shared" ca="1" si="19"/>
        <v>791.73333333333335</v>
      </c>
    </row>
    <row r="330" spans="1:14" ht="24.75" customHeight="1" x14ac:dyDescent="0.8">
      <c r="A330" s="18" t="s">
        <v>368</v>
      </c>
      <c r="B330" s="10">
        <f ca="1">IFERROR(__xludf.DUMMYFUNCTION("GOOGLEFINANCE(A330,""PRICE"")"),544.05)</f>
        <v>544.04999999999995</v>
      </c>
      <c r="C330" s="11">
        <f ca="1">IFERROR(__xludf.DUMMYFUNCTION("GOOGLEFINANCE(A330,""PRICEOPEN"")"),549)</f>
        <v>549</v>
      </c>
      <c r="D330" s="11">
        <f ca="1">IFERROR(__xludf.DUMMYFUNCTION("GOOGLEFINANCE(A330,""HIGH"")"),550.7)</f>
        <v>550.70000000000005</v>
      </c>
      <c r="E330" s="11">
        <f ca="1">IFERROR(__xludf.DUMMYFUNCTION("GOOGLEFINANCE(A330,""LOW"")"),541.45)</f>
        <v>541.45000000000005</v>
      </c>
      <c r="F330" s="12" t="str">
        <f t="shared" ca="1" si="14"/>
        <v/>
      </c>
      <c r="G330" s="13">
        <f ca="1">IFERROR(__xludf.DUMMYFUNCTION("GOOGLEFINANCE(A330,""CLOSEYEST"")"),547.85)</f>
        <v>547.85</v>
      </c>
      <c r="H330" s="14" t="str">
        <f t="shared" ca="1" si="20"/>
        <v/>
      </c>
      <c r="I330" s="15">
        <f t="shared" ca="1" si="15"/>
        <v>546.66666666666663</v>
      </c>
      <c r="J330" s="16">
        <f t="shared" ca="1" si="16"/>
        <v>551.88333333333321</v>
      </c>
      <c r="K330" s="16"/>
      <c r="L330" s="16">
        <f t="shared" ca="1" si="17"/>
        <v>542.63333333333321</v>
      </c>
      <c r="M330" s="16">
        <f t="shared" ca="1" si="18"/>
        <v>555.91666666666663</v>
      </c>
      <c r="N330" s="16">
        <f t="shared" ca="1" si="19"/>
        <v>537.41666666666663</v>
      </c>
    </row>
    <row r="331" spans="1:14" ht="24.75" customHeight="1" x14ac:dyDescent="0.8">
      <c r="A331" s="18" t="s">
        <v>142</v>
      </c>
      <c r="B331" s="10" t="str">
        <f ca="1">IFERROR(__xludf.DUMMYFUNCTION("GOOGLEFINANCE(A331,""PRICE"")"),"#N/A")</f>
        <v>#N/A</v>
      </c>
      <c r="C331" s="11" t="str">
        <f ca="1">IFERROR(__xludf.DUMMYFUNCTION("GOOGLEFINANCE(A331,""PRICEOPEN"")"),"#N/A")</f>
        <v>#N/A</v>
      </c>
      <c r="D331" s="11" t="str">
        <f ca="1">IFERROR(__xludf.DUMMYFUNCTION("GOOGLEFINANCE(A331,""HIGH"")"),"#N/A")</f>
        <v>#N/A</v>
      </c>
      <c r="E331" s="11" t="str">
        <f ca="1">IFERROR(__xludf.DUMMYFUNCTION("GOOGLEFINANCE(A331,""LOW"")"),"#N/A")</f>
        <v>#N/A</v>
      </c>
      <c r="F331" s="12" t="str">
        <f t="shared" ca="1" si="14"/>
        <v>SELL</v>
      </c>
      <c r="G331" s="13" t="str">
        <f ca="1">IFERROR(__xludf.DUMMYFUNCTION("GOOGLEFINANCE(A331,""CLOSEYEST"")"),"#N/A")</f>
        <v>#N/A</v>
      </c>
      <c r="H331" s="14" t="e">
        <f t="shared" ca="1" si="20"/>
        <v>#VALUE!</v>
      </c>
      <c r="I331" s="15" t="e">
        <f t="shared" ca="1" si="15"/>
        <v>#VALUE!</v>
      </c>
      <c r="J331" s="16" t="e">
        <f t="shared" ca="1" si="16"/>
        <v>#VALUE!</v>
      </c>
      <c r="K331" s="16"/>
      <c r="L331" s="16" t="e">
        <f t="shared" ca="1" si="17"/>
        <v>#VALUE!</v>
      </c>
      <c r="M331" s="16" t="e">
        <f t="shared" ca="1" si="18"/>
        <v>#VALUE!</v>
      </c>
      <c r="N331" s="16" t="e">
        <f t="shared" ca="1" si="19"/>
        <v>#VALUE!</v>
      </c>
    </row>
    <row r="332" spans="1:14" ht="24.75" customHeight="1" x14ac:dyDescent="0.8">
      <c r="A332" s="18" t="s">
        <v>1613</v>
      </c>
      <c r="B332" s="10">
        <f ca="1">IFERROR(__xludf.DUMMYFUNCTION("GOOGLEFINANCE(A332,""PRICE"")"),286.15)</f>
        <v>286.14999999999998</v>
      </c>
      <c r="C332" s="11">
        <f ca="1">IFERROR(__xludf.DUMMYFUNCTION("GOOGLEFINANCE(A332,""PRICEOPEN"")"),287.6)</f>
        <v>287.60000000000002</v>
      </c>
      <c r="D332" s="11">
        <f ca="1">IFERROR(__xludf.DUMMYFUNCTION("GOOGLEFINANCE(A332,""HIGH"")"),287.6)</f>
        <v>287.60000000000002</v>
      </c>
      <c r="E332" s="11">
        <f ca="1">IFERROR(__xludf.DUMMYFUNCTION("GOOGLEFINANCE(A332,""LOW"")"),281.55)</f>
        <v>281.55</v>
      </c>
      <c r="F332" s="12" t="str">
        <f t="shared" ca="1" si="14"/>
        <v>SELL</v>
      </c>
      <c r="G332" s="13">
        <f ca="1">IFERROR(__xludf.DUMMYFUNCTION("GOOGLEFINANCE(A332,""CLOSEYEST"")"),286.35)</f>
        <v>286.35000000000002</v>
      </c>
      <c r="H332" s="14" t="str">
        <f t="shared" ca="1" si="20"/>
        <v/>
      </c>
      <c r="I332" s="15">
        <f t="shared" ca="1" si="15"/>
        <v>285.16666666666669</v>
      </c>
      <c r="J332" s="16">
        <f t="shared" ca="1" si="16"/>
        <v>288.78333333333336</v>
      </c>
      <c r="K332" s="16"/>
      <c r="L332" s="16">
        <f t="shared" ca="1" si="17"/>
        <v>282.73333333333335</v>
      </c>
      <c r="M332" s="16">
        <f t="shared" ca="1" si="18"/>
        <v>291.2166666666667</v>
      </c>
      <c r="N332" s="16">
        <f t="shared" ca="1" si="19"/>
        <v>279.11666666666667</v>
      </c>
    </row>
    <row r="333" spans="1:14" ht="24.75" customHeight="1" x14ac:dyDescent="0.8">
      <c r="A333" s="18" t="s">
        <v>1614</v>
      </c>
      <c r="B333" s="10">
        <f ca="1">IFERROR(__xludf.DUMMYFUNCTION("GOOGLEFINANCE(A333,""PRICE"")"),1317)</f>
        <v>1317</v>
      </c>
      <c r="C333" s="11">
        <f ca="1">IFERROR(__xludf.DUMMYFUNCTION("GOOGLEFINANCE(A333,""PRICEOPEN"")"),1296.5)</f>
        <v>1296.5</v>
      </c>
      <c r="D333" s="11">
        <f ca="1">IFERROR(__xludf.DUMMYFUNCTION("GOOGLEFINANCE(A333,""HIGH"")"),1329.5)</f>
        <v>1329.5</v>
      </c>
      <c r="E333" s="11">
        <f ca="1">IFERROR(__xludf.DUMMYFUNCTION("GOOGLEFINANCE(A333,""LOW"")"),1296.5)</f>
        <v>1296.5</v>
      </c>
      <c r="F333" s="12" t="str">
        <f t="shared" ca="1" si="14"/>
        <v>BUY</v>
      </c>
      <c r="G333" s="13">
        <f ca="1">IFERROR(__xludf.DUMMYFUNCTION("GOOGLEFINANCE(A333,""CLOSEYEST"")"),1309.1)</f>
        <v>1309.0999999999999</v>
      </c>
      <c r="H333" s="14" t="str">
        <f t="shared" ca="1" si="20"/>
        <v/>
      </c>
      <c r="I333" s="15">
        <f t="shared" ca="1" si="15"/>
        <v>1311.7</v>
      </c>
      <c r="J333" s="16">
        <f t="shared" ca="1" si="16"/>
        <v>1326.9</v>
      </c>
      <c r="K333" s="16"/>
      <c r="L333" s="16">
        <f t="shared" ca="1" si="17"/>
        <v>1293.9000000000001</v>
      </c>
      <c r="M333" s="16">
        <f t="shared" ca="1" si="18"/>
        <v>1344.7</v>
      </c>
      <c r="N333" s="16">
        <f t="shared" ca="1" si="19"/>
        <v>1278.7</v>
      </c>
    </row>
    <row r="334" spans="1:14" ht="24.75" customHeight="1" x14ac:dyDescent="0.8">
      <c r="A334" s="18" t="s">
        <v>49</v>
      </c>
      <c r="B334" s="10">
        <f ca="1">IFERROR(__xludf.DUMMYFUNCTION("GOOGLEFINANCE(A334,""PRICE"")"),3819)</f>
        <v>3819</v>
      </c>
      <c r="C334" s="11">
        <f ca="1">IFERROR(__xludf.DUMMYFUNCTION("GOOGLEFINANCE(A334,""PRICEOPEN"")"),3858)</f>
        <v>3858</v>
      </c>
      <c r="D334" s="11">
        <f ca="1">IFERROR(__xludf.DUMMYFUNCTION("GOOGLEFINANCE(A334,""HIGH"")"),3865)</f>
        <v>3865</v>
      </c>
      <c r="E334" s="11">
        <f ca="1">IFERROR(__xludf.DUMMYFUNCTION("GOOGLEFINANCE(A334,""LOW"")"),3788.5)</f>
        <v>3788.5</v>
      </c>
      <c r="F334" s="12" t="str">
        <f t="shared" ca="1" si="14"/>
        <v/>
      </c>
      <c r="G334" s="13">
        <f ca="1">IFERROR(__xludf.DUMMYFUNCTION("GOOGLEFINANCE(A334,""CLOSEYEST"")"),3823.2)</f>
        <v>3823.2</v>
      </c>
      <c r="H334" s="14" t="str">
        <f t="shared" ca="1" si="20"/>
        <v/>
      </c>
      <c r="I334" s="15">
        <f t="shared" ca="1" si="15"/>
        <v>3825.5666666666671</v>
      </c>
      <c r="J334" s="16">
        <f t="shared" ca="1" si="16"/>
        <v>3862.6333333333341</v>
      </c>
      <c r="K334" s="16"/>
      <c r="L334" s="16">
        <f t="shared" ca="1" si="17"/>
        <v>3786.1333333333341</v>
      </c>
      <c r="M334" s="16">
        <f t="shared" ca="1" si="18"/>
        <v>3902.0666666666671</v>
      </c>
      <c r="N334" s="16">
        <f t="shared" ca="1" si="19"/>
        <v>3749.0666666666671</v>
      </c>
    </row>
    <row r="335" spans="1:14" ht="24.75" customHeight="1" x14ac:dyDescent="0.8">
      <c r="A335" s="18" t="s">
        <v>303</v>
      </c>
      <c r="B335" s="10">
        <f ca="1">IFERROR(__xludf.DUMMYFUNCTION("GOOGLEFINANCE(A335,""PRICE"")"),911)</f>
        <v>911</v>
      </c>
      <c r="C335" s="11">
        <f ca="1">IFERROR(__xludf.DUMMYFUNCTION("GOOGLEFINANCE(A335,""PRICEOPEN"")"),903.7)</f>
        <v>903.7</v>
      </c>
      <c r="D335" s="11">
        <f ca="1">IFERROR(__xludf.DUMMYFUNCTION("GOOGLEFINANCE(A335,""HIGH"")"),914)</f>
        <v>914</v>
      </c>
      <c r="E335" s="11">
        <f ca="1">IFERROR(__xludf.DUMMYFUNCTION("GOOGLEFINANCE(A335,""LOW"")"),896.4)</f>
        <v>896.4</v>
      </c>
      <c r="F335" s="12" t="str">
        <f t="shared" ca="1" si="14"/>
        <v/>
      </c>
      <c r="G335" s="13">
        <f ca="1">IFERROR(__xludf.DUMMYFUNCTION("GOOGLEFINANCE(A335,""CLOSEYEST"")"),900.1)</f>
        <v>900.1</v>
      </c>
      <c r="H335" s="14" t="str">
        <f t="shared" ca="1" si="20"/>
        <v/>
      </c>
      <c r="I335" s="15">
        <f t="shared" ca="1" si="15"/>
        <v>903.5</v>
      </c>
      <c r="J335" s="16">
        <f t="shared" ca="1" si="16"/>
        <v>910.6</v>
      </c>
      <c r="K335" s="16"/>
      <c r="L335" s="16">
        <f t="shared" ca="1" si="17"/>
        <v>893</v>
      </c>
      <c r="M335" s="16">
        <f t="shared" ca="1" si="18"/>
        <v>921.1</v>
      </c>
      <c r="N335" s="16">
        <f t="shared" ca="1" si="19"/>
        <v>885.9</v>
      </c>
    </row>
    <row r="336" spans="1:14" ht="24.75" customHeight="1" x14ac:dyDescent="0.8">
      <c r="A336" s="18" t="s">
        <v>246</v>
      </c>
      <c r="B336" s="10">
        <f ca="1">IFERROR(__xludf.DUMMYFUNCTION("GOOGLEFINANCE(A336,""PRICE"")"),641)</f>
        <v>641</v>
      </c>
      <c r="C336" s="11">
        <f ca="1">IFERROR(__xludf.DUMMYFUNCTION("GOOGLEFINANCE(A336,""PRICEOPEN"")"),642.8)</f>
        <v>642.79999999999995</v>
      </c>
      <c r="D336" s="11">
        <f ca="1">IFERROR(__xludf.DUMMYFUNCTION("GOOGLEFINANCE(A336,""HIGH"")"),648)</f>
        <v>648</v>
      </c>
      <c r="E336" s="11">
        <f ca="1">IFERROR(__xludf.DUMMYFUNCTION("GOOGLEFINANCE(A336,""LOW"")"),637.1)</f>
        <v>637.1</v>
      </c>
      <c r="F336" s="12" t="str">
        <f t="shared" ca="1" si="14"/>
        <v/>
      </c>
      <c r="G336" s="13">
        <f ca="1">IFERROR(__xludf.DUMMYFUNCTION("GOOGLEFINANCE(A336,""CLOSEYEST"")"),637.05)</f>
        <v>637.04999999999995</v>
      </c>
      <c r="H336" s="14" t="str">
        <f t="shared" ca="1" si="20"/>
        <v/>
      </c>
      <c r="I336" s="15">
        <f t="shared" ca="1" si="15"/>
        <v>640.71666666666658</v>
      </c>
      <c r="J336" s="16">
        <f t="shared" ca="1" si="16"/>
        <v>644.33333333333314</v>
      </c>
      <c r="K336" s="16"/>
      <c r="L336" s="16">
        <f t="shared" ca="1" si="17"/>
        <v>633.43333333333317</v>
      </c>
      <c r="M336" s="16">
        <f t="shared" ca="1" si="18"/>
        <v>651.61666666666656</v>
      </c>
      <c r="N336" s="16">
        <f t="shared" ca="1" si="19"/>
        <v>629.81666666666661</v>
      </c>
    </row>
    <row r="337" spans="1:14" ht="24.75" customHeight="1" x14ac:dyDescent="0.8">
      <c r="A337" s="18" t="s">
        <v>1615</v>
      </c>
      <c r="B337" s="10">
        <f ca="1">IFERROR(__xludf.DUMMYFUNCTION("GOOGLEFINANCE(A337,""PRICE"")"),56.52)</f>
        <v>56.52</v>
      </c>
      <c r="C337" s="11">
        <f ca="1">IFERROR(__xludf.DUMMYFUNCTION("GOOGLEFINANCE(A337,""PRICEOPEN"")"),55.67)</f>
        <v>55.67</v>
      </c>
      <c r="D337" s="11">
        <f ca="1">IFERROR(__xludf.DUMMYFUNCTION("GOOGLEFINANCE(A337,""HIGH"")"),57.1)</f>
        <v>57.1</v>
      </c>
      <c r="E337" s="11">
        <f ca="1">IFERROR(__xludf.DUMMYFUNCTION("GOOGLEFINANCE(A337,""LOW"")"),55.66)</f>
        <v>55.66</v>
      </c>
      <c r="F337" s="12" t="str">
        <f t="shared" ca="1" si="14"/>
        <v/>
      </c>
      <c r="G337" s="13">
        <f ca="1">IFERROR(__xludf.DUMMYFUNCTION("GOOGLEFINANCE(A337,""CLOSEYEST"")"),55.95)</f>
        <v>55.95</v>
      </c>
      <c r="H337" s="14" t="str">
        <f t="shared" ca="1" si="20"/>
        <v/>
      </c>
      <c r="I337" s="15">
        <f t="shared" ca="1" si="15"/>
        <v>56.236666666666657</v>
      </c>
      <c r="J337" s="16">
        <f t="shared" ca="1" si="16"/>
        <v>56.813333333333318</v>
      </c>
      <c r="K337" s="16"/>
      <c r="L337" s="16">
        <f t="shared" ca="1" si="17"/>
        <v>55.373333333333314</v>
      </c>
      <c r="M337" s="16">
        <f t="shared" ca="1" si="18"/>
        <v>57.676666666666662</v>
      </c>
      <c r="N337" s="16">
        <f t="shared" ca="1" si="19"/>
        <v>54.796666666666653</v>
      </c>
    </row>
    <row r="338" spans="1:14" ht="24.75" customHeight="1" x14ac:dyDescent="0.8">
      <c r="A338" s="18" t="s">
        <v>244</v>
      </c>
      <c r="B338" s="10">
        <f ca="1">IFERROR(__xludf.DUMMYFUNCTION("GOOGLEFINANCE(A338,""PRICE"")"),4696)</f>
        <v>4696</v>
      </c>
      <c r="C338" s="11">
        <f ca="1">IFERROR(__xludf.DUMMYFUNCTION("GOOGLEFINANCE(A338,""PRICEOPEN"")"),4630)</f>
        <v>4630</v>
      </c>
      <c r="D338" s="11">
        <f ca="1">IFERROR(__xludf.DUMMYFUNCTION("GOOGLEFINANCE(A338,""HIGH"")"),4829.9)</f>
        <v>4829.8999999999996</v>
      </c>
      <c r="E338" s="11">
        <f ca="1">IFERROR(__xludf.DUMMYFUNCTION("GOOGLEFINANCE(A338,""LOW"")"),4595)</f>
        <v>4595</v>
      </c>
      <c r="F338" s="12" t="str">
        <f t="shared" ca="1" si="14"/>
        <v/>
      </c>
      <c r="G338" s="13">
        <f ca="1">IFERROR(__xludf.DUMMYFUNCTION("GOOGLEFINANCE(A338,""CLOSEYEST"")"),4589.7)</f>
        <v>4589.7</v>
      </c>
      <c r="H338" s="14" t="str">
        <f t="shared" ca="1" si="20"/>
        <v/>
      </c>
      <c r="I338" s="15">
        <f t="shared" ca="1" si="15"/>
        <v>4671.5333333333328</v>
      </c>
      <c r="J338" s="16">
        <f t="shared" ca="1" si="16"/>
        <v>4748.0666666666657</v>
      </c>
      <c r="K338" s="16"/>
      <c r="L338" s="16">
        <f t="shared" ca="1" si="17"/>
        <v>4513.1666666666661</v>
      </c>
      <c r="M338" s="16">
        <f t="shared" ca="1" si="18"/>
        <v>4906.4333333333325</v>
      </c>
      <c r="N338" s="16">
        <f t="shared" ca="1" si="19"/>
        <v>4436.6333333333332</v>
      </c>
    </row>
    <row r="339" spans="1:14" ht="24.75" customHeight="1" x14ac:dyDescent="0.8">
      <c r="A339" s="18" t="s">
        <v>50</v>
      </c>
      <c r="B339" s="10">
        <f ca="1">IFERROR(__xludf.DUMMYFUNCTION("GOOGLEFINANCE(A339,""PRICE"")"),895.2)</f>
        <v>895.2</v>
      </c>
      <c r="C339" s="11">
        <f ca="1">IFERROR(__xludf.DUMMYFUNCTION("GOOGLEFINANCE(A339,""PRICEOPEN"")"),876.2)</f>
        <v>876.2</v>
      </c>
      <c r="D339" s="11">
        <f ca="1">IFERROR(__xludf.DUMMYFUNCTION("GOOGLEFINANCE(A339,""HIGH"")"),898)</f>
        <v>898</v>
      </c>
      <c r="E339" s="11">
        <f ca="1">IFERROR(__xludf.DUMMYFUNCTION("GOOGLEFINANCE(A339,""LOW"")"),870)</f>
        <v>870</v>
      </c>
      <c r="F339" s="12" t="str">
        <f t="shared" ca="1" si="14"/>
        <v/>
      </c>
      <c r="G339" s="13">
        <f ca="1">IFERROR(__xludf.DUMMYFUNCTION("GOOGLEFINANCE(A339,""CLOSEYEST"")"),868.5)</f>
        <v>868.5</v>
      </c>
      <c r="H339" s="14" t="str">
        <f t="shared" ca="1" si="20"/>
        <v/>
      </c>
      <c r="I339" s="15">
        <f t="shared" ca="1" si="15"/>
        <v>878.83333333333337</v>
      </c>
      <c r="J339" s="16">
        <f t="shared" ca="1" si="16"/>
        <v>887.66666666666674</v>
      </c>
      <c r="K339" s="16"/>
      <c r="L339" s="16">
        <f t="shared" ca="1" si="17"/>
        <v>859.66666666666674</v>
      </c>
      <c r="M339" s="16">
        <f t="shared" ca="1" si="18"/>
        <v>906.83333333333337</v>
      </c>
      <c r="N339" s="16">
        <f t="shared" ca="1" si="19"/>
        <v>850.83333333333337</v>
      </c>
    </row>
    <row r="340" spans="1:14" ht="24.75" customHeight="1" x14ac:dyDescent="0.8">
      <c r="A340" s="18" t="s">
        <v>1616</v>
      </c>
      <c r="B340" s="10">
        <f ca="1">IFERROR(__xludf.DUMMYFUNCTION("GOOGLEFINANCE(A340,""PRICE"")"),1755)</f>
        <v>1755</v>
      </c>
      <c r="C340" s="11">
        <f ca="1">IFERROR(__xludf.DUMMYFUNCTION("GOOGLEFINANCE(A340,""PRICEOPEN"")"),1741.9)</f>
        <v>1741.9</v>
      </c>
      <c r="D340" s="11">
        <f ca="1">IFERROR(__xludf.DUMMYFUNCTION("GOOGLEFINANCE(A340,""HIGH"")"),1803)</f>
        <v>1803</v>
      </c>
      <c r="E340" s="11">
        <f ca="1">IFERROR(__xludf.DUMMYFUNCTION("GOOGLEFINANCE(A340,""LOW"")"),1737.9)</f>
        <v>1737.9</v>
      </c>
      <c r="F340" s="12" t="str">
        <f t="shared" ca="1" si="14"/>
        <v/>
      </c>
      <c r="G340" s="13">
        <f ca="1">IFERROR(__xludf.DUMMYFUNCTION("GOOGLEFINANCE(A340,""CLOSEYEST"")"),1731.5)</f>
        <v>1731.5</v>
      </c>
      <c r="H340" s="14" t="str">
        <f t="shared" ca="1" si="20"/>
        <v/>
      </c>
      <c r="I340" s="15">
        <f t="shared" ca="1" si="15"/>
        <v>1757.4666666666665</v>
      </c>
      <c r="J340" s="16">
        <f t="shared" ca="1" si="16"/>
        <v>1777.0333333333328</v>
      </c>
      <c r="K340" s="16"/>
      <c r="L340" s="16">
        <f t="shared" ca="1" si="17"/>
        <v>1711.9333333333329</v>
      </c>
      <c r="M340" s="16">
        <f t="shared" ca="1" si="18"/>
        <v>1822.5666666666664</v>
      </c>
      <c r="N340" s="16">
        <f t="shared" ca="1" si="19"/>
        <v>1692.3666666666666</v>
      </c>
    </row>
    <row r="341" spans="1:14" ht="24.75" customHeight="1" x14ac:dyDescent="0.8">
      <c r="A341" s="18" t="s">
        <v>360</v>
      </c>
      <c r="B341" s="10">
        <f ca="1">IFERROR(__xludf.DUMMYFUNCTION("GOOGLEFINANCE(A341,""PRICE"")"),1667.1)</f>
        <v>1667.1</v>
      </c>
      <c r="C341" s="11">
        <f ca="1">IFERROR(__xludf.DUMMYFUNCTION("GOOGLEFINANCE(A341,""PRICEOPEN"")"),1690)</f>
        <v>1690</v>
      </c>
      <c r="D341" s="11">
        <f ca="1">IFERROR(__xludf.DUMMYFUNCTION("GOOGLEFINANCE(A341,""HIGH"")"),1695)</f>
        <v>1695</v>
      </c>
      <c r="E341" s="11">
        <f ca="1">IFERROR(__xludf.DUMMYFUNCTION("GOOGLEFINANCE(A341,""LOW"")"),1665)</f>
        <v>1665</v>
      </c>
      <c r="F341" s="12" t="str">
        <f t="shared" ca="1" si="14"/>
        <v/>
      </c>
      <c r="G341" s="13">
        <f ca="1">IFERROR(__xludf.DUMMYFUNCTION("GOOGLEFINANCE(A341,""CLOSEYEST"")"),1689.7)</f>
        <v>1689.7</v>
      </c>
      <c r="H341" s="14" t="str">
        <f t="shared" ca="1" si="20"/>
        <v/>
      </c>
      <c r="I341" s="15">
        <f t="shared" ca="1" si="15"/>
        <v>1683.2333333333333</v>
      </c>
      <c r="J341" s="16">
        <f t="shared" ca="1" si="16"/>
        <v>1701.4666666666667</v>
      </c>
      <c r="K341" s="16"/>
      <c r="L341" s="16">
        <f t="shared" ca="1" si="17"/>
        <v>1671.4666666666667</v>
      </c>
      <c r="M341" s="16">
        <f t="shared" ca="1" si="18"/>
        <v>1713.2333333333333</v>
      </c>
      <c r="N341" s="16">
        <f t="shared" ca="1" si="19"/>
        <v>1653.2333333333333</v>
      </c>
    </row>
    <row r="342" spans="1:14" ht="24.75" customHeight="1" x14ac:dyDescent="0.8">
      <c r="A342" s="18" t="s">
        <v>745</v>
      </c>
      <c r="B342" s="10" t="str">
        <f ca="1">IFERROR(__xludf.DUMMYFUNCTION("GOOGLEFINANCE(A342,""PRICE"")"),"#N/A")</f>
        <v>#N/A</v>
      </c>
      <c r="C342" s="11" t="str">
        <f ca="1">IFERROR(__xludf.DUMMYFUNCTION("GOOGLEFINANCE(A342,""PRICEOPEN"")"),"#N/A")</f>
        <v>#N/A</v>
      </c>
      <c r="D342" s="11" t="str">
        <f ca="1">IFERROR(__xludf.DUMMYFUNCTION("GOOGLEFINANCE(A342,""HIGH"")"),"#N/A")</f>
        <v>#N/A</v>
      </c>
      <c r="E342" s="11" t="str">
        <f ca="1">IFERROR(__xludf.DUMMYFUNCTION("GOOGLEFINANCE(A342,""LOW"")"),"#N/A")</f>
        <v>#N/A</v>
      </c>
      <c r="F342" s="12" t="str">
        <f t="shared" ca="1" si="14"/>
        <v>SELL</v>
      </c>
      <c r="G342" s="13" t="str">
        <f ca="1">IFERROR(__xludf.DUMMYFUNCTION("GOOGLEFINANCE(A342,""CLOSEYEST"")"),"#N/A")</f>
        <v>#N/A</v>
      </c>
      <c r="H342" s="14" t="e">
        <f t="shared" ca="1" si="20"/>
        <v>#VALUE!</v>
      </c>
      <c r="I342" s="15" t="e">
        <f t="shared" ca="1" si="15"/>
        <v>#VALUE!</v>
      </c>
      <c r="J342" s="16" t="e">
        <f t="shared" ca="1" si="16"/>
        <v>#VALUE!</v>
      </c>
      <c r="K342" s="16"/>
      <c r="L342" s="16" t="e">
        <f t="shared" ca="1" si="17"/>
        <v>#VALUE!</v>
      </c>
      <c r="M342" s="16" t="e">
        <f t="shared" ca="1" si="18"/>
        <v>#VALUE!</v>
      </c>
      <c r="N342" s="16" t="e">
        <f t="shared" ca="1" si="19"/>
        <v>#VALUE!</v>
      </c>
    </row>
    <row r="343" spans="1:14" ht="24.75" customHeight="1" x14ac:dyDescent="0.8">
      <c r="A343" s="18" t="s">
        <v>525</v>
      </c>
      <c r="B343" s="10">
        <f ca="1">IFERROR(__xludf.DUMMYFUNCTION("GOOGLEFINANCE(A343,""PRICE"")"),748)</f>
        <v>748</v>
      </c>
      <c r="C343" s="11">
        <f ca="1">IFERROR(__xludf.DUMMYFUNCTION("GOOGLEFINANCE(A343,""PRICEOPEN"")"),741.8)</f>
        <v>741.8</v>
      </c>
      <c r="D343" s="11">
        <f ca="1">IFERROR(__xludf.DUMMYFUNCTION("GOOGLEFINANCE(A343,""HIGH"")"),752.45)</f>
        <v>752.45</v>
      </c>
      <c r="E343" s="11">
        <f ca="1">IFERROR(__xludf.DUMMYFUNCTION("GOOGLEFINANCE(A343,""LOW"")"),732)</f>
        <v>732</v>
      </c>
      <c r="F343" s="12" t="str">
        <f t="shared" ca="1" si="14"/>
        <v/>
      </c>
      <c r="G343" s="13">
        <f ca="1">IFERROR(__xludf.DUMMYFUNCTION("GOOGLEFINANCE(A343,""CLOSEYEST"")"),741.8)</f>
        <v>741.8</v>
      </c>
      <c r="H343" s="14" t="str">
        <f t="shared" ca="1" si="20"/>
        <v/>
      </c>
      <c r="I343" s="15">
        <f t="shared" ca="1" si="15"/>
        <v>742.08333333333337</v>
      </c>
      <c r="J343" s="16">
        <f t="shared" ca="1" si="16"/>
        <v>752.16666666666674</v>
      </c>
      <c r="K343" s="16"/>
      <c r="L343" s="16">
        <f t="shared" ca="1" si="17"/>
        <v>731.7166666666667</v>
      </c>
      <c r="M343" s="16">
        <f t="shared" ca="1" si="18"/>
        <v>762.53333333333342</v>
      </c>
      <c r="N343" s="16">
        <f t="shared" ca="1" si="19"/>
        <v>721.63333333333333</v>
      </c>
    </row>
    <row r="344" spans="1:14" ht="24.75" customHeight="1" x14ac:dyDescent="0.8">
      <c r="A344" s="18" t="s">
        <v>225</v>
      </c>
      <c r="B344" s="10" t="str">
        <f ca="1">IFERROR(__xludf.DUMMYFUNCTION("GOOGLEFINANCE(A344,""PRICE"")"),"#N/A")</f>
        <v>#N/A</v>
      </c>
      <c r="C344" s="11" t="str">
        <f ca="1">IFERROR(__xludf.DUMMYFUNCTION("GOOGLEFINANCE(A344,""PRICEOPEN"")"),"#N/A")</f>
        <v>#N/A</v>
      </c>
      <c r="D344" s="11" t="str">
        <f ca="1">IFERROR(__xludf.DUMMYFUNCTION("GOOGLEFINANCE(A344,""HIGH"")"),"#N/A")</f>
        <v>#N/A</v>
      </c>
      <c r="E344" s="11" t="str">
        <f ca="1">IFERROR(__xludf.DUMMYFUNCTION("GOOGLEFINANCE(A344,""LOW"")"),"#N/A")</f>
        <v>#N/A</v>
      </c>
      <c r="F344" s="12" t="str">
        <f t="shared" ca="1" si="14"/>
        <v>SELL</v>
      </c>
      <c r="G344" s="13" t="str">
        <f ca="1">IFERROR(__xludf.DUMMYFUNCTION("GOOGLEFINANCE(A344,""CLOSEYEST"")"),"#N/A")</f>
        <v>#N/A</v>
      </c>
      <c r="H344" s="14" t="e">
        <f t="shared" ca="1" si="20"/>
        <v>#VALUE!</v>
      </c>
      <c r="I344" s="15" t="e">
        <f t="shared" ca="1" si="15"/>
        <v>#VALUE!</v>
      </c>
      <c r="J344" s="16" t="e">
        <f t="shared" ca="1" si="16"/>
        <v>#VALUE!</v>
      </c>
      <c r="K344" s="16"/>
      <c r="L344" s="16" t="e">
        <f t="shared" ca="1" si="17"/>
        <v>#VALUE!</v>
      </c>
      <c r="M344" s="16" t="e">
        <f t="shared" ca="1" si="18"/>
        <v>#VALUE!</v>
      </c>
      <c r="N344" s="16" t="e">
        <f t="shared" ca="1" si="19"/>
        <v>#VALUE!</v>
      </c>
    </row>
    <row r="345" spans="1:14" ht="24.75" customHeight="1" x14ac:dyDescent="0.8">
      <c r="A345" s="18" t="s">
        <v>1617</v>
      </c>
      <c r="B345" s="10">
        <f ca="1">IFERROR(__xludf.DUMMYFUNCTION("GOOGLEFINANCE(A345,""PRICE"")"),279)</f>
        <v>279</v>
      </c>
      <c r="C345" s="11">
        <f ca="1">IFERROR(__xludf.DUMMYFUNCTION("GOOGLEFINANCE(A345,""PRICEOPEN"")"),279)</f>
        <v>279</v>
      </c>
      <c r="D345" s="11">
        <f ca="1">IFERROR(__xludf.DUMMYFUNCTION("GOOGLEFINANCE(A345,""HIGH"")"),282.45)</f>
        <v>282.45</v>
      </c>
      <c r="E345" s="11">
        <f ca="1">IFERROR(__xludf.DUMMYFUNCTION("GOOGLEFINANCE(A345,""LOW"")"),277.2)</f>
        <v>277.2</v>
      </c>
      <c r="F345" s="12" t="str">
        <f t="shared" ca="1" si="14"/>
        <v/>
      </c>
      <c r="G345" s="13">
        <f ca="1">IFERROR(__xludf.DUMMYFUNCTION("GOOGLEFINANCE(A345,""CLOSEYEST"")"),279)</f>
        <v>279</v>
      </c>
      <c r="H345" s="14" t="str">
        <f t="shared" ca="1" si="20"/>
        <v/>
      </c>
      <c r="I345" s="15">
        <f t="shared" ca="1" si="15"/>
        <v>279.55</v>
      </c>
      <c r="J345" s="16">
        <f t="shared" ca="1" si="16"/>
        <v>281.90000000000003</v>
      </c>
      <c r="K345" s="16"/>
      <c r="L345" s="16">
        <f t="shared" ca="1" si="17"/>
        <v>276.65000000000003</v>
      </c>
      <c r="M345" s="16">
        <f t="shared" ca="1" si="18"/>
        <v>284.8</v>
      </c>
      <c r="N345" s="16">
        <f t="shared" ca="1" si="19"/>
        <v>274.3</v>
      </c>
    </row>
    <row r="346" spans="1:14" ht="24.75" customHeight="1" x14ac:dyDescent="0.8">
      <c r="A346" s="18" t="s">
        <v>1618</v>
      </c>
      <c r="B346" s="10">
        <f ca="1">IFERROR(__xludf.DUMMYFUNCTION("GOOGLEFINANCE(A346,""PRICE"")"),22.29)</f>
        <v>22.29</v>
      </c>
      <c r="C346" s="11">
        <f ca="1">IFERROR(__xludf.DUMMYFUNCTION("GOOGLEFINANCE(A346,""PRICEOPEN"")"),22.55)</f>
        <v>22.55</v>
      </c>
      <c r="D346" s="11">
        <f ca="1">IFERROR(__xludf.DUMMYFUNCTION("GOOGLEFINANCE(A346,""HIGH"")"),22.55)</f>
        <v>22.55</v>
      </c>
      <c r="E346" s="11">
        <f ca="1">IFERROR(__xludf.DUMMYFUNCTION("GOOGLEFINANCE(A346,""LOW"")"),22.21)</f>
        <v>22.21</v>
      </c>
      <c r="F346" s="12" t="str">
        <f t="shared" ca="1" si="14"/>
        <v>SELL</v>
      </c>
      <c r="G346" s="13">
        <f ca="1">IFERROR(__xludf.DUMMYFUNCTION("GOOGLEFINANCE(A346,""CLOSEYEST"")"),22.17)</f>
        <v>22.17</v>
      </c>
      <c r="H346" s="14" t="str">
        <f t="shared" ca="1" si="20"/>
        <v>GAP UP</v>
      </c>
      <c r="I346" s="15">
        <f t="shared" ca="1" si="15"/>
        <v>22.310000000000002</v>
      </c>
      <c r="J346" s="16">
        <f t="shared" ca="1" si="16"/>
        <v>22.410000000000004</v>
      </c>
      <c r="K346" s="16"/>
      <c r="L346" s="16">
        <f t="shared" ca="1" si="17"/>
        <v>22.070000000000004</v>
      </c>
      <c r="M346" s="16">
        <f t="shared" ca="1" si="18"/>
        <v>22.650000000000002</v>
      </c>
      <c r="N346" s="16">
        <f t="shared" ca="1" si="19"/>
        <v>21.970000000000002</v>
      </c>
    </row>
    <row r="347" spans="1:14" ht="24.75" customHeight="1" x14ac:dyDescent="0.8">
      <c r="A347" s="18" t="s">
        <v>165</v>
      </c>
      <c r="B347" s="10">
        <f ca="1">IFERROR(__xludf.DUMMYFUNCTION("GOOGLEFINANCE(A347,""PRICE"")"),16.54)</f>
        <v>16.54</v>
      </c>
      <c r="C347" s="11">
        <f ca="1">IFERROR(__xludf.DUMMYFUNCTION("GOOGLEFINANCE(A347,""PRICEOPEN"")"),16.58)</f>
        <v>16.579999999999998</v>
      </c>
      <c r="D347" s="11">
        <f ca="1">IFERROR(__xludf.DUMMYFUNCTION("GOOGLEFINANCE(A347,""HIGH"")"),16.58)</f>
        <v>16.579999999999998</v>
      </c>
      <c r="E347" s="11">
        <f ca="1">IFERROR(__xludf.DUMMYFUNCTION("GOOGLEFINANCE(A347,""LOW"")"),16.54)</f>
        <v>16.54</v>
      </c>
      <c r="F347" s="12" t="str">
        <f t="shared" ca="1" si="14"/>
        <v>SELL</v>
      </c>
      <c r="G347" s="13">
        <f ca="1">IFERROR(__xludf.DUMMYFUNCTION("GOOGLEFINANCE(A347,""CLOSEYEST"")"),16.53)</f>
        <v>16.53</v>
      </c>
      <c r="H347" s="14" t="str">
        <f t="shared" ca="1" si="20"/>
        <v/>
      </c>
      <c r="I347" s="15">
        <f t="shared" ca="1" si="15"/>
        <v>16.55</v>
      </c>
      <c r="J347" s="16">
        <f t="shared" ca="1" si="16"/>
        <v>16.560000000000002</v>
      </c>
      <c r="K347" s="16"/>
      <c r="L347" s="16">
        <f t="shared" ca="1" si="17"/>
        <v>16.520000000000003</v>
      </c>
      <c r="M347" s="16">
        <f t="shared" ca="1" si="18"/>
        <v>16.59</v>
      </c>
      <c r="N347" s="16">
        <f t="shared" ca="1" si="19"/>
        <v>16.510000000000002</v>
      </c>
    </row>
    <row r="348" spans="1:14" ht="24.75" customHeight="1" x14ac:dyDescent="0.8">
      <c r="A348" s="18" t="s">
        <v>51</v>
      </c>
      <c r="B348" s="10">
        <f ca="1">IFERROR(__xludf.DUMMYFUNCTION("GOOGLEFINANCE(A348,""PRICE"")"),337.65)</f>
        <v>337.65</v>
      </c>
      <c r="C348" s="11">
        <f ca="1">IFERROR(__xludf.DUMMYFUNCTION("GOOGLEFINANCE(A348,""PRICEOPEN"")"),338)</f>
        <v>338</v>
      </c>
      <c r="D348" s="11">
        <f ca="1">IFERROR(__xludf.DUMMYFUNCTION("GOOGLEFINANCE(A348,""HIGH"")"),343.7)</f>
        <v>343.7</v>
      </c>
      <c r="E348" s="11">
        <f ca="1">IFERROR(__xludf.DUMMYFUNCTION("GOOGLEFINANCE(A348,""LOW"")"),335)</f>
        <v>335</v>
      </c>
      <c r="F348" s="12" t="str">
        <f t="shared" ca="1" si="14"/>
        <v/>
      </c>
      <c r="G348" s="13">
        <f ca="1">IFERROR(__xludf.DUMMYFUNCTION("GOOGLEFINANCE(A348,""CLOSEYEST"")"),335.3)</f>
        <v>335.3</v>
      </c>
      <c r="H348" s="14" t="str">
        <f t="shared" ca="1" si="20"/>
        <v/>
      </c>
      <c r="I348" s="15">
        <f t="shared" ca="1" si="15"/>
        <v>338</v>
      </c>
      <c r="J348" s="16">
        <f t="shared" ca="1" si="16"/>
        <v>341</v>
      </c>
      <c r="K348" s="16"/>
      <c r="L348" s="16">
        <f t="shared" ca="1" si="17"/>
        <v>332.3</v>
      </c>
      <c r="M348" s="16">
        <f t="shared" ca="1" si="18"/>
        <v>346.7</v>
      </c>
      <c r="N348" s="16">
        <f t="shared" ca="1" si="19"/>
        <v>329.3</v>
      </c>
    </row>
    <row r="349" spans="1:14" ht="24.75" customHeight="1" x14ac:dyDescent="0.8">
      <c r="A349" s="18" t="s">
        <v>217</v>
      </c>
      <c r="B349" s="10">
        <f ca="1">IFERROR(__xludf.DUMMYFUNCTION("GOOGLEFINANCE(A349,""PRICE"")"),91.52)</f>
        <v>91.52</v>
      </c>
      <c r="C349" s="11">
        <f ca="1">IFERROR(__xludf.DUMMYFUNCTION("GOOGLEFINANCE(A349,""PRICEOPEN"")"),91.34)</f>
        <v>91.34</v>
      </c>
      <c r="D349" s="11">
        <f ca="1">IFERROR(__xludf.DUMMYFUNCTION("GOOGLEFINANCE(A349,""HIGH"")"),92.16)</f>
        <v>92.16</v>
      </c>
      <c r="E349" s="11">
        <f ca="1">IFERROR(__xludf.DUMMYFUNCTION("GOOGLEFINANCE(A349,""LOW"")"),90.88)</f>
        <v>90.88</v>
      </c>
      <c r="F349" s="12" t="str">
        <f t="shared" ca="1" si="14"/>
        <v/>
      </c>
      <c r="G349" s="13">
        <f ca="1">IFERROR(__xludf.DUMMYFUNCTION("GOOGLEFINANCE(A349,""CLOSEYEST"")"),90.95)</f>
        <v>90.95</v>
      </c>
      <c r="H349" s="14" t="str">
        <f t="shared" ca="1" si="20"/>
        <v/>
      </c>
      <c r="I349" s="15">
        <f t="shared" ca="1" si="15"/>
        <v>91.33</v>
      </c>
      <c r="J349" s="16">
        <f t="shared" ca="1" si="16"/>
        <v>91.78</v>
      </c>
      <c r="K349" s="16"/>
      <c r="L349" s="16">
        <f t="shared" ca="1" si="17"/>
        <v>90.5</v>
      </c>
      <c r="M349" s="16">
        <f t="shared" ca="1" si="18"/>
        <v>92.61</v>
      </c>
      <c r="N349" s="16">
        <f t="shared" ca="1" si="19"/>
        <v>90.05</v>
      </c>
    </row>
    <row r="350" spans="1:14" ht="24.75" customHeight="1" x14ac:dyDescent="0.8">
      <c r="A350" s="18" t="s">
        <v>1619</v>
      </c>
      <c r="B350" s="10">
        <f ca="1">IFERROR(__xludf.DUMMYFUNCTION("GOOGLEFINANCE(A350,""PRICE"")"),214.5)</f>
        <v>214.5</v>
      </c>
      <c r="C350" s="11">
        <f ca="1">IFERROR(__xludf.DUMMYFUNCTION("GOOGLEFINANCE(A350,""PRICEOPEN"")"),210)</f>
        <v>210</v>
      </c>
      <c r="D350" s="11">
        <f ca="1">IFERROR(__xludf.DUMMYFUNCTION("GOOGLEFINANCE(A350,""HIGH"")"),216.8)</f>
        <v>216.8</v>
      </c>
      <c r="E350" s="11">
        <f ca="1">IFERROR(__xludf.DUMMYFUNCTION("GOOGLEFINANCE(A350,""LOW"")"),209.63)</f>
        <v>209.63</v>
      </c>
      <c r="F350" s="12" t="str">
        <f t="shared" ca="1" si="14"/>
        <v/>
      </c>
      <c r="G350" s="13">
        <f ca="1">IFERROR(__xludf.DUMMYFUNCTION("GOOGLEFINANCE(A350,""CLOSEYEST"")"),209.03)</f>
        <v>209.03</v>
      </c>
      <c r="H350" s="14" t="str">
        <f t="shared" ca="1" si="20"/>
        <v/>
      </c>
      <c r="I350" s="15">
        <f t="shared" ca="1" si="15"/>
        <v>211.82000000000002</v>
      </c>
      <c r="J350" s="16">
        <f t="shared" ca="1" si="16"/>
        <v>214.01000000000005</v>
      </c>
      <c r="K350" s="16"/>
      <c r="L350" s="16">
        <f t="shared" ca="1" si="17"/>
        <v>206.84000000000003</v>
      </c>
      <c r="M350" s="16">
        <f t="shared" ca="1" si="18"/>
        <v>218.99000000000004</v>
      </c>
      <c r="N350" s="16">
        <f t="shared" ca="1" si="19"/>
        <v>204.65</v>
      </c>
    </row>
    <row r="351" spans="1:14" ht="24.75" customHeight="1" x14ac:dyDescent="0.8">
      <c r="A351" s="18" t="s">
        <v>452</v>
      </c>
      <c r="B351" s="10">
        <f ca="1">IFERROR(__xludf.DUMMYFUNCTION("GOOGLEFINANCE(A351,""PRICE"")"),206.1)</f>
        <v>206.1</v>
      </c>
      <c r="C351" s="11">
        <f ca="1">IFERROR(__xludf.DUMMYFUNCTION("GOOGLEFINANCE(A351,""PRICEOPEN"")"),200.2)</f>
        <v>200.2</v>
      </c>
      <c r="D351" s="11">
        <f ca="1">IFERROR(__xludf.DUMMYFUNCTION("GOOGLEFINANCE(A351,""HIGH"")"),206.69)</f>
        <v>206.69</v>
      </c>
      <c r="E351" s="11">
        <f ca="1">IFERROR(__xludf.DUMMYFUNCTION("GOOGLEFINANCE(A351,""LOW"")"),199.67)</f>
        <v>199.67</v>
      </c>
      <c r="F351" s="12" t="str">
        <f t="shared" ca="1" si="14"/>
        <v/>
      </c>
      <c r="G351" s="13">
        <f ca="1">IFERROR(__xludf.DUMMYFUNCTION("GOOGLEFINANCE(A351,""CLOSEYEST"")"),199.4)</f>
        <v>199.4</v>
      </c>
      <c r="H351" s="14" t="str">
        <f t="shared" ca="1" si="20"/>
        <v/>
      </c>
      <c r="I351" s="15">
        <f t="shared" ca="1" si="15"/>
        <v>201.92</v>
      </c>
      <c r="J351" s="16">
        <f t="shared" ca="1" si="16"/>
        <v>204.17</v>
      </c>
      <c r="K351" s="16"/>
      <c r="L351" s="16">
        <f t="shared" ca="1" si="17"/>
        <v>197.14999999999998</v>
      </c>
      <c r="M351" s="16">
        <f t="shared" ca="1" si="18"/>
        <v>208.94</v>
      </c>
      <c r="N351" s="16">
        <f t="shared" ca="1" si="19"/>
        <v>194.89999999999998</v>
      </c>
    </row>
    <row r="352" spans="1:14" ht="24.75" customHeight="1" x14ac:dyDescent="0.8">
      <c r="A352" s="18" t="s">
        <v>1620</v>
      </c>
      <c r="B352" s="10">
        <f ca="1">IFERROR(__xludf.DUMMYFUNCTION("GOOGLEFINANCE(A352,""PRICE"")"),166)</f>
        <v>166</v>
      </c>
      <c r="C352" s="11">
        <f ca="1">IFERROR(__xludf.DUMMYFUNCTION("GOOGLEFINANCE(A352,""PRICEOPEN"")"),163.2)</f>
        <v>163.19999999999999</v>
      </c>
      <c r="D352" s="11">
        <f ca="1">IFERROR(__xludf.DUMMYFUNCTION("GOOGLEFINANCE(A352,""HIGH"")"),166.67)</f>
        <v>166.67</v>
      </c>
      <c r="E352" s="11">
        <f ca="1">IFERROR(__xludf.DUMMYFUNCTION("GOOGLEFINANCE(A352,""LOW"")"),163.18)</f>
        <v>163.18</v>
      </c>
      <c r="F352" s="12" t="str">
        <f t="shared" ca="1" si="14"/>
        <v/>
      </c>
      <c r="G352" s="13">
        <f ca="1">IFERROR(__xludf.DUMMYFUNCTION("GOOGLEFINANCE(A352,""CLOSEYEST"")"),162.37)</f>
        <v>162.37</v>
      </c>
      <c r="H352" s="14" t="str">
        <f t="shared" ca="1" si="20"/>
        <v/>
      </c>
      <c r="I352" s="15">
        <f t="shared" ca="1" si="15"/>
        <v>164.07333333333335</v>
      </c>
      <c r="J352" s="16">
        <f t="shared" ca="1" si="16"/>
        <v>164.9666666666667</v>
      </c>
      <c r="K352" s="16"/>
      <c r="L352" s="16">
        <f t="shared" ca="1" si="17"/>
        <v>161.47666666666672</v>
      </c>
      <c r="M352" s="16">
        <f t="shared" ca="1" si="18"/>
        <v>167.56333333333333</v>
      </c>
      <c r="N352" s="16">
        <f t="shared" ca="1" si="19"/>
        <v>160.58333333333337</v>
      </c>
    </row>
    <row r="353" spans="1:14" ht="24.75" customHeight="1" x14ac:dyDescent="0.8">
      <c r="A353" s="18" t="s">
        <v>159</v>
      </c>
      <c r="B353" s="10">
        <f ca="1">IFERROR(__xludf.DUMMYFUNCTION("GOOGLEFINANCE(A353,""PRICE"")"),202.7)</f>
        <v>202.7</v>
      </c>
      <c r="C353" s="11">
        <f ca="1">IFERROR(__xludf.DUMMYFUNCTION("GOOGLEFINANCE(A353,""PRICEOPEN"")"),201.5)</f>
        <v>201.5</v>
      </c>
      <c r="D353" s="11">
        <f ca="1">IFERROR(__xludf.DUMMYFUNCTION("GOOGLEFINANCE(A353,""HIGH"")"),203.1)</f>
        <v>203.1</v>
      </c>
      <c r="E353" s="11">
        <f ca="1">IFERROR(__xludf.DUMMYFUNCTION("GOOGLEFINANCE(A353,""LOW"")"),200.61)</f>
        <v>200.61</v>
      </c>
      <c r="F353" s="12" t="str">
        <f t="shared" ca="1" si="14"/>
        <v/>
      </c>
      <c r="G353" s="13">
        <f ca="1">IFERROR(__xludf.DUMMYFUNCTION("GOOGLEFINANCE(A353,""CLOSEYEST"")"),201.03)</f>
        <v>201.03</v>
      </c>
      <c r="H353" s="14" t="str">
        <f t="shared" ca="1" si="20"/>
        <v/>
      </c>
      <c r="I353" s="15">
        <f t="shared" ca="1" si="15"/>
        <v>201.58</v>
      </c>
      <c r="J353" s="16">
        <f t="shared" ca="1" si="16"/>
        <v>202.55</v>
      </c>
      <c r="K353" s="16"/>
      <c r="L353" s="16">
        <f t="shared" ca="1" si="17"/>
        <v>200.06000000000003</v>
      </c>
      <c r="M353" s="16">
        <f t="shared" ca="1" si="18"/>
        <v>204.07</v>
      </c>
      <c r="N353" s="16">
        <f t="shared" ca="1" si="19"/>
        <v>199.09000000000003</v>
      </c>
    </row>
    <row r="354" spans="1:14" ht="24.75" customHeight="1" x14ac:dyDescent="0.8">
      <c r="A354" s="18" t="s">
        <v>1621</v>
      </c>
      <c r="B354" s="10">
        <f ca="1">IFERROR(__xludf.DUMMYFUNCTION("GOOGLEFINANCE(A354,""PRICE"")"),1840.3)</f>
        <v>1840.3</v>
      </c>
      <c r="C354" s="11">
        <f ca="1">IFERROR(__xludf.DUMMYFUNCTION("GOOGLEFINANCE(A354,""PRICEOPEN"")"),1909.8)</f>
        <v>1909.8</v>
      </c>
      <c r="D354" s="11">
        <f ca="1">IFERROR(__xludf.DUMMYFUNCTION("GOOGLEFINANCE(A354,""HIGH"")"),1918.9)</f>
        <v>1918.9</v>
      </c>
      <c r="E354" s="11">
        <f ca="1">IFERROR(__xludf.DUMMYFUNCTION("GOOGLEFINANCE(A354,""LOW"")"),1808.8)</f>
        <v>1808.8</v>
      </c>
      <c r="F354" s="12" t="str">
        <f t="shared" ca="1" si="14"/>
        <v/>
      </c>
      <c r="G354" s="13">
        <f ca="1">IFERROR(__xludf.DUMMYFUNCTION("GOOGLEFINANCE(A354,""CLOSEYEST"")"),1907.6)</f>
        <v>1907.6</v>
      </c>
      <c r="H354" s="14" t="str">
        <f t="shared" ca="1" si="20"/>
        <v/>
      </c>
      <c r="I354" s="15">
        <f t="shared" ca="1" si="15"/>
        <v>1878.4333333333332</v>
      </c>
      <c r="J354" s="16">
        <f t="shared" ca="1" si="16"/>
        <v>1948.0666666666664</v>
      </c>
      <c r="K354" s="16"/>
      <c r="L354" s="16">
        <f t="shared" ca="1" si="17"/>
        <v>1837.9666666666662</v>
      </c>
      <c r="M354" s="16">
        <f t="shared" ca="1" si="18"/>
        <v>1988.5333333333333</v>
      </c>
      <c r="N354" s="16">
        <f t="shared" ca="1" si="19"/>
        <v>1768.333333333333</v>
      </c>
    </row>
    <row r="355" spans="1:14" ht="24.75" customHeight="1" x14ac:dyDescent="0.8">
      <c r="A355" s="18" t="s">
        <v>1622</v>
      </c>
      <c r="B355" s="10">
        <f ca="1">IFERROR(__xludf.DUMMYFUNCTION("GOOGLEFINANCE(A355,""PRICE"")"),1416)</f>
        <v>1416</v>
      </c>
      <c r="C355" s="11">
        <f ca="1">IFERROR(__xludf.DUMMYFUNCTION("GOOGLEFINANCE(A355,""PRICEOPEN"")"),1404.6)</f>
        <v>1404.6</v>
      </c>
      <c r="D355" s="11">
        <f ca="1">IFERROR(__xludf.DUMMYFUNCTION("GOOGLEFINANCE(A355,""HIGH"")"),1424.1)</f>
        <v>1424.1</v>
      </c>
      <c r="E355" s="11">
        <f ca="1">IFERROR(__xludf.DUMMYFUNCTION("GOOGLEFINANCE(A355,""LOW"")"),1400)</f>
        <v>1400</v>
      </c>
      <c r="F355" s="12" t="str">
        <f t="shared" ca="1" si="14"/>
        <v/>
      </c>
      <c r="G355" s="13">
        <f ca="1">IFERROR(__xludf.DUMMYFUNCTION("GOOGLEFINANCE(A355,""CLOSEYEST"")"),1401.9)</f>
        <v>1401.9</v>
      </c>
      <c r="H355" s="14" t="str">
        <f t="shared" ca="1" si="20"/>
        <v/>
      </c>
      <c r="I355" s="15">
        <f t="shared" ca="1" si="15"/>
        <v>1408.6666666666667</v>
      </c>
      <c r="J355" s="16">
        <f t="shared" ca="1" si="16"/>
        <v>1417.3333333333335</v>
      </c>
      <c r="K355" s="16"/>
      <c r="L355" s="16">
        <f t="shared" ca="1" si="17"/>
        <v>1393.2333333333336</v>
      </c>
      <c r="M355" s="16">
        <f t="shared" ca="1" si="18"/>
        <v>1432.7666666666667</v>
      </c>
      <c r="N355" s="16">
        <f t="shared" ca="1" si="19"/>
        <v>1384.5666666666668</v>
      </c>
    </row>
    <row r="356" spans="1:14" ht="24.75" customHeight="1" x14ac:dyDescent="0.8">
      <c r="A356" s="18" t="s">
        <v>790</v>
      </c>
      <c r="B356" s="10">
        <f ca="1">IFERROR(__xludf.DUMMYFUNCTION("GOOGLEFINANCE(A356,""PRICE"")"),256.6)</f>
        <v>256.60000000000002</v>
      </c>
      <c r="C356" s="11">
        <f ca="1">IFERROR(__xludf.DUMMYFUNCTION("GOOGLEFINANCE(A356,""PRICEOPEN"")"),255.15)</f>
        <v>255.15</v>
      </c>
      <c r="D356" s="11">
        <f ca="1">IFERROR(__xludf.DUMMYFUNCTION("GOOGLEFINANCE(A356,""HIGH"")"),258.1)</f>
        <v>258.10000000000002</v>
      </c>
      <c r="E356" s="11">
        <f ca="1">IFERROR(__xludf.DUMMYFUNCTION("GOOGLEFINANCE(A356,""LOW"")"),252.15)</f>
        <v>252.15</v>
      </c>
      <c r="F356" s="12" t="str">
        <f t="shared" ca="1" si="14"/>
        <v/>
      </c>
      <c r="G356" s="13">
        <f ca="1">IFERROR(__xludf.DUMMYFUNCTION("GOOGLEFINANCE(A356,""CLOSEYEST"")"),255.1)</f>
        <v>255.1</v>
      </c>
      <c r="H356" s="14" t="str">
        <f t="shared" ca="1" si="20"/>
        <v/>
      </c>
      <c r="I356" s="15">
        <f t="shared" ca="1" si="15"/>
        <v>255.11666666666667</v>
      </c>
      <c r="J356" s="16">
        <f t="shared" ca="1" si="16"/>
        <v>258.08333333333337</v>
      </c>
      <c r="K356" s="16"/>
      <c r="L356" s="16">
        <f t="shared" ca="1" si="17"/>
        <v>252.13333333333333</v>
      </c>
      <c r="M356" s="16">
        <f t="shared" ca="1" si="18"/>
        <v>261.06666666666672</v>
      </c>
      <c r="N356" s="16">
        <f t="shared" ca="1" si="19"/>
        <v>249.16666666666663</v>
      </c>
    </row>
    <row r="357" spans="1:14" ht="24.75" customHeight="1" x14ac:dyDescent="0.8">
      <c r="A357" s="18" t="s">
        <v>132</v>
      </c>
      <c r="B357" s="10" t="str">
        <f ca="1">IFERROR(__xludf.DUMMYFUNCTION("GOOGLEFINANCE(A357,""PRICE"")"),"#N/A")</f>
        <v>#N/A</v>
      </c>
      <c r="C357" s="11" t="str">
        <f ca="1">IFERROR(__xludf.DUMMYFUNCTION("GOOGLEFINANCE(A357,""PRICEOPEN"")"),"#N/A")</f>
        <v>#N/A</v>
      </c>
      <c r="D357" s="11" t="str">
        <f ca="1">IFERROR(__xludf.DUMMYFUNCTION("GOOGLEFINANCE(A357,""HIGH"")"),"#N/A")</f>
        <v>#N/A</v>
      </c>
      <c r="E357" s="11" t="str">
        <f ca="1">IFERROR(__xludf.DUMMYFUNCTION("GOOGLEFINANCE(A357,""LOW"")"),"#N/A")</f>
        <v>#N/A</v>
      </c>
      <c r="F357" s="12" t="str">
        <f t="shared" ca="1" si="14"/>
        <v>SELL</v>
      </c>
      <c r="G357" s="13" t="str">
        <f ca="1">IFERROR(__xludf.DUMMYFUNCTION("GOOGLEFINANCE(A357,""CLOSEYEST"")"),"#N/A")</f>
        <v>#N/A</v>
      </c>
      <c r="H357" s="14" t="e">
        <f t="shared" ca="1" si="20"/>
        <v>#VALUE!</v>
      </c>
      <c r="I357" s="15" t="e">
        <f t="shared" ca="1" si="15"/>
        <v>#VALUE!</v>
      </c>
      <c r="J357" s="16" t="e">
        <f t="shared" ca="1" si="16"/>
        <v>#VALUE!</v>
      </c>
      <c r="K357" s="16"/>
      <c r="L357" s="16" t="e">
        <f t="shared" ca="1" si="17"/>
        <v>#VALUE!</v>
      </c>
      <c r="M357" s="16" t="e">
        <f t="shared" ca="1" si="18"/>
        <v>#VALUE!</v>
      </c>
      <c r="N357" s="16" t="e">
        <f t="shared" ca="1" si="19"/>
        <v>#VALUE!</v>
      </c>
    </row>
    <row r="358" spans="1:14" ht="24.75" customHeight="1" x14ac:dyDescent="0.8">
      <c r="A358" s="18" t="s">
        <v>393</v>
      </c>
      <c r="B358" s="10">
        <f ca="1">IFERROR(__xludf.DUMMYFUNCTION("GOOGLEFINANCE(A358,""PRICE"")"),797.4)</f>
        <v>797.4</v>
      </c>
      <c r="C358" s="11">
        <f ca="1">IFERROR(__xludf.DUMMYFUNCTION("GOOGLEFINANCE(A358,""PRICEOPEN"")"),799.5)</f>
        <v>799.5</v>
      </c>
      <c r="D358" s="11">
        <f ca="1">IFERROR(__xludf.DUMMYFUNCTION("GOOGLEFINANCE(A358,""HIGH"")"),809)</f>
        <v>809</v>
      </c>
      <c r="E358" s="11">
        <f ca="1">IFERROR(__xludf.DUMMYFUNCTION("GOOGLEFINANCE(A358,""LOW"")"),790.4)</f>
        <v>790.4</v>
      </c>
      <c r="F358" s="12" t="str">
        <f t="shared" ca="1" si="14"/>
        <v/>
      </c>
      <c r="G358" s="13">
        <f ca="1">IFERROR(__xludf.DUMMYFUNCTION("GOOGLEFINANCE(A358,""CLOSEYEST"")"),797.95)</f>
        <v>797.95</v>
      </c>
      <c r="H358" s="14" t="str">
        <f t="shared" ca="1" si="20"/>
        <v/>
      </c>
      <c r="I358" s="15">
        <f t="shared" ca="1" si="15"/>
        <v>799.11666666666679</v>
      </c>
      <c r="J358" s="16">
        <f t="shared" ca="1" si="16"/>
        <v>807.8333333333336</v>
      </c>
      <c r="K358" s="16"/>
      <c r="L358" s="16">
        <f t="shared" ca="1" si="17"/>
        <v>789.23333333333358</v>
      </c>
      <c r="M358" s="16">
        <f t="shared" ca="1" si="18"/>
        <v>817.71666666666681</v>
      </c>
      <c r="N358" s="16">
        <f t="shared" ca="1" si="19"/>
        <v>780.51666666666677</v>
      </c>
    </row>
    <row r="359" spans="1:14" ht="24.75" customHeight="1" x14ac:dyDescent="0.8">
      <c r="A359" s="18" t="s">
        <v>413</v>
      </c>
      <c r="B359" s="10">
        <f ca="1">IFERROR(__xludf.DUMMYFUNCTION("GOOGLEFINANCE(A359,""PRICE"")"),8205.5)</f>
        <v>8205.5</v>
      </c>
      <c r="C359" s="11">
        <f ca="1">IFERROR(__xludf.DUMMYFUNCTION("GOOGLEFINANCE(A359,""PRICEOPEN"")"),8238)</f>
        <v>8238</v>
      </c>
      <c r="D359" s="11">
        <f ca="1">IFERROR(__xludf.DUMMYFUNCTION("GOOGLEFINANCE(A359,""HIGH"")"),8295.5)</f>
        <v>8295.5</v>
      </c>
      <c r="E359" s="11">
        <f ca="1">IFERROR(__xludf.DUMMYFUNCTION("GOOGLEFINANCE(A359,""LOW"")"),8168)</f>
        <v>8168</v>
      </c>
      <c r="F359" s="12" t="str">
        <f t="shared" ca="1" si="14"/>
        <v/>
      </c>
      <c r="G359" s="13">
        <f ca="1">IFERROR(__xludf.DUMMYFUNCTION("GOOGLEFINANCE(A359,""CLOSEYEST"")"),8241.5)</f>
        <v>8241.5</v>
      </c>
      <c r="H359" s="14" t="str">
        <f t="shared" ca="1" si="20"/>
        <v/>
      </c>
      <c r="I359" s="15">
        <f t="shared" ca="1" si="15"/>
        <v>8235</v>
      </c>
      <c r="J359" s="16">
        <f t="shared" ca="1" si="16"/>
        <v>8302</v>
      </c>
      <c r="K359" s="16"/>
      <c r="L359" s="16">
        <f t="shared" ca="1" si="17"/>
        <v>8174.5</v>
      </c>
      <c r="M359" s="16">
        <f t="shared" ca="1" si="18"/>
        <v>8362.5</v>
      </c>
      <c r="N359" s="16">
        <f t="shared" ca="1" si="19"/>
        <v>8107.5</v>
      </c>
    </row>
    <row r="360" spans="1:14" ht="24.75" customHeight="1" x14ac:dyDescent="0.8">
      <c r="A360" s="18" t="s">
        <v>1623</v>
      </c>
      <c r="B360" s="10">
        <f ca="1">IFERROR(__xludf.DUMMYFUNCTION("GOOGLEFINANCE(A360,""PRICE"")"),458)</f>
        <v>458</v>
      </c>
      <c r="C360" s="11">
        <f ca="1">IFERROR(__xludf.DUMMYFUNCTION("GOOGLEFINANCE(A360,""PRICEOPEN"")"),450.2)</f>
        <v>450.2</v>
      </c>
      <c r="D360" s="11">
        <f ca="1">IFERROR(__xludf.DUMMYFUNCTION("GOOGLEFINANCE(A360,""HIGH"")"),468.6)</f>
        <v>468.6</v>
      </c>
      <c r="E360" s="11">
        <f ca="1">IFERROR(__xludf.DUMMYFUNCTION("GOOGLEFINANCE(A360,""LOW"")"),450.1)</f>
        <v>450.1</v>
      </c>
      <c r="F360" s="12" t="str">
        <f t="shared" ca="1" si="14"/>
        <v/>
      </c>
      <c r="G360" s="13">
        <f ca="1">IFERROR(__xludf.DUMMYFUNCTION("GOOGLEFINANCE(A360,""CLOSEYEST"")"),452.2)</f>
        <v>452.2</v>
      </c>
      <c r="H360" s="14" t="str">
        <f t="shared" ca="1" si="20"/>
        <v/>
      </c>
      <c r="I360" s="15">
        <f t="shared" ca="1" si="15"/>
        <v>456.9666666666667</v>
      </c>
      <c r="J360" s="16">
        <f t="shared" ca="1" si="16"/>
        <v>463.83333333333337</v>
      </c>
      <c r="K360" s="16"/>
      <c r="L360" s="16">
        <f t="shared" ca="1" si="17"/>
        <v>445.33333333333337</v>
      </c>
      <c r="M360" s="16">
        <f t="shared" ca="1" si="18"/>
        <v>475.4666666666667</v>
      </c>
      <c r="N360" s="16">
        <f t="shared" ca="1" si="19"/>
        <v>438.4666666666667</v>
      </c>
    </row>
    <row r="361" spans="1:14" ht="24.75" customHeight="1" x14ac:dyDescent="0.8">
      <c r="A361" s="18" t="s">
        <v>1624</v>
      </c>
      <c r="B361" s="10">
        <f ca="1">IFERROR(__xludf.DUMMYFUNCTION("GOOGLEFINANCE(A361,""PRICE"")"),462.15)</f>
        <v>462.15</v>
      </c>
      <c r="C361" s="11">
        <f ca="1">IFERROR(__xludf.DUMMYFUNCTION("GOOGLEFINANCE(A361,""PRICEOPEN"")"),459.85)</f>
        <v>459.85</v>
      </c>
      <c r="D361" s="11">
        <f ca="1">IFERROR(__xludf.DUMMYFUNCTION("GOOGLEFINANCE(A361,""HIGH"")"),466.9)</f>
        <v>466.9</v>
      </c>
      <c r="E361" s="11">
        <f ca="1">IFERROR(__xludf.DUMMYFUNCTION("GOOGLEFINANCE(A361,""LOW"")"),455.2)</f>
        <v>455.2</v>
      </c>
      <c r="F361" s="12" t="str">
        <f t="shared" ca="1" si="14"/>
        <v/>
      </c>
      <c r="G361" s="13">
        <f ca="1">IFERROR(__xludf.DUMMYFUNCTION("GOOGLEFINANCE(A361,""CLOSEYEST"")"),459.85)</f>
        <v>459.85</v>
      </c>
      <c r="H361" s="14" t="str">
        <f t="shared" ca="1" si="20"/>
        <v/>
      </c>
      <c r="I361" s="15">
        <f t="shared" ca="1" si="15"/>
        <v>460.64999999999992</v>
      </c>
      <c r="J361" s="16">
        <f t="shared" ca="1" si="16"/>
        <v>466.09999999999985</v>
      </c>
      <c r="K361" s="16"/>
      <c r="L361" s="16">
        <f t="shared" ca="1" si="17"/>
        <v>454.39999999999986</v>
      </c>
      <c r="M361" s="16">
        <f t="shared" ca="1" si="18"/>
        <v>472.34999999999991</v>
      </c>
      <c r="N361" s="16">
        <f t="shared" ca="1" si="19"/>
        <v>448.94999999999993</v>
      </c>
    </row>
    <row r="362" spans="1:14" ht="24.75" customHeight="1" x14ac:dyDescent="0.8">
      <c r="A362" s="18" t="s">
        <v>122</v>
      </c>
      <c r="B362" s="10">
        <f ca="1">IFERROR(__xludf.DUMMYFUNCTION("GOOGLEFINANCE(A362,""PRICE"")"),690)</f>
        <v>690</v>
      </c>
      <c r="C362" s="11">
        <f ca="1">IFERROR(__xludf.DUMMYFUNCTION("GOOGLEFINANCE(A362,""PRICEOPEN"")"),687.9)</f>
        <v>687.9</v>
      </c>
      <c r="D362" s="11">
        <f ca="1">IFERROR(__xludf.DUMMYFUNCTION("GOOGLEFINANCE(A362,""HIGH"")"),694)</f>
        <v>694</v>
      </c>
      <c r="E362" s="11">
        <f ca="1">IFERROR(__xludf.DUMMYFUNCTION("GOOGLEFINANCE(A362,""LOW"")"),676.8)</f>
        <v>676.8</v>
      </c>
      <c r="F362" s="12" t="str">
        <f t="shared" ca="1" si="14"/>
        <v/>
      </c>
      <c r="G362" s="13">
        <f ca="1">IFERROR(__xludf.DUMMYFUNCTION("GOOGLEFINANCE(A362,""CLOSEYEST"")"),687.9)</f>
        <v>687.9</v>
      </c>
      <c r="H362" s="14" t="str">
        <f t="shared" ca="1" si="20"/>
        <v/>
      </c>
      <c r="I362" s="15">
        <f t="shared" ca="1" si="15"/>
        <v>686.23333333333323</v>
      </c>
      <c r="J362" s="16">
        <f t="shared" ca="1" si="16"/>
        <v>695.66666666666652</v>
      </c>
      <c r="K362" s="16"/>
      <c r="L362" s="16">
        <f t="shared" ca="1" si="17"/>
        <v>678.46666666666647</v>
      </c>
      <c r="M362" s="16">
        <f t="shared" ca="1" si="18"/>
        <v>703.43333333333328</v>
      </c>
      <c r="N362" s="16">
        <f t="shared" ca="1" si="19"/>
        <v>669.03333333333319</v>
      </c>
    </row>
    <row r="363" spans="1:14" ht="24.75" customHeight="1" x14ac:dyDescent="0.8">
      <c r="A363" s="18" t="s">
        <v>1625</v>
      </c>
      <c r="B363" s="10">
        <f ca="1">IFERROR(__xludf.DUMMYFUNCTION("GOOGLEFINANCE(A363,""PRICE"")"),75.9)</f>
        <v>75.900000000000006</v>
      </c>
      <c r="C363" s="11">
        <f ca="1">IFERROR(__xludf.DUMMYFUNCTION("GOOGLEFINANCE(A363,""PRICEOPEN"")"),73.5)</f>
        <v>73.5</v>
      </c>
      <c r="D363" s="11">
        <f ca="1">IFERROR(__xludf.DUMMYFUNCTION("GOOGLEFINANCE(A363,""HIGH"")"),76.15)</f>
        <v>76.150000000000006</v>
      </c>
      <c r="E363" s="11">
        <f ca="1">IFERROR(__xludf.DUMMYFUNCTION("GOOGLEFINANCE(A363,""LOW"")"),72.81)</f>
        <v>72.81</v>
      </c>
      <c r="F363" s="12" t="str">
        <f t="shared" ca="1" si="14"/>
        <v/>
      </c>
      <c r="G363" s="13">
        <f ca="1">IFERROR(__xludf.DUMMYFUNCTION("GOOGLEFINANCE(A363,""CLOSEYEST"")"),73.42)</f>
        <v>73.42</v>
      </c>
      <c r="H363" s="14" t="str">
        <f t="shared" ca="1" si="20"/>
        <v/>
      </c>
      <c r="I363" s="15">
        <f t="shared" ca="1" si="15"/>
        <v>74.126666666666665</v>
      </c>
      <c r="J363" s="16">
        <f t="shared" ca="1" si="16"/>
        <v>75.443333333333328</v>
      </c>
      <c r="K363" s="16"/>
      <c r="L363" s="16">
        <f t="shared" ca="1" si="17"/>
        <v>72.103333333333325</v>
      </c>
      <c r="M363" s="16">
        <f t="shared" ca="1" si="18"/>
        <v>77.466666666666669</v>
      </c>
      <c r="N363" s="16">
        <f t="shared" ca="1" si="19"/>
        <v>70.786666666666662</v>
      </c>
    </row>
    <row r="364" spans="1:14" ht="24.75" customHeight="1" x14ac:dyDescent="0.8">
      <c r="A364" s="18" t="s">
        <v>167</v>
      </c>
      <c r="B364" s="10">
        <f ca="1">IFERROR(__xludf.DUMMYFUNCTION("GOOGLEFINANCE(A364,""PRICE"")"),4601.5)</f>
        <v>4601.5</v>
      </c>
      <c r="C364" s="11">
        <f ca="1">IFERROR(__xludf.DUMMYFUNCTION("GOOGLEFINANCE(A364,""PRICEOPEN"")"),4549.9)</f>
        <v>4549.8999999999996</v>
      </c>
      <c r="D364" s="11">
        <f ca="1">IFERROR(__xludf.DUMMYFUNCTION("GOOGLEFINANCE(A364,""HIGH"")"),4668.1)</f>
        <v>4668.1000000000004</v>
      </c>
      <c r="E364" s="11">
        <f ca="1">IFERROR(__xludf.DUMMYFUNCTION("GOOGLEFINANCE(A364,""LOW"")"),4481)</f>
        <v>4481</v>
      </c>
      <c r="F364" s="12" t="str">
        <f t="shared" ca="1" si="14"/>
        <v/>
      </c>
      <c r="G364" s="13">
        <f ca="1">IFERROR(__xludf.DUMMYFUNCTION("GOOGLEFINANCE(A364,""CLOSEYEST"")"),4532.8)</f>
        <v>4532.8</v>
      </c>
      <c r="H364" s="14" t="str">
        <f t="shared" ca="1" si="20"/>
        <v/>
      </c>
      <c r="I364" s="15">
        <f t="shared" ca="1" si="15"/>
        <v>4560.6333333333341</v>
      </c>
      <c r="J364" s="16">
        <f t="shared" ca="1" si="16"/>
        <v>4640.2666666666682</v>
      </c>
      <c r="K364" s="16"/>
      <c r="L364" s="16">
        <f t="shared" ca="1" si="17"/>
        <v>4453.1666666666679</v>
      </c>
      <c r="M364" s="16">
        <f t="shared" ca="1" si="18"/>
        <v>4747.7333333333345</v>
      </c>
      <c r="N364" s="16">
        <f t="shared" ca="1" si="19"/>
        <v>4373.5333333333338</v>
      </c>
    </row>
    <row r="365" spans="1:14" ht="24.75" customHeight="1" x14ac:dyDescent="0.8">
      <c r="A365" s="18" t="s">
        <v>170</v>
      </c>
      <c r="B365" s="10">
        <f ca="1">IFERROR(__xludf.DUMMYFUNCTION("GOOGLEFINANCE(A365,""PRICE"")"),1174.7)</f>
        <v>1174.7</v>
      </c>
      <c r="C365" s="11">
        <f ca="1">IFERROR(__xludf.DUMMYFUNCTION("GOOGLEFINANCE(A365,""PRICEOPEN"")"),1155)</f>
        <v>1155</v>
      </c>
      <c r="D365" s="11">
        <f ca="1">IFERROR(__xludf.DUMMYFUNCTION("GOOGLEFINANCE(A365,""HIGH"")"),1175)</f>
        <v>1175</v>
      </c>
      <c r="E365" s="11">
        <f ca="1">IFERROR(__xludf.DUMMYFUNCTION("GOOGLEFINANCE(A365,""LOW"")"),1147.1)</f>
        <v>1147.0999999999999</v>
      </c>
      <c r="F365" s="12" t="str">
        <f t="shared" ca="1" si="14"/>
        <v/>
      </c>
      <c r="G365" s="13">
        <f ca="1">IFERROR(__xludf.DUMMYFUNCTION("GOOGLEFINANCE(A365,""CLOSEYEST"")"),1149.4)</f>
        <v>1149.4000000000001</v>
      </c>
      <c r="H365" s="14" t="str">
        <f t="shared" ca="1" si="20"/>
        <v/>
      </c>
      <c r="I365" s="15">
        <f t="shared" ca="1" si="15"/>
        <v>1157.1666666666667</v>
      </c>
      <c r="J365" s="16">
        <f t="shared" ca="1" si="16"/>
        <v>1167.2333333333336</v>
      </c>
      <c r="K365" s="16"/>
      <c r="L365" s="16">
        <f t="shared" ca="1" si="17"/>
        <v>1139.3333333333335</v>
      </c>
      <c r="M365" s="16">
        <f t="shared" ca="1" si="18"/>
        <v>1185.0666666666668</v>
      </c>
      <c r="N365" s="16">
        <f t="shared" ca="1" si="19"/>
        <v>1129.2666666666667</v>
      </c>
    </row>
    <row r="366" spans="1:14" ht="24.75" customHeight="1" x14ac:dyDescent="0.8">
      <c r="A366" s="18" t="s">
        <v>231</v>
      </c>
      <c r="B366" s="10">
        <f ca="1">IFERROR(__xludf.DUMMYFUNCTION("GOOGLEFINANCE(A366,""PRICE"")"),494.85)</f>
        <v>494.85</v>
      </c>
      <c r="C366" s="11">
        <f ca="1">IFERROR(__xludf.DUMMYFUNCTION("GOOGLEFINANCE(A366,""PRICEOPEN"")"),485.9)</f>
        <v>485.9</v>
      </c>
      <c r="D366" s="11">
        <f ca="1">IFERROR(__xludf.DUMMYFUNCTION("GOOGLEFINANCE(A366,""HIGH"")"),496)</f>
        <v>496</v>
      </c>
      <c r="E366" s="11">
        <f ca="1">IFERROR(__xludf.DUMMYFUNCTION("GOOGLEFINANCE(A366,""LOW"")"),483.15)</f>
        <v>483.15</v>
      </c>
      <c r="F366" s="12" t="str">
        <f t="shared" ca="1" si="14"/>
        <v/>
      </c>
      <c r="G366" s="13">
        <f ca="1">IFERROR(__xludf.DUMMYFUNCTION("GOOGLEFINANCE(A366,""CLOSEYEST"")"),481.95)</f>
        <v>481.95</v>
      </c>
      <c r="H366" s="14" t="str">
        <f t="shared" ca="1" si="20"/>
        <v/>
      </c>
      <c r="I366" s="15">
        <f t="shared" ca="1" si="15"/>
        <v>487.0333333333333</v>
      </c>
      <c r="J366" s="16">
        <f t="shared" ca="1" si="16"/>
        <v>490.91666666666663</v>
      </c>
      <c r="K366" s="16"/>
      <c r="L366" s="16">
        <f t="shared" ca="1" si="17"/>
        <v>478.06666666666661</v>
      </c>
      <c r="M366" s="16">
        <f t="shared" ca="1" si="18"/>
        <v>499.88333333333333</v>
      </c>
      <c r="N366" s="16">
        <f t="shared" ca="1" si="19"/>
        <v>474.18333333333328</v>
      </c>
    </row>
    <row r="367" spans="1:14" ht="24.75" customHeight="1" x14ac:dyDescent="0.8">
      <c r="A367" s="18" t="s">
        <v>271</v>
      </c>
      <c r="B367" s="10">
        <f ca="1">IFERROR(__xludf.DUMMYFUNCTION("GOOGLEFINANCE(A367,""PRICE"")"),1207.8)</f>
        <v>1207.8</v>
      </c>
      <c r="C367" s="11">
        <f ca="1">IFERROR(__xludf.DUMMYFUNCTION("GOOGLEFINANCE(A367,""PRICEOPEN"")"),1213.3)</f>
        <v>1213.3</v>
      </c>
      <c r="D367" s="11">
        <f ca="1">IFERROR(__xludf.DUMMYFUNCTION("GOOGLEFINANCE(A367,""HIGH"")"),1226)</f>
        <v>1226</v>
      </c>
      <c r="E367" s="11">
        <f ca="1">IFERROR(__xludf.DUMMYFUNCTION("GOOGLEFINANCE(A367,""LOW"")"),1198)</f>
        <v>1198</v>
      </c>
      <c r="F367" s="12" t="str">
        <f t="shared" ca="1" si="14"/>
        <v/>
      </c>
      <c r="G367" s="13">
        <f ca="1">IFERROR(__xludf.DUMMYFUNCTION("GOOGLEFINANCE(A367,""CLOSEYEST"")"),1213.3)</f>
        <v>1213.3</v>
      </c>
      <c r="H367" s="14" t="str">
        <f t="shared" ca="1" si="20"/>
        <v/>
      </c>
      <c r="I367" s="15">
        <f t="shared" ca="1" si="15"/>
        <v>1212.4333333333334</v>
      </c>
      <c r="J367" s="16">
        <f t="shared" ca="1" si="16"/>
        <v>1226.8666666666668</v>
      </c>
      <c r="K367" s="16"/>
      <c r="L367" s="16">
        <f t="shared" ca="1" si="17"/>
        <v>1198.8666666666668</v>
      </c>
      <c r="M367" s="16">
        <f t="shared" ca="1" si="18"/>
        <v>1240.4333333333334</v>
      </c>
      <c r="N367" s="16">
        <f t="shared" ca="1" si="19"/>
        <v>1184.4333333333334</v>
      </c>
    </row>
    <row r="368" spans="1:14" ht="24.75" customHeight="1" x14ac:dyDescent="0.8">
      <c r="A368" s="18" t="s">
        <v>73</v>
      </c>
      <c r="B368" s="10" t="str">
        <f ca="1">IFERROR(__xludf.DUMMYFUNCTION("GOOGLEFINANCE(A368,""PRICE"")"),"#N/A")</f>
        <v>#N/A</v>
      </c>
      <c r="C368" s="11" t="str">
        <f ca="1">IFERROR(__xludf.DUMMYFUNCTION("GOOGLEFINANCE(A368,""PRICEOPEN"")"),"#N/A")</f>
        <v>#N/A</v>
      </c>
      <c r="D368" s="11" t="str">
        <f ca="1">IFERROR(__xludf.DUMMYFUNCTION("GOOGLEFINANCE(A368,""HIGH"")"),"#N/A")</f>
        <v>#N/A</v>
      </c>
      <c r="E368" s="11" t="str">
        <f ca="1">IFERROR(__xludf.DUMMYFUNCTION("GOOGLEFINANCE(A368,""LOW"")"),"#N/A")</f>
        <v>#N/A</v>
      </c>
      <c r="F368" s="12" t="str">
        <f t="shared" ca="1" si="14"/>
        <v>SELL</v>
      </c>
      <c r="G368" s="13" t="str">
        <f ca="1">IFERROR(__xludf.DUMMYFUNCTION("GOOGLEFINANCE(A368,""CLOSEYEST"")"),"#N/A")</f>
        <v>#N/A</v>
      </c>
      <c r="H368" s="14" t="e">
        <f t="shared" ca="1" si="20"/>
        <v>#VALUE!</v>
      </c>
      <c r="I368" s="15" t="e">
        <f t="shared" ca="1" si="15"/>
        <v>#VALUE!</v>
      </c>
      <c r="J368" s="16" t="e">
        <f t="shared" ca="1" si="16"/>
        <v>#VALUE!</v>
      </c>
      <c r="K368" s="16"/>
      <c r="L368" s="16" t="e">
        <f t="shared" ca="1" si="17"/>
        <v>#VALUE!</v>
      </c>
      <c r="M368" s="16" t="e">
        <f t="shared" ca="1" si="18"/>
        <v>#VALUE!</v>
      </c>
      <c r="N368" s="16" t="e">
        <f t="shared" ca="1" si="19"/>
        <v>#VALUE!</v>
      </c>
    </row>
    <row r="369" spans="1:14" ht="24.75" customHeight="1" x14ac:dyDescent="0.8">
      <c r="A369" s="18" t="s">
        <v>100</v>
      </c>
      <c r="B369" s="10">
        <f ca="1">IFERROR(__xludf.DUMMYFUNCTION("GOOGLEFINANCE(A369,""PRICE"")"),315.4)</f>
        <v>315.39999999999998</v>
      </c>
      <c r="C369" s="11">
        <f ca="1">IFERROR(__xludf.DUMMYFUNCTION("GOOGLEFINANCE(A369,""PRICEOPEN"")"),307)</f>
        <v>307</v>
      </c>
      <c r="D369" s="11">
        <f ca="1">IFERROR(__xludf.DUMMYFUNCTION("GOOGLEFINANCE(A369,""HIGH"")"),317.7)</f>
        <v>317.7</v>
      </c>
      <c r="E369" s="11">
        <f ca="1">IFERROR(__xludf.DUMMYFUNCTION("GOOGLEFINANCE(A369,""LOW"")"),305.8)</f>
        <v>305.8</v>
      </c>
      <c r="F369" s="12" t="str">
        <f t="shared" ca="1" si="14"/>
        <v/>
      </c>
      <c r="G369" s="13">
        <f ca="1">IFERROR(__xludf.DUMMYFUNCTION("GOOGLEFINANCE(A369,""CLOSEYEST"")"),307.05)</f>
        <v>307.05</v>
      </c>
      <c r="H369" s="14" t="str">
        <f t="shared" ca="1" si="20"/>
        <v/>
      </c>
      <c r="I369" s="15">
        <f t="shared" ca="1" si="15"/>
        <v>310.18333333333334</v>
      </c>
      <c r="J369" s="16">
        <f t="shared" ca="1" si="16"/>
        <v>314.56666666666666</v>
      </c>
      <c r="K369" s="16"/>
      <c r="L369" s="16">
        <f t="shared" ca="1" si="17"/>
        <v>302.66666666666669</v>
      </c>
      <c r="M369" s="16">
        <f t="shared" ca="1" si="18"/>
        <v>322.08333333333331</v>
      </c>
      <c r="N369" s="16">
        <f t="shared" ca="1" si="19"/>
        <v>298.28333333333336</v>
      </c>
    </row>
    <row r="370" spans="1:14" ht="24.75" customHeight="1" x14ac:dyDescent="0.8">
      <c r="A370" s="18" t="s">
        <v>1626</v>
      </c>
      <c r="B370" s="10">
        <f ca="1">IFERROR(__xludf.DUMMYFUNCTION("GOOGLEFINANCE(A370,""PRICE"")"),2259.7)</f>
        <v>2259.6999999999998</v>
      </c>
      <c r="C370" s="11">
        <f ca="1">IFERROR(__xludf.DUMMYFUNCTION("GOOGLEFINANCE(A370,""PRICEOPEN"")"),2241.9)</f>
        <v>2241.9</v>
      </c>
      <c r="D370" s="11">
        <f ca="1">IFERROR(__xludf.DUMMYFUNCTION("GOOGLEFINANCE(A370,""HIGH"")"),2259.7)</f>
        <v>2259.6999999999998</v>
      </c>
      <c r="E370" s="11">
        <f ca="1">IFERROR(__xludf.DUMMYFUNCTION("GOOGLEFINANCE(A370,""LOW"")"),2223)</f>
        <v>2223</v>
      </c>
      <c r="F370" s="12" t="str">
        <f t="shared" ca="1" si="14"/>
        <v/>
      </c>
      <c r="G370" s="13">
        <f ca="1">IFERROR(__xludf.DUMMYFUNCTION("GOOGLEFINANCE(A370,""CLOSEYEST"")"),2226.7)</f>
        <v>2226.6999999999998</v>
      </c>
      <c r="H370" s="14" t="str">
        <f t="shared" ca="1" si="20"/>
        <v/>
      </c>
      <c r="I370" s="15">
        <f t="shared" ca="1" si="15"/>
        <v>2236.4666666666667</v>
      </c>
      <c r="J370" s="16">
        <f t="shared" ca="1" si="16"/>
        <v>2249.9333333333334</v>
      </c>
      <c r="K370" s="16"/>
      <c r="L370" s="16">
        <f t="shared" ca="1" si="17"/>
        <v>2213.2333333333336</v>
      </c>
      <c r="M370" s="16">
        <f t="shared" ca="1" si="18"/>
        <v>2273.1666666666665</v>
      </c>
      <c r="N370" s="16">
        <f t="shared" ca="1" si="19"/>
        <v>2199.7666666666669</v>
      </c>
    </row>
    <row r="371" spans="1:14" ht="24.75" customHeight="1" x14ac:dyDescent="0.8">
      <c r="A371" s="18" t="s">
        <v>374</v>
      </c>
      <c r="B371" s="10">
        <f ca="1">IFERROR(__xludf.DUMMYFUNCTION("GOOGLEFINANCE(A371,""PRICE"")"),762)</f>
        <v>762</v>
      </c>
      <c r="C371" s="11">
        <f ca="1">IFERROR(__xludf.DUMMYFUNCTION("GOOGLEFINANCE(A371,""PRICEOPEN"")"),768.75)</f>
        <v>768.75</v>
      </c>
      <c r="D371" s="11">
        <f ca="1">IFERROR(__xludf.DUMMYFUNCTION("GOOGLEFINANCE(A371,""HIGH"")"),771)</f>
        <v>771</v>
      </c>
      <c r="E371" s="11">
        <f ca="1">IFERROR(__xludf.DUMMYFUNCTION("GOOGLEFINANCE(A371,""LOW"")"),757.8)</f>
        <v>757.8</v>
      </c>
      <c r="F371" s="12" t="str">
        <f t="shared" ca="1" si="14"/>
        <v/>
      </c>
      <c r="G371" s="13">
        <f ca="1">IFERROR(__xludf.DUMMYFUNCTION("GOOGLEFINANCE(A371,""CLOSEYEST"")"),768.75)</f>
        <v>768.75</v>
      </c>
      <c r="H371" s="14" t="str">
        <f t="shared" ca="1" si="20"/>
        <v/>
      </c>
      <c r="I371" s="15">
        <f t="shared" ca="1" si="15"/>
        <v>765.85</v>
      </c>
      <c r="J371" s="16">
        <f t="shared" ca="1" si="16"/>
        <v>773.90000000000009</v>
      </c>
      <c r="K371" s="16"/>
      <c r="L371" s="16">
        <f t="shared" ca="1" si="17"/>
        <v>760.7</v>
      </c>
      <c r="M371" s="16">
        <f t="shared" ca="1" si="18"/>
        <v>779.05000000000007</v>
      </c>
      <c r="N371" s="16">
        <f t="shared" ca="1" si="19"/>
        <v>752.65</v>
      </c>
    </row>
    <row r="372" spans="1:14" ht="24.75" customHeight="1" x14ac:dyDescent="0.8">
      <c r="A372" s="18" t="s">
        <v>157</v>
      </c>
      <c r="B372" s="10">
        <f ca="1">IFERROR(__xludf.DUMMYFUNCTION("GOOGLEFINANCE(A372,""PRICE"")"),1309.7)</f>
        <v>1309.7</v>
      </c>
      <c r="C372" s="11">
        <f ca="1">IFERROR(__xludf.DUMMYFUNCTION("GOOGLEFINANCE(A372,""PRICEOPEN"")"),1299.5)</f>
        <v>1299.5</v>
      </c>
      <c r="D372" s="11">
        <f ca="1">IFERROR(__xludf.DUMMYFUNCTION("GOOGLEFINANCE(A372,""HIGH"")"),1311)</f>
        <v>1311</v>
      </c>
      <c r="E372" s="11">
        <f ca="1">IFERROR(__xludf.DUMMYFUNCTION("GOOGLEFINANCE(A372,""LOW"")"),1295)</f>
        <v>1295</v>
      </c>
      <c r="F372" s="12" t="str">
        <f t="shared" ca="1" si="14"/>
        <v/>
      </c>
      <c r="G372" s="13">
        <f ca="1">IFERROR(__xludf.DUMMYFUNCTION("GOOGLEFINANCE(A372,""CLOSEYEST"")"),1299.5)</f>
        <v>1299.5</v>
      </c>
      <c r="H372" s="14" t="str">
        <f t="shared" ca="1" si="20"/>
        <v/>
      </c>
      <c r="I372" s="15">
        <f t="shared" ca="1" si="15"/>
        <v>1301.8333333333333</v>
      </c>
      <c r="J372" s="16">
        <f t="shared" ca="1" si="16"/>
        <v>1308.6666666666665</v>
      </c>
      <c r="K372" s="16"/>
      <c r="L372" s="16">
        <f t="shared" ca="1" si="17"/>
        <v>1292.6666666666665</v>
      </c>
      <c r="M372" s="16">
        <f t="shared" ca="1" si="18"/>
        <v>1317.8333333333333</v>
      </c>
      <c r="N372" s="16">
        <f t="shared" ca="1" si="19"/>
        <v>1285.8333333333333</v>
      </c>
    </row>
    <row r="373" spans="1:14" ht="24.75" customHeight="1" x14ac:dyDescent="0.8">
      <c r="A373" s="18" t="s">
        <v>240</v>
      </c>
      <c r="B373" s="10">
        <f ca="1">IFERROR(__xludf.DUMMYFUNCTION("GOOGLEFINANCE(A373,""PRICE"")"),123.12)</f>
        <v>123.12</v>
      </c>
      <c r="C373" s="11">
        <f ca="1">IFERROR(__xludf.DUMMYFUNCTION("GOOGLEFINANCE(A373,""PRICEOPEN"")"),122)</f>
        <v>122</v>
      </c>
      <c r="D373" s="11">
        <f ca="1">IFERROR(__xludf.DUMMYFUNCTION("GOOGLEFINANCE(A373,""HIGH"")"),124.5)</f>
        <v>124.5</v>
      </c>
      <c r="E373" s="11">
        <f ca="1">IFERROR(__xludf.DUMMYFUNCTION("GOOGLEFINANCE(A373,""LOW"")"),118.75)</f>
        <v>118.75</v>
      </c>
      <c r="F373" s="12" t="str">
        <f t="shared" ca="1" si="14"/>
        <v/>
      </c>
      <c r="G373" s="13">
        <f ca="1">IFERROR(__xludf.DUMMYFUNCTION("GOOGLEFINANCE(A373,""CLOSEYEST"")"),121.57)</f>
        <v>121.57</v>
      </c>
      <c r="H373" s="14" t="str">
        <f t="shared" ca="1" si="20"/>
        <v/>
      </c>
      <c r="I373" s="15">
        <f t="shared" ca="1" si="15"/>
        <v>121.60666666666667</v>
      </c>
      <c r="J373" s="16">
        <f t="shared" ca="1" si="16"/>
        <v>124.46333333333334</v>
      </c>
      <c r="K373" s="16"/>
      <c r="L373" s="16">
        <f t="shared" ca="1" si="17"/>
        <v>118.71333333333334</v>
      </c>
      <c r="M373" s="16">
        <f t="shared" ca="1" si="18"/>
        <v>127.35666666666667</v>
      </c>
      <c r="N373" s="16">
        <f t="shared" ca="1" si="19"/>
        <v>115.85666666666667</v>
      </c>
    </row>
    <row r="374" spans="1:14" ht="24.75" customHeight="1" x14ac:dyDescent="0.8">
      <c r="A374" s="18" t="s">
        <v>174</v>
      </c>
      <c r="B374" s="10">
        <f ca="1">IFERROR(__xludf.DUMMYFUNCTION("GOOGLEFINANCE(A374,""PRICE"")"),54.62)</f>
        <v>54.62</v>
      </c>
      <c r="C374" s="11">
        <f ca="1">IFERROR(__xludf.DUMMYFUNCTION("GOOGLEFINANCE(A374,""PRICEOPEN"")"),55.44)</f>
        <v>55.44</v>
      </c>
      <c r="D374" s="11">
        <f ca="1">IFERROR(__xludf.DUMMYFUNCTION("GOOGLEFINANCE(A374,""HIGH"")"),55.48)</f>
        <v>55.48</v>
      </c>
      <c r="E374" s="11">
        <f ca="1">IFERROR(__xludf.DUMMYFUNCTION("GOOGLEFINANCE(A374,""LOW"")"),53.85)</f>
        <v>53.85</v>
      </c>
      <c r="F374" s="12" t="str">
        <f t="shared" ca="1" si="14"/>
        <v/>
      </c>
      <c r="G374" s="13">
        <f ca="1">IFERROR(__xludf.DUMMYFUNCTION("GOOGLEFINANCE(A374,""CLOSEYEST"")"),55.18)</f>
        <v>55.18</v>
      </c>
      <c r="H374" s="14" t="str">
        <f t="shared" ca="1" si="20"/>
        <v/>
      </c>
      <c r="I374" s="15">
        <f t="shared" ca="1" si="15"/>
        <v>54.836666666666666</v>
      </c>
      <c r="J374" s="16">
        <f t="shared" ca="1" si="16"/>
        <v>55.823333333333331</v>
      </c>
      <c r="K374" s="16"/>
      <c r="L374" s="16">
        <f t="shared" ca="1" si="17"/>
        <v>54.193333333333335</v>
      </c>
      <c r="M374" s="16">
        <f t="shared" ca="1" si="18"/>
        <v>56.466666666666661</v>
      </c>
      <c r="N374" s="16">
        <f t="shared" ca="1" si="19"/>
        <v>53.206666666666671</v>
      </c>
    </row>
    <row r="375" spans="1:14" ht="24.75" customHeight="1" x14ac:dyDescent="0.8">
      <c r="A375" s="18" t="s">
        <v>52</v>
      </c>
      <c r="B375" s="10" t="str">
        <f ca="1">IFERROR(__xludf.DUMMYFUNCTION("GOOGLEFINANCE(A375,""PRICE"")"),"#N/A")</f>
        <v>#N/A</v>
      </c>
      <c r="C375" s="11" t="str">
        <f ca="1">IFERROR(__xludf.DUMMYFUNCTION("GOOGLEFINANCE(A375,""PRICEOPEN"")"),"#N/A")</f>
        <v>#N/A</v>
      </c>
      <c r="D375" s="11" t="str">
        <f ca="1">IFERROR(__xludf.DUMMYFUNCTION("GOOGLEFINANCE(A375,""HIGH"")"),"#N/A")</f>
        <v>#N/A</v>
      </c>
      <c r="E375" s="11" t="str">
        <f ca="1">IFERROR(__xludf.DUMMYFUNCTION("GOOGLEFINANCE(A375,""LOW"")"),"#N/A")</f>
        <v>#N/A</v>
      </c>
      <c r="F375" s="12" t="str">
        <f t="shared" ca="1" si="14"/>
        <v>SELL</v>
      </c>
      <c r="G375" s="13" t="str">
        <f ca="1">IFERROR(__xludf.DUMMYFUNCTION("GOOGLEFINANCE(A375,""CLOSEYEST"")"),"#N/A")</f>
        <v>#N/A</v>
      </c>
      <c r="H375" s="14" t="e">
        <f t="shared" ca="1" si="20"/>
        <v>#VALUE!</v>
      </c>
      <c r="I375" s="15" t="e">
        <f t="shared" ca="1" si="15"/>
        <v>#VALUE!</v>
      </c>
      <c r="J375" s="16" t="e">
        <f t="shared" ca="1" si="16"/>
        <v>#VALUE!</v>
      </c>
      <c r="K375" s="16"/>
      <c r="L375" s="16" t="e">
        <f t="shared" ca="1" si="17"/>
        <v>#VALUE!</v>
      </c>
      <c r="M375" s="16" t="e">
        <f t="shared" ca="1" si="18"/>
        <v>#VALUE!</v>
      </c>
      <c r="N375" s="16" t="e">
        <f t="shared" ca="1" si="19"/>
        <v>#VALUE!</v>
      </c>
    </row>
    <row r="376" spans="1:14" ht="24.75" customHeight="1" x14ac:dyDescent="0.8">
      <c r="A376" s="18" t="s">
        <v>448</v>
      </c>
      <c r="B376" s="10">
        <f ca="1">IFERROR(__xludf.DUMMYFUNCTION("GOOGLEFINANCE(A376,""PRICE"")"),10.51)</f>
        <v>10.51</v>
      </c>
      <c r="C376" s="11">
        <f ca="1">IFERROR(__xludf.DUMMYFUNCTION("GOOGLEFINANCE(A376,""PRICEOPEN"")"),10.53)</f>
        <v>10.53</v>
      </c>
      <c r="D376" s="11">
        <f ca="1">IFERROR(__xludf.DUMMYFUNCTION("GOOGLEFINANCE(A376,""HIGH"")"),10.53)</f>
        <v>10.53</v>
      </c>
      <c r="E376" s="11">
        <f ca="1">IFERROR(__xludf.DUMMYFUNCTION("GOOGLEFINANCE(A376,""LOW"")"),10.51)</f>
        <v>10.51</v>
      </c>
      <c r="F376" s="12" t="str">
        <f t="shared" ca="1" si="14"/>
        <v>SELL</v>
      </c>
      <c r="G376" s="13">
        <f ca="1">IFERROR(__xludf.DUMMYFUNCTION("GOOGLEFINANCE(A376,""CLOSEYEST"")"),10.52)</f>
        <v>10.52</v>
      </c>
      <c r="H376" s="14" t="str">
        <f t="shared" ca="1" si="20"/>
        <v/>
      </c>
      <c r="I376" s="15">
        <f t="shared" ca="1" si="15"/>
        <v>10.52</v>
      </c>
      <c r="J376" s="16">
        <f t="shared" ca="1" si="16"/>
        <v>10.53</v>
      </c>
      <c r="K376" s="16"/>
      <c r="L376" s="16">
        <f t="shared" ca="1" si="17"/>
        <v>10.51</v>
      </c>
      <c r="M376" s="16">
        <f t="shared" ca="1" si="18"/>
        <v>10.54</v>
      </c>
      <c r="N376" s="16">
        <f t="shared" ca="1" si="19"/>
        <v>10.5</v>
      </c>
    </row>
    <row r="377" spans="1:14" ht="24.75" customHeight="1" x14ac:dyDescent="0.8">
      <c r="A377" s="18" t="s">
        <v>1627</v>
      </c>
      <c r="B377" s="10">
        <f ca="1">IFERROR(__xludf.DUMMYFUNCTION("GOOGLEFINANCE(A377,""PRICE"")"),896)</f>
        <v>896</v>
      </c>
      <c r="C377" s="11">
        <f ca="1">IFERROR(__xludf.DUMMYFUNCTION("GOOGLEFINANCE(A377,""PRICEOPEN"")"),896.15)</f>
        <v>896.15</v>
      </c>
      <c r="D377" s="11">
        <f ca="1">IFERROR(__xludf.DUMMYFUNCTION("GOOGLEFINANCE(A377,""HIGH"")"),905.55)</f>
        <v>905.55</v>
      </c>
      <c r="E377" s="11">
        <f ca="1">IFERROR(__xludf.DUMMYFUNCTION("GOOGLEFINANCE(A377,""LOW"")"),890.4)</f>
        <v>890.4</v>
      </c>
      <c r="F377" s="12" t="str">
        <f t="shared" ca="1" si="14"/>
        <v/>
      </c>
      <c r="G377" s="13">
        <f ca="1">IFERROR(__xludf.DUMMYFUNCTION("GOOGLEFINANCE(A377,""CLOSEYEST"")"),895.4)</f>
        <v>895.4</v>
      </c>
      <c r="H377" s="14" t="str">
        <f t="shared" ca="1" si="20"/>
        <v/>
      </c>
      <c r="I377" s="15">
        <f t="shared" ca="1" si="15"/>
        <v>897.11666666666667</v>
      </c>
      <c r="J377" s="16">
        <f t="shared" ca="1" si="16"/>
        <v>903.83333333333337</v>
      </c>
      <c r="K377" s="16"/>
      <c r="L377" s="16">
        <f t="shared" ca="1" si="17"/>
        <v>888.68333333333339</v>
      </c>
      <c r="M377" s="16">
        <f t="shared" ca="1" si="18"/>
        <v>912.26666666666665</v>
      </c>
      <c r="N377" s="16">
        <f t="shared" ca="1" si="19"/>
        <v>881.9666666666667</v>
      </c>
    </row>
    <row r="378" spans="1:14" ht="24.75" customHeight="1" x14ac:dyDescent="0.8">
      <c r="A378" s="18" t="s">
        <v>254</v>
      </c>
      <c r="B378" s="10" t="str">
        <f ca="1">IFERROR(__xludf.DUMMYFUNCTION("GOOGLEFINANCE(A378,""PRICE"")"),"#N/A")</f>
        <v>#N/A</v>
      </c>
      <c r="C378" s="11" t="str">
        <f ca="1">IFERROR(__xludf.DUMMYFUNCTION("GOOGLEFINANCE(A378,""PRICEOPEN"")"),"#N/A")</f>
        <v>#N/A</v>
      </c>
      <c r="D378" s="11" t="str">
        <f ca="1">IFERROR(__xludf.DUMMYFUNCTION("GOOGLEFINANCE(A378,""HIGH"")"),"#N/A")</f>
        <v>#N/A</v>
      </c>
      <c r="E378" s="11" t="str">
        <f ca="1">IFERROR(__xludf.DUMMYFUNCTION("GOOGLEFINANCE(A378,""LOW"")"),"#N/A")</f>
        <v>#N/A</v>
      </c>
      <c r="F378" s="12" t="str">
        <f t="shared" ca="1" si="14"/>
        <v>SELL</v>
      </c>
      <c r="G378" s="13" t="str">
        <f ca="1">IFERROR(__xludf.DUMMYFUNCTION("GOOGLEFINANCE(A378,""CLOSEYEST"")"),"#N/A")</f>
        <v>#N/A</v>
      </c>
      <c r="H378" s="14" t="e">
        <f t="shared" ca="1" si="20"/>
        <v>#VALUE!</v>
      </c>
      <c r="I378" s="15" t="e">
        <f t="shared" ca="1" si="15"/>
        <v>#VALUE!</v>
      </c>
      <c r="J378" s="16" t="e">
        <f t="shared" ca="1" si="16"/>
        <v>#VALUE!</v>
      </c>
      <c r="K378" s="16"/>
      <c r="L378" s="16" t="e">
        <f t="shared" ca="1" si="17"/>
        <v>#VALUE!</v>
      </c>
      <c r="M378" s="16" t="e">
        <f t="shared" ca="1" si="18"/>
        <v>#VALUE!</v>
      </c>
      <c r="N378" s="16" t="e">
        <f t="shared" ca="1" si="19"/>
        <v>#VALUE!</v>
      </c>
    </row>
    <row r="379" spans="1:14" ht="24.75" customHeight="1" x14ac:dyDescent="0.8">
      <c r="A379" s="18" t="s">
        <v>129</v>
      </c>
      <c r="B379" s="10">
        <f ca="1">IFERROR(__xludf.DUMMYFUNCTION("GOOGLEFINANCE(A379,""PRICE"")"),18219)</f>
        <v>18219</v>
      </c>
      <c r="C379" s="11">
        <f ca="1">IFERROR(__xludf.DUMMYFUNCTION("GOOGLEFINANCE(A379,""PRICEOPEN"")"),18500)</f>
        <v>18500</v>
      </c>
      <c r="D379" s="11">
        <f ca="1">IFERROR(__xludf.DUMMYFUNCTION("GOOGLEFINANCE(A379,""HIGH"")"),18550)</f>
        <v>18550</v>
      </c>
      <c r="E379" s="11">
        <f ca="1">IFERROR(__xludf.DUMMYFUNCTION("GOOGLEFINANCE(A379,""LOW"")"),18035)</f>
        <v>18035</v>
      </c>
      <c r="F379" s="12" t="str">
        <f t="shared" ca="1" si="14"/>
        <v/>
      </c>
      <c r="G379" s="13">
        <f ca="1">IFERROR(__xludf.DUMMYFUNCTION("GOOGLEFINANCE(A379,""CLOSEYEST"")"),18134)</f>
        <v>18134</v>
      </c>
      <c r="H379" s="14" t="str">
        <f t="shared" ca="1" si="20"/>
        <v>GAP UP</v>
      </c>
      <c r="I379" s="15">
        <f t="shared" ca="1" si="15"/>
        <v>18239.666666666668</v>
      </c>
      <c r="J379" s="16">
        <f t="shared" ca="1" si="16"/>
        <v>18444.333333333336</v>
      </c>
      <c r="K379" s="16"/>
      <c r="L379" s="16">
        <f t="shared" ca="1" si="17"/>
        <v>17929.333333333336</v>
      </c>
      <c r="M379" s="16">
        <f t="shared" ca="1" si="18"/>
        <v>18754.666666666668</v>
      </c>
      <c r="N379" s="16">
        <f t="shared" ca="1" si="19"/>
        <v>17724.666666666668</v>
      </c>
    </row>
    <row r="380" spans="1:14" ht="24.75" customHeight="1" x14ac:dyDescent="0.8">
      <c r="A380" s="18" t="s">
        <v>1628</v>
      </c>
      <c r="B380" s="10">
        <f ca="1">IFERROR(__xludf.DUMMYFUNCTION("GOOGLEFINANCE(A380,""PRICE"")"),1082)</f>
        <v>1082</v>
      </c>
      <c r="C380" s="11">
        <f ca="1">IFERROR(__xludf.DUMMYFUNCTION("GOOGLEFINANCE(A380,""PRICEOPEN"")"),1072)</f>
        <v>1072</v>
      </c>
      <c r="D380" s="11">
        <f ca="1">IFERROR(__xludf.DUMMYFUNCTION("GOOGLEFINANCE(A380,""HIGH"")"),1101.3)</f>
        <v>1101.3</v>
      </c>
      <c r="E380" s="11">
        <f ca="1">IFERROR(__xludf.DUMMYFUNCTION("GOOGLEFINANCE(A380,""LOW"")"),1052.7)</f>
        <v>1052.7</v>
      </c>
      <c r="F380" s="12" t="str">
        <f t="shared" ca="1" si="14"/>
        <v/>
      </c>
      <c r="G380" s="13">
        <f ca="1">IFERROR(__xludf.DUMMYFUNCTION("GOOGLEFINANCE(A380,""CLOSEYEST"")"),1065.3)</f>
        <v>1065.3</v>
      </c>
      <c r="H380" s="14" t="str">
        <f t="shared" ca="1" si="20"/>
        <v/>
      </c>
      <c r="I380" s="15">
        <f t="shared" ca="1" si="15"/>
        <v>1073.1000000000001</v>
      </c>
      <c r="J380" s="16">
        <f t="shared" ca="1" si="16"/>
        <v>1093.5000000000002</v>
      </c>
      <c r="K380" s="16"/>
      <c r="L380" s="16">
        <f t="shared" ca="1" si="17"/>
        <v>1044.9000000000003</v>
      </c>
      <c r="M380" s="16">
        <f t="shared" ca="1" si="18"/>
        <v>1121.7</v>
      </c>
      <c r="N380" s="16">
        <f t="shared" ca="1" si="19"/>
        <v>1024.5000000000002</v>
      </c>
    </row>
    <row r="381" spans="1:14" ht="24.75" customHeight="1" x14ac:dyDescent="0.8">
      <c r="A381" s="18" t="s">
        <v>379</v>
      </c>
      <c r="B381" s="10">
        <f ca="1">IFERROR(__xludf.DUMMYFUNCTION("GOOGLEFINANCE(A381,""PRICE"")"),694.9)</f>
        <v>694.9</v>
      </c>
      <c r="C381" s="11">
        <f ca="1">IFERROR(__xludf.DUMMYFUNCTION("GOOGLEFINANCE(A381,""PRICEOPEN"")"),698.05)</f>
        <v>698.05</v>
      </c>
      <c r="D381" s="11">
        <f ca="1">IFERROR(__xludf.DUMMYFUNCTION("GOOGLEFINANCE(A381,""HIGH"")"),701.15)</f>
        <v>701.15</v>
      </c>
      <c r="E381" s="11">
        <f ca="1">IFERROR(__xludf.DUMMYFUNCTION("GOOGLEFINANCE(A381,""LOW"")"),686.65)</f>
        <v>686.65</v>
      </c>
      <c r="F381" s="12" t="str">
        <f t="shared" ca="1" si="14"/>
        <v/>
      </c>
      <c r="G381" s="13">
        <f ca="1">IFERROR(__xludf.DUMMYFUNCTION("GOOGLEFINANCE(A381,""CLOSEYEST"")"),695.3)</f>
        <v>695.3</v>
      </c>
      <c r="H381" s="14" t="str">
        <f t="shared" ca="1" si="20"/>
        <v/>
      </c>
      <c r="I381" s="15">
        <f t="shared" ca="1" si="15"/>
        <v>694.36666666666667</v>
      </c>
      <c r="J381" s="16">
        <f t="shared" ca="1" si="16"/>
        <v>702.08333333333337</v>
      </c>
      <c r="K381" s="16"/>
      <c r="L381" s="16">
        <f t="shared" ca="1" si="17"/>
        <v>687.58333333333337</v>
      </c>
      <c r="M381" s="16">
        <f t="shared" ca="1" si="18"/>
        <v>708.86666666666667</v>
      </c>
      <c r="N381" s="16">
        <f t="shared" ca="1" si="19"/>
        <v>679.86666666666667</v>
      </c>
    </row>
    <row r="382" spans="1:14" ht="24.75" customHeight="1" x14ac:dyDescent="0.8">
      <c r="A382" s="18" t="s">
        <v>197</v>
      </c>
      <c r="B382" s="10" t="str">
        <f ca="1">IFERROR(__xludf.DUMMYFUNCTION("GOOGLEFINANCE(A382,""PRICE"")"),"#N/A")</f>
        <v>#N/A</v>
      </c>
      <c r="C382" s="11" t="str">
        <f ca="1">IFERROR(__xludf.DUMMYFUNCTION("GOOGLEFINANCE(A382,""PRICEOPEN"")"),"#N/A")</f>
        <v>#N/A</v>
      </c>
      <c r="D382" s="11" t="str">
        <f ca="1">IFERROR(__xludf.DUMMYFUNCTION("GOOGLEFINANCE(A382,""HIGH"")"),"#N/A")</f>
        <v>#N/A</v>
      </c>
      <c r="E382" s="11" t="str">
        <f ca="1">IFERROR(__xludf.DUMMYFUNCTION("GOOGLEFINANCE(A382,""LOW"")"),"#N/A")</f>
        <v>#N/A</v>
      </c>
      <c r="F382" s="12" t="str">
        <f t="shared" ca="1" si="14"/>
        <v>SELL</v>
      </c>
      <c r="G382" s="13" t="str">
        <f ca="1">IFERROR(__xludf.DUMMYFUNCTION("GOOGLEFINANCE(A382,""CLOSEYEST"")"),"#N/A")</f>
        <v>#N/A</v>
      </c>
      <c r="H382" s="14" t="e">
        <f t="shared" ca="1" si="20"/>
        <v>#VALUE!</v>
      </c>
      <c r="I382" s="15" t="e">
        <f t="shared" ca="1" si="15"/>
        <v>#VALUE!</v>
      </c>
      <c r="J382" s="16" t="e">
        <f t="shared" ca="1" si="16"/>
        <v>#VALUE!</v>
      </c>
      <c r="K382" s="16"/>
      <c r="L382" s="16" t="e">
        <f t="shared" ca="1" si="17"/>
        <v>#VALUE!</v>
      </c>
      <c r="M382" s="16" t="e">
        <f t="shared" ca="1" si="18"/>
        <v>#VALUE!</v>
      </c>
      <c r="N382" s="16" t="e">
        <f t="shared" ca="1" si="19"/>
        <v>#VALUE!</v>
      </c>
    </row>
    <row r="383" spans="1:14" ht="24.75" customHeight="1" x14ac:dyDescent="0.8">
      <c r="A383" s="18" t="s">
        <v>447</v>
      </c>
      <c r="B383" s="10">
        <f ca="1">IFERROR(__xludf.DUMMYFUNCTION("GOOGLEFINANCE(A383,""PRICE"")"),7.87)</f>
        <v>7.87</v>
      </c>
      <c r="C383" s="11">
        <f ca="1">IFERROR(__xludf.DUMMYFUNCTION("GOOGLEFINANCE(A383,""PRICEOPEN"")"),7.68)</f>
        <v>7.68</v>
      </c>
      <c r="D383" s="11">
        <f ca="1">IFERROR(__xludf.DUMMYFUNCTION("GOOGLEFINANCE(A383,""HIGH"")"),7.99)</f>
        <v>7.99</v>
      </c>
      <c r="E383" s="11">
        <f ca="1">IFERROR(__xludf.DUMMYFUNCTION("GOOGLEFINANCE(A383,""LOW"")"),7.68)</f>
        <v>7.68</v>
      </c>
      <c r="F383" s="12" t="str">
        <f t="shared" ca="1" si="14"/>
        <v>BUY</v>
      </c>
      <c r="G383" s="13">
        <f ca="1">IFERROR(__xludf.DUMMYFUNCTION("GOOGLEFINANCE(A383,""CLOSEYEST"")"),7.68)</f>
        <v>7.68</v>
      </c>
      <c r="H383" s="14" t="str">
        <f t="shared" ca="1" si="20"/>
        <v/>
      </c>
      <c r="I383" s="15">
        <f t="shared" ca="1" si="15"/>
        <v>7.7833333333333341</v>
      </c>
      <c r="J383" s="16">
        <f t="shared" ca="1" si="16"/>
        <v>7.8866666666666685</v>
      </c>
      <c r="K383" s="16"/>
      <c r="L383" s="16">
        <f t="shared" ca="1" si="17"/>
        <v>7.576666666666668</v>
      </c>
      <c r="M383" s="16">
        <f t="shared" ca="1" si="18"/>
        <v>8.0933333333333337</v>
      </c>
      <c r="N383" s="16">
        <f t="shared" ca="1" si="19"/>
        <v>7.4733333333333336</v>
      </c>
    </row>
    <row r="384" spans="1:14" ht="24.75" customHeight="1" x14ac:dyDescent="0.8">
      <c r="A384" s="18" t="s">
        <v>453</v>
      </c>
      <c r="B384" s="10" t="str">
        <f ca="1">IFERROR(__xludf.DUMMYFUNCTION("GOOGLEFINANCE(A384,""PRICE"")"),"#N/A")</f>
        <v>#N/A</v>
      </c>
      <c r="C384" s="11" t="str">
        <f ca="1">IFERROR(__xludf.DUMMYFUNCTION("GOOGLEFINANCE(A384,""PRICEOPEN"")"),"#N/A")</f>
        <v>#N/A</v>
      </c>
      <c r="D384" s="11" t="str">
        <f ca="1">IFERROR(__xludf.DUMMYFUNCTION("GOOGLEFINANCE(A384,""HIGH"")"),"#N/A")</f>
        <v>#N/A</v>
      </c>
      <c r="E384" s="11" t="str">
        <f ca="1">IFERROR(__xludf.DUMMYFUNCTION("GOOGLEFINANCE(A384,""LOW"")"),"#N/A")</f>
        <v>#N/A</v>
      </c>
      <c r="F384" s="12" t="str">
        <f t="shared" ca="1" si="14"/>
        <v>SELL</v>
      </c>
      <c r="G384" s="13" t="str">
        <f ca="1">IFERROR(__xludf.DUMMYFUNCTION("GOOGLEFINANCE(A384,""CLOSEYEST"")"),"#N/A")</f>
        <v>#N/A</v>
      </c>
      <c r="H384" s="14" t="e">
        <f t="shared" ca="1" si="20"/>
        <v>#VALUE!</v>
      </c>
      <c r="I384" s="15" t="e">
        <f t="shared" ca="1" si="15"/>
        <v>#VALUE!</v>
      </c>
      <c r="J384" s="16" t="e">
        <f t="shared" ca="1" si="16"/>
        <v>#VALUE!</v>
      </c>
      <c r="K384" s="16"/>
      <c r="L384" s="16" t="e">
        <f t="shared" ca="1" si="17"/>
        <v>#VALUE!</v>
      </c>
      <c r="M384" s="16" t="e">
        <f t="shared" ca="1" si="18"/>
        <v>#VALUE!</v>
      </c>
      <c r="N384" s="16" t="e">
        <f t="shared" ca="1" si="19"/>
        <v>#VALUE!</v>
      </c>
    </row>
    <row r="385" spans="1:14" ht="24.75" customHeight="1" x14ac:dyDescent="0.8">
      <c r="A385" s="18" t="s">
        <v>274</v>
      </c>
      <c r="B385" s="10">
        <f ca="1">IFERROR(__xludf.DUMMYFUNCTION("GOOGLEFINANCE(A385,""PRICE"")"),558)</f>
        <v>558</v>
      </c>
      <c r="C385" s="11">
        <f ca="1">IFERROR(__xludf.DUMMYFUNCTION("GOOGLEFINANCE(A385,""PRICEOPEN"")"),548.65)</f>
        <v>548.65</v>
      </c>
      <c r="D385" s="11">
        <f ca="1">IFERROR(__xludf.DUMMYFUNCTION("GOOGLEFINANCE(A385,""HIGH"")"),558.05)</f>
        <v>558.04999999999995</v>
      </c>
      <c r="E385" s="11">
        <f ca="1">IFERROR(__xludf.DUMMYFUNCTION("GOOGLEFINANCE(A385,""LOW"")"),541.2)</f>
        <v>541.20000000000005</v>
      </c>
      <c r="F385" s="12" t="str">
        <f t="shared" ca="1" si="14"/>
        <v/>
      </c>
      <c r="G385" s="13">
        <f ca="1">IFERROR(__xludf.DUMMYFUNCTION("GOOGLEFINANCE(A385,""CLOSEYEST"")"),548.65)</f>
        <v>548.65</v>
      </c>
      <c r="H385" s="14" t="str">
        <f t="shared" ca="1" si="20"/>
        <v/>
      </c>
      <c r="I385" s="15">
        <f t="shared" ca="1" si="15"/>
        <v>549.30000000000007</v>
      </c>
      <c r="J385" s="16">
        <f t="shared" ca="1" si="16"/>
        <v>557.40000000000009</v>
      </c>
      <c r="K385" s="16"/>
      <c r="L385" s="16">
        <f t="shared" ca="1" si="17"/>
        <v>540.55000000000018</v>
      </c>
      <c r="M385" s="16">
        <f t="shared" ca="1" si="18"/>
        <v>566.15</v>
      </c>
      <c r="N385" s="16">
        <f t="shared" ca="1" si="19"/>
        <v>532.45000000000016</v>
      </c>
    </row>
    <row r="386" spans="1:14" ht="24.75" customHeight="1" x14ac:dyDescent="0.8">
      <c r="A386" s="18" t="s">
        <v>423</v>
      </c>
      <c r="B386" s="10">
        <f ca="1">IFERROR(__xludf.DUMMYFUNCTION("GOOGLEFINANCE(A386,""PRICE"")"),472.5)</f>
        <v>472.5</v>
      </c>
      <c r="C386" s="11">
        <f ca="1">IFERROR(__xludf.DUMMYFUNCTION("GOOGLEFINANCE(A386,""PRICEOPEN"")"),475.3)</f>
        <v>475.3</v>
      </c>
      <c r="D386" s="11">
        <f ca="1">IFERROR(__xludf.DUMMYFUNCTION("GOOGLEFINANCE(A386,""HIGH"")"),477.55)</f>
        <v>477.55</v>
      </c>
      <c r="E386" s="11">
        <f ca="1">IFERROR(__xludf.DUMMYFUNCTION("GOOGLEFINANCE(A386,""LOW"")"),468.9)</f>
        <v>468.9</v>
      </c>
      <c r="F386" s="12" t="str">
        <f t="shared" ca="1" si="14"/>
        <v/>
      </c>
      <c r="G386" s="13">
        <f ca="1">IFERROR(__xludf.DUMMYFUNCTION("GOOGLEFINANCE(A386,""CLOSEYEST"")"),472.95)</f>
        <v>472.95</v>
      </c>
      <c r="H386" s="14" t="str">
        <f t="shared" ca="1" si="20"/>
        <v/>
      </c>
      <c r="I386" s="15">
        <f t="shared" ca="1" si="15"/>
        <v>473.13333333333338</v>
      </c>
      <c r="J386" s="16">
        <f t="shared" ca="1" si="16"/>
        <v>477.36666666666679</v>
      </c>
      <c r="K386" s="16"/>
      <c r="L386" s="16">
        <f t="shared" ca="1" si="17"/>
        <v>468.71666666666675</v>
      </c>
      <c r="M386" s="16">
        <f t="shared" ca="1" si="18"/>
        <v>481.78333333333342</v>
      </c>
      <c r="N386" s="16">
        <f t="shared" ca="1" si="19"/>
        <v>464.48333333333335</v>
      </c>
    </row>
    <row r="387" spans="1:14" ht="24.75" customHeight="1" x14ac:dyDescent="0.8">
      <c r="A387" s="18" t="s">
        <v>567</v>
      </c>
      <c r="B387" s="10" t="str">
        <f ca="1">IFERROR(__xludf.DUMMYFUNCTION("GOOGLEFINANCE(A387,""PRICE"")"),"#N/A")</f>
        <v>#N/A</v>
      </c>
      <c r="C387" s="11" t="str">
        <f ca="1">IFERROR(__xludf.DUMMYFUNCTION("GOOGLEFINANCE(A387,""PRICEOPEN"")"),"#N/A")</f>
        <v>#N/A</v>
      </c>
      <c r="D387" s="11" t="str">
        <f ca="1">IFERROR(__xludf.DUMMYFUNCTION("GOOGLEFINANCE(A387,""HIGH"")"),"#N/A")</f>
        <v>#N/A</v>
      </c>
      <c r="E387" s="11" t="str">
        <f ca="1">IFERROR(__xludf.DUMMYFUNCTION("GOOGLEFINANCE(A387,""LOW"")"),"#N/A")</f>
        <v>#N/A</v>
      </c>
      <c r="F387" s="12" t="str">
        <f t="shared" ca="1" si="14"/>
        <v>SELL</v>
      </c>
      <c r="G387" s="13" t="str">
        <f ca="1">IFERROR(__xludf.DUMMYFUNCTION("GOOGLEFINANCE(A387,""CLOSEYEST"")"),"#N/A")</f>
        <v>#N/A</v>
      </c>
      <c r="H387" s="14" t="e">
        <f t="shared" ca="1" si="20"/>
        <v>#VALUE!</v>
      </c>
      <c r="I387" s="15" t="e">
        <f t="shared" ca="1" si="15"/>
        <v>#VALUE!</v>
      </c>
      <c r="J387" s="16" t="e">
        <f t="shared" ca="1" si="16"/>
        <v>#VALUE!</v>
      </c>
      <c r="K387" s="16"/>
      <c r="L387" s="16" t="e">
        <f t="shared" ca="1" si="17"/>
        <v>#VALUE!</v>
      </c>
      <c r="M387" s="16" t="e">
        <f t="shared" ca="1" si="18"/>
        <v>#VALUE!</v>
      </c>
      <c r="N387" s="16" t="e">
        <f t="shared" ca="1" si="19"/>
        <v>#VALUE!</v>
      </c>
    </row>
    <row r="388" spans="1:14" ht="24.75" customHeight="1" x14ac:dyDescent="0.8">
      <c r="A388" s="18" t="s">
        <v>1629</v>
      </c>
      <c r="B388" s="10">
        <f ca="1">IFERROR(__xludf.DUMMYFUNCTION("GOOGLEFINANCE(A388,""PRICE"")"),1599)</f>
        <v>1599</v>
      </c>
      <c r="C388" s="11">
        <f ca="1">IFERROR(__xludf.DUMMYFUNCTION("GOOGLEFINANCE(A388,""PRICEOPEN"")"),1625)</f>
        <v>1625</v>
      </c>
      <c r="D388" s="11">
        <f ca="1">IFERROR(__xludf.DUMMYFUNCTION("GOOGLEFINANCE(A388,""HIGH"")"),1637)</f>
        <v>1637</v>
      </c>
      <c r="E388" s="11">
        <f ca="1">IFERROR(__xludf.DUMMYFUNCTION("GOOGLEFINANCE(A388,""LOW"")"),1587.6)</f>
        <v>1587.6</v>
      </c>
      <c r="F388" s="12" t="str">
        <f t="shared" ca="1" si="14"/>
        <v/>
      </c>
      <c r="G388" s="13">
        <f ca="1">IFERROR(__xludf.DUMMYFUNCTION("GOOGLEFINANCE(A388,""CLOSEYEST"")"),1624.9)</f>
        <v>1624.9</v>
      </c>
      <c r="H388" s="14" t="str">
        <f t="shared" ca="1" si="20"/>
        <v/>
      </c>
      <c r="I388" s="15">
        <f t="shared" ca="1" si="15"/>
        <v>1616.5</v>
      </c>
      <c r="J388" s="16">
        <f t="shared" ca="1" si="16"/>
        <v>1645.4</v>
      </c>
      <c r="K388" s="16"/>
      <c r="L388" s="16">
        <f t="shared" ca="1" si="17"/>
        <v>1596</v>
      </c>
      <c r="M388" s="16">
        <f t="shared" ca="1" si="18"/>
        <v>1665.9</v>
      </c>
      <c r="N388" s="16">
        <f t="shared" ca="1" si="19"/>
        <v>1567.1</v>
      </c>
    </row>
    <row r="389" spans="1:14" ht="24.75" customHeight="1" x14ac:dyDescent="0.8">
      <c r="A389" s="18" t="s">
        <v>622</v>
      </c>
      <c r="B389" s="10">
        <f ca="1">IFERROR(__xludf.DUMMYFUNCTION("GOOGLEFINANCE(A389,""PRICE"")"),983.75)</f>
        <v>983.75</v>
      </c>
      <c r="C389" s="11">
        <f ca="1">IFERROR(__xludf.DUMMYFUNCTION("GOOGLEFINANCE(A389,""PRICEOPEN"")"),984.85)</f>
        <v>984.85</v>
      </c>
      <c r="D389" s="11">
        <f ca="1">IFERROR(__xludf.DUMMYFUNCTION("GOOGLEFINANCE(A389,""HIGH"")"),995.35)</f>
        <v>995.35</v>
      </c>
      <c r="E389" s="11">
        <f ca="1">IFERROR(__xludf.DUMMYFUNCTION("GOOGLEFINANCE(A389,""LOW"")"),967.6)</f>
        <v>967.6</v>
      </c>
      <c r="F389" s="12" t="str">
        <f t="shared" ca="1" si="14"/>
        <v/>
      </c>
      <c r="G389" s="13">
        <f ca="1">IFERROR(__xludf.DUMMYFUNCTION("GOOGLEFINANCE(A389,""CLOSEYEST"")"),976.2)</f>
        <v>976.2</v>
      </c>
      <c r="H389" s="14" t="str">
        <f t="shared" ca="1" si="20"/>
        <v/>
      </c>
      <c r="I389" s="15">
        <f t="shared" ca="1" si="15"/>
        <v>979.7166666666667</v>
      </c>
      <c r="J389" s="16">
        <f t="shared" ca="1" si="16"/>
        <v>991.83333333333337</v>
      </c>
      <c r="K389" s="16"/>
      <c r="L389" s="16">
        <f t="shared" ca="1" si="17"/>
        <v>964.08333333333337</v>
      </c>
      <c r="M389" s="16">
        <f t="shared" ca="1" si="18"/>
        <v>1007.4666666666667</v>
      </c>
      <c r="N389" s="16">
        <f t="shared" ca="1" si="19"/>
        <v>951.9666666666667</v>
      </c>
    </row>
    <row r="390" spans="1:14" ht="24.75" customHeight="1" x14ac:dyDescent="0.8">
      <c r="A390" s="18" t="s">
        <v>523</v>
      </c>
      <c r="B390" s="10">
        <f ca="1">IFERROR(__xludf.DUMMYFUNCTION("GOOGLEFINANCE(A390,""PRICE"")"),1084)</f>
        <v>1084</v>
      </c>
      <c r="C390" s="11">
        <f ca="1">IFERROR(__xludf.DUMMYFUNCTION("GOOGLEFINANCE(A390,""PRICEOPEN"")"),1072.6)</f>
        <v>1072.5999999999999</v>
      </c>
      <c r="D390" s="11">
        <f ca="1">IFERROR(__xludf.DUMMYFUNCTION("GOOGLEFINANCE(A390,""HIGH"")"),1103.3)</f>
        <v>1103.3</v>
      </c>
      <c r="E390" s="11">
        <f ca="1">IFERROR(__xludf.DUMMYFUNCTION("GOOGLEFINANCE(A390,""LOW"")"),1065.7)</f>
        <v>1065.7</v>
      </c>
      <c r="F390" s="12" t="str">
        <f t="shared" ca="1" si="14"/>
        <v/>
      </c>
      <c r="G390" s="13">
        <f ca="1">IFERROR(__xludf.DUMMYFUNCTION("GOOGLEFINANCE(A390,""CLOSEYEST"")"),1072.6)</f>
        <v>1072.5999999999999</v>
      </c>
      <c r="H390" s="14" t="str">
        <f t="shared" ca="1" si="20"/>
        <v/>
      </c>
      <c r="I390" s="15">
        <f t="shared" ca="1" si="15"/>
        <v>1080.5333333333333</v>
      </c>
      <c r="J390" s="16">
        <f t="shared" ca="1" si="16"/>
        <v>1095.3666666666666</v>
      </c>
      <c r="K390" s="16"/>
      <c r="L390" s="16">
        <f t="shared" ca="1" si="17"/>
        <v>1057.7666666666667</v>
      </c>
      <c r="M390" s="16">
        <f t="shared" ca="1" si="18"/>
        <v>1118.1333333333332</v>
      </c>
      <c r="N390" s="16">
        <f t="shared" ca="1" si="19"/>
        <v>1042.9333333333334</v>
      </c>
    </row>
    <row r="391" spans="1:14" ht="24.75" customHeight="1" x14ac:dyDescent="0.8">
      <c r="A391" s="18" t="s">
        <v>394</v>
      </c>
      <c r="B391" s="10">
        <f ca="1">IFERROR(__xludf.DUMMYFUNCTION("GOOGLEFINANCE(A391,""PRICE"")"),3928.4)</f>
        <v>3928.4</v>
      </c>
      <c r="C391" s="11">
        <f ca="1">IFERROR(__xludf.DUMMYFUNCTION("GOOGLEFINANCE(A391,""PRICEOPEN"")"),3989.8)</f>
        <v>3989.8</v>
      </c>
      <c r="D391" s="11">
        <f ca="1">IFERROR(__xludf.DUMMYFUNCTION("GOOGLEFINANCE(A391,""HIGH"")"),4038.9)</f>
        <v>4038.9</v>
      </c>
      <c r="E391" s="11">
        <f ca="1">IFERROR(__xludf.DUMMYFUNCTION("GOOGLEFINANCE(A391,""LOW"")"),3906)</f>
        <v>3906</v>
      </c>
      <c r="F391" s="12" t="str">
        <f t="shared" ca="1" si="14"/>
        <v/>
      </c>
      <c r="G391" s="13">
        <f ca="1">IFERROR(__xludf.DUMMYFUNCTION("GOOGLEFINANCE(A391,""CLOSEYEST"")"),3973.5)</f>
        <v>3973.5</v>
      </c>
      <c r="H391" s="14" t="str">
        <f t="shared" ca="1" si="20"/>
        <v/>
      </c>
      <c r="I391" s="15">
        <f t="shared" ca="1" si="15"/>
        <v>3972.7999999999997</v>
      </c>
      <c r="J391" s="16">
        <f t="shared" ca="1" si="16"/>
        <v>4039.5999999999995</v>
      </c>
      <c r="K391" s="16"/>
      <c r="L391" s="16">
        <f t="shared" ca="1" si="17"/>
        <v>3906.6999999999994</v>
      </c>
      <c r="M391" s="16">
        <f t="shared" ca="1" si="18"/>
        <v>4105.7</v>
      </c>
      <c r="N391" s="16">
        <f t="shared" ca="1" si="19"/>
        <v>3839.8999999999996</v>
      </c>
    </row>
    <row r="392" spans="1:14" ht="24.75" customHeight="1" x14ac:dyDescent="0.8">
      <c r="A392" s="18" t="s">
        <v>1630</v>
      </c>
      <c r="B392" s="10">
        <f ca="1">IFERROR(__xludf.DUMMYFUNCTION("GOOGLEFINANCE(A392,""PRICE"")"),386.7)</f>
        <v>386.7</v>
      </c>
      <c r="C392" s="11">
        <f ca="1">IFERROR(__xludf.DUMMYFUNCTION("GOOGLEFINANCE(A392,""PRICEOPEN"")"),388.7)</f>
        <v>388.7</v>
      </c>
      <c r="D392" s="11">
        <f ca="1">IFERROR(__xludf.DUMMYFUNCTION("GOOGLEFINANCE(A392,""HIGH"")"),390.95)</f>
        <v>390.95</v>
      </c>
      <c r="E392" s="11">
        <f ca="1">IFERROR(__xludf.DUMMYFUNCTION("GOOGLEFINANCE(A392,""LOW"")"),378.85)</f>
        <v>378.85</v>
      </c>
      <c r="F392" s="12" t="str">
        <f t="shared" ca="1" si="14"/>
        <v/>
      </c>
      <c r="G392" s="13">
        <f ca="1">IFERROR(__xludf.DUMMYFUNCTION("GOOGLEFINANCE(A392,""CLOSEYEST"")"),386.8)</f>
        <v>386.8</v>
      </c>
      <c r="H392" s="14" t="str">
        <f t="shared" ca="1" si="20"/>
        <v/>
      </c>
      <c r="I392" s="15">
        <f t="shared" ca="1" si="15"/>
        <v>385.5333333333333</v>
      </c>
      <c r="J392" s="16">
        <f t="shared" ca="1" si="16"/>
        <v>392.21666666666658</v>
      </c>
      <c r="K392" s="16"/>
      <c r="L392" s="16">
        <f t="shared" ca="1" si="17"/>
        <v>380.11666666666662</v>
      </c>
      <c r="M392" s="16">
        <f t="shared" ca="1" si="18"/>
        <v>397.63333333333327</v>
      </c>
      <c r="N392" s="16">
        <f t="shared" ca="1" si="19"/>
        <v>373.43333333333334</v>
      </c>
    </row>
    <row r="393" spans="1:14" ht="24.75" customHeight="1" x14ac:dyDescent="0.8">
      <c r="A393" s="18" t="s">
        <v>538</v>
      </c>
      <c r="B393" s="10">
        <f ca="1">IFERROR(__xludf.DUMMYFUNCTION("GOOGLEFINANCE(A393,""PRICE"")"),669)</f>
        <v>669</v>
      </c>
      <c r="C393" s="11">
        <f ca="1">IFERROR(__xludf.DUMMYFUNCTION("GOOGLEFINANCE(A393,""PRICEOPEN"")"),649.85)</f>
        <v>649.85</v>
      </c>
      <c r="D393" s="11">
        <f ca="1">IFERROR(__xludf.DUMMYFUNCTION("GOOGLEFINANCE(A393,""HIGH"")"),670.3)</f>
        <v>670.3</v>
      </c>
      <c r="E393" s="11">
        <f ca="1">IFERROR(__xludf.DUMMYFUNCTION("GOOGLEFINANCE(A393,""LOW"")"),648)</f>
        <v>648</v>
      </c>
      <c r="F393" s="12" t="str">
        <f t="shared" ca="1" si="14"/>
        <v/>
      </c>
      <c r="G393" s="13">
        <f ca="1">IFERROR(__xludf.DUMMYFUNCTION("GOOGLEFINANCE(A393,""CLOSEYEST"")"),649.65)</f>
        <v>649.65</v>
      </c>
      <c r="H393" s="14" t="str">
        <f t="shared" ca="1" si="20"/>
        <v/>
      </c>
      <c r="I393" s="15">
        <f t="shared" ca="1" si="15"/>
        <v>655.98333333333323</v>
      </c>
      <c r="J393" s="16">
        <f t="shared" ca="1" si="16"/>
        <v>663.96666666666647</v>
      </c>
      <c r="K393" s="16"/>
      <c r="L393" s="16">
        <f t="shared" ca="1" si="17"/>
        <v>641.66666666666652</v>
      </c>
      <c r="M393" s="16">
        <f t="shared" ca="1" si="18"/>
        <v>678.28333333333319</v>
      </c>
      <c r="N393" s="16">
        <f t="shared" ca="1" si="19"/>
        <v>633.68333333333328</v>
      </c>
    </row>
    <row r="394" spans="1:14" ht="24.75" customHeight="1" x14ac:dyDescent="0.8">
      <c r="A394" s="18" t="s">
        <v>308</v>
      </c>
      <c r="B394" s="10">
        <f ca="1">IFERROR(__xludf.DUMMYFUNCTION("GOOGLEFINANCE(A394,""PRICE"")"),368)</f>
        <v>368</v>
      </c>
      <c r="C394" s="11">
        <f ca="1">IFERROR(__xludf.DUMMYFUNCTION("GOOGLEFINANCE(A394,""PRICEOPEN"")"),371)</f>
        <v>371</v>
      </c>
      <c r="D394" s="11">
        <f ca="1">IFERROR(__xludf.DUMMYFUNCTION("GOOGLEFINANCE(A394,""HIGH"")"),371.55)</f>
        <v>371.55</v>
      </c>
      <c r="E394" s="11">
        <f ca="1">IFERROR(__xludf.DUMMYFUNCTION("GOOGLEFINANCE(A394,""LOW"")"),362.75)</f>
        <v>362.75</v>
      </c>
      <c r="F394" s="12" t="str">
        <f t="shared" ca="1" si="14"/>
        <v/>
      </c>
      <c r="G394" s="13">
        <f ca="1">IFERROR(__xludf.DUMMYFUNCTION("GOOGLEFINANCE(A394,""CLOSEYEST"")"),370.1)</f>
        <v>370.1</v>
      </c>
      <c r="H394" s="14" t="str">
        <f t="shared" ca="1" si="20"/>
        <v/>
      </c>
      <c r="I394" s="15">
        <f t="shared" ca="1" si="15"/>
        <v>368.13333333333338</v>
      </c>
      <c r="J394" s="16">
        <f t="shared" ca="1" si="16"/>
        <v>373.51666666666677</v>
      </c>
      <c r="K394" s="16"/>
      <c r="L394" s="16">
        <f t="shared" ca="1" si="17"/>
        <v>364.71666666666675</v>
      </c>
      <c r="M394" s="16">
        <f t="shared" ca="1" si="18"/>
        <v>376.93333333333339</v>
      </c>
      <c r="N394" s="16">
        <f t="shared" ca="1" si="19"/>
        <v>359.33333333333337</v>
      </c>
    </row>
    <row r="395" spans="1:14" ht="24.75" customHeight="1" x14ac:dyDescent="0.8">
      <c r="A395" s="18" t="s">
        <v>53</v>
      </c>
      <c r="B395" s="10">
        <f ca="1">IFERROR(__xludf.DUMMYFUNCTION("GOOGLEFINANCE(A395,""PRICE"")"),783.2)</f>
        <v>783.2</v>
      </c>
      <c r="C395" s="11">
        <f ca="1">IFERROR(__xludf.DUMMYFUNCTION("GOOGLEFINANCE(A395,""PRICEOPEN"")"),766)</f>
        <v>766</v>
      </c>
      <c r="D395" s="11">
        <f ca="1">IFERROR(__xludf.DUMMYFUNCTION("GOOGLEFINANCE(A395,""HIGH"")"),794)</f>
        <v>794</v>
      </c>
      <c r="E395" s="11">
        <f ca="1">IFERROR(__xludf.DUMMYFUNCTION("GOOGLEFINANCE(A395,""LOW"")"),760.95)</f>
        <v>760.95</v>
      </c>
      <c r="F395" s="12" t="str">
        <f t="shared" ca="1" si="14"/>
        <v/>
      </c>
      <c r="G395" s="13">
        <f ca="1">IFERROR(__xludf.DUMMYFUNCTION("GOOGLEFINANCE(A395,""CLOSEYEST"")"),762.4)</f>
        <v>762.4</v>
      </c>
      <c r="H395" s="14" t="str">
        <f t="shared" ca="1" si="20"/>
        <v/>
      </c>
      <c r="I395" s="15">
        <f t="shared" ca="1" si="15"/>
        <v>772.44999999999993</v>
      </c>
      <c r="J395" s="16">
        <f t="shared" ca="1" si="16"/>
        <v>783.94999999999982</v>
      </c>
      <c r="K395" s="16"/>
      <c r="L395" s="16">
        <f t="shared" ca="1" si="17"/>
        <v>750.89999999999986</v>
      </c>
      <c r="M395" s="16">
        <f t="shared" ca="1" si="18"/>
        <v>805.49999999999989</v>
      </c>
      <c r="N395" s="16">
        <f t="shared" ca="1" si="19"/>
        <v>739.4</v>
      </c>
    </row>
    <row r="396" spans="1:14" ht="24.75" customHeight="1" x14ac:dyDescent="0.8">
      <c r="A396" s="18" t="s">
        <v>494</v>
      </c>
      <c r="B396" s="10">
        <f ca="1">IFERROR(__xludf.DUMMYFUNCTION("GOOGLEFINANCE(A396,""PRICE"")"),1899)</f>
        <v>1899</v>
      </c>
      <c r="C396" s="11">
        <f ca="1">IFERROR(__xludf.DUMMYFUNCTION("GOOGLEFINANCE(A396,""PRICEOPEN"")"),1877.8)</f>
        <v>1877.8</v>
      </c>
      <c r="D396" s="11">
        <f ca="1">IFERROR(__xludf.DUMMYFUNCTION("GOOGLEFINANCE(A396,""HIGH"")"),1900.1)</f>
        <v>1900.1</v>
      </c>
      <c r="E396" s="11">
        <f ca="1">IFERROR(__xludf.DUMMYFUNCTION("GOOGLEFINANCE(A396,""LOW"")"),1862.1)</f>
        <v>1862.1</v>
      </c>
      <c r="F396" s="12" t="str">
        <f t="shared" ca="1" si="14"/>
        <v/>
      </c>
      <c r="G396" s="13">
        <f ca="1">IFERROR(__xludf.DUMMYFUNCTION("GOOGLEFINANCE(A396,""CLOSEYEST"")"),1877.8)</f>
        <v>1877.8</v>
      </c>
      <c r="H396" s="14" t="str">
        <f t="shared" ca="1" si="20"/>
        <v/>
      </c>
      <c r="I396" s="15">
        <f t="shared" ca="1" si="15"/>
        <v>1880</v>
      </c>
      <c r="J396" s="16">
        <f t="shared" ca="1" si="16"/>
        <v>1897.9</v>
      </c>
      <c r="K396" s="16"/>
      <c r="L396" s="16">
        <f t="shared" ca="1" si="17"/>
        <v>1859.9</v>
      </c>
      <c r="M396" s="16">
        <f t="shared" ca="1" si="18"/>
        <v>1918</v>
      </c>
      <c r="N396" s="16">
        <f t="shared" ca="1" si="19"/>
        <v>1842</v>
      </c>
    </row>
    <row r="397" spans="1:14" ht="24.75" customHeight="1" x14ac:dyDescent="0.8">
      <c r="A397" s="18" t="s">
        <v>321</v>
      </c>
      <c r="B397" s="10">
        <f ca="1">IFERROR(__xludf.DUMMYFUNCTION("GOOGLEFINANCE(A397,""PRICE"")"),52.34)</f>
        <v>52.34</v>
      </c>
      <c r="C397" s="11">
        <f ca="1">IFERROR(__xludf.DUMMYFUNCTION("GOOGLEFINANCE(A397,""PRICEOPEN"")"),52.15)</f>
        <v>52.15</v>
      </c>
      <c r="D397" s="11">
        <f ca="1">IFERROR(__xludf.DUMMYFUNCTION("GOOGLEFINANCE(A397,""HIGH"")"),52.55)</f>
        <v>52.55</v>
      </c>
      <c r="E397" s="11">
        <f ca="1">IFERROR(__xludf.DUMMYFUNCTION("GOOGLEFINANCE(A397,""LOW"")"),51.9)</f>
        <v>51.9</v>
      </c>
      <c r="F397" s="12" t="str">
        <f t="shared" ca="1" si="14"/>
        <v/>
      </c>
      <c r="G397" s="13">
        <f ca="1">IFERROR(__xludf.DUMMYFUNCTION("GOOGLEFINANCE(A397,""CLOSEYEST"")"),52.1)</f>
        <v>52.1</v>
      </c>
      <c r="H397" s="14" t="str">
        <f t="shared" ca="1" si="20"/>
        <v/>
      </c>
      <c r="I397" s="15">
        <f t="shared" ca="1" si="15"/>
        <v>52.18333333333333</v>
      </c>
      <c r="J397" s="16">
        <f t="shared" ca="1" si="16"/>
        <v>52.466666666666661</v>
      </c>
      <c r="K397" s="16"/>
      <c r="L397" s="16">
        <f t="shared" ca="1" si="17"/>
        <v>51.816666666666663</v>
      </c>
      <c r="M397" s="16">
        <f t="shared" ca="1" si="18"/>
        <v>52.833333333333329</v>
      </c>
      <c r="N397" s="16">
        <f t="shared" ca="1" si="19"/>
        <v>51.533333333333331</v>
      </c>
    </row>
    <row r="398" spans="1:14" ht="24.75" customHeight="1" x14ac:dyDescent="0.8">
      <c r="A398" s="18" t="s">
        <v>1631</v>
      </c>
      <c r="B398" s="10" t="str">
        <f ca="1">IFERROR(__xludf.DUMMYFUNCTION("GOOGLEFINANCE(A398,""PRICE"")"),"#N/A")</f>
        <v>#N/A</v>
      </c>
      <c r="C398" s="11" t="str">
        <f ca="1">IFERROR(__xludf.DUMMYFUNCTION("GOOGLEFINANCE(A398,""PRICEOPEN"")"),"#N/A")</f>
        <v>#N/A</v>
      </c>
      <c r="D398" s="11" t="str">
        <f ca="1">IFERROR(__xludf.DUMMYFUNCTION("GOOGLEFINANCE(A398,""HIGH"")"),"#N/A")</f>
        <v>#N/A</v>
      </c>
      <c r="E398" s="11" t="str">
        <f ca="1">IFERROR(__xludf.DUMMYFUNCTION("GOOGLEFINANCE(A398,""LOW"")"),"#N/A")</f>
        <v>#N/A</v>
      </c>
      <c r="F398" s="12" t="str">
        <f t="shared" ca="1" si="14"/>
        <v>SELL</v>
      </c>
      <c r="G398" s="13" t="str">
        <f ca="1">IFERROR(__xludf.DUMMYFUNCTION("GOOGLEFINANCE(A398,""CLOSEYEST"")"),"#N/A")</f>
        <v>#N/A</v>
      </c>
      <c r="H398" s="14" t="e">
        <f t="shared" ca="1" si="20"/>
        <v>#VALUE!</v>
      </c>
      <c r="I398" s="15" t="e">
        <f t="shared" ca="1" si="15"/>
        <v>#VALUE!</v>
      </c>
      <c r="J398" s="16" t="e">
        <f t="shared" ca="1" si="16"/>
        <v>#VALUE!</v>
      </c>
      <c r="K398" s="16"/>
      <c r="L398" s="16" t="e">
        <f t="shared" ca="1" si="17"/>
        <v>#VALUE!</v>
      </c>
      <c r="M398" s="16" t="e">
        <f t="shared" ca="1" si="18"/>
        <v>#VALUE!</v>
      </c>
      <c r="N398" s="16" t="e">
        <f t="shared" ca="1" si="19"/>
        <v>#VALUE!</v>
      </c>
    </row>
    <row r="399" spans="1:14" ht="24.75" customHeight="1" x14ac:dyDescent="0.8">
      <c r="A399" s="18" t="s">
        <v>82</v>
      </c>
      <c r="B399" s="10">
        <f ca="1">IFERROR(__xludf.DUMMYFUNCTION("GOOGLEFINANCE(A399,""PRICE"")"),2200)</f>
        <v>2200</v>
      </c>
      <c r="C399" s="11">
        <f ca="1">IFERROR(__xludf.DUMMYFUNCTION("GOOGLEFINANCE(A399,""PRICEOPEN"")"),2208.8)</f>
        <v>2208.8000000000002</v>
      </c>
      <c r="D399" s="11">
        <f ca="1">IFERROR(__xludf.DUMMYFUNCTION("GOOGLEFINANCE(A399,""HIGH"")"),2216.5)</f>
        <v>2216.5</v>
      </c>
      <c r="E399" s="11">
        <f ca="1">IFERROR(__xludf.DUMMYFUNCTION("GOOGLEFINANCE(A399,""LOW"")"),2186.6)</f>
        <v>2186.6</v>
      </c>
      <c r="F399" s="12" t="str">
        <f t="shared" ca="1" si="14"/>
        <v/>
      </c>
      <c r="G399" s="13">
        <f ca="1">IFERROR(__xludf.DUMMYFUNCTION("GOOGLEFINANCE(A399,""CLOSEYEST"")"),2208.8)</f>
        <v>2208.8000000000002</v>
      </c>
      <c r="H399" s="14" t="str">
        <f t="shared" ca="1" si="20"/>
        <v/>
      </c>
      <c r="I399" s="15">
        <f t="shared" ca="1" si="15"/>
        <v>2203.9666666666667</v>
      </c>
      <c r="J399" s="16">
        <f t="shared" ca="1" si="16"/>
        <v>2221.3333333333335</v>
      </c>
      <c r="K399" s="16"/>
      <c r="L399" s="16">
        <f t="shared" ca="1" si="17"/>
        <v>2191.4333333333334</v>
      </c>
      <c r="M399" s="16">
        <f t="shared" ca="1" si="18"/>
        <v>2233.8666666666668</v>
      </c>
      <c r="N399" s="16">
        <f t="shared" ca="1" si="19"/>
        <v>2174.0666666666666</v>
      </c>
    </row>
    <row r="400" spans="1:14" ht="24.75" customHeight="1" x14ac:dyDescent="0.8">
      <c r="A400" s="18" t="s">
        <v>54</v>
      </c>
      <c r="B400" s="10">
        <f ca="1">IFERROR(__xludf.DUMMYFUNCTION("GOOGLEFINANCE(A400,""PRICE"")"),32.1)</f>
        <v>32.1</v>
      </c>
      <c r="C400" s="11">
        <f ca="1">IFERROR(__xludf.DUMMYFUNCTION("GOOGLEFINANCE(A400,""PRICEOPEN"")"),32.01)</f>
        <v>32.01</v>
      </c>
      <c r="D400" s="11">
        <f ca="1">IFERROR(__xludf.DUMMYFUNCTION("GOOGLEFINANCE(A400,""HIGH"")"),32.36)</f>
        <v>32.36</v>
      </c>
      <c r="E400" s="11">
        <f ca="1">IFERROR(__xludf.DUMMYFUNCTION("GOOGLEFINANCE(A400,""LOW"")"),31.83)</f>
        <v>31.83</v>
      </c>
      <c r="F400" s="12" t="str">
        <f t="shared" ca="1" si="14"/>
        <v/>
      </c>
      <c r="G400" s="13">
        <f ca="1">IFERROR(__xludf.DUMMYFUNCTION("GOOGLEFINANCE(A400,""CLOSEYEST"")"),32.04)</f>
        <v>32.04</v>
      </c>
      <c r="H400" s="14" t="str">
        <f t="shared" ca="1" si="20"/>
        <v/>
      </c>
      <c r="I400" s="15">
        <f t="shared" ca="1" si="15"/>
        <v>32.076666666666661</v>
      </c>
      <c r="J400" s="16">
        <f t="shared" ca="1" si="16"/>
        <v>32.323333333333323</v>
      </c>
      <c r="K400" s="16"/>
      <c r="L400" s="16">
        <f t="shared" ca="1" si="17"/>
        <v>31.793333333333322</v>
      </c>
      <c r="M400" s="16">
        <f t="shared" ca="1" si="18"/>
        <v>32.606666666666662</v>
      </c>
      <c r="N400" s="16">
        <f t="shared" ca="1" si="19"/>
        <v>31.54666666666666</v>
      </c>
    </row>
    <row r="401" spans="1:14" ht="24.75" customHeight="1" x14ac:dyDescent="0.8">
      <c r="A401" s="18" t="s">
        <v>312</v>
      </c>
      <c r="B401" s="10">
        <f ca="1">IFERROR(__xludf.DUMMYFUNCTION("GOOGLEFINANCE(A401,""PRICE"")"),113.08)</f>
        <v>113.08</v>
      </c>
      <c r="C401" s="11">
        <f ca="1">IFERROR(__xludf.DUMMYFUNCTION("GOOGLEFINANCE(A401,""PRICEOPEN"")"),109.81)</f>
        <v>109.81</v>
      </c>
      <c r="D401" s="11">
        <f ca="1">IFERROR(__xludf.DUMMYFUNCTION("GOOGLEFINANCE(A401,""HIGH"")"),113.6)</f>
        <v>113.6</v>
      </c>
      <c r="E401" s="11">
        <f ca="1">IFERROR(__xludf.DUMMYFUNCTION("GOOGLEFINANCE(A401,""LOW"")"),109.21)</f>
        <v>109.21</v>
      </c>
      <c r="F401" s="12" t="str">
        <f t="shared" ca="1" si="14"/>
        <v/>
      </c>
      <c r="G401" s="13">
        <f ca="1">IFERROR(__xludf.DUMMYFUNCTION("GOOGLEFINANCE(A401,""CLOSEYEST"")"),109.48)</f>
        <v>109.48</v>
      </c>
      <c r="H401" s="14" t="str">
        <f t="shared" ca="1" si="20"/>
        <v/>
      </c>
      <c r="I401" s="15">
        <f t="shared" ca="1" si="15"/>
        <v>110.76333333333334</v>
      </c>
      <c r="J401" s="16">
        <f t="shared" ca="1" si="16"/>
        <v>112.31666666666668</v>
      </c>
      <c r="K401" s="16"/>
      <c r="L401" s="16">
        <f t="shared" ca="1" si="17"/>
        <v>107.92666666666668</v>
      </c>
      <c r="M401" s="16">
        <f t="shared" ca="1" si="18"/>
        <v>115.15333333333334</v>
      </c>
      <c r="N401" s="16">
        <f t="shared" ca="1" si="19"/>
        <v>106.37333333333333</v>
      </c>
    </row>
    <row r="402" spans="1:14" ht="24.75" customHeight="1" x14ac:dyDescent="0.8">
      <c r="A402" s="18" t="s">
        <v>255</v>
      </c>
      <c r="B402" s="10" t="str">
        <f ca="1">IFERROR(__xludf.DUMMYFUNCTION("GOOGLEFINANCE(A402,""PRICE"")"),"#N/A")</f>
        <v>#N/A</v>
      </c>
      <c r="C402" s="11" t="str">
        <f ca="1">IFERROR(__xludf.DUMMYFUNCTION("GOOGLEFINANCE(A402,""PRICEOPEN"")"),"#N/A")</f>
        <v>#N/A</v>
      </c>
      <c r="D402" s="11" t="str">
        <f ca="1">IFERROR(__xludf.DUMMYFUNCTION("GOOGLEFINANCE(A402,""HIGH"")"),"#N/A")</f>
        <v>#N/A</v>
      </c>
      <c r="E402" s="11" t="str">
        <f ca="1">IFERROR(__xludf.DUMMYFUNCTION("GOOGLEFINANCE(A402,""LOW"")"),"#N/A")</f>
        <v>#N/A</v>
      </c>
      <c r="F402" s="12" t="str">
        <f t="shared" ca="1" si="14"/>
        <v>SELL</v>
      </c>
      <c r="G402" s="13" t="str">
        <f ca="1">IFERROR(__xludf.DUMMYFUNCTION("GOOGLEFINANCE(A402,""CLOSEYEST"")"),"#N/A")</f>
        <v>#N/A</v>
      </c>
      <c r="H402" s="14" t="e">
        <f t="shared" ca="1" si="20"/>
        <v>#VALUE!</v>
      </c>
      <c r="I402" s="15" t="e">
        <f t="shared" ca="1" si="15"/>
        <v>#VALUE!</v>
      </c>
      <c r="J402" s="16" t="e">
        <f t="shared" ca="1" si="16"/>
        <v>#VALUE!</v>
      </c>
      <c r="K402" s="16"/>
      <c r="L402" s="16" t="e">
        <f t="shared" ca="1" si="17"/>
        <v>#VALUE!</v>
      </c>
      <c r="M402" s="16" t="e">
        <f t="shared" ca="1" si="18"/>
        <v>#VALUE!</v>
      </c>
      <c r="N402" s="16" t="e">
        <f t="shared" ca="1" si="19"/>
        <v>#VALUE!</v>
      </c>
    </row>
    <row r="403" spans="1:14" ht="24.75" customHeight="1" x14ac:dyDescent="0.8">
      <c r="A403" s="18" t="s">
        <v>92</v>
      </c>
      <c r="B403" s="10">
        <f ca="1">IFERROR(__xludf.DUMMYFUNCTION("GOOGLEFINANCE(A403,""PRICE"")"),643)</f>
        <v>643</v>
      </c>
      <c r="C403" s="11">
        <f ca="1">IFERROR(__xludf.DUMMYFUNCTION("GOOGLEFINANCE(A403,""PRICEOPEN"")"),629.75)</f>
        <v>629.75</v>
      </c>
      <c r="D403" s="11">
        <f ca="1">IFERROR(__xludf.DUMMYFUNCTION("GOOGLEFINANCE(A403,""HIGH"")"),647.9)</f>
        <v>647.9</v>
      </c>
      <c r="E403" s="11">
        <f ca="1">IFERROR(__xludf.DUMMYFUNCTION("GOOGLEFINANCE(A403,""LOW"")"),626.55)</f>
        <v>626.54999999999995</v>
      </c>
      <c r="F403" s="12" t="str">
        <f t="shared" ca="1" si="14"/>
        <v/>
      </c>
      <c r="G403" s="13">
        <f ca="1">IFERROR(__xludf.DUMMYFUNCTION("GOOGLEFINANCE(A403,""CLOSEYEST"")"),630.85)</f>
        <v>630.85</v>
      </c>
      <c r="H403" s="14" t="str">
        <f t="shared" ca="1" si="20"/>
        <v/>
      </c>
      <c r="I403" s="15">
        <f t="shared" ca="1" si="15"/>
        <v>635.09999999999991</v>
      </c>
      <c r="J403" s="16">
        <f t="shared" ca="1" si="16"/>
        <v>643.64999999999986</v>
      </c>
      <c r="K403" s="16"/>
      <c r="L403" s="16">
        <f t="shared" ca="1" si="17"/>
        <v>622.29999999999984</v>
      </c>
      <c r="M403" s="16">
        <f t="shared" ca="1" si="18"/>
        <v>656.44999999999993</v>
      </c>
      <c r="N403" s="16">
        <f t="shared" ca="1" si="19"/>
        <v>613.74999999999989</v>
      </c>
    </row>
    <row r="404" spans="1:14" ht="24.75" customHeight="1" x14ac:dyDescent="0.8">
      <c r="A404" s="18" t="s">
        <v>1632</v>
      </c>
      <c r="B404" s="10">
        <f ca="1">IFERROR(__xludf.DUMMYFUNCTION("GOOGLEFINANCE(A404,""PRICE"")"),350.15)</f>
        <v>350.15</v>
      </c>
      <c r="C404" s="11">
        <f ca="1">IFERROR(__xludf.DUMMYFUNCTION("GOOGLEFINANCE(A404,""PRICEOPEN"")"),348.7)</f>
        <v>348.7</v>
      </c>
      <c r="D404" s="11">
        <f ca="1">IFERROR(__xludf.DUMMYFUNCTION("GOOGLEFINANCE(A404,""HIGH"")"),351.55)</f>
        <v>351.55</v>
      </c>
      <c r="E404" s="11">
        <f ca="1">IFERROR(__xludf.DUMMYFUNCTION("GOOGLEFINANCE(A404,""LOW"")"),346.5)</f>
        <v>346.5</v>
      </c>
      <c r="F404" s="12" t="str">
        <f t="shared" ca="1" si="14"/>
        <v/>
      </c>
      <c r="G404" s="13">
        <f ca="1">IFERROR(__xludf.DUMMYFUNCTION("GOOGLEFINANCE(A404,""CLOSEYEST"")"),348.3)</f>
        <v>348.3</v>
      </c>
      <c r="H404" s="14" t="str">
        <f t="shared" ca="1" si="20"/>
        <v/>
      </c>
      <c r="I404" s="15">
        <f t="shared" ca="1" si="15"/>
        <v>348.7833333333333</v>
      </c>
      <c r="J404" s="16">
        <f t="shared" ca="1" si="16"/>
        <v>351.06666666666661</v>
      </c>
      <c r="K404" s="16"/>
      <c r="L404" s="16">
        <f t="shared" ca="1" si="17"/>
        <v>346.01666666666659</v>
      </c>
      <c r="M404" s="16">
        <f t="shared" ca="1" si="18"/>
        <v>353.83333333333331</v>
      </c>
      <c r="N404" s="16">
        <f t="shared" ca="1" si="19"/>
        <v>343.73333333333329</v>
      </c>
    </row>
    <row r="405" spans="1:14" ht="24.75" customHeight="1" x14ac:dyDescent="0.8">
      <c r="A405" s="18" t="s">
        <v>1633</v>
      </c>
      <c r="B405" s="10">
        <f ca="1">IFERROR(__xludf.DUMMYFUNCTION("GOOGLEFINANCE(A405,""PRICE"")"),281)</f>
        <v>281</v>
      </c>
      <c r="C405" s="11">
        <f ca="1">IFERROR(__xludf.DUMMYFUNCTION("GOOGLEFINANCE(A405,""PRICEOPEN"")"),277.15)</f>
        <v>277.14999999999998</v>
      </c>
      <c r="D405" s="11">
        <f ca="1">IFERROR(__xludf.DUMMYFUNCTION("GOOGLEFINANCE(A405,""HIGH"")"),285)</f>
        <v>285</v>
      </c>
      <c r="E405" s="11">
        <f ca="1">IFERROR(__xludf.DUMMYFUNCTION("GOOGLEFINANCE(A405,""LOW"")"),275.85)</f>
        <v>275.85000000000002</v>
      </c>
      <c r="F405" s="12" t="str">
        <f t="shared" ca="1" si="14"/>
        <v/>
      </c>
      <c r="G405" s="13">
        <f ca="1">IFERROR(__xludf.DUMMYFUNCTION("GOOGLEFINANCE(A405,""CLOSEYEST"")"),277.05)</f>
        <v>277.05</v>
      </c>
      <c r="H405" s="14" t="str">
        <f t="shared" ca="1" si="20"/>
        <v/>
      </c>
      <c r="I405" s="15">
        <f t="shared" ca="1" si="15"/>
        <v>279.3</v>
      </c>
      <c r="J405" s="16">
        <f t="shared" ca="1" si="16"/>
        <v>282.75</v>
      </c>
      <c r="K405" s="16"/>
      <c r="L405" s="16">
        <f t="shared" ca="1" si="17"/>
        <v>273.60000000000002</v>
      </c>
      <c r="M405" s="16">
        <f t="shared" ca="1" si="18"/>
        <v>288.45</v>
      </c>
      <c r="N405" s="16">
        <f t="shared" ca="1" si="19"/>
        <v>270.15000000000003</v>
      </c>
    </row>
    <row r="406" spans="1:14" ht="24.75" customHeight="1" x14ac:dyDescent="0.8">
      <c r="A406" s="18" t="s">
        <v>1634</v>
      </c>
      <c r="B406" s="10">
        <f ca="1">IFERROR(__xludf.DUMMYFUNCTION("GOOGLEFINANCE(A406,""PRICE"")"),2410)</f>
        <v>2410</v>
      </c>
      <c r="C406" s="11">
        <f ca="1">IFERROR(__xludf.DUMMYFUNCTION("GOOGLEFINANCE(A406,""PRICEOPEN"")"),2414.4)</f>
        <v>2414.4</v>
      </c>
      <c r="D406" s="11">
        <f ca="1">IFERROR(__xludf.DUMMYFUNCTION("GOOGLEFINANCE(A406,""HIGH"")"),2429.1)</f>
        <v>2429.1</v>
      </c>
      <c r="E406" s="11">
        <f ca="1">IFERROR(__xludf.DUMMYFUNCTION("GOOGLEFINANCE(A406,""LOW"")"),2391)</f>
        <v>2391</v>
      </c>
      <c r="F406" s="12" t="str">
        <f t="shared" ca="1" si="14"/>
        <v/>
      </c>
      <c r="G406" s="13">
        <f ca="1">IFERROR(__xludf.DUMMYFUNCTION("GOOGLEFINANCE(A406,""CLOSEYEST"")"),2414.4)</f>
        <v>2414.4</v>
      </c>
      <c r="H406" s="14" t="str">
        <f t="shared" ca="1" si="20"/>
        <v/>
      </c>
      <c r="I406" s="15">
        <f t="shared" ca="1" si="15"/>
        <v>2411.5</v>
      </c>
      <c r="J406" s="16">
        <f t="shared" ca="1" si="16"/>
        <v>2432</v>
      </c>
      <c r="K406" s="16"/>
      <c r="L406" s="16">
        <f t="shared" ca="1" si="17"/>
        <v>2393.9</v>
      </c>
      <c r="M406" s="16">
        <f t="shared" ca="1" si="18"/>
        <v>2449.6</v>
      </c>
      <c r="N406" s="16">
        <f t="shared" ca="1" si="19"/>
        <v>2373.4</v>
      </c>
    </row>
    <row r="407" spans="1:14" ht="24.75" customHeight="1" x14ac:dyDescent="0.8">
      <c r="A407" s="18" t="s">
        <v>1635</v>
      </c>
      <c r="B407" s="10">
        <f ca="1">IFERROR(__xludf.DUMMYFUNCTION("GOOGLEFINANCE(A407,""PRICE"")"),189)</f>
        <v>189</v>
      </c>
      <c r="C407" s="11">
        <f ca="1">IFERROR(__xludf.DUMMYFUNCTION("GOOGLEFINANCE(A407,""PRICEOPEN"")"),190.44)</f>
        <v>190.44</v>
      </c>
      <c r="D407" s="11">
        <f ca="1">IFERROR(__xludf.DUMMYFUNCTION("GOOGLEFINANCE(A407,""HIGH"")"),190.99)</f>
        <v>190.99</v>
      </c>
      <c r="E407" s="11">
        <f ca="1">IFERROR(__xludf.DUMMYFUNCTION("GOOGLEFINANCE(A407,""LOW"")"),186)</f>
        <v>186</v>
      </c>
      <c r="F407" s="12" t="str">
        <f t="shared" ca="1" si="14"/>
        <v/>
      </c>
      <c r="G407" s="13">
        <f ca="1">IFERROR(__xludf.DUMMYFUNCTION("GOOGLEFINANCE(A407,""CLOSEYEST"")"),188.76)</f>
        <v>188.76</v>
      </c>
      <c r="H407" s="14" t="str">
        <f t="shared" ca="1" si="20"/>
        <v/>
      </c>
      <c r="I407" s="15">
        <f t="shared" ca="1" si="15"/>
        <v>188.58333333333334</v>
      </c>
      <c r="J407" s="16">
        <f t="shared" ca="1" si="16"/>
        <v>191.16666666666669</v>
      </c>
      <c r="K407" s="16"/>
      <c r="L407" s="16">
        <f t="shared" ca="1" si="17"/>
        <v>186.17666666666668</v>
      </c>
      <c r="M407" s="16">
        <f t="shared" ca="1" si="18"/>
        <v>193.57333333333335</v>
      </c>
      <c r="N407" s="16">
        <f t="shared" ca="1" si="19"/>
        <v>183.59333333333333</v>
      </c>
    </row>
    <row r="408" spans="1:14" ht="24.75" customHeight="1" x14ac:dyDescent="0.8">
      <c r="A408" s="18" t="s">
        <v>1636</v>
      </c>
      <c r="B408" s="10">
        <f ca="1">IFERROR(__xludf.DUMMYFUNCTION("GOOGLEFINANCE(A408,""PRICE"")"),1121)</f>
        <v>1121</v>
      </c>
      <c r="C408" s="11">
        <f ca="1">IFERROR(__xludf.DUMMYFUNCTION("GOOGLEFINANCE(A408,""PRICEOPEN"")"),1122.9)</f>
        <v>1122.9000000000001</v>
      </c>
      <c r="D408" s="11">
        <f ca="1">IFERROR(__xludf.DUMMYFUNCTION("GOOGLEFINANCE(A408,""HIGH"")"),1137)</f>
        <v>1137</v>
      </c>
      <c r="E408" s="11">
        <f ca="1">IFERROR(__xludf.DUMMYFUNCTION("GOOGLEFINANCE(A408,""LOW"")"),1111)</f>
        <v>1111</v>
      </c>
      <c r="F408" s="12" t="str">
        <f t="shared" ca="1" si="14"/>
        <v/>
      </c>
      <c r="G408" s="13">
        <f ca="1">IFERROR(__xludf.DUMMYFUNCTION("GOOGLEFINANCE(A408,""CLOSEYEST"")"),1113)</f>
        <v>1113</v>
      </c>
      <c r="H408" s="14" t="str">
        <f t="shared" ca="1" si="20"/>
        <v/>
      </c>
      <c r="I408" s="15">
        <f t="shared" ca="1" si="15"/>
        <v>1120.3333333333333</v>
      </c>
      <c r="J408" s="16">
        <f t="shared" ca="1" si="16"/>
        <v>1129.6666666666665</v>
      </c>
      <c r="K408" s="16"/>
      <c r="L408" s="16">
        <f t="shared" ca="1" si="17"/>
        <v>1103.6666666666665</v>
      </c>
      <c r="M408" s="16">
        <f t="shared" ca="1" si="18"/>
        <v>1146.3333333333333</v>
      </c>
      <c r="N408" s="16">
        <f t="shared" ca="1" si="19"/>
        <v>1094.3333333333333</v>
      </c>
    </row>
    <row r="409" spans="1:14" ht="24.75" customHeight="1" x14ac:dyDescent="0.8">
      <c r="A409" s="18" t="s">
        <v>652</v>
      </c>
      <c r="B409" s="10">
        <f ca="1">IFERROR(__xludf.DUMMYFUNCTION("GOOGLEFINANCE(A409,""PRICE"")"),225.5)</f>
        <v>225.5</v>
      </c>
      <c r="C409" s="11">
        <f ca="1">IFERROR(__xludf.DUMMYFUNCTION("GOOGLEFINANCE(A409,""PRICEOPEN"")"),227.05)</f>
        <v>227.05</v>
      </c>
      <c r="D409" s="11">
        <f ca="1">IFERROR(__xludf.DUMMYFUNCTION("GOOGLEFINANCE(A409,""HIGH"")"),229.2)</f>
        <v>229.2</v>
      </c>
      <c r="E409" s="11">
        <f ca="1">IFERROR(__xludf.DUMMYFUNCTION("GOOGLEFINANCE(A409,""LOW"")"),223.1)</f>
        <v>223.1</v>
      </c>
      <c r="F409" s="12" t="str">
        <f t="shared" ca="1" si="14"/>
        <v/>
      </c>
      <c r="G409" s="13">
        <f ca="1">IFERROR(__xludf.DUMMYFUNCTION("GOOGLEFINANCE(A409,""CLOSEYEST"")"),227.05)</f>
        <v>227.05</v>
      </c>
      <c r="H409" s="14" t="str">
        <f t="shared" ca="1" si="20"/>
        <v/>
      </c>
      <c r="I409" s="15">
        <f t="shared" ca="1" si="15"/>
        <v>226.44999999999996</v>
      </c>
      <c r="J409" s="16">
        <f t="shared" ca="1" si="16"/>
        <v>229.79999999999993</v>
      </c>
      <c r="K409" s="16"/>
      <c r="L409" s="16">
        <f t="shared" ca="1" si="17"/>
        <v>223.69999999999993</v>
      </c>
      <c r="M409" s="16">
        <f t="shared" ca="1" si="18"/>
        <v>232.54999999999995</v>
      </c>
      <c r="N409" s="16">
        <f t="shared" ca="1" si="19"/>
        <v>220.34999999999997</v>
      </c>
    </row>
    <row r="410" spans="1:14" ht="24.75" customHeight="1" x14ac:dyDescent="0.8">
      <c r="A410" s="18" t="s">
        <v>349</v>
      </c>
      <c r="B410" s="10">
        <f ca="1">IFERROR(__xludf.DUMMYFUNCTION("GOOGLEFINANCE(A410,""PRICE"")"),3356.5)</f>
        <v>3356.5</v>
      </c>
      <c r="C410" s="11">
        <f ca="1">IFERROR(__xludf.DUMMYFUNCTION("GOOGLEFINANCE(A410,""PRICEOPEN"")"),3319.5)</f>
        <v>3319.5</v>
      </c>
      <c r="D410" s="11">
        <f ca="1">IFERROR(__xludf.DUMMYFUNCTION("GOOGLEFINANCE(A410,""HIGH"")"),3386)</f>
        <v>3386</v>
      </c>
      <c r="E410" s="11">
        <f ca="1">IFERROR(__xludf.DUMMYFUNCTION("GOOGLEFINANCE(A410,""LOW"")"),3302.1)</f>
        <v>3302.1</v>
      </c>
      <c r="F410" s="12" t="str">
        <f t="shared" ca="1" si="14"/>
        <v/>
      </c>
      <c r="G410" s="13">
        <f ca="1">IFERROR(__xludf.DUMMYFUNCTION("GOOGLEFINANCE(A410,""CLOSEYEST"")"),3316.2)</f>
        <v>3316.2</v>
      </c>
      <c r="H410" s="14" t="str">
        <f t="shared" ca="1" si="20"/>
        <v/>
      </c>
      <c r="I410" s="15">
        <f t="shared" ca="1" si="15"/>
        <v>3334.7666666666664</v>
      </c>
      <c r="J410" s="16">
        <f t="shared" ca="1" si="16"/>
        <v>3367.4333333333329</v>
      </c>
      <c r="K410" s="16"/>
      <c r="L410" s="16">
        <f t="shared" ca="1" si="17"/>
        <v>3283.5333333333328</v>
      </c>
      <c r="M410" s="16">
        <f t="shared" ca="1" si="18"/>
        <v>3418.6666666666665</v>
      </c>
      <c r="N410" s="16">
        <f t="shared" ca="1" si="19"/>
        <v>3250.8666666666663</v>
      </c>
    </row>
    <row r="411" spans="1:14" ht="24.75" customHeight="1" x14ac:dyDescent="0.8">
      <c r="A411" s="18" t="s">
        <v>188</v>
      </c>
      <c r="B411" s="10">
        <f ca="1">IFERROR(__xludf.DUMMYFUNCTION("GOOGLEFINANCE(A411,""PRICE"")"),1913.2)</f>
        <v>1913.2</v>
      </c>
      <c r="C411" s="11">
        <f ca="1">IFERROR(__xludf.DUMMYFUNCTION("GOOGLEFINANCE(A411,""PRICEOPEN"")"),1931)</f>
        <v>1931</v>
      </c>
      <c r="D411" s="11">
        <f ca="1">IFERROR(__xludf.DUMMYFUNCTION("GOOGLEFINANCE(A411,""HIGH"")"),1935.8)</f>
        <v>1935.8</v>
      </c>
      <c r="E411" s="11">
        <f ca="1">IFERROR(__xludf.DUMMYFUNCTION("GOOGLEFINANCE(A411,""LOW"")"),1875.2)</f>
        <v>1875.2</v>
      </c>
      <c r="F411" s="12" t="str">
        <f t="shared" ca="1" si="14"/>
        <v/>
      </c>
      <c r="G411" s="13">
        <f ca="1">IFERROR(__xludf.DUMMYFUNCTION("GOOGLEFINANCE(A411,""CLOSEYEST"")"),1951)</f>
        <v>1951</v>
      </c>
      <c r="H411" s="14" t="str">
        <f t="shared" ca="1" si="20"/>
        <v>GAP DOWN</v>
      </c>
      <c r="I411" s="15">
        <f t="shared" ca="1" si="15"/>
        <v>1920.6666666666667</v>
      </c>
      <c r="J411" s="16">
        <f t="shared" ca="1" si="16"/>
        <v>1966.1333333333334</v>
      </c>
      <c r="K411" s="16"/>
      <c r="L411" s="16">
        <f t="shared" ca="1" si="17"/>
        <v>1905.5333333333335</v>
      </c>
      <c r="M411" s="16">
        <f t="shared" ca="1" si="18"/>
        <v>1981.2666666666667</v>
      </c>
      <c r="N411" s="16">
        <f t="shared" ca="1" si="19"/>
        <v>1860.0666666666668</v>
      </c>
    </row>
    <row r="412" spans="1:14" ht="24.75" customHeight="1" x14ac:dyDescent="0.8">
      <c r="A412" s="18" t="s">
        <v>655</v>
      </c>
      <c r="B412" s="10">
        <f ca="1">IFERROR(__xludf.DUMMYFUNCTION("GOOGLEFINANCE(A412,""PRICE"")"),972.25)</f>
        <v>972.25</v>
      </c>
      <c r="C412" s="11">
        <f ca="1">IFERROR(__xludf.DUMMYFUNCTION("GOOGLEFINANCE(A412,""PRICEOPEN"")"),920)</f>
        <v>920</v>
      </c>
      <c r="D412" s="11">
        <f ca="1">IFERROR(__xludf.DUMMYFUNCTION("GOOGLEFINANCE(A412,""HIGH"")"),978.9)</f>
        <v>978.9</v>
      </c>
      <c r="E412" s="11">
        <f ca="1">IFERROR(__xludf.DUMMYFUNCTION("GOOGLEFINANCE(A412,""LOW"")"),920)</f>
        <v>920</v>
      </c>
      <c r="F412" s="12" t="str">
        <f t="shared" ca="1" si="14"/>
        <v>BUY</v>
      </c>
      <c r="G412" s="13">
        <f ca="1">IFERROR(__xludf.DUMMYFUNCTION("GOOGLEFINANCE(A412,""CLOSEYEST"")"),924.35)</f>
        <v>924.35</v>
      </c>
      <c r="H412" s="14" t="str">
        <f t="shared" ca="1" si="20"/>
        <v/>
      </c>
      <c r="I412" s="15">
        <f t="shared" ca="1" si="15"/>
        <v>941.08333333333337</v>
      </c>
      <c r="J412" s="16">
        <f t="shared" ca="1" si="16"/>
        <v>962.16666666666674</v>
      </c>
      <c r="K412" s="16"/>
      <c r="L412" s="16">
        <f t="shared" ca="1" si="17"/>
        <v>903.26666666666677</v>
      </c>
      <c r="M412" s="16">
        <f t="shared" ca="1" si="18"/>
        <v>999.98333333333335</v>
      </c>
      <c r="N412" s="16">
        <f t="shared" ca="1" si="19"/>
        <v>882.18333333333339</v>
      </c>
    </row>
    <row r="413" spans="1:14" ht="24.75" customHeight="1" x14ac:dyDescent="0.8">
      <c r="A413" s="18" t="s">
        <v>457</v>
      </c>
      <c r="B413" s="10">
        <f ca="1">IFERROR(__xludf.DUMMYFUNCTION("GOOGLEFINANCE(A413,""PRICE"")"),10.31)</f>
        <v>10.31</v>
      </c>
      <c r="C413" s="11">
        <f ca="1">IFERROR(__xludf.DUMMYFUNCTION("GOOGLEFINANCE(A413,""PRICEOPEN"")"),10.31)</f>
        <v>10.31</v>
      </c>
      <c r="D413" s="11">
        <f ca="1">IFERROR(__xludf.DUMMYFUNCTION("GOOGLEFINANCE(A413,""HIGH"")"),10.31)</f>
        <v>10.31</v>
      </c>
      <c r="E413" s="11">
        <f ca="1">IFERROR(__xludf.DUMMYFUNCTION("GOOGLEFINANCE(A413,""LOW"")"),10.31)</f>
        <v>10.31</v>
      </c>
      <c r="F413" s="12" t="str">
        <f t="shared" ca="1" si="14"/>
        <v>SELL</v>
      </c>
      <c r="G413" s="13">
        <f ca="1">IFERROR(__xludf.DUMMYFUNCTION("GOOGLEFINANCE(A413,""CLOSEYEST"")"),10.31)</f>
        <v>10.31</v>
      </c>
      <c r="H413" s="14" t="str">
        <f t="shared" ca="1" si="20"/>
        <v/>
      </c>
      <c r="I413" s="15">
        <f t="shared" ca="1" si="15"/>
        <v>10.31</v>
      </c>
      <c r="J413" s="16">
        <f t="shared" ca="1" si="16"/>
        <v>10.31</v>
      </c>
      <c r="K413" s="16"/>
      <c r="L413" s="16">
        <f t="shared" ca="1" si="17"/>
        <v>10.31</v>
      </c>
      <c r="M413" s="16">
        <f t="shared" ca="1" si="18"/>
        <v>10.31</v>
      </c>
      <c r="N413" s="16">
        <f t="shared" ca="1" si="19"/>
        <v>10.31</v>
      </c>
    </row>
    <row r="414" spans="1:14" ht="24.75" customHeight="1" x14ac:dyDescent="0.8">
      <c r="A414" s="18" t="s">
        <v>80</v>
      </c>
      <c r="B414" s="10">
        <f ca="1">IFERROR(__xludf.DUMMYFUNCTION("GOOGLEFINANCE(A414,""PRICE"")"),198.09)</f>
        <v>198.09</v>
      </c>
      <c r="C414" s="11">
        <f ca="1">IFERROR(__xludf.DUMMYFUNCTION("GOOGLEFINANCE(A414,""PRICEOPEN"")"),200.1)</f>
        <v>200.1</v>
      </c>
      <c r="D414" s="11">
        <f ca="1">IFERROR(__xludf.DUMMYFUNCTION("GOOGLEFINANCE(A414,""HIGH"")"),200.1)</f>
        <v>200.1</v>
      </c>
      <c r="E414" s="11">
        <f ca="1">IFERROR(__xludf.DUMMYFUNCTION("GOOGLEFINANCE(A414,""LOW"")"),197.53)</f>
        <v>197.53</v>
      </c>
      <c r="F414" s="12" t="str">
        <f t="shared" ca="1" si="14"/>
        <v>SELL</v>
      </c>
      <c r="G414" s="13">
        <f ca="1">IFERROR(__xludf.DUMMYFUNCTION("GOOGLEFINANCE(A414,""CLOSEYEST"")"),198.99)</f>
        <v>198.99</v>
      </c>
      <c r="H414" s="14" t="str">
        <f t="shared" ca="1" si="20"/>
        <v/>
      </c>
      <c r="I414" s="15">
        <f t="shared" ca="1" si="15"/>
        <v>198.87333333333333</v>
      </c>
      <c r="J414" s="16">
        <f t="shared" ca="1" si="16"/>
        <v>200.21666666666667</v>
      </c>
      <c r="K414" s="16"/>
      <c r="L414" s="16">
        <f t="shared" ca="1" si="17"/>
        <v>197.64666666666668</v>
      </c>
      <c r="M414" s="16">
        <f t="shared" ca="1" si="18"/>
        <v>201.44333333333333</v>
      </c>
      <c r="N414" s="16">
        <f t="shared" ca="1" si="19"/>
        <v>196.30333333333334</v>
      </c>
    </row>
    <row r="415" spans="1:14" ht="24.75" customHeight="1" x14ac:dyDescent="0.8">
      <c r="A415" s="18" t="s">
        <v>432</v>
      </c>
      <c r="B415" s="10">
        <f ca="1">IFERROR(__xludf.DUMMYFUNCTION("GOOGLEFINANCE(A415,""PRICE"")"),1398)</f>
        <v>1398</v>
      </c>
      <c r="C415" s="11">
        <f ca="1">IFERROR(__xludf.DUMMYFUNCTION("GOOGLEFINANCE(A415,""PRICEOPEN"")"),1398)</f>
        <v>1398</v>
      </c>
      <c r="D415" s="11">
        <f ca="1">IFERROR(__xludf.DUMMYFUNCTION("GOOGLEFINANCE(A415,""HIGH"")"),1417.7)</f>
        <v>1417.7</v>
      </c>
      <c r="E415" s="11">
        <f ca="1">IFERROR(__xludf.DUMMYFUNCTION("GOOGLEFINANCE(A415,""LOW"")"),1380)</f>
        <v>1380</v>
      </c>
      <c r="F415" s="12" t="str">
        <f t="shared" ca="1" si="14"/>
        <v/>
      </c>
      <c r="G415" s="13">
        <f ca="1">IFERROR(__xludf.DUMMYFUNCTION("GOOGLEFINANCE(A415,""CLOSEYEST"")"),1400.8)</f>
        <v>1400.8</v>
      </c>
      <c r="H415" s="14" t="str">
        <f t="shared" ca="1" si="20"/>
        <v/>
      </c>
      <c r="I415" s="15">
        <f t="shared" ca="1" si="15"/>
        <v>1399.5</v>
      </c>
      <c r="J415" s="16">
        <f t="shared" ca="1" si="16"/>
        <v>1419</v>
      </c>
      <c r="K415" s="16"/>
      <c r="L415" s="16">
        <f t="shared" ca="1" si="17"/>
        <v>1381.3</v>
      </c>
      <c r="M415" s="16">
        <f t="shared" ca="1" si="18"/>
        <v>1437.2</v>
      </c>
      <c r="N415" s="16">
        <f t="shared" ca="1" si="19"/>
        <v>1361.8</v>
      </c>
    </row>
    <row r="416" spans="1:14" ht="24.75" customHeight="1" x14ac:dyDescent="0.8">
      <c r="A416" s="18" t="s">
        <v>1637</v>
      </c>
      <c r="B416" s="10">
        <f ca="1">IFERROR(__xludf.DUMMYFUNCTION("GOOGLEFINANCE(A416,""PRICE"")"),275.6)</f>
        <v>275.60000000000002</v>
      </c>
      <c r="C416" s="11">
        <f ca="1">IFERROR(__xludf.DUMMYFUNCTION("GOOGLEFINANCE(A416,""PRICEOPEN"")"),275)</f>
        <v>275</v>
      </c>
      <c r="D416" s="11">
        <f ca="1">IFERROR(__xludf.DUMMYFUNCTION("GOOGLEFINANCE(A416,""HIGH"")"),280.15)</f>
        <v>280.14999999999998</v>
      </c>
      <c r="E416" s="11">
        <f ca="1">IFERROR(__xludf.DUMMYFUNCTION("GOOGLEFINANCE(A416,""LOW"")"),273.1)</f>
        <v>273.10000000000002</v>
      </c>
      <c r="F416" s="12" t="str">
        <f t="shared" ca="1" si="14"/>
        <v/>
      </c>
      <c r="G416" s="13">
        <f ca="1">IFERROR(__xludf.DUMMYFUNCTION("GOOGLEFINANCE(A416,""CLOSEYEST"")"),275.2)</f>
        <v>275.2</v>
      </c>
      <c r="H416" s="14" t="str">
        <f t="shared" ca="1" si="20"/>
        <v/>
      </c>
      <c r="I416" s="15">
        <f t="shared" ca="1" si="15"/>
        <v>276.15000000000003</v>
      </c>
      <c r="J416" s="16">
        <f t="shared" ca="1" si="16"/>
        <v>279.20000000000005</v>
      </c>
      <c r="K416" s="16"/>
      <c r="L416" s="16">
        <f t="shared" ca="1" si="17"/>
        <v>272.15000000000009</v>
      </c>
      <c r="M416" s="16">
        <f t="shared" ca="1" si="18"/>
        <v>283.2</v>
      </c>
      <c r="N416" s="16">
        <f t="shared" ca="1" si="19"/>
        <v>269.10000000000008</v>
      </c>
    </row>
    <row r="417" spans="1:14" ht="24.75" customHeight="1" x14ac:dyDescent="0.8">
      <c r="A417" s="18" t="s">
        <v>375</v>
      </c>
      <c r="B417" s="10">
        <f ca="1">IFERROR(__xludf.DUMMYFUNCTION("GOOGLEFINANCE(A417,""PRICE"")"),2097)</f>
        <v>2097</v>
      </c>
      <c r="C417" s="11">
        <f ca="1">IFERROR(__xludf.DUMMYFUNCTION("GOOGLEFINANCE(A417,""PRICEOPEN"")"),2080.9)</f>
        <v>2080.9</v>
      </c>
      <c r="D417" s="11">
        <f ca="1">IFERROR(__xludf.DUMMYFUNCTION("GOOGLEFINANCE(A417,""HIGH"")"),2099.9)</f>
        <v>2099.9</v>
      </c>
      <c r="E417" s="11">
        <f ca="1">IFERROR(__xludf.DUMMYFUNCTION("GOOGLEFINANCE(A417,""LOW"")"),2050)</f>
        <v>2050</v>
      </c>
      <c r="F417" s="12" t="str">
        <f t="shared" ca="1" si="14"/>
        <v/>
      </c>
      <c r="G417" s="13">
        <f ca="1">IFERROR(__xludf.DUMMYFUNCTION("GOOGLEFINANCE(A417,""CLOSEYEST"")"),2081.4)</f>
        <v>2081.4</v>
      </c>
      <c r="H417" s="14" t="str">
        <f t="shared" ca="1" si="20"/>
        <v/>
      </c>
      <c r="I417" s="15">
        <f t="shared" ca="1" si="15"/>
        <v>2077.1</v>
      </c>
      <c r="J417" s="16">
        <f t="shared" ca="1" si="16"/>
        <v>2104.1999999999998</v>
      </c>
      <c r="K417" s="16"/>
      <c r="L417" s="16">
        <f t="shared" ca="1" si="17"/>
        <v>2054.2999999999997</v>
      </c>
      <c r="M417" s="16">
        <f t="shared" ca="1" si="18"/>
        <v>2127</v>
      </c>
      <c r="N417" s="16">
        <f t="shared" ca="1" si="19"/>
        <v>2027.1999999999998</v>
      </c>
    </row>
    <row r="418" spans="1:14" ht="24.75" customHeight="1" x14ac:dyDescent="0.8">
      <c r="A418" s="18" t="s">
        <v>85</v>
      </c>
      <c r="B418" s="10">
        <f ca="1">IFERROR(__xludf.DUMMYFUNCTION("GOOGLEFINANCE(A418,""PRICE"")"),0.25)</f>
        <v>0.25</v>
      </c>
      <c r="C418" s="11">
        <f ca="1">IFERROR(__xludf.DUMMYFUNCTION("GOOGLEFINANCE(A418,""PRICEOPEN"")"),0.25)</f>
        <v>0.25</v>
      </c>
      <c r="D418" s="11">
        <f ca="1">IFERROR(__xludf.DUMMYFUNCTION("GOOGLEFINANCE(A418,""HIGH"")"),0.25)</f>
        <v>0.25</v>
      </c>
      <c r="E418" s="11">
        <f ca="1">IFERROR(__xludf.DUMMYFUNCTION("GOOGLEFINANCE(A418,""LOW"")"),0.25)</f>
        <v>0.25</v>
      </c>
      <c r="F418" s="12" t="str">
        <f t="shared" ca="1" si="14"/>
        <v>SELL</v>
      </c>
      <c r="G418" s="13">
        <f ca="1">IFERROR(__xludf.DUMMYFUNCTION("GOOGLEFINANCE(A418,""CLOSEYEST"")"),0.22)</f>
        <v>0.22</v>
      </c>
      <c r="H418" s="14" t="str">
        <f t="shared" ca="1" si="20"/>
        <v>GAP UP</v>
      </c>
      <c r="I418" s="15">
        <f t="shared" ca="1" si="15"/>
        <v>0.24</v>
      </c>
      <c r="J418" s="16">
        <f t="shared" ca="1" si="16"/>
        <v>0.22999999999999998</v>
      </c>
      <c r="K418" s="16"/>
      <c r="L418" s="16">
        <f t="shared" ca="1" si="17"/>
        <v>0.22999999999999998</v>
      </c>
      <c r="M418" s="16">
        <f t="shared" ca="1" si="18"/>
        <v>0.24</v>
      </c>
      <c r="N418" s="16">
        <f t="shared" ca="1" si="19"/>
        <v>0.24</v>
      </c>
    </row>
    <row r="419" spans="1:14" ht="24.75" customHeight="1" x14ac:dyDescent="0.8">
      <c r="A419" s="18" t="s">
        <v>1638</v>
      </c>
      <c r="B419" s="10">
        <f ca="1">IFERROR(__xludf.DUMMYFUNCTION("GOOGLEFINANCE(A419,""PRICE"")"),233.67)</f>
        <v>233.67</v>
      </c>
      <c r="C419" s="11">
        <f ca="1">IFERROR(__xludf.DUMMYFUNCTION("GOOGLEFINANCE(A419,""PRICEOPEN"")"),232.4)</f>
        <v>232.4</v>
      </c>
      <c r="D419" s="11">
        <f ca="1">IFERROR(__xludf.DUMMYFUNCTION("GOOGLEFINANCE(A419,""HIGH"")"),237.45)</f>
        <v>237.45</v>
      </c>
      <c r="E419" s="11">
        <f ca="1">IFERROR(__xludf.DUMMYFUNCTION("GOOGLEFINANCE(A419,""LOW"")"),230.46)</f>
        <v>230.46</v>
      </c>
      <c r="F419" s="12" t="str">
        <f t="shared" ca="1" si="14"/>
        <v/>
      </c>
      <c r="G419" s="13">
        <f ca="1">IFERROR(__xludf.DUMMYFUNCTION("GOOGLEFINANCE(A419,""CLOSEYEST"")"),232.47)</f>
        <v>232.47</v>
      </c>
      <c r="H419" s="14" t="str">
        <f t="shared" ca="1" si="20"/>
        <v/>
      </c>
      <c r="I419" s="15">
        <f t="shared" ca="1" si="15"/>
        <v>233.46</v>
      </c>
      <c r="J419" s="16">
        <f t="shared" ca="1" si="16"/>
        <v>236.46</v>
      </c>
      <c r="K419" s="16"/>
      <c r="L419" s="16">
        <f t="shared" ca="1" si="17"/>
        <v>229.47000000000003</v>
      </c>
      <c r="M419" s="16">
        <f t="shared" ca="1" si="18"/>
        <v>240.45</v>
      </c>
      <c r="N419" s="16">
        <f t="shared" ca="1" si="19"/>
        <v>226.47000000000003</v>
      </c>
    </row>
    <row r="420" spans="1:14" ht="24.75" customHeight="1" x14ac:dyDescent="0.8">
      <c r="A420" s="18" t="s">
        <v>398</v>
      </c>
      <c r="B420" s="10">
        <f ca="1">IFERROR(__xludf.DUMMYFUNCTION("GOOGLEFINANCE(A420,""PRICE"")"),1045)</f>
        <v>1045</v>
      </c>
      <c r="C420" s="11">
        <f ca="1">IFERROR(__xludf.DUMMYFUNCTION("GOOGLEFINANCE(A420,""PRICEOPEN"")"),1030.1)</f>
        <v>1030.0999999999999</v>
      </c>
      <c r="D420" s="11">
        <f ca="1">IFERROR(__xludf.DUMMYFUNCTION("GOOGLEFINANCE(A420,""HIGH"")"),1046.5)</f>
        <v>1046.5</v>
      </c>
      <c r="E420" s="11">
        <f ca="1">IFERROR(__xludf.DUMMYFUNCTION("GOOGLEFINANCE(A420,""LOW"")"),1027.5)</f>
        <v>1027.5</v>
      </c>
      <c r="F420" s="12" t="str">
        <f t="shared" ca="1" si="14"/>
        <v/>
      </c>
      <c r="G420" s="13">
        <f ca="1">IFERROR(__xludf.DUMMYFUNCTION("GOOGLEFINANCE(A420,""CLOSEYEST"")"),1035)</f>
        <v>1035</v>
      </c>
      <c r="H420" s="14" t="str">
        <f t="shared" ca="1" si="20"/>
        <v/>
      </c>
      <c r="I420" s="15">
        <f t="shared" ca="1" si="15"/>
        <v>1036.3333333333333</v>
      </c>
      <c r="J420" s="16">
        <f t="shared" ca="1" si="16"/>
        <v>1045.1666666666665</v>
      </c>
      <c r="K420" s="16"/>
      <c r="L420" s="16">
        <f t="shared" ca="1" si="17"/>
        <v>1026.1666666666665</v>
      </c>
      <c r="M420" s="16">
        <f t="shared" ca="1" si="18"/>
        <v>1055.3333333333333</v>
      </c>
      <c r="N420" s="16">
        <f t="shared" ca="1" si="19"/>
        <v>1017.3333333333333</v>
      </c>
    </row>
    <row r="421" spans="1:14" ht="24.75" customHeight="1" x14ac:dyDescent="0.8">
      <c r="A421" s="18" t="s">
        <v>247</v>
      </c>
      <c r="B421" s="10">
        <f ca="1">IFERROR(__xludf.DUMMYFUNCTION("GOOGLEFINANCE(A421,""PRICE"")"),464)</f>
        <v>464</v>
      </c>
      <c r="C421" s="11">
        <f ca="1">IFERROR(__xludf.DUMMYFUNCTION("GOOGLEFINANCE(A421,""PRICEOPEN"")"),457)</f>
        <v>457</v>
      </c>
      <c r="D421" s="11">
        <f ca="1">IFERROR(__xludf.DUMMYFUNCTION("GOOGLEFINANCE(A421,""HIGH"")"),466.8)</f>
        <v>466.8</v>
      </c>
      <c r="E421" s="11">
        <f ca="1">IFERROR(__xludf.DUMMYFUNCTION("GOOGLEFINANCE(A421,""LOW"")"),456.1)</f>
        <v>456.1</v>
      </c>
      <c r="F421" s="12" t="str">
        <f t="shared" ca="1" si="14"/>
        <v/>
      </c>
      <c r="G421" s="13">
        <f ca="1">IFERROR(__xludf.DUMMYFUNCTION("GOOGLEFINANCE(A421,""CLOSEYEST"")"),456.95)</f>
        <v>456.95</v>
      </c>
      <c r="H421" s="14" t="str">
        <f t="shared" ca="1" si="20"/>
        <v/>
      </c>
      <c r="I421" s="15">
        <f t="shared" ca="1" si="15"/>
        <v>459.95000000000005</v>
      </c>
      <c r="J421" s="16">
        <f t="shared" ca="1" si="16"/>
        <v>463.80000000000007</v>
      </c>
      <c r="K421" s="16"/>
      <c r="L421" s="16">
        <f t="shared" ca="1" si="17"/>
        <v>453.10000000000008</v>
      </c>
      <c r="M421" s="16">
        <f t="shared" ca="1" si="18"/>
        <v>470.65000000000003</v>
      </c>
      <c r="N421" s="16">
        <f t="shared" ca="1" si="19"/>
        <v>449.25000000000006</v>
      </c>
    </row>
    <row r="422" spans="1:14" ht="24.75" customHeight="1" x14ac:dyDescent="0.8">
      <c r="A422" s="18" t="s">
        <v>133</v>
      </c>
      <c r="B422" s="10">
        <f ca="1">IFERROR(__xludf.DUMMYFUNCTION("GOOGLEFINANCE(A422,""PRICE"")"),2411.8)</f>
        <v>2411.8000000000002</v>
      </c>
      <c r="C422" s="11">
        <f ca="1">IFERROR(__xludf.DUMMYFUNCTION("GOOGLEFINANCE(A422,""PRICEOPEN"")"),2378.1)</f>
        <v>2378.1</v>
      </c>
      <c r="D422" s="11">
        <f ca="1">IFERROR(__xludf.DUMMYFUNCTION("GOOGLEFINANCE(A422,""HIGH"")"),2436.6)</f>
        <v>2436.6</v>
      </c>
      <c r="E422" s="11">
        <f ca="1">IFERROR(__xludf.DUMMYFUNCTION("GOOGLEFINANCE(A422,""LOW"")"),2345.3)</f>
        <v>2345.3000000000002</v>
      </c>
      <c r="F422" s="12" t="str">
        <f t="shared" ca="1" si="14"/>
        <v/>
      </c>
      <c r="G422" s="13">
        <f ca="1">IFERROR(__xludf.DUMMYFUNCTION("GOOGLEFINANCE(A422,""CLOSEYEST"")"),2359.2)</f>
        <v>2359.1999999999998</v>
      </c>
      <c r="H422" s="14" t="str">
        <f t="shared" ca="1" si="20"/>
        <v/>
      </c>
      <c r="I422" s="15">
        <f t="shared" ca="1" si="15"/>
        <v>2380.3666666666663</v>
      </c>
      <c r="J422" s="16">
        <f t="shared" ca="1" si="16"/>
        <v>2415.4333333333325</v>
      </c>
      <c r="K422" s="16"/>
      <c r="L422" s="16">
        <f t="shared" ca="1" si="17"/>
        <v>2324.1333333333328</v>
      </c>
      <c r="M422" s="16">
        <f t="shared" ca="1" si="18"/>
        <v>2471.6666666666661</v>
      </c>
      <c r="N422" s="16">
        <f t="shared" ca="1" si="19"/>
        <v>2289.0666666666666</v>
      </c>
    </row>
    <row r="423" spans="1:14" ht="24.75" customHeight="1" x14ac:dyDescent="0.8">
      <c r="A423" s="18" t="s">
        <v>367</v>
      </c>
      <c r="B423" s="10">
        <f ca="1">IFERROR(__xludf.DUMMYFUNCTION("GOOGLEFINANCE(A423,""PRICE"")"),6288)</f>
        <v>6288</v>
      </c>
      <c r="C423" s="11">
        <f ca="1">IFERROR(__xludf.DUMMYFUNCTION("GOOGLEFINANCE(A423,""PRICEOPEN"")"),6305)</f>
        <v>6305</v>
      </c>
      <c r="D423" s="11">
        <f ca="1">IFERROR(__xludf.DUMMYFUNCTION("GOOGLEFINANCE(A423,""HIGH"")"),6329.5)</f>
        <v>6329.5</v>
      </c>
      <c r="E423" s="11">
        <f ca="1">IFERROR(__xludf.DUMMYFUNCTION("GOOGLEFINANCE(A423,""LOW"")"),6237)</f>
        <v>6237</v>
      </c>
      <c r="F423" s="12" t="str">
        <f t="shared" ca="1" si="14"/>
        <v/>
      </c>
      <c r="G423" s="13">
        <f ca="1">IFERROR(__xludf.DUMMYFUNCTION("GOOGLEFINANCE(A423,""CLOSEYEST"")"),6302)</f>
        <v>6302</v>
      </c>
      <c r="H423" s="14" t="str">
        <f t="shared" ca="1" si="20"/>
        <v/>
      </c>
      <c r="I423" s="15">
        <f t="shared" ca="1" si="15"/>
        <v>6289.5</v>
      </c>
      <c r="J423" s="16">
        <f t="shared" ca="1" si="16"/>
        <v>6342</v>
      </c>
      <c r="K423" s="16"/>
      <c r="L423" s="16">
        <f t="shared" ca="1" si="17"/>
        <v>6249.5</v>
      </c>
      <c r="M423" s="16">
        <f t="shared" ca="1" si="18"/>
        <v>6382</v>
      </c>
      <c r="N423" s="16">
        <f t="shared" ca="1" si="19"/>
        <v>6197</v>
      </c>
    </row>
    <row r="424" spans="1:14" ht="24.75" customHeight="1" x14ac:dyDescent="0.8">
      <c r="A424" s="18" t="s">
        <v>1639</v>
      </c>
      <c r="B424" s="10" t="str">
        <f ca="1">IFERROR(__xludf.DUMMYFUNCTION("GOOGLEFINANCE(A424,""PRICE"")"),"#N/A")</f>
        <v>#N/A</v>
      </c>
      <c r="C424" s="11" t="str">
        <f ca="1">IFERROR(__xludf.DUMMYFUNCTION("GOOGLEFINANCE(A424,""PRICEOPEN"")"),"#N/A")</f>
        <v>#N/A</v>
      </c>
      <c r="D424" s="11" t="str">
        <f ca="1">IFERROR(__xludf.DUMMYFUNCTION("GOOGLEFINANCE(A424,""HIGH"")"),"#N/A")</f>
        <v>#N/A</v>
      </c>
      <c r="E424" s="11" t="str">
        <f ca="1">IFERROR(__xludf.DUMMYFUNCTION("GOOGLEFINANCE(A424,""LOW"")"),"#N/A")</f>
        <v>#N/A</v>
      </c>
      <c r="F424" s="12" t="str">
        <f t="shared" ca="1" si="14"/>
        <v>SELL</v>
      </c>
      <c r="G424" s="13" t="str">
        <f ca="1">IFERROR(__xludf.DUMMYFUNCTION("GOOGLEFINANCE(A424,""CLOSEYEST"")"),"#N/A")</f>
        <v>#N/A</v>
      </c>
      <c r="H424" s="14" t="e">
        <f t="shared" ca="1" si="20"/>
        <v>#VALUE!</v>
      </c>
      <c r="I424" s="15" t="e">
        <f t="shared" ca="1" si="15"/>
        <v>#VALUE!</v>
      </c>
      <c r="J424" s="16" t="e">
        <f t="shared" ca="1" si="16"/>
        <v>#VALUE!</v>
      </c>
      <c r="K424" s="16"/>
      <c r="L424" s="16" t="e">
        <f t="shared" ca="1" si="17"/>
        <v>#VALUE!</v>
      </c>
      <c r="M424" s="16" t="e">
        <f t="shared" ca="1" si="18"/>
        <v>#VALUE!</v>
      </c>
      <c r="N424" s="16" t="e">
        <f t="shared" ca="1" si="19"/>
        <v>#VALUE!</v>
      </c>
    </row>
    <row r="425" spans="1:14" ht="24.75" customHeight="1" x14ac:dyDescent="0.8">
      <c r="A425" s="18" t="s">
        <v>55</v>
      </c>
      <c r="B425" s="10">
        <f ca="1">IFERROR(__xludf.DUMMYFUNCTION("GOOGLEFINANCE(A425,""PRICE"")"),464)</f>
        <v>464</v>
      </c>
      <c r="C425" s="11">
        <f ca="1">IFERROR(__xludf.DUMMYFUNCTION("GOOGLEFINANCE(A425,""PRICEOPEN"")"),467)</f>
        <v>467</v>
      </c>
      <c r="D425" s="11">
        <f ca="1">IFERROR(__xludf.DUMMYFUNCTION("GOOGLEFINANCE(A425,""HIGH"")"),468.95)</f>
        <v>468.95</v>
      </c>
      <c r="E425" s="11">
        <f ca="1">IFERROR(__xludf.DUMMYFUNCTION("GOOGLEFINANCE(A425,""LOW"")"),452.2)</f>
        <v>452.2</v>
      </c>
      <c r="F425" s="12" t="str">
        <f t="shared" ca="1" si="14"/>
        <v/>
      </c>
      <c r="G425" s="13">
        <f ca="1">IFERROR(__xludf.DUMMYFUNCTION("GOOGLEFINANCE(A425,""CLOSEYEST"")"),462.55)</f>
        <v>462.55</v>
      </c>
      <c r="H425" s="14" t="str">
        <f t="shared" ca="1" si="20"/>
        <v/>
      </c>
      <c r="I425" s="15">
        <f t="shared" ca="1" si="15"/>
        <v>461.23333333333335</v>
      </c>
      <c r="J425" s="16">
        <f t="shared" ca="1" si="16"/>
        <v>470.26666666666671</v>
      </c>
      <c r="K425" s="16"/>
      <c r="L425" s="16">
        <f t="shared" ca="1" si="17"/>
        <v>453.51666666666671</v>
      </c>
      <c r="M425" s="16">
        <f t="shared" ca="1" si="18"/>
        <v>477.98333333333335</v>
      </c>
      <c r="N425" s="16">
        <f t="shared" ca="1" si="19"/>
        <v>444.48333333333335</v>
      </c>
    </row>
    <row r="426" spans="1:14" ht="24.75" customHeight="1" x14ac:dyDescent="0.8">
      <c r="A426" s="18" t="s">
        <v>136</v>
      </c>
      <c r="B426" s="10">
        <f ca="1">IFERROR(__xludf.DUMMYFUNCTION("GOOGLEFINANCE(A426,""PRICE"")"),441.9)</f>
        <v>441.9</v>
      </c>
      <c r="C426" s="11">
        <f ca="1">IFERROR(__xludf.DUMMYFUNCTION("GOOGLEFINANCE(A426,""PRICEOPEN"")"),437)</f>
        <v>437</v>
      </c>
      <c r="D426" s="11">
        <f ca="1">IFERROR(__xludf.DUMMYFUNCTION("GOOGLEFINANCE(A426,""HIGH"")"),442.3)</f>
        <v>442.3</v>
      </c>
      <c r="E426" s="11">
        <f ca="1">IFERROR(__xludf.DUMMYFUNCTION("GOOGLEFINANCE(A426,""LOW"")"),430)</f>
        <v>430</v>
      </c>
      <c r="F426" s="12" t="str">
        <f t="shared" ca="1" si="14"/>
        <v/>
      </c>
      <c r="G426" s="13">
        <f ca="1">IFERROR(__xludf.DUMMYFUNCTION("GOOGLEFINANCE(A426,""CLOSEYEST"")"),436.1)</f>
        <v>436.1</v>
      </c>
      <c r="H426" s="14" t="str">
        <f t="shared" ca="1" si="20"/>
        <v/>
      </c>
      <c r="I426" s="15">
        <f t="shared" ca="1" si="15"/>
        <v>436.13333333333338</v>
      </c>
      <c r="J426" s="16">
        <f t="shared" ca="1" si="16"/>
        <v>442.26666666666677</v>
      </c>
      <c r="K426" s="16"/>
      <c r="L426" s="16">
        <f t="shared" ca="1" si="17"/>
        <v>429.96666666666675</v>
      </c>
      <c r="M426" s="16">
        <f t="shared" ca="1" si="18"/>
        <v>448.43333333333339</v>
      </c>
      <c r="N426" s="16">
        <f t="shared" ca="1" si="19"/>
        <v>423.83333333333337</v>
      </c>
    </row>
    <row r="427" spans="1:14" ht="24.75" customHeight="1" x14ac:dyDescent="0.8">
      <c r="A427" s="18" t="s">
        <v>437</v>
      </c>
      <c r="B427" s="10" t="str">
        <f ca="1">IFERROR(__xludf.DUMMYFUNCTION("GOOGLEFINANCE(A427,""PRICE"")"),"#N/A")</f>
        <v>#N/A</v>
      </c>
      <c r="C427" s="11" t="str">
        <f ca="1">IFERROR(__xludf.DUMMYFUNCTION("GOOGLEFINANCE(A427,""PRICEOPEN"")"),"#N/A")</f>
        <v>#N/A</v>
      </c>
      <c r="D427" s="11" t="str">
        <f ca="1">IFERROR(__xludf.DUMMYFUNCTION("GOOGLEFINANCE(A427,""HIGH"")"),"#N/A")</f>
        <v>#N/A</v>
      </c>
      <c r="E427" s="11" t="str">
        <f ca="1">IFERROR(__xludf.DUMMYFUNCTION("GOOGLEFINANCE(A427,""LOW"")"),"#N/A")</f>
        <v>#N/A</v>
      </c>
      <c r="F427" s="12" t="str">
        <f t="shared" ca="1" si="14"/>
        <v>SELL</v>
      </c>
      <c r="G427" s="13" t="str">
        <f ca="1">IFERROR(__xludf.DUMMYFUNCTION("GOOGLEFINANCE(A427,""CLOSEYEST"")"),"#N/A")</f>
        <v>#N/A</v>
      </c>
      <c r="H427" s="14" t="e">
        <f t="shared" ca="1" si="20"/>
        <v>#VALUE!</v>
      </c>
      <c r="I427" s="15" t="e">
        <f t="shared" ca="1" si="15"/>
        <v>#VALUE!</v>
      </c>
      <c r="J427" s="16" t="e">
        <f t="shared" ca="1" si="16"/>
        <v>#VALUE!</v>
      </c>
      <c r="K427" s="16"/>
      <c r="L427" s="16" t="e">
        <f t="shared" ca="1" si="17"/>
        <v>#VALUE!</v>
      </c>
      <c r="M427" s="16" t="e">
        <f t="shared" ca="1" si="18"/>
        <v>#VALUE!</v>
      </c>
      <c r="N427" s="16" t="e">
        <f t="shared" ca="1" si="19"/>
        <v>#VALUE!</v>
      </c>
    </row>
    <row r="428" spans="1:14" ht="24.75" customHeight="1" x14ac:dyDescent="0.8">
      <c r="A428" s="18" t="s">
        <v>253</v>
      </c>
      <c r="B428" s="10">
        <f ca="1">IFERROR(__xludf.DUMMYFUNCTION("GOOGLEFINANCE(A428,""PRICE"")"),132.3)</f>
        <v>132.30000000000001</v>
      </c>
      <c r="C428" s="11">
        <f ca="1">IFERROR(__xludf.DUMMYFUNCTION("GOOGLEFINANCE(A428,""PRICEOPEN"")"),133)</f>
        <v>133</v>
      </c>
      <c r="D428" s="11">
        <f ca="1">IFERROR(__xludf.DUMMYFUNCTION("GOOGLEFINANCE(A428,""HIGH"")"),133.54)</f>
        <v>133.54</v>
      </c>
      <c r="E428" s="11">
        <f ca="1">IFERROR(__xludf.DUMMYFUNCTION("GOOGLEFINANCE(A428,""LOW"")"),130.42)</f>
        <v>130.41999999999999</v>
      </c>
      <c r="F428" s="12" t="str">
        <f t="shared" ca="1" si="14"/>
        <v/>
      </c>
      <c r="G428" s="13">
        <f ca="1">IFERROR(__xludf.DUMMYFUNCTION("GOOGLEFINANCE(A428,""CLOSEYEST"")"),132.15)</f>
        <v>132.15</v>
      </c>
      <c r="H428" s="14" t="str">
        <f t="shared" ca="1" si="20"/>
        <v/>
      </c>
      <c r="I428" s="15">
        <f t="shared" ca="1" si="15"/>
        <v>132.03666666666666</v>
      </c>
      <c r="J428" s="16">
        <f t="shared" ca="1" si="16"/>
        <v>133.65333333333334</v>
      </c>
      <c r="K428" s="16"/>
      <c r="L428" s="16">
        <f t="shared" ca="1" si="17"/>
        <v>130.53333333333333</v>
      </c>
      <c r="M428" s="16">
        <f t="shared" ca="1" si="18"/>
        <v>135.15666666666667</v>
      </c>
      <c r="N428" s="16">
        <f t="shared" ca="1" si="19"/>
        <v>128.91666666666666</v>
      </c>
    </row>
    <row r="429" spans="1:14" ht="24.75" customHeight="1" x14ac:dyDescent="0.8">
      <c r="A429" s="18" t="s">
        <v>56</v>
      </c>
      <c r="B429" s="10">
        <f ca="1">IFERROR(__xludf.DUMMYFUNCTION("GOOGLEFINANCE(A429,""PRICE"")"),628.7)</f>
        <v>628.70000000000005</v>
      </c>
      <c r="C429" s="11">
        <f ca="1">IFERROR(__xludf.DUMMYFUNCTION("GOOGLEFINANCE(A429,""PRICEOPEN"")"),581.35)</f>
        <v>581.35</v>
      </c>
      <c r="D429" s="11">
        <f ca="1">IFERROR(__xludf.DUMMYFUNCTION("GOOGLEFINANCE(A429,""HIGH"")"),630)</f>
        <v>630</v>
      </c>
      <c r="E429" s="11">
        <f ca="1">IFERROR(__xludf.DUMMYFUNCTION("GOOGLEFINANCE(A429,""LOW"")"),579.5)</f>
        <v>579.5</v>
      </c>
      <c r="F429" s="12" t="str">
        <f t="shared" ca="1" si="14"/>
        <v/>
      </c>
      <c r="G429" s="13">
        <f ca="1">IFERROR(__xludf.DUMMYFUNCTION("GOOGLEFINANCE(A429,""CLOSEYEST"")"),581.35)</f>
        <v>581.35</v>
      </c>
      <c r="H429" s="14" t="str">
        <f t="shared" ca="1" si="20"/>
        <v/>
      </c>
      <c r="I429" s="15">
        <f t="shared" ca="1" si="15"/>
        <v>596.94999999999993</v>
      </c>
      <c r="J429" s="16">
        <f t="shared" ca="1" si="16"/>
        <v>614.39999999999986</v>
      </c>
      <c r="K429" s="16"/>
      <c r="L429" s="16">
        <f t="shared" ca="1" si="17"/>
        <v>563.89999999999986</v>
      </c>
      <c r="M429" s="16">
        <f t="shared" ca="1" si="18"/>
        <v>647.44999999999993</v>
      </c>
      <c r="N429" s="16">
        <f t="shared" ca="1" si="19"/>
        <v>546.44999999999993</v>
      </c>
    </row>
    <row r="430" spans="1:14" ht="24.75" customHeight="1" x14ac:dyDescent="0.8">
      <c r="A430" s="18" t="s">
        <v>245</v>
      </c>
      <c r="B430" s="10">
        <f ca="1">IFERROR(__xludf.DUMMYFUNCTION("GOOGLEFINANCE(A430,""PRICE"")"),890)</f>
        <v>890</v>
      </c>
      <c r="C430" s="11">
        <f ca="1">IFERROR(__xludf.DUMMYFUNCTION("GOOGLEFINANCE(A430,""PRICEOPEN"")"),887)</f>
        <v>887</v>
      </c>
      <c r="D430" s="11">
        <f ca="1">IFERROR(__xludf.DUMMYFUNCTION("GOOGLEFINANCE(A430,""HIGH"")"),896)</f>
        <v>896</v>
      </c>
      <c r="E430" s="11">
        <f ca="1">IFERROR(__xludf.DUMMYFUNCTION("GOOGLEFINANCE(A430,""LOW"")"),878.6)</f>
        <v>878.6</v>
      </c>
      <c r="F430" s="12" t="str">
        <f t="shared" ca="1" si="14"/>
        <v/>
      </c>
      <c r="G430" s="13">
        <f ca="1">IFERROR(__xludf.DUMMYFUNCTION("GOOGLEFINANCE(A430,""CLOSEYEST"")"),882.3)</f>
        <v>882.3</v>
      </c>
      <c r="H430" s="14" t="str">
        <f t="shared" ca="1" si="20"/>
        <v/>
      </c>
      <c r="I430" s="15">
        <f t="shared" ca="1" si="15"/>
        <v>885.63333333333321</v>
      </c>
      <c r="J430" s="16">
        <f t="shared" ca="1" si="16"/>
        <v>892.6666666666664</v>
      </c>
      <c r="K430" s="16"/>
      <c r="L430" s="16">
        <f t="shared" ca="1" si="17"/>
        <v>875.26666666666642</v>
      </c>
      <c r="M430" s="16">
        <f t="shared" ca="1" si="18"/>
        <v>903.03333333333319</v>
      </c>
      <c r="N430" s="16">
        <f t="shared" ca="1" si="19"/>
        <v>868.23333333333323</v>
      </c>
    </row>
    <row r="431" spans="1:14" ht="24.75" customHeight="1" x14ac:dyDescent="0.8">
      <c r="A431" s="18" t="s">
        <v>204</v>
      </c>
      <c r="B431" s="10">
        <f ca="1">IFERROR(__xludf.DUMMYFUNCTION("GOOGLEFINANCE(A431,""PRICE"")"),52.82)</f>
        <v>52.82</v>
      </c>
      <c r="C431" s="11">
        <f ca="1">IFERROR(__xludf.DUMMYFUNCTION("GOOGLEFINANCE(A431,""PRICEOPEN"")"),52.74)</f>
        <v>52.74</v>
      </c>
      <c r="D431" s="11">
        <f ca="1">IFERROR(__xludf.DUMMYFUNCTION("GOOGLEFINANCE(A431,""HIGH"")"),52.98)</f>
        <v>52.98</v>
      </c>
      <c r="E431" s="11">
        <f ca="1">IFERROR(__xludf.DUMMYFUNCTION("GOOGLEFINANCE(A431,""LOW"")"),52.02)</f>
        <v>52.02</v>
      </c>
      <c r="F431" s="12" t="str">
        <f t="shared" ca="1" si="14"/>
        <v/>
      </c>
      <c r="G431" s="13">
        <f ca="1">IFERROR(__xludf.DUMMYFUNCTION("GOOGLEFINANCE(A431,""CLOSEYEST"")"),52.49)</f>
        <v>52.49</v>
      </c>
      <c r="H431" s="14" t="str">
        <f t="shared" ca="1" si="20"/>
        <v/>
      </c>
      <c r="I431" s="15">
        <f t="shared" ca="1" si="15"/>
        <v>52.49666666666667</v>
      </c>
      <c r="J431" s="16">
        <f t="shared" ca="1" si="16"/>
        <v>52.973333333333336</v>
      </c>
      <c r="K431" s="16"/>
      <c r="L431" s="16">
        <f t="shared" ca="1" si="17"/>
        <v>52.013333333333343</v>
      </c>
      <c r="M431" s="16">
        <f t="shared" ca="1" si="18"/>
        <v>53.456666666666663</v>
      </c>
      <c r="N431" s="16">
        <f t="shared" ca="1" si="19"/>
        <v>51.536666666666676</v>
      </c>
    </row>
    <row r="432" spans="1:14" ht="24.75" customHeight="1" x14ac:dyDescent="0.8">
      <c r="A432" s="18" t="s">
        <v>260</v>
      </c>
      <c r="B432" s="10">
        <f ca="1">IFERROR(__xludf.DUMMYFUNCTION("GOOGLEFINANCE(A432,""PRICE"")"),674)</f>
        <v>674</v>
      </c>
      <c r="C432" s="11">
        <f ca="1">IFERROR(__xludf.DUMMYFUNCTION("GOOGLEFINANCE(A432,""PRICEOPEN"")"),683.95)</f>
        <v>683.95</v>
      </c>
      <c r="D432" s="11">
        <f ca="1">IFERROR(__xludf.DUMMYFUNCTION("GOOGLEFINANCE(A432,""HIGH"")"),686.95)</f>
        <v>686.95</v>
      </c>
      <c r="E432" s="11">
        <f ca="1">IFERROR(__xludf.DUMMYFUNCTION("GOOGLEFINANCE(A432,""LOW"")"),672.1)</f>
        <v>672.1</v>
      </c>
      <c r="F432" s="12" t="str">
        <f t="shared" ca="1" si="14"/>
        <v/>
      </c>
      <c r="G432" s="13">
        <f ca="1">IFERROR(__xludf.DUMMYFUNCTION("GOOGLEFINANCE(A432,""CLOSEYEST"")"),682.35)</f>
        <v>682.35</v>
      </c>
      <c r="H432" s="14" t="str">
        <f t="shared" ca="1" si="20"/>
        <v/>
      </c>
      <c r="I432" s="15">
        <f t="shared" ca="1" si="15"/>
        <v>680.4666666666667</v>
      </c>
      <c r="J432" s="16">
        <f t="shared" ca="1" si="16"/>
        <v>688.83333333333337</v>
      </c>
      <c r="K432" s="16"/>
      <c r="L432" s="16">
        <f t="shared" ca="1" si="17"/>
        <v>673.98333333333335</v>
      </c>
      <c r="M432" s="16">
        <f t="shared" ca="1" si="18"/>
        <v>695.31666666666672</v>
      </c>
      <c r="N432" s="16">
        <f t="shared" ca="1" si="19"/>
        <v>665.61666666666667</v>
      </c>
    </row>
    <row r="433" spans="1:14" ht="24.75" customHeight="1" x14ac:dyDescent="0.8">
      <c r="A433" s="18" t="s">
        <v>190</v>
      </c>
      <c r="B433" s="10">
        <f ca="1">IFERROR(__xludf.DUMMYFUNCTION("GOOGLEFINANCE(A433,""PRICE"")"),650)</f>
        <v>650</v>
      </c>
      <c r="C433" s="11">
        <f ca="1">IFERROR(__xludf.DUMMYFUNCTION("GOOGLEFINANCE(A433,""PRICEOPEN"")"),640)</f>
        <v>640</v>
      </c>
      <c r="D433" s="11">
        <f ca="1">IFERROR(__xludf.DUMMYFUNCTION("GOOGLEFINANCE(A433,""HIGH"")"),652.35)</f>
        <v>652.35</v>
      </c>
      <c r="E433" s="11">
        <f ca="1">IFERROR(__xludf.DUMMYFUNCTION("GOOGLEFINANCE(A433,""LOW"")"),640)</f>
        <v>640</v>
      </c>
      <c r="F433" s="12" t="str">
        <f t="shared" ca="1" si="14"/>
        <v>BUY</v>
      </c>
      <c r="G433" s="13">
        <f ca="1">IFERROR(__xludf.DUMMYFUNCTION("GOOGLEFINANCE(A433,""CLOSEYEST"")"),640.25)</f>
        <v>640.25</v>
      </c>
      <c r="H433" s="14" t="str">
        <f t="shared" ca="1" si="20"/>
        <v/>
      </c>
      <c r="I433" s="15">
        <f t="shared" ca="1" si="15"/>
        <v>644.19999999999993</v>
      </c>
      <c r="J433" s="16">
        <f t="shared" ca="1" si="16"/>
        <v>648.39999999999986</v>
      </c>
      <c r="K433" s="16"/>
      <c r="L433" s="16">
        <f t="shared" ca="1" si="17"/>
        <v>636.04999999999984</v>
      </c>
      <c r="M433" s="16">
        <f t="shared" ca="1" si="18"/>
        <v>656.55</v>
      </c>
      <c r="N433" s="16">
        <f t="shared" ca="1" si="19"/>
        <v>631.84999999999991</v>
      </c>
    </row>
    <row r="434" spans="1:14" ht="24.75" customHeight="1" x14ac:dyDescent="0.8">
      <c r="A434" s="18" t="s">
        <v>337</v>
      </c>
      <c r="B434" s="10">
        <f ca="1">IFERROR(__xludf.DUMMYFUNCTION("GOOGLEFINANCE(A434,""PRICE"")"),392.35)</f>
        <v>392.35</v>
      </c>
      <c r="C434" s="11">
        <f ca="1">IFERROR(__xludf.DUMMYFUNCTION("GOOGLEFINANCE(A434,""PRICEOPEN"")"),365.65)</f>
        <v>365.65</v>
      </c>
      <c r="D434" s="11">
        <f ca="1">IFERROR(__xludf.DUMMYFUNCTION("GOOGLEFINANCE(A434,""HIGH"")"),413.95)</f>
        <v>413.95</v>
      </c>
      <c r="E434" s="11">
        <f ca="1">IFERROR(__xludf.DUMMYFUNCTION("GOOGLEFINANCE(A434,""LOW"")"),364.15)</f>
        <v>364.15</v>
      </c>
      <c r="F434" s="12" t="str">
        <f t="shared" ca="1" si="14"/>
        <v/>
      </c>
      <c r="G434" s="13">
        <f ca="1">IFERROR(__xludf.DUMMYFUNCTION("GOOGLEFINANCE(A434,""CLOSEYEST"")"),365.65)</f>
        <v>365.65</v>
      </c>
      <c r="H434" s="14" t="str">
        <f t="shared" ca="1" si="20"/>
        <v/>
      </c>
      <c r="I434" s="15">
        <f t="shared" ca="1" si="15"/>
        <v>381.25</v>
      </c>
      <c r="J434" s="16">
        <f t="shared" ca="1" si="16"/>
        <v>398.35</v>
      </c>
      <c r="K434" s="16"/>
      <c r="L434" s="16">
        <f t="shared" ca="1" si="17"/>
        <v>348.55</v>
      </c>
      <c r="M434" s="16">
        <f t="shared" ca="1" si="18"/>
        <v>431.05</v>
      </c>
      <c r="N434" s="16">
        <f t="shared" ca="1" si="19"/>
        <v>331.45</v>
      </c>
    </row>
    <row r="435" spans="1:14" ht="24.75" customHeight="1" x14ac:dyDescent="0.8">
      <c r="A435" s="18" t="s">
        <v>1640</v>
      </c>
      <c r="B435" s="10">
        <f ca="1">IFERROR(__xludf.DUMMYFUNCTION("GOOGLEFINANCE(A435,""PRICE"")"),1474.8)</f>
        <v>1474.8</v>
      </c>
      <c r="C435" s="11">
        <f ca="1">IFERROR(__xludf.DUMMYFUNCTION("GOOGLEFINANCE(A435,""PRICEOPEN"")"),1519.8)</f>
        <v>1519.8</v>
      </c>
      <c r="D435" s="11">
        <f ca="1">IFERROR(__xludf.DUMMYFUNCTION("GOOGLEFINANCE(A435,""HIGH"")"),1526.5)</f>
        <v>1526.5</v>
      </c>
      <c r="E435" s="11">
        <f ca="1">IFERROR(__xludf.DUMMYFUNCTION("GOOGLEFINANCE(A435,""LOW"")"),1463)</f>
        <v>1463</v>
      </c>
      <c r="F435" s="12" t="str">
        <f t="shared" ca="1" si="14"/>
        <v/>
      </c>
      <c r="G435" s="13">
        <f ca="1">IFERROR(__xludf.DUMMYFUNCTION("GOOGLEFINANCE(A435,""CLOSEYEST"")"),1514.9)</f>
        <v>1514.9</v>
      </c>
      <c r="H435" s="14" t="str">
        <f t="shared" ca="1" si="20"/>
        <v/>
      </c>
      <c r="I435" s="15">
        <f t="shared" ca="1" si="15"/>
        <v>1501.4666666666665</v>
      </c>
      <c r="J435" s="16">
        <f t="shared" ca="1" si="16"/>
        <v>1539.9333333333329</v>
      </c>
      <c r="K435" s="16"/>
      <c r="L435" s="16">
        <f t="shared" ca="1" si="17"/>
        <v>1476.4333333333329</v>
      </c>
      <c r="M435" s="16">
        <f t="shared" ca="1" si="18"/>
        <v>1564.9666666666665</v>
      </c>
      <c r="N435" s="16">
        <f t="shared" ca="1" si="19"/>
        <v>1437.9666666666665</v>
      </c>
    </row>
    <row r="436" spans="1:14" ht="24.75" customHeight="1" x14ac:dyDescent="0.8">
      <c r="A436" s="18" t="s">
        <v>1641</v>
      </c>
      <c r="B436" s="10">
        <f ca="1">IFERROR(__xludf.DUMMYFUNCTION("GOOGLEFINANCE(A436,""PRICE"")"),560)</f>
        <v>560</v>
      </c>
      <c r="C436" s="11">
        <f ca="1">IFERROR(__xludf.DUMMYFUNCTION("GOOGLEFINANCE(A436,""PRICEOPEN"")"),544.95)</f>
        <v>544.95000000000005</v>
      </c>
      <c r="D436" s="11">
        <f ca="1">IFERROR(__xludf.DUMMYFUNCTION("GOOGLEFINANCE(A436,""HIGH"")"),562.7)</f>
        <v>562.70000000000005</v>
      </c>
      <c r="E436" s="11">
        <f ca="1">IFERROR(__xludf.DUMMYFUNCTION("GOOGLEFINANCE(A436,""LOW"")"),542)</f>
        <v>542</v>
      </c>
      <c r="F436" s="12" t="str">
        <f t="shared" ca="1" si="14"/>
        <v/>
      </c>
      <c r="G436" s="13">
        <f ca="1">IFERROR(__xludf.DUMMYFUNCTION("GOOGLEFINANCE(A436,""CLOSEYEST"")"),542.65)</f>
        <v>542.65</v>
      </c>
      <c r="H436" s="14" t="str">
        <f t="shared" ca="1" si="20"/>
        <v/>
      </c>
      <c r="I436" s="15">
        <f t="shared" ca="1" si="15"/>
        <v>549.11666666666667</v>
      </c>
      <c r="J436" s="16">
        <f t="shared" ca="1" si="16"/>
        <v>556.23333333333335</v>
      </c>
      <c r="K436" s="16"/>
      <c r="L436" s="16">
        <f t="shared" ca="1" si="17"/>
        <v>535.5333333333333</v>
      </c>
      <c r="M436" s="16">
        <f t="shared" ca="1" si="18"/>
        <v>569.81666666666672</v>
      </c>
      <c r="N436" s="16">
        <f t="shared" ca="1" si="19"/>
        <v>528.41666666666663</v>
      </c>
    </row>
    <row r="437" spans="1:14" ht="24.75" customHeight="1" x14ac:dyDescent="0.8">
      <c r="A437" s="18" t="s">
        <v>211</v>
      </c>
      <c r="B437" s="10">
        <f ca="1">IFERROR(__xludf.DUMMYFUNCTION("GOOGLEFINANCE(A437,""PRICE"")"),829)</f>
        <v>829</v>
      </c>
      <c r="C437" s="11">
        <f ca="1">IFERROR(__xludf.DUMMYFUNCTION("GOOGLEFINANCE(A437,""PRICEOPEN"")"),820.7)</f>
        <v>820.7</v>
      </c>
      <c r="D437" s="11">
        <f ca="1">IFERROR(__xludf.DUMMYFUNCTION("GOOGLEFINANCE(A437,""HIGH"")"),829.2)</f>
        <v>829.2</v>
      </c>
      <c r="E437" s="11">
        <f ca="1">IFERROR(__xludf.DUMMYFUNCTION("GOOGLEFINANCE(A437,""LOW"")"),817.2)</f>
        <v>817.2</v>
      </c>
      <c r="F437" s="12" t="str">
        <f t="shared" ca="1" si="14"/>
        <v/>
      </c>
      <c r="G437" s="13">
        <f ca="1">IFERROR(__xludf.DUMMYFUNCTION("GOOGLEFINANCE(A437,""CLOSEYEST"")"),820.7)</f>
        <v>820.7</v>
      </c>
      <c r="H437" s="14" t="str">
        <f t="shared" ca="1" si="20"/>
        <v/>
      </c>
      <c r="I437" s="15">
        <f t="shared" ca="1" si="15"/>
        <v>822.36666666666679</v>
      </c>
      <c r="J437" s="16">
        <f t="shared" ca="1" si="16"/>
        <v>827.53333333333353</v>
      </c>
      <c r="K437" s="16"/>
      <c r="L437" s="16">
        <f t="shared" ca="1" si="17"/>
        <v>815.53333333333353</v>
      </c>
      <c r="M437" s="16">
        <f t="shared" ca="1" si="18"/>
        <v>834.36666666666679</v>
      </c>
      <c r="N437" s="16">
        <f t="shared" ca="1" si="19"/>
        <v>810.36666666666679</v>
      </c>
    </row>
    <row r="438" spans="1:14" ht="24.75" customHeight="1" x14ac:dyDescent="0.8">
      <c r="A438" s="18" t="s">
        <v>1642</v>
      </c>
      <c r="B438" s="10">
        <f ca="1">IFERROR(__xludf.DUMMYFUNCTION("GOOGLEFINANCE(A438,""PRICE"")"),424)</f>
        <v>424</v>
      </c>
      <c r="C438" s="11">
        <f ca="1">IFERROR(__xludf.DUMMYFUNCTION("GOOGLEFINANCE(A438,""PRICEOPEN"")"),416)</f>
        <v>416</v>
      </c>
      <c r="D438" s="11">
        <f ca="1">IFERROR(__xludf.DUMMYFUNCTION("GOOGLEFINANCE(A438,""HIGH"")"),424)</f>
        <v>424</v>
      </c>
      <c r="E438" s="11">
        <f ca="1">IFERROR(__xludf.DUMMYFUNCTION("GOOGLEFINANCE(A438,""LOW"")"),414.55)</f>
        <v>414.55</v>
      </c>
      <c r="F438" s="12" t="str">
        <f t="shared" ca="1" si="14"/>
        <v/>
      </c>
      <c r="G438" s="13">
        <f ca="1">IFERROR(__xludf.DUMMYFUNCTION("GOOGLEFINANCE(A438,""CLOSEYEST"")"),416)</f>
        <v>416</v>
      </c>
      <c r="H438" s="14" t="str">
        <f t="shared" ca="1" si="20"/>
        <v/>
      </c>
      <c r="I438" s="15">
        <f t="shared" ca="1" si="15"/>
        <v>418.18333333333334</v>
      </c>
      <c r="J438" s="16">
        <f t="shared" ca="1" si="16"/>
        <v>421.81666666666666</v>
      </c>
      <c r="K438" s="16"/>
      <c r="L438" s="16">
        <f t="shared" ca="1" si="17"/>
        <v>412.36666666666667</v>
      </c>
      <c r="M438" s="16">
        <f t="shared" ca="1" si="18"/>
        <v>427.63333333333333</v>
      </c>
      <c r="N438" s="16">
        <f t="shared" ca="1" si="19"/>
        <v>408.73333333333335</v>
      </c>
    </row>
    <row r="439" spans="1:14" ht="24.75" customHeight="1" x14ac:dyDescent="0.8">
      <c r="A439" s="18" t="s">
        <v>1643</v>
      </c>
      <c r="B439" s="10">
        <f ca="1">IFERROR(__xludf.DUMMYFUNCTION("GOOGLEFINANCE(A439,""PRICE"")"),731.3)</f>
        <v>731.3</v>
      </c>
      <c r="C439" s="11">
        <f ca="1">IFERROR(__xludf.DUMMYFUNCTION("GOOGLEFINANCE(A439,""PRICEOPEN"")"),726.5)</f>
        <v>726.5</v>
      </c>
      <c r="D439" s="11">
        <f ca="1">IFERROR(__xludf.DUMMYFUNCTION("GOOGLEFINANCE(A439,""HIGH"")"),736.4)</f>
        <v>736.4</v>
      </c>
      <c r="E439" s="11">
        <f ca="1">IFERROR(__xludf.DUMMYFUNCTION("GOOGLEFINANCE(A439,""LOW"")"),720)</f>
        <v>720</v>
      </c>
      <c r="F439" s="12" t="str">
        <f t="shared" ca="1" si="14"/>
        <v/>
      </c>
      <c r="G439" s="13">
        <f ca="1">IFERROR(__xludf.DUMMYFUNCTION("GOOGLEFINANCE(A439,""CLOSEYEST"")"),732.1)</f>
        <v>732.1</v>
      </c>
      <c r="H439" s="14" t="str">
        <f t="shared" ca="1" si="20"/>
        <v/>
      </c>
      <c r="I439" s="15">
        <f t="shared" ca="1" si="15"/>
        <v>729.5</v>
      </c>
      <c r="J439" s="16">
        <f t="shared" ca="1" si="16"/>
        <v>739</v>
      </c>
      <c r="K439" s="16"/>
      <c r="L439" s="16">
        <f t="shared" ca="1" si="17"/>
        <v>722.6</v>
      </c>
      <c r="M439" s="16">
        <f t="shared" ca="1" si="18"/>
        <v>745.9</v>
      </c>
      <c r="N439" s="16">
        <f t="shared" ca="1" si="19"/>
        <v>713.1</v>
      </c>
    </row>
    <row r="440" spans="1:14" ht="24.75" customHeight="1" x14ac:dyDescent="0.8">
      <c r="A440" s="18" t="s">
        <v>183</v>
      </c>
      <c r="B440" s="10">
        <f ca="1">IFERROR(__xludf.DUMMYFUNCTION("GOOGLEFINANCE(A440,""PRICE"")"),22197.62)</f>
        <v>22197.62</v>
      </c>
      <c r="C440" s="11">
        <f ca="1">IFERROR(__xludf.DUMMYFUNCTION("GOOGLEFINANCE(A440,""PRICEOPEN"")"),22047.25)</f>
        <v>22047.25</v>
      </c>
      <c r="D440" s="11">
        <f ca="1">IFERROR(__xludf.DUMMYFUNCTION("GOOGLEFINANCE(A440,""HIGH"")"),22234.65)</f>
        <v>22234.65</v>
      </c>
      <c r="E440" s="11">
        <f ca="1">IFERROR(__xludf.DUMMYFUNCTION("GOOGLEFINANCE(A440,""LOW"")"),22047.25)</f>
        <v>22047.25</v>
      </c>
      <c r="F440" s="12" t="str">
        <f t="shared" ca="1" si="14"/>
        <v>BUY</v>
      </c>
      <c r="G440" s="13">
        <f ca="1">IFERROR(__xludf.DUMMYFUNCTION("GOOGLEFINANCE(A440,""CLOSEYEST"")"),22047.3)</f>
        <v>22047.3</v>
      </c>
      <c r="H440" s="14" t="str">
        <f t="shared" ca="1" si="20"/>
        <v/>
      </c>
      <c r="I440" s="15">
        <f t="shared" ca="1" si="15"/>
        <v>22109.733333333334</v>
      </c>
      <c r="J440" s="16">
        <f t="shared" ca="1" si="16"/>
        <v>22172.216666666667</v>
      </c>
      <c r="K440" s="16"/>
      <c r="L440" s="16">
        <f t="shared" ca="1" si="17"/>
        <v>21984.816666666666</v>
      </c>
      <c r="M440" s="16">
        <f t="shared" ca="1" si="18"/>
        <v>22297.133333333335</v>
      </c>
      <c r="N440" s="16">
        <f t="shared" ca="1" si="19"/>
        <v>21922.333333333332</v>
      </c>
    </row>
    <row r="441" spans="1:14" ht="24.75" customHeight="1" x14ac:dyDescent="0.8">
      <c r="A441" s="18" t="s">
        <v>209</v>
      </c>
      <c r="B441" s="10">
        <f ca="1">IFERROR(__xludf.DUMMYFUNCTION("GOOGLEFINANCE(A441,""PRICE"")"),795)</f>
        <v>795</v>
      </c>
      <c r="C441" s="11">
        <f ca="1">IFERROR(__xludf.DUMMYFUNCTION("GOOGLEFINANCE(A441,""PRICEOPEN"")"),784)</f>
        <v>784</v>
      </c>
      <c r="D441" s="11">
        <f ca="1">IFERROR(__xludf.DUMMYFUNCTION("GOOGLEFINANCE(A441,""HIGH"")"),796)</f>
        <v>796</v>
      </c>
      <c r="E441" s="11">
        <f ca="1">IFERROR(__xludf.DUMMYFUNCTION("GOOGLEFINANCE(A441,""LOW"")"),781.3)</f>
        <v>781.3</v>
      </c>
      <c r="F441" s="12" t="str">
        <f t="shared" ca="1" si="14"/>
        <v/>
      </c>
      <c r="G441" s="13">
        <f ca="1">IFERROR(__xludf.DUMMYFUNCTION("GOOGLEFINANCE(A441,""CLOSEYEST"")"),782.95)</f>
        <v>782.95</v>
      </c>
      <c r="H441" s="14" t="str">
        <f t="shared" ca="1" si="20"/>
        <v/>
      </c>
      <c r="I441" s="15">
        <f t="shared" ca="1" si="15"/>
        <v>786.75</v>
      </c>
      <c r="J441" s="16">
        <f t="shared" ca="1" si="16"/>
        <v>792.2</v>
      </c>
      <c r="K441" s="16"/>
      <c r="L441" s="16">
        <f t="shared" ca="1" si="17"/>
        <v>777.5</v>
      </c>
      <c r="M441" s="16">
        <f t="shared" ca="1" si="18"/>
        <v>801.45</v>
      </c>
      <c r="N441" s="16">
        <f t="shared" ca="1" si="19"/>
        <v>772.05</v>
      </c>
    </row>
    <row r="442" spans="1:14" ht="24.75" customHeight="1" x14ac:dyDescent="0.8">
      <c r="A442" s="18" t="s">
        <v>213</v>
      </c>
      <c r="B442" s="10">
        <f ca="1">IFERROR(__xludf.DUMMYFUNCTION("GOOGLEFINANCE(A442,""PRICE"")"),4.83)</f>
        <v>4.83</v>
      </c>
      <c r="C442" s="11">
        <f ca="1">IFERROR(__xludf.DUMMYFUNCTION("GOOGLEFINANCE(A442,""PRICEOPEN"")"),5.23)</f>
        <v>5.23</v>
      </c>
      <c r="D442" s="11">
        <f ca="1">IFERROR(__xludf.DUMMYFUNCTION("GOOGLEFINANCE(A442,""HIGH"")"),5.42)</f>
        <v>5.42</v>
      </c>
      <c r="E442" s="11">
        <f ca="1">IFERROR(__xludf.DUMMYFUNCTION("GOOGLEFINANCE(A442,""LOW"")"),4.63)</f>
        <v>4.63</v>
      </c>
      <c r="F442" s="12" t="str">
        <f t="shared" ca="1" si="14"/>
        <v/>
      </c>
      <c r="G442" s="13">
        <f ca="1">IFERROR(__xludf.DUMMYFUNCTION("GOOGLEFINANCE(A442,""CLOSEYEST"")"),5.03)</f>
        <v>5.03</v>
      </c>
      <c r="H442" s="14" t="str">
        <f t="shared" ca="1" si="20"/>
        <v>GAP UP</v>
      </c>
      <c r="I442" s="15">
        <f t="shared" ca="1" si="15"/>
        <v>5.0266666666666673</v>
      </c>
      <c r="J442" s="16">
        <f t="shared" ca="1" si="16"/>
        <v>5.4233333333333347</v>
      </c>
      <c r="K442" s="16"/>
      <c r="L442" s="16">
        <f t="shared" ca="1" si="17"/>
        <v>4.6333333333333346</v>
      </c>
      <c r="M442" s="16">
        <f t="shared" ca="1" si="18"/>
        <v>5.8166666666666673</v>
      </c>
      <c r="N442" s="16">
        <f t="shared" ca="1" si="19"/>
        <v>4.2366666666666672</v>
      </c>
    </row>
    <row r="443" spans="1:14" ht="24.75" customHeight="1" x14ac:dyDescent="0.8">
      <c r="A443" s="18" t="s">
        <v>140</v>
      </c>
      <c r="B443" s="10" t="str">
        <f ca="1">IFERROR(__xludf.DUMMYFUNCTION("GOOGLEFINANCE(A443,""PRICE"")"),"#N/A")</f>
        <v>#N/A</v>
      </c>
      <c r="C443" s="11" t="str">
        <f ca="1">IFERROR(__xludf.DUMMYFUNCTION("GOOGLEFINANCE(A443,""PRICEOPEN"")"),"#N/A")</f>
        <v>#N/A</v>
      </c>
      <c r="D443" s="11" t="str">
        <f ca="1">IFERROR(__xludf.DUMMYFUNCTION("GOOGLEFINANCE(A443,""HIGH"")"),"#N/A")</f>
        <v>#N/A</v>
      </c>
      <c r="E443" s="11" t="str">
        <f ca="1">IFERROR(__xludf.DUMMYFUNCTION("GOOGLEFINANCE(A443,""LOW"")"),"#N/A")</f>
        <v>#N/A</v>
      </c>
      <c r="F443" s="12" t="str">
        <f t="shared" ca="1" si="14"/>
        <v>SELL</v>
      </c>
      <c r="G443" s="13" t="str">
        <f ca="1">IFERROR(__xludf.DUMMYFUNCTION("GOOGLEFINANCE(A443,""CLOSEYEST"")"),"#N/A")</f>
        <v>#N/A</v>
      </c>
      <c r="H443" s="14" t="e">
        <f t="shared" ca="1" si="20"/>
        <v>#VALUE!</v>
      </c>
      <c r="I443" s="15" t="e">
        <f t="shared" ca="1" si="15"/>
        <v>#VALUE!</v>
      </c>
      <c r="J443" s="16" t="e">
        <f t="shared" ca="1" si="16"/>
        <v>#VALUE!</v>
      </c>
      <c r="K443" s="16"/>
      <c r="L443" s="16" t="e">
        <f t="shared" ca="1" si="17"/>
        <v>#VALUE!</v>
      </c>
      <c r="M443" s="16" t="e">
        <f t="shared" ca="1" si="18"/>
        <v>#VALUE!</v>
      </c>
      <c r="N443" s="16" t="e">
        <f t="shared" ca="1" si="19"/>
        <v>#VALUE!</v>
      </c>
    </row>
    <row r="444" spans="1:14" ht="24.75" customHeight="1" x14ac:dyDescent="0.8">
      <c r="A444" s="18" t="s">
        <v>57</v>
      </c>
      <c r="B444" s="10" t="str">
        <f ca="1">IFERROR(__xludf.DUMMYFUNCTION("GOOGLEFINANCE(A444,""PRICE"")"),"#N/A")</f>
        <v>#N/A</v>
      </c>
      <c r="C444" s="11" t="str">
        <f ca="1">IFERROR(__xludf.DUMMYFUNCTION("GOOGLEFINANCE(A444,""PRICEOPEN"")"),"#N/A")</f>
        <v>#N/A</v>
      </c>
      <c r="D444" s="11" t="str">
        <f ca="1">IFERROR(__xludf.DUMMYFUNCTION("GOOGLEFINANCE(A444,""HIGH"")"),"#N/A")</f>
        <v>#N/A</v>
      </c>
      <c r="E444" s="11" t="str">
        <f ca="1">IFERROR(__xludf.DUMMYFUNCTION("GOOGLEFINANCE(A444,""LOW"")"),"#N/A")</f>
        <v>#N/A</v>
      </c>
      <c r="F444" s="12" t="str">
        <f t="shared" ca="1" si="14"/>
        <v>SELL</v>
      </c>
      <c r="G444" s="13" t="str">
        <f ca="1">IFERROR(__xludf.DUMMYFUNCTION("GOOGLEFINANCE(A444,""CLOSEYEST"")"),"#N/A")</f>
        <v>#N/A</v>
      </c>
      <c r="H444" s="14" t="e">
        <f t="shared" ca="1" si="20"/>
        <v>#VALUE!</v>
      </c>
      <c r="I444" s="15" t="e">
        <f t="shared" ca="1" si="15"/>
        <v>#VALUE!</v>
      </c>
      <c r="J444" s="16" t="e">
        <f t="shared" ca="1" si="16"/>
        <v>#VALUE!</v>
      </c>
      <c r="K444" s="16"/>
      <c r="L444" s="16" t="e">
        <f t="shared" ca="1" si="17"/>
        <v>#VALUE!</v>
      </c>
      <c r="M444" s="16" t="e">
        <f t="shared" ca="1" si="18"/>
        <v>#VALUE!</v>
      </c>
      <c r="N444" s="16" t="e">
        <f t="shared" ca="1" si="19"/>
        <v>#VALUE!</v>
      </c>
    </row>
    <row r="445" spans="1:14" ht="24.75" customHeight="1" x14ac:dyDescent="0.8">
      <c r="A445" s="18" t="s">
        <v>58</v>
      </c>
      <c r="B445" s="10">
        <f ca="1">IFERROR(__xludf.DUMMYFUNCTION("GOOGLEFINANCE(A445,""PRICE"")"),4390)</f>
        <v>4390</v>
      </c>
      <c r="C445" s="11">
        <f ca="1">IFERROR(__xludf.DUMMYFUNCTION("GOOGLEFINANCE(A445,""PRICEOPEN"")"),4318.7)</f>
        <v>4318.7</v>
      </c>
      <c r="D445" s="11">
        <f ca="1">IFERROR(__xludf.DUMMYFUNCTION("GOOGLEFINANCE(A445,""HIGH"")"),4410)</f>
        <v>4410</v>
      </c>
      <c r="E445" s="11">
        <f ca="1">IFERROR(__xludf.DUMMYFUNCTION("GOOGLEFINANCE(A445,""LOW"")"),4303.2)</f>
        <v>4303.2</v>
      </c>
      <c r="F445" s="12" t="str">
        <f t="shared" ca="1" si="14"/>
        <v/>
      </c>
      <c r="G445" s="13">
        <f ca="1">IFERROR(__xludf.DUMMYFUNCTION("GOOGLEFINANCE(A445,""CLOSEYEST"")"),4318.7)</f>
        <v>4318.7</v>
      </c>
      <c r="H445" s="14" t="str">
        <f t="shared" ca="1" si="20"/>
        <v/>
      </c>
      <c r="I445" s="15">
        <f t="shared" ca="1" si="15"/>
        <v>4343.9666666666672</v>
      </c>
      <c r="J445" s="16">
        <f t="shared" ca="1" si="16"/>
        <v>4384.7333333333345</v>
      </c>
      <c r="K445" s="16"/>
      <c r="L445" s="16">
        <f t="shared" ca="1" si="17"/>
        <v>4277.9333333333343</v>
      </c>
      <c r="M445" s="16">
        <f t="shared" ca="1" si="18"/>
        <v>4450.7666666666673</v>
      </c>
      <c r="N445" s="16">
        <f t="shared" ca="1" si="19"/>
        <v>4237.166666666667</v>
      </c>
    </row>
    <row r="446" spans="1:14" ht="24.75" customHeight="1" x14ac:dyDescent="0.8">
      <c r="A446" s="18" t="s">
        <v>158</v>
      </c>
      <c r="B446" s="10">
        <f ca="1">IFERROR(__xludf.DUMMYFUNCTION("GOOGLEFINANCE(A446,""PRICE"")"),144)</f>
        <v>144</v>
      </c>
      <c r="C446" s="11">
        <f ca="1">IFERROR(__xludf.DUMMYFUNCTION("GOOGLEFINANCE(A446,""PRICEOPEN"")"),134.49)</f>
        <v>134.49</v>
      </c>
      <c r="D446" s="11">
        <f ca="1">IFERROR(__xludf.DUMMYFUNCTION("GOOGLEFINANCE(A446,""HIGH"")"),146.77)</f>
        <v>146.77000000000001</v>
      </c>
      <c r="E446" s="11">
        <f ca="1">IFERROR(__xludf.DUMMYFUNCTION("GOOGLEFINANCE(A446,""LOW"")"),132.15)</f>
        <v>132.15</v>
      </c>
      <c r="F446" s="12" t="str">
        <f t="shared" ca="1" si="14"/>
        <v/>
      </c>
      <c r="G446" s="13">
        <f ca="1">IFERROR(__xludf.DUMMYFUNCTION("GOOGLEFINANCE(A446,""CLOSEYEST"")"),133.31)</f>
        <v>133.31</v>
      </c>
      <c r="H446" s="14" t="str">
        <f t="shared" ca="1" si="20"/>
        <v/>
      </c>
      <c r="I446" s="15">
        <f t="shared" ca="1" si="15"/>
        <v>137.41</v>
      </c>
      <c r="J446" s="16">
        <f t="shared" ca="1" si="16"/>
        <v>142.66999999999999</v>
      </c>
      <c r="K446" s="16"/>
      <c r="L446" s="16">
        <f t="shared" ca="1" si="17"/>
        <v>128.04999999999998</v>
      </c>
      <c r="M446" s="16">
        <f t="shared" ca="1" si="18"/>
        <v>152.03</v>
      </c>
      <c r="N446" s="16">
        <f t="shared" ca="1" si="19"/>
        <v>122.78999999999999</v>
      </c>
    </row>
    <row r="447" spans="1:14" ht="24.75" customHeight="1" x14ac:dyDescent="0.8">
      <c r="A447" s="18" t="s">
        <v>428</v>
      </c>
      <c r="B447" s="10" t="str">
        <f ca="1">IFERROR(__xludf.DUMMYFUNCTION("GOOGLEFINANCE(A447,""PRICE"")"),"#N/A")</f>
        <v>#N/A</v>
      </c>
      <c r="C447" s="11" t="str">
        <f ca="1">IFERROR(__xludf.DUMMYFUNCTION("GOOGLEFINANCE(A447,""PRICEOPEN"")"),"#N/A")</f>
        <v>#N/A</v>
      </c>
      <c r="D447" s="11" t="str">
        <f ca="1">IFERROR(__xludf.DUMMYFUNCTION("GOOGLEFINANCE(A447,""HIGH"")"),"#N/A")</f>
        <v>#N/A</v>
      </c>
      <c r="E447" s="11" t="str">
        <f ca="1">IFERROR(__xludf.DUMMYFUNCTION("GOOGLEFINANCE(A447,""LOW"")"),"#N/A")</f>
        <v>#N/A</v>
      </c>
      <c r="F447" s="12" t="str">
        <f t="shared" ca="1" si="14"/>
        <v>SELL</v>
      </c>
      <c r="G447" s="13" t="str">
        <f ca="1">IFERROR(__xludf.DUMMYFUNCTION("GOOGLEFINANCE(A447,""CLOSEYEST"")"),"#N/A")</f>
        <v>#N/A</v>
      </c>
      <c r="H447" s="14" t="e">
        <f t="shared" ca="1" si="20"/>
        <v>#VALUE!</v>
      </c>
      <c r="I447" s="15" t="e">
        <f t="shared" ca="1" si="15"/>
        <v>#VALUE!</v>
      </c>
      <c r="J447" s="16" t="e">
        <f t="shared" ca="1" si="16"/>
        <v>#VALUE!</v>
      </c>
      <c r="K447" s="16"/>
      <c r="L447" s="16" t="e">
        <f t="shared" ca="1" si="17"/>
        <v>#VALUE!</v>
      </c>
      <c r="M447" s="16" t="e">
        <f t="shared" ca="1" si="18"/>
        <v>#VALUE!</v>
      </c>
      <c r="N447" s="16" t="e">
        <f t="shared" ca="1" si="19"/>
        <v>#VALUE!</v>
      </c>
    </row>
    <row r="448" spans="1:14" ht="24.75" customHeight="1" x14ac:dyDescent="0.8">
      <c r="A448" s="18" t="s">
        <v>59</v>
      </c>
      <c r="B448" s="10">
        <f ca="1">IFERROR(__xludf.DUMMYFUNCTION("GOOGLEFINANCE(A448,""PRICE"")"),199)</f>
        <v>199</v>
      </c>
      <c r="C448" s="11">
        <f ca="1">IFERROR(__xludf.DUMMYFUNCTION("GOOGLEFINANCE(A448,""PRICEOPEN"")"),199)</f>
        <v>199</v>
      </c>
      <c r="D448" s="11">
        <f ca="1">IFERROR(__xludf.DUMMYFUNCTION("GOOGLEFINANCE(A448,""HIGH"")"),199.79)</f>
        <v>199.79</v>
      </c>
      <c r="E448" s="11">
        <f ca="1">IFERROR(__xludf.DUMMYFUNCTION("GOOGLEFINANCE(A448,""LOW"")"),196.37)</f>
        <v>196.37</v>
      </c>
      <c r="F448" s="12" t="str">
        <f t="shared" ca="1" si="14"/>
        <v/>
      </c>
      <c r="G448" s="13">
        <f ca="1">IFERROR(__xludf.DUMMYFUNCTION("GOOGLEFINANCE(A448,""CLOSEYEST"")"),197.09)</f>
        <v>197.09</v>
      </c>
      <c r="H448" s="14" t="str">
        <f t="shared" ca="1" si="20"/>
        <v/>
      </c>
      <c r="I448" s="15">
        <f t="shared" ca="1" si="15"/>
        <v>197.75</v>
      </c>
      <c r="J448" s="16">
        <f t="shared" ca="1" si="16"/>
        <v>199.13</v>
      </c>
      <c r="K448" s="16"/>
      <c r="L448" s="16">
        <f t="shared" ca="1" si="17"/>
        <v>195.71</v>
      </c>
      <c r="M448" s="16">
        <f t="shared" ca="1" si="18"/>
        <v>201.17</v>
      </c>
      <c r="N448" s="16">
        <f t="shared" ca="1" si="19"/>
        <v>194.33</v>
      </c>
    </row>
    <row r="449" spans="1:14" ht="24.75" customHeight="1" x14ac:dyDescent="0.8">
      <c r="A449" s="18" t="s">
        <v>91</v>
      </c>
      <c r="B449" s="10">
        <f ca="1">IFERROR(__xludf.DUMMYFUNCTION("GOOGLEFINANCE(A449,""PRICE"")"),1842.5)</f>
        <v>1842.5</v>
      </c>
      <c r="C449" s="11">
        <f ca="1">IFERROR(__xludf.DUMMYFUNCTION("GOOGLEFINANCE(A449,""PRICEOPEN"")"),1822)</f>
        <v>1822</v>
      </c>
      <c r="D449" s="11">
        <f ca="1">IFERROR(__xludf.DUMMYFUNCTION("GOOGLEFINANCE(A449,""HIGH"")"),1843)</f>
        <v>1843</v>
      </c>
      <c r="E449" s="11">
        <f ca="1">IFERROR(__xludf.DUMMYFUNCTION("GOOGLEFINANCE(A449,""LOW"")"),1792)</f>
        <v>1792</v>
      </c>
      <c r="F449" s="12" t="str">
        <f t="shared" ca="1" si="14"/>
        <v/>
      </c>
      <c r="G449" s="13">
        <f ca="1">IFERROR(__xludf.DUMMYFUNCTION("GOOGLEFINANCE(A449,""CLOSEYEST"")"),1802.8)</f>
        <v>1802.8</v>
      </c>
      <c r="H449" s="14" t="str">
        <f t="shared" ca="1" si="20"/>
        <v>GAP UP</v>
      </c>
      <c r="I449" s="15">
        <f t="shared" ca="1" si="15"/>
        <v>1812.6000000000001</v>
      </c>
      <c r="J449" s="16">
        <f t="shared" ca="1" si="16"/>
        <v>1833.2000000000003</v>
      </c>
      <c r="K449" s="16"/>
      <c r="L449" s="16">
        <f t="shared" ca="1" si="17"/>
        <v>1782.2000000000003</v>
      </c>
      <c r="M449" s="16">
        <f t="shared" ca="1" si="18"/>
        <v>1863.6000000000001</v>
      </c>
      <c r="N449" s="16">
        <f t="shared" ca="1" si="19"/>
        <v>1761.6000000000001</v>
      </c>
    </row>
    <row r="450" spans="1:14" ht="24.75" customHeight="1" x14ac:dyDescent="0.8">
      <c r="A450" s="18" t="s">
        <v>60</v>
      </c>
      <c r="B450" s="10">
        <f ca="1">IFERROR(__xludf.DUMMYFUNCTION("GOOGLEFINANCE(A450,""PRICE"")"),295.55)</f>
        <v>295.55</v>
      </c>
      <c r="C450" s="11">
        <f ca="1">IFERROR(__xludf.DUMMYFUNCTION("GOOGLEFINANCE(A450,""PRICEOPEN"")"),294.5)</f>
        <v>294.5</v>
      </c>
      <c r="D450" s="11">
        <f ca="1">IFERROR(__xludf.DUMMYFUNCTION("GOOGLEFINANCE(A450,""HIGH"")"),295.9)</f>
        <v>295.89999999999998</v>
      </c>
      <c r="E450" s="11">
        <f ca="1">IFERROR(__xludf.DUMMYFUNCTION("GOOGLEFINANCE(A450,""LOW"")"),292.3)</f>
        <v>292.3</v>
      </c>
      <c r="F450" s="12" t="str">
        <f t="shared" ca="1" si="14"/>
        <v/>
      </c>
      <c r="G450" s="13">
        <f ca="1">IFERROR(__xludf.DUMMYFUNCTION("GOOGLEFINANCE(A450,""CLOSEYEST"")"),294.55)</f>
        <v>294.55</v>
      </c>
      <c r="H450" s="14" t="str">
        <f t="shared" ca="1" si="20"/>
        <v/>
      </c>
      <c r="I450" s="15">
        <f t="shared" ca="1" si="15"/>
        <v>294.25</v>
      </c>
      <c r="J450" s="16">
        <f t="shared" ca="1" si="16"/>
        <v>296.2</v>
      </c>
      <c r="K450" s="16"/>
      <c r="L450" s="16">
        <f t="shared" ca="1" si="17"/>
        <v>292.60000000000002</v>
      </c>
      <c r="M450" s="16">
        <f t="shared" ca="1" si="18"/>
        <v>297.84999999999997</v>
      </c>
      <c r="N450" s="16">
        <f t="shared" ca="1" si="19"/>
        <v>290.65000000000003</v>
      </c>
    </row>
    <row r="451" spans="1:14" ht="24.75" customHeight="1" x14ac:dyDescent="0.8">
      <c r="A451" s="18" t="s">
        <v>1644</v>
      </c>
      <c r="B451" s="10">
        <f ca="1">IFERROR(__xludf.DUMMYFUNCTION("GOOGLEFINANCE(A451,""PRICE"")"),81.7)</f>
        <v>81.7</v>
      </c>
      <c r="C451" s="11">
        <f ca="1">IFERROR(__xludf.DUMMYFUNCTION("GOOGLEFINANCE(A451,""PRICEOPEN"")"),79.05)</f>
        <v>79.05</v>
      </c>
      <c r="D451" s="11">
        <f ca="1">IFERROR(__xludf.DUMMYFUNCTION("GOOGLEFINANCE(A451,""HIGH"")"),84.9)</f>
        <v>84.9</v>
      </c>
      <c r="E451" s="11">
        <f ca="1">IFERROR(__xludf.DUMMYFUNCTION("GOOGLEFINANCE(A451,""LOW"")"),79.02)</f>
        <v>79.02</v>
      </c>
      <c r="F451" s="12" t="str">
        <f t="shared" ca="1" si="14"/>
        <v/>
      </c>
      <c r="G451" s="13">
        <f ca="1">IFERROR(__xludf.DUMMYFUNCTION("GOOGLEFINANCE(A451,""CLOSEYEST"")"),79.04)</f>
        <v>79.040000000000006</v>
      </c>
      <c r="H451" s="14" t="str">
        <f t="shared" ca="1" si="20"/>
        <v/>
      </c>
      <c r="I451" s="15">
        <f t="shared" ca="1" si="15"/>
        <v>80.986666666666679</v>
      </c>
      <c r="J451" s="16">
        <f t="shared" ca="1" si="16"/>
        <v>82.953333333333362</v>
      </c>
      <c r="K451" s="16"/>
      <c r="L451" s="16">
        <f t="shared" ca="1" si="17"/>
        <v>77.073333333333352</v>
      </c>
      <c r="M451" s="16">
        <f t="shared" ca="1" si="18"/>
        <v>86.866666666666688</v>
      </c>
      <c r="N451" s="16">
        <f t="shared" ca="1" si="19"/>
        <v>75.106666666666669</v>
      </c>
    </row>
    <row r="452" spans="1:14" ht="24.75" customHeight="1" x14ac:dyDescent="0.8">
      <c r="A452" s="18" t="s">
        <v>110</v>
      </c>
      <c r="B452" s="10">
        <f ca="1">IFERROR(__xludf.DUMMYFUNCTION("GOOGLEFINANCE(A452,""PRICE"")"),341.5)</f>
        <v>341.5</v>
      </c>
      <c r="C452" s="11">
        <f ca="1">IFERROR(__xludf.DUMMYFUNCTION("GOOGLEFINANCE(A452,""PRICEOPEN"")"),323)</f>
        <v>323</v>
      </c>
      <c r="D452" s="11">
        <f ca="1">IFERROR(__xludf.DUMMYFUNCTION("GOOGLEFINANCE(A452,""HIGH"")"),344.35)</f>
        <v>344.35</v>
      </c>
      <c r="E452" s="11">
        <f ca="1">IFERROR(__xludf.DUMMYFUNCTION("GOOGLEFINANCE(A452,""LOW"")"),323)</f>
        <v>323</v>
      </c>
      <c r="F452" s="12" t="str">
        <f t="shared" ca="1" si="14"/>
        <v>BUY</v>
      </c>
      <c r="G452" s="13">
        <f ca="1">IFERROR(__xludf.DUMMYFUNCTION("GOOGLEFINANCE(A452,""CLOSEYEST"")"),325.3)</f>
        <v>325.3</v>
      </c>
      <c r="H452" s="14" t="str">
        <f t="shared" ca="1" si="20"/>
        <v/>
      </c>
      <c r="I452" s="15">
        <f t="shared" ca="1" si="15"/>
        <v>330.88333333333338</v>
      </c>
      <c r="J452" s="16">
        <f t="shared" ca="1" si="16"/>
        <v>338.76666666666677</v>
      </c>
      <c r="K452" s="16"/>
      <c r="L452" s="16">
        <f t="shared" ca="1" si="17"/>
        <v>317.41666666666674</v>
      </c>
      <c r="M452" s="16">
        <f t="shared" ca="1" si="18"/>
        <v>352.23333333333341</v>
      </c>
      <c r="N452" s="16">
        <f t="shared" ca="1" si="19"/>
        <v>309.53333333333336</v>
      </c>
    </row>
    <row r="453" spans="1:14" ht="24.75" customHeight="1" x14ac:dyDescent="0.8">
      <c r="A453" s="18" t="s">
        <v>61</v>
      </c>
      <c r="B453" s="10">
        <f ca="1">IFERROR(__xludf.DUMMYFUNCTION("GOOGLEFINANCE(A453,""PRICE"")"),279)</f>
        <v>279</v>
      </c>
      <c r="C453" s="11">
        <f ca="1">IFERROR(__xludf.DUMMYFUNCTION("GOOGLEFINANCE(A453,""PRICEOPEN"")"),277.25)</f>
        <v>277.25</v>
      </c>
      <c r="D453" s="11">
        <f ca="1">IFERROR(__xludf.DUMMYFUNCTION("GOOGLEFINANCE(A453,""HIGH"")"),281)</f>
        <v>281</v>
      </c>
      <c r="E453" s="11">
        <f ca="1">IFERROR(__xludf.DUMMYFUNCTION("GOOGLEFINANCE(A453,""LOW"")"),273.5)</f>
        <v>273.5</v>
      </c>
      <c r="F453" s="12" t="str">
        <f t="shared" ca="1" si="14"/>
        <v/>
      </c>
      <c r="G453" s="13">
        <f ca="1">IFERROR(__xludf.DUMMYFUNCTION("GOOGLEFINANCE(A453,""CLOSEYEST"")"),277.25)</f>
        <v>277.25</v>
      </c>
      <c r="H453" s="14" t="str">
        <f t="shared" ca="1" si="20"/>
        <v/>
      </c>
      <c r="I453" s="15">
        <f t="shared" ca="1" si="15"/>
        <v>277.25</v>
      </c>
      <c r="J453" s="16">
        <f t="shared" ca="1" si="16"/>
        <v>281</v>
      </c>
      <c r="K453" s="16"/>
      <c r="L453" s="16">
        <f t="shared" ca="1" si="17"/>
        <v>273.5</v>
      </c>
      <c r="M453" s="16">
        <f t="shared" ca="1" si="18"/>
        <v>284.75</v>
      </c>
      <c r="N453" s="16">
        <f t="shared" ca="1" si="19"/>
        <v>269.75</v>
      </c>
    </row>
    <row r="454" spans="1:14" ht="24.75" customHeight="1" x14ac:dyDescent="0.8">
      <c r="A454" s="18" t="s">
        <v>650</v>
      </c>
      <c r="B454" s="10">
        <f ca="1">IFERROR(__xludf.DUMMYFUNCTION("GOOGLEFINANCE(A454,""PRICE"")"),847)</f>
        <v>847</v>
      </c>
      <c r="C454" s="11">
        <f ca="1">IFERROR(__xludf.DUMMYFUNCTION("GOOGLEFINANCE(A454,""PRICEOPEN"")"),779)</f>
        <v>779</v>
      </c>
      <c r="D454" s="11">
        <f ca="1">IFERROR(__xludf.DUMMYFUNCTION("GOOGLEFINANCE(A454,""HIGH"")"),867.4)</f>
        <v>867.4</v>
      </c>
      <c r="E454" s="11">
        <f ca="1">IFERROR(__xludf.DUMMYFUNCTION("GOOGLEFINANCE(A454,""LOW"")"),756.7)</f>
        <v>756.7</v>
      </c>
      <c r="F454" s="12" t="str">
        <f t="shared" ca="1" si="14"/>
        <v/>
      </c>
      <c r="G454" s="13">
        <f ca="1">IFERROR(__xludf.DUMMYFUNCTION("GOOGLEFINANCE(A454,""CLOSEYEST"")"),726.7)</f>
        <v>726.7</v>
      </c>
      <c r="H454" s="14" t="str">
        <f t="shared" ca="1" si="20"/>
        <v>GAP UP</v>
      </c>
      <c r="I454" s="15">
        <f t="shared" ca="1" si="15"/>
        <v>783.6</v>
      </c>
      <c r="J454" s="16">
        <f t="shared" ca="1" si="16"/>
        <v>810.5</v>
      </c>
      <c r="K454" s="16"/>
      <c r="L454" s="16">
        <f t="shared" ca="1" si="17"/>
        <v>699.80000000000007</v>
      </c>
      <c r="M454" s="16">
        <f t="shared" ca="1" si="18"/>
        <v>894.3</v>
      </c>
      <c r="N454" s="16">
        <f t="shared" ca="1" si="19"/>
        <v>672.90000000000009</v>
      </c>
    </row>
    <row r="455" spans="1:14" ht="24.75" customHeight="1" x14ac:dyDescent="0.8">
      <c r="A455" s="18" t="s">
        <v>486</v>
      </c>
      <c r="B455" s="10">
        <f ca="1">IFERROR(__xludf.DUMMYFUNCTION("GOOGLEFINANCE(A455,""PRICE"")"),32.24)</f>
        <v>32.24</v>
      </c>
      <c r="C455" s="11">
        <f ca="1">IFERROR(__xludf.DUMMYFUNCTION("GOOGLEFINANCE(A455,""PRICEOPEN"")"),32.24)</f>
        <v>32.24</v>
      </c>
      <c r="D455" s="11" t="str">
        <f ca="1">IFERROR(__xludf.DUMMYFUNCTION("GOOGLEFINANCE(A455,""HIGH"")"),"#N/A")</f>
        <v>#N/A</v>
      </c>
      <c r="E455" s="11">
        <f ca="1">IFERROR(__xludf.DUMMYFUNCTION("GOOGLEFINANCE(A455,""LOW"")"),32.24)</f>
        <v>32.24</v>
      </c>
      <c r="F455" s="12" t="str">
        <f t="shared" ca="1" si="14"/>
        <v>BUY</v>
      </c>
      <c r="G455" s="13">
        <f ca="1">IFERROR(__xludf.DUMMYFUNCTION("GOOGLEFINANCE(A455,""CLOSEYEST"")"),30.99)</f>
        <v>30.99</v>
      </c>
      <c r="H455" s="14" t="str">
        <f t="shared" ca="1" si="20"/>
        <v>GAP UP</v>
      </c>
      <c r="I455" s="15" t="e">
        <f t="shared" ca="1" si="15"/>
        <v>#VALUE!</v>
      </c>
      <c r="J455" s="16" t="e">
        <f t="shared" ca="1" si="16"/>
        <v>#VALUE!</v>
      </c>
      <c r="K455" s="16"/>
      <c r="L455" s="16" t="e">
        <f t="shared" ca="1" si="17"/>
        <v>#VALUE!</v>
      </c>
      <c r="M455" s="16" t="e">
        <f t="shared" ca="1" si="18"/>
        <v>#VALUE!</v>
      </c>
      <c r="N455" s="16" t="e">
        <f t="shared" ca="1" si="19"/>
        <v>#VALUE!</v>
      </c>
    </row>
    <row r="456" spans="1:14" ht="24.75" customHeight="1" x14ac:dyDescent="0.8">
      <c r="A456" s="18" t="s">
        <v>221</v>
      </c>
      <c r="B456" s="10">
        <f ca="1">IFERROR(__xludf.DUMMYFUNCTION("GOOGLEFINANCE(A456,""PRICE"")"),9339)</f>
        <v>9339</v>
      </c>
      <c r="C456" s="11">
        <f ca="1">IFERROR(__xludf.DUMMYFUNCTION("GOOGLEFINANCE(A456,""PRICEOPEN"")"),9248)</f>
        <v>9248</v>
      </c>
      <c r="D456" s="11">
        <f ca="1">IFERROR(__xludf.DUMMYFUNCTION("GOOGLEFINANCE(A456,""HIGH"")"),9380)</f>
        <v>9380</v>
      </c>
      <c r="E456" s="11">
        <f ca="1">IFERROR(__xludf.DUMMYFUNCTION("GOOGLEFINANCE(A456,""LOW"")"),9156)</f>
        <v>9156</v>
      </c>
      <c r="F456" s="12" t="str">
        <f t="shared" ca="1" si="14"/>
        <v/>
      </c>
      <c r="G456" s="13">
        <f ca="1">IFERROR(__xludf.DUMMYFUNCTION("GOOGLEFINANCE(A456,""CLOSEYEST"")"),9222)</f>
        <v>9222</v>
      </c>
      <c r="H456" s="14" t="str">
        <f t="shared" ca="1" si="20"/>
        <v/>
      </c>
      <c r="I456" s="15">
        <f t="shared" ca="1" si="15"/>
        <v>9252.6666666666661</v>
      </c>
      <c r="J456" s="16">
        <f t="shared" ca="1" si="16"/>
        <v>9349.3333333333321</v>
      </c>
      <c r="K456" s="16"/>
      <c r="L456" s="16">
        <f t="shared" ca="1" si="17"/>
        <v>9125.3333333333321</v>
      </c>
      <c r="M456" s="16">
        <f t="shared" ca="1" si="18"/>
        <v>9476.6666666666661</v>
      </c>
      <c r="N456" s="16">
        <f t="shared" ca="1" si="19"/>
        <v>9028.6666666666661</v>
      </c>
    </row>
    <row r="457" spans="1:14" ht="24.75" customHeight="1" x14ac:dyDescent="0.8">
      <c r="A457" s="18" t="s">
        <v>216</v>
      </c>
      <c r="B457" s="10">
        <f ca="1">IFERROR(__xludf.DUMMYFUNCTION("GOOGLEFINANCE(A457,""PRICE"")"),385.4)</f>
        <v>385.4</v>
      </c>
      <c r="C457" s="11">
        <f ca="1">IFERROR(__xludf.DUMMYFUNCTION("GOOGLEFINANCE(A457,""PRICEOPEN"")"),391.2)</f>
        <v>391.2</v>
      </c>
      <c r="D457" s="11">
        <f ca="1">IFERROR(__xludf.DUMMYFUNCTION("GOOGLEFINANCE(A457,""HIGH"")"),392.95)</f>
        <v>392.95</v>
      </c>
      <c r="E457" s="11">
        <f ca="1">IFERROR(__xludf.DUMMYFUNCTION("GOOGLEFINANCE(A457,""LOW"")"),384.3)</f>
        <v>384.3</v>
      </c>
      <c r="F457" s="12" t="str">
        <f t="shared" ca="1" si="14"/>
        <v/>
      </c>
      <c r="G457" s="13">
        <f ca="1">IFERROR(__xludf.DUMMYFUNCTION("GOOGLEFINANCE(A457,""CLOSEYEST"")"),391.2)</f>
        <v>391.2</v>
      </c>
      <c r="H457" s="14" t="str">
        <f t="shared" ca="1" si="20"/>
        <v/>
      </c>
      <c r="I457" s="15">
        <f t="shared" ca="1" si="15"/>
        <v>389.48333333333335</v>
      </c>
      <c r="J457" s="16">
        <f t="shared" ca="1" si="16"/>
        <v>394.66666666666669</v>
      </c>
      <c r="K457" s="16"/>
      <c r="L457" s="16">
        <f t="shared" ca="1" si="17"/>
        <v>386.01666666666671</v>
      </c>
      <c r="M457" s="16">
        <f t="shared" ca="1" si="18"/>
        <v>398.13333333333333</v>
      </c>
      <c r="N457" s="16">
        <f t="shared" ca="1" si="19"/>
        <v>380.83333333333337</v>
      </c>
    </row>
    <row r="458" spans="1:14" ht="24.75" customHeight="1" x14ac:dyDescent="0.8">
      <c r="A458" s="18" t="s">
        <v>220</v>
      </c>
      <c r="B458" s="10" t="str">
        <f ca="1">IFERROR(__xludf.DUMMYFUNCTION("GOOGLEFINANCE(A458,""PRICE"")"),"#N/A")</f>
        <v>#N/A</v>
      </c>
      <c r="C458" s="11" t="str">
        <f ca="1">IFERROR(__xludf.DUMMYFUNCTION("GOOGLEFINANCE(A458,""PRICEOPEN"")"),"#N/A")</f>
        <v>#N/A</v>
      </c>
      <c r="D458" s="11" t="str">
        <f ca="1">IFERROR(__xludf.DUMMYFUNCTION("GOOGLEFINANCE(A458,""HIGH"")"),"#N/A")</f>
        <v>#N/A</v>
      </c>
      <c r="E458" s="11" t="str">
        <f ca="1">IFERROR(__xludf.DUMMYFUNCTION("GOOGLEFINANCE(A458,""LOW"")"),"#N/A")</f>
        <v>#N/A</v>
      </c>
      <c r="F458" s="12" t="str">
        <f t="shared" ca="1" si="14"/>
        <v>SELL</v>
      </c>
      <c r="G458" s="13" t="str">
        <f ca="1">IFERROR(__xludf.DUMMYFUNCTION("GOOGLEFINANCE(A458,""CLOSEYEST"")"),"#N/A")</f>
        <v>#N/A</v>
      </c>
      <c r="H458" s="14" t="e">
        <f t="shared" ca="1" si="20"/>
        <v>#VALUE!</v>
      </c>
      <c r="I458" s="15" t="e">
        <f t="shared" ca="1" si="15"/>
        <v>#VALUE!</v>
      </c>
      <c r="J458" s="16" t="e">
        <f t="shared" ca="1" si="16"/>
        <v>#VALUE!</v>
      </c>
      <c r="K458" s="16"/>
      <c r="L458" s="16" t="e">
        <f t="shared" ca="1" si="17"/>
        <v>#VALUE!</v>
      </c>
      <c r="M458" s="16" t="e">
        <f t="shared" ca="1" si="18"/>
        <v>#VALUE!</v>
      </c>
      <c r="N458" s="16" t="e">
        <f t="shared" ca="1" si="19"/>
        <v>#VALUE!</v>
      </c>
    </row>
    <row r="459" spans="1:14" ht="24.75" customHeight="1" x14ac:dyDescent="0.8">
      <c r="A459" s="18" t="s">
        <v>284</v>
      </c>
      <c r="B459" s="10">
        <f ca="1">IFERROR(__xludf.DUMMYFUNCTION("GOOGLEFINANCE(A459,""PRICE"")"),1042)</f>
        <v>1042</v>
      </c>
      <c r="C459" s="11">
        <f ca="1">IFERROR(__xludf.DUMMYFUNCTION("GOOGLEFINANCE(A459,""PRICEOPEN"")"),1053.1)</f>
        <v>1053.0999999999999</v>
      </c>
      <c r="D459" s="11">
        <f ca="1">IFERROR(__xludf.DUMMYFUNCTION("GOOGLEFINANCE(A459,""HIGH"")"),1054.9)</f>
        <v>1054.9000000000001</v>
      </c>
      <c r="E459" s="11">
        <f ca="1">IFERROR(__xludf.DUMMYFUNCTION("GOOGLEFINANCE(A459,""LOW"")"),1039.4)</f>
        <v>1039.4000000000001</v>
      </c>
      <c r="F459" s="12" t="str">
        <f t="shared" ca="1" si="14"/>
        <v/>
      </c>
      <c r="G459" s="13">
        <f ca="1">IFERROR(__xludf.DUMMYFUNCTION("GOOGLEFINANCE(A459,""CLOSEYEST"")"),1053.1)</f>
        <v>1053.0999999999999</v>
      </c>
      <c r="H459" s="14" t="str">
        <f t="shared" ca="1" si="20"/>
        <v/>
      </c>
      <c r="I459" s="15">
        <f t="shared" ca="1" si="15"/>
        <v>1049.1333333333334</v>
      </c>
      <c r="J459" s="16">
        <f t="shared" ca="1" si="16"/>
        <v>1058.8666666666668</v>
      </c>
      <c r="K459" s="16"/>
      <c r="L459" s="16">
        <f t="shared" ca="1" si="17"/>
        <v>1043.3666666666668</v>
      </c>
      <c r="M459" s="16">
        <f t="shared" ca="1" si="18"/>
        <v>1064.6333333333334</v>
      </c>
      <c r="N459" s="16">
        <f t="shared" ca="1" si="19"/>
        <v>1033.6333333333334</v>
      </c>
    </row>
    <row r="460" spans="1:14" ht="24.75" customHeight="1" x14ac:dyDescent="0.8">
      <c r="A460" s="18" t="s">
        <v>1645</v>
      </c>
      <c r="B460" s="10">
        <f ca="1">IFERROR(__xludf.DUMMYFUNCTION("GOOGLEFINANCE(A460,""PRICE"")"),32.06)</f>
        <v>32.06</v>
      </c>
      <c r="C460" s="11">
        <f ca="1">IFERROR(__xludf.DUMMYFUNCTION("GOOGLEFINANCE(A460,""PRICEOPEN"")"),31.4)</f>
        <v>31.4</v>
      </c>
      <c r="D460" s="11">
        <f ca="1">IFERROR(__xludf.DUMMYFUNCTION("GOOGLEFINANCE(A460,""HIGH"")"),32.31)</f>
        <v>32.31</v>
      </c>
      <c r="E460" s="11">
        <f ca="1">IFERROR(__xludf.DUMMYFUNCTION("GOOGLEFINANCE(A460,""LOW"")"),30.2)</f>
        <v>30.2</v>
      </c>
      <c r="F460" s="12" t="str">
        <f t="shared" ca="1" si="14"/>
        <v/>
      </c>
      <c r="G460" s="13">
        <f ca="1">IFERROR(__xludf.DUMMYFUNCTION("GOOGLEFINANCE(A460,""CLOSEYEST"")"),31.56)</f>
        <v>31.56</v>
      </c>
      <c r="H460" s="14" t="str">
        <f t="shared" ca="1" si="20"/>
        <v/>
      </c>
      <c r="I460" s="15">
        <f t="shared" ca="1" si="15"/>
        <v>31.356666666666669</v>
      </c>
      <c r="J460" s="16">
        <f t="shared" ca="1" si="16"/>
        <v>32.513333333333335</v>
      </c>
      <c r="K460" s="16"/>
      <c r="L460" s="16">
        <f t="shared" ca="1" si="17"/>
        <v>30.403333333333336</v>
      </c>
      <c r="M460" s="16">
        <f t="shared" ca="1" si="18"/>
        <v>33.466666666666669</v>
      </c>
      <c r="N460" s="16">
        <f t="shared" ca="1" si="19"/>
        <v>29.24666666666667</v>
      </c>
    </row>
    <row r="461" spans="1:14" ht="24.75" customHeight="1" x14ac:dyDescent="0.8">
      <c r="A461" s="18" t="s">
        <v>68</v>
      </c>
      <c r="B461" s="10">
        <f ca="1">IFERROR(__xludf.DUMMYFUNCTION("GOOGLEFINANCE(A461,""PRICE"")"),62.8)</f>
        <v>62.8</v>
      </c>
      <c r="C461" s="11">
        <f ca="1">IFERROR(__xludf.DUMMYFUNCTION("GOOGLEFINANCE(A461,""PRICEOPEN"")"),64)</f>
        <v>64</v>
      </c>
      <c r="D461" s="11">
        <f ca="1">IFERROR(__xludf.DUMMYFUNCTION("GOOGLEFINANCE(A461,""HIGH"")"),64.32)</f>
        <v>64.319999999999993</v>
      </c>
      <c r="E461" s="11">
        <f ca="1">IFERROR(__xludf.DUMMYFUNCTION("GOOGLEFINANCE(A461,""LOW"")"),62.13)</f>
        <v>62.13</v>
      </c>
      <c r="F461" s="12" t="str">
        <f t="shared" ca="1" si="14"/>
        <v/>
      </c>
      <c r="G461" s="13">
        <f ca="1">IFERROR(__xludf.DUMMYFUNCTION("GOOGLEFINANCE(A461,""CLOSEYEST"")"),63.61)</f>
        <v>63.61</v>
      </c>
      <c r="H461" s="14" t="str">
        <f t="shared" ca="1" si="20"/>
        <v/>
      </c>
      <c r="I461" s="15">
        <f t="shared" ca="1" si="15"/>
        <v>63.353333333333332</v>
      </c>
      <c r="J461" s="16">
        <f t="shared" ca="1" si="16"/>
        <v>64.576666666666654</v>
      </c>
      <c r="K461" s="16"/>
      <c r="L461" s="16">
        <f t="shared" ca="1" si="17"/>
        <v>62.38666666666667</v>
      </c>
      <c r="M461" s="16">
        <f t="shared" ca="1" si="18"/>
        <v>65.543333333333322</v>
      </c>
      <c r="N461" s="16">
        <f t="shared" ca="1" si="19"/>
        <v>61.163333333333348</v>
      </c>
    </row>
    <row r="462" spans="1:14" ht="24.75" customHeight="1" x14ac:dyDescent="0.8">
      <c r="A462" s="18" t="s">
        <v>112</v>
      </c>
      <c r="B462" s="10">
        <f ca="1">IFERROR(__xludf.DUMMYFUNCTION("GOOGLEFINANCE(A462,""PRICE"")"),168.99)</f>
        <v>168.99</v>
      </c>
      <c r="C462" s="11">
        <f ca="1">IFERROR(__xludf.DUMMYFUNCTION("GOOGLEFINANCE(A462,""PRICEOPEN"")"),164.3)</f>
        <v>164.3</v>
      </c>
      <c r="D462" s="11">
        <f ca="1">IFERROR(__xludf.DUMMYFUNCTION("GOOGLEFINANCE(A462,""HIGH"")"),169.55)</f>
        <v>169.55</v>
      </c>
      <c r="E462" s="11">
        <f ca="1">IFERROR(__xludf.DUMMYFUNCTION("GOOGLEFINANCE(A462,""LOW"")"),162.45)</f>
        <v>162.44999999999999</v>
      </c>
      <c r="F462" s="12" t="str">
        <f t="shared" ca="1" si="14"/>
        <v/>
      </c>
      <c r="G462" s="13">
        <f ca="1">IFERROR(__xludf.DUMMYFUNCTION("GOOGLEFINANCE(A462,""CLOSEYEST"")"),163.2)</f>
        <v>163.19999999999999</v>
      </c>
      <c r="H462" s="14" t="str">
        <f t="shared" ca="1" si="20"/>
        <v/>
      </c>
      <c r="I462" s="15">
        <f t="shared" ca="1" si="15"/>
        <v>165.06666666666666</v>
      </c>
      <c r="J462" s="16">
        <f t="shared" ca="1" si="16"/>
        <v>167.68333333333334</v>
      </c>
      <c r="K462" s="16"/>
      <c r="L462" s="16">
        <f t="shared" ca="1" si="17"/>
        <v>160.58333333333331</v>
      </c>
      <c r="M462" s="16">
        <f t="shared" ca="1" si="18"/>
        <v>172.16666666666669</v>
      </c>
      <c r="N462" s="16">
        <f t="shared" ca="1" si="19"/>
        <v>157.96666666666664</v>
      </c>
    </row>
    <row r="463" spans="1:14" ht="24.75" customHeight="1" x14ac:dyDescent="0.8">
      <c r="A463" s="18" t="s">
        <v>195</v>
      </c>
      <c r="B463" s="10">
        <f ca="1">IFERROR(__xludf.DUMMYFUNCTION("GOOGLEFINANCE(A463,""PRICE"")"),490.55)</f>
        <v>490.55</v>
      </c>
      <c r="C463" s="11">
        <f ca="1">IFERROR(__xludf.DUMMYFUNCTION("GOOGLEFINANCE(A463,""PRICEOPEN"")"),468)</f>
        <v>468</v>
      </c>
      <c r="D463" s="11">
        <f ca="1">IFERROR(__xludf.DUMMYFUNCTION("GOOGLEFINANCE(A463,""HIGH"")"),498.25)</f>
        <v>498.25</v>
      </c>
      <c r="E463" s="11">
        <f ca="1">IFERROR(__xludf.DUMMYFUNCTION("GOOGLEFINANCE(A463,""LOW"")"),462.7)</f>
        <v>462.7</v>
      </c>
      <c r="F463" s="12" t="str">
        <f t="shared" ca="1" si="14"/>
        <v/>
      </c>
      <c r="G463" s="13">
        <f ca="1">IFERROR(__xludf.DUMMYFUNCTION("GOOGLEFINANCE(A463,""CLOSEYEST"")"),465.3)</f>
        <v>465.3</v>
      </c>
      <c r="H463" s="14" t="str">
        <f t="shared" ca="1" si="20"/>
        <v/>
      </c>
      <c r="I463" s="15">
        <f t="shared" ca="1" si="15"/>
        <v>475.41666666666669</v>
      </c>
      <c r="J463" s="16">
        <f t="shared" ca="1" si="16"/>
        <v>488.13333333333338</v>
      </c>
      <c r="K463" s="16"/>
      <c r="L463" s="16">
        <f t="shared" ca="1" si="17"/>
        <v>452.58333333333337</v>
      </c>
      <c r="M463" s="16">
        <f t="shared" ca="1" si="18"/>
        <v>510.9666666666667</v>
      </c>
      <c r="N463" s="16">
        <f t="shared" ca="1" si="19"/>
        <v>439.86666666666667</v>
      </c>
    </row>
    <row r="464" spans="1:14" ht="24.75" customHeight="1" x14ac:dyDescent="0.8">
      <c r="A464" s="18" t="s">
        <v>1646</v>
      </c>
      <c r="B464" s="10" t="str">
        <f ca="1">IFERROR(__xludf.DUMMYFUNCTION("GOOGLEFINANCE(A464,""PRICE"")"),"#N/A")</f>
        <v>#N/A</v>
      </c>
      <c r="C464" s="11" t="str">
        <f ca="1">IFERROR(__xludf.DUMMYFUNCTION("GOOGLEFINANCE(A464,""PRICEOPEN"")"),"#N/A")</f>
        <v>#N/A</v>
      </c>
      <c r="D464" s="11" t="str">
        <f ca="1">IFERROR(__xludf.DUMMYFUNCTION("GOOGLEFINANCE(A464,""HIGH"")"),"#N/A")</f>
        <v>#N/A</v>
      </c>
      <c r="E464" s="11" t="str">
        <f ca="1">IFERROR(__xludf.DUMMYFUNCTION("GOOGLEFINANCE(A464,""LOW"")"),"#N/A")</f>
        <v>#N/A</v>
      </c>
      <c r="F464" s="12" t="str">
        <f t="shared" ca="1" si="14"/>
        <v>SELL</v>
      </c>
      <c r="G464" s="13" t="str">
        <f ca="1">IFERROR(__xludf.DUMMYFUNCTION("GOOGLEFINANCE(A464,""CLOSEYEST"")"),"#N/A")</f>
        <v>#N/A</v>
      </c>
      <c r="H464" s="14" t="e">
        <f t="shared" ca="1" si="20"/>
        <v>#VALUE!</v>
      </c>
      <c r="I464" s="15" t="e">
        <f t="shared" ca="1" si="15"/>
        <v>#VALUE!</v>
      </c>
      <c r="J464" s="16" t="e">
        <f t="shared" ca="1" si="16"/>
        <v>#VALUE!</v>
      </c>
      <c r="K464" s="16"/>
      <c r="L464" s="16" t="e">
        <f t="shared" ca="1" si="17"/>
        <v>#VALUE!</v>
      </c>
      <c r="M464" s="16" t="e">
        <f t="shared" ca="1" si="18"/>
        <v>#VALUE!</v>
      </c>
      <c r="N464" s="16" t="e">
        <f t="shared" ca="1" si="19"/>
        <v>#VALUE!</v>
      </c>
    </row>
    <row r="465" spans="1:14" ht="24.75" customHeight="1" x14ac:dyDescent="0.8">
      <c r="A465" s="18" t="s">
        <v>145</v>
      </c>
      <c r="B465" s="10">
        <f ca="1">IFERROR(__xludf.DUMMYFUNCTION("GOOGLEFINANCE(A465,""PRICE"")"),9995)</f>
        <v>9995</v>
      </c>
      <c r="C465" s="11">
        <f ca="1">IFERROR(__xludf.DUMMYFUNCTION("GOOGLEFINANCE(A465,""PRICEOPEN"")"),10600)</f>
        <v>10600</v>
      </c>
      <c r="D465" s="11">
        <f ca="1">IFERROR(__xludf.DUMMYFUNCTION("GOOGLEFINANCE(A465,""HIGH"")"),11847)</f>
        <v>11847</v>
      </c>
      <c r="E465" s="11">
        <f ca="1">IFERROR(__xludf.DUMMYFUNCTION("GOOGLEFINANCE(A465,""LOW"")"),9801)</f>
        <v>9801</v>
      </c>
      <c r="F465" s="12" t="str">
        <f t="shared" ca="1" si="14"/>
        <v/>
      </c>
      <c r="G465" s="13">
        <f ca="1">IFERROR(__xludf.DUMMYFUNCTION("GOOGLEFINANCE(A465,""CLOSEYEST"")"),10580)</f>
        <v>10580</v>
      </c>
      <c r="H465" s="14" t="str">
        <f t="shared" ca="1" si="20"/>
        <v/>
      </c>
      <c r="I465" s="15">
        <f t="shared" ca="1" si="15"/>
        <v>10742.666666666666</v>
      </c>
      <c r="J465" s="16">
        <f t="shared" ca="1" si="16"/>
        <v>11684.333333333332</v>
      </c>
      <c r="K465" s="16"/>
      <c r="L465" s="16">
        <f t="shared" ca="1" si="17"/>
        <v>9638.3333333333321</v>
      </c>
      <c r="M465" s="16">
        <f t="shared" ca="1" si="18"/>
        <v>12788.666666666666</v>
      </c>
      <c r="N465" s="16">
        <f t="shared" ca="1" si="19"/>
        <v>8696.6666666666661</v>
      </c>
    </row>
    <row r="466" spans="1:14" ht="24.75" customHeight="1" x14ac:dyDescent="0.8">
      <c r="A466" s="18" t="s">
        <v>186</v>
      </c>
      <c r="B466" s="10">
        <f ca="1">IFERROR(__xludf.DUMMYFUNCTION("GOOGLEFINANCE(A466,""PRICE"")"),161)</f>
        <v>161</v>
      </c>
      <c r="C466" s="11">
        <f ca="1">IFERROR(__xludf.DUMMYFUNCTION("GOOGLEFINANCE(A466,""PRICEOPEN"")"),158.92)</f>
        <v>158.91999999999999</v>
      </c>
      <c r="D466" s="11">
        <f ca="1">IFERROR(__xludf.DUMMYFUNCTION("GOOGLEFINANCE(A466,""HIGH"")"),161.09)</f>
        <v>161.09</v>
      </c>
      <c r="E466" s="11">
        <f ca="1">IFERROR(__xludf.DUMMYFUNCTION("GOOGLEFINANCE(A466,""LOW"")"),157.24)</f>
        <v>157.24</v>
      </c>
      <c r="F466" s="12" t="str">
        <f t="shared" ca="1" si="14"/>
        <v/>
      </c>
      <c r="G466" s="13">
        <f ca="1">IFERROR(__xludf.DUMMYFUNCTION("GOOGLEFINANCE(A466,""CLOSEYEST"")"),158.92)</f>
        <v>158.91999999999999</v>
      </c>
      <c r="H466" s="14" t="str">
        <f t="shared" ca="1" si="20"/>
        <v/>
      </c>
      <c r="I466" s="15">
        <f t="shared" ca="1" si="15"/>
        <v>159.08333333333334</v>
      </c>
      <c r="J466" s="16">
        <f t="shared" ca="1" si="16"/>
        <v>160.92666666666668</v>
      </c>
      <c r="K466" s="16"/>
      <c r="L466" s="16">
        <f t="shared" ca="1" si="17"/>
        <v>157.07666666666668</v>
      </c>
      <c r="M466" s="16">
        <f t="shared" ca="1" si="18"/>
        <v>162.93333333333334</v>
      </c>
      <c r="N466" s="16">
        <f t="shared" ca="1" si="19"/>
        <v>155.23333333333335</v>
      </c>
    </row>
    <row r="467" spans="1:14" ht="24.75" customHeight="1" x14ac:dyDescent="0.8">
      <c r="A467" s="18" t="s">
        <v>469</v>
      </c>
      <c r="B467" s="10">
        <f ca="1">IFERROR(__xludf.DUMMYFUNCTION("GOOGLEFINANCE(A467,""PRICE"")"),18.59)</f>
        <v>18.59</v>
      </c>
      <c r="C467" s="11">
        <f ca="1">IFERROR(__xludf.DUMMYFUNCTION("GOOGLEFINANCE(A467,""PRICEOPEN"")"),17.8)</f>
        <v>17.8</v>
      </c>
      <c r="D467" s="11">
        <f ca="1">IFERROR(__xludf.DUMMYFUNCTION("GOOGLEFINANCE(A467,""HIGH"")"),18.64)</f>
        <v>18.64</v>
      </c>
      <c r="E467" s="11">
        <f ca="1">IFERROR(__xludf.DUMMYFUNCTION("GOOGLEFINANCE(A467,""LOW"")"),17.74)</f>
        <v>17.739999999999998</v>
      </c>
      <c r="F467" s="12" t="str">
        <f t="shared" ca="1" si="14"/>
        <v/>
      </c>
      <c r="G467" s="13">
        <f ca="1">IFERROR(__xludf.DUMMYFUNCTION("GOOGLEFINANCE(A467,""CLOSEYEST"")"),17.76)</f>
        <v>17.760000000000002</v>
      </c>
      <c r="H467" s="14" t="str">
        <f t="shared" ca="1" si="20"/>
        <v/>
      </c>
      <c r="I467" s="15">
        <f t="shared" ca="1" si="15"/>
        <v>18.046666666666667</v>
      </c>
      <c r="J467" s="16">
        <f t="shared" ca="1" si="16"/>
        <v>18.353333333333335</v>
      </c>
      <c r="K467" s="16"/>
      <c r="L467" s="16">
        <f t="shared" ca="1" si="17"/>
        <v>17.453333333333333</v>
      </c>
      <c r="M467" s="16">
        <f t="shared" ca="1" si="18"/>
        <v>18.946666666666669</v>
      </c>
      <c r="N467" s="16">
        <f t="shared" ca="1" si="19"/>
        <v>17.146666666666665</v>
      </c>
    </row>
    <row r="468" spans="1:14" ht="24.75" customHeight="1" x14ac:dyDescent="0.8">
      <c r="A468" s="18" t="s">
        <v>472</v>
      </c>
      <c r="B468" s="10">
        <f ca="1">IFERROR(__xludf.DUMMYFUNCTION("GOOGLEFINANCE(A468,""PRICE"")"),686)</f>
        <v>686</v>
      </c>
      <c r="C468" s="11">
        <f ca="1">IFERROR(__xludf.DUMMYFUNCTION("GOOGLEFINANCE(A468,""PRICEOPEN"")"),681.5)</f>
        <v>681.5</v>
      </c>
      <c r="D468" s="11">
        <f ca="1">IFERROR(__xludf.DUMMYFUNCTION("GOOGLEFINANCE(A468,""HIGH"")"),688.4)</f>
        <v>688.4</v>
      </c>
      <c r="E468" s="11">
        <f ca="1">IFERROR(__xludf.DUMMYFUNCTION("GOOGLEFINANCE(A468,""LOW"")"),675.95)</f>
        <v>675.95</v>
      </c>
      <c r="F468" s="12" t="str">
        <f t="shared" ca="1" si="14"/>
        <v/>
      </c>
      <c r="G468" s="13">
        <f ca="1">IFERROR(__xludf.DUMMYFUNCTION("GOOGLEFINANCE(A468,""CLOSEYEST"")"),681.35)</f>
        <v>681.35</v>
      </c>
      <c r="H468" s="14" t="str">
        <f t="shared" ca="1" si="20"/>
        <v/>
      </c>
      <c r="I468" s="15">
        <f t="shared" ca="1" si="15"/>
        <v>681.9</v>
      </c>
      <c r="J468" s="16">
        <f t="shared" ca="1" si="16"/>
        <v>687.84999999999991</v>
      </c>
      <c r="K468" s="16"/>
      <c r="L468" s="16">
        <f t="shared" ca="1" si="17"/>
        <v>675.4</v>
      </c>
      <c r="M468" s="16">
        <f t="shared" ca="1" si="18"/>
        <v>694.34999999999991</v>
      </c>
      <c r="N468" s="16">
        <f t="shared" ca="1" si="19"/>
        <v>669.45</v>
      </c>
    </row>
    <row r="469" spans="1:14" ht="24.75" customHeight="1" x14ac:dyDescent="0.8">
      <c r="A469" s="18" t="s">
        <v>168</v>
      </c>
      <c r="B469" s="10">
        <f ca="1">IFERROR(__xludf.DUMMYFUNCTION("GOOGLEFINANCE(A469,""PRICE"")"),30.61)</f>
        <v>30.61</v>
      </c>
      <c r="C469" s="11">
        <f ca="1">IFERROR(__xludf.DUMMYFUNCTION("GOOGLEFINANCE(A469,""PRICEOPEN"")"),30.1)</f>
        <v>30.1</v>
      </c>
      <c r="D469" s="11">
        <f ca="1">IFERROR(__xludf.DUMMYFUNCTION("GOOGLEFINANCE(A469,""HIGH"")"),30.7)</f>
        <v>30.7</v>
      </c>
      <c r="E469" s="11">
        <f ca="1">IFERROR(__xludf.DUMMYFUNCTION("GOOGLEFINANCE(A469,""LOW"")"),29.96)</f>
        <v>29.96</v>
      </c>
      <c r="F469" s="12" t="str">
        <f t="shared" ca="1" si="14"/>
        <v/>
      </c>
      <c r="G469" s="13">
        <f ca="1">IFERROR(__xludf.DUMMYFUNCTION("GOOGLEFINANCE(A469,""CLOSEYEST"")"),30.03)</f>
        <v>30.03</v>
      </c>
      <c r="H469" s="14" t="str">
        <f t="shared" ca="1" si="20"/>
        <v/>
      </c>
      <c r="I469" s="15">
        <f t="shared" ca="1" si="15"/>
        <v>30.23</v>
      </c>
      <c r="J469" s="16">
        <f t="shared" ca="1" si="16"/>
        <v>30.5</v>
      </c>
      <c r="K469" s="16"/>
      <c r="L469" s="16">
        <f t="shared" ca="1" si="17"/>
        <v>29.76</v>
      </c>
      <c r="M469" s="16">
        <f t="shared" ca="1" si="18"/>
        <v>30.97</v>
      </c>
      <c r="N469" s="16">
        <f t="shared" ca="1" si="19"/>
        <v>29.490000000000002</v>
      </c>
    </row>
    <row r="470" spans="1:14" ht="24.75" customHeight="1" x14ac:dyDescent="0.8">
      <c r="A470" s="18" t="s">
        <v>281</v>
      </c>
      <c r="B470" s="10">
        <f ca="1">IFERROR(__xludf.DUMMYFUNCTION("GOOGLEFINANCE(A470,""PRICE"")"),1940.8)</f>
        <v>1940.8</v>
      </c>
      <c r="C470" s="11">
        <f ca="1">IFERROR(__xludf.DUMMYFUNCTION("GOOGLEFINANCE(A470,""PRICEOPEN"")"),1900)</f>
        <v>1900</v>
      </c>
      <c r="D470" s="11">
        <f ca="1">IFERROR(__xludf.DUMMYFUNCTION("GOOGLEFINANCE(A470,""HIGH"")"),1945)</f>
        <v>1945</v>
      </c>
      <c r="E470" s="11">
        <f ca="1">IFERROR(__xludf.DUMMYFUNCTION("GOOGLEFINANCE(A470,""LOW"")"),1890.6)</f>
        <v>1890.6</v>
      </c>
      <c r="F470" s="12" t="str">
        <f t="shared" ca="1" si="14"/>
        <v/>
      </c>
      <c r="G470" s="13">
        <f ca="1">IFERROR(__xludf.DUMMYFUNCTION("GOOGLEFINANCE(A470,""CLOSEYEST"")"),1898.6)</f>
        <v>1898.6</v>
      </c>
      <c r="H470" s="14" t="str">
        <f t="shared" ca="1" si="20"/>
        <v/>
      </c>
      <c r="I470" s="15">
        <f t="shared" ca="1" si="15"/>
        <v>1911.3999999999999</v>
      </c>
      <c r="J470" s="16">
        <f t="shared" ca="1" si="16"/>
        <v>1932.1999999999998</v>
      </c>
      <c r="K470" s="16"/>
      <c r="L470" s="16">
        <f t="shared" ca="1" si="17"/>
        <v>1877.7999999999997</v>
      </c>
      <c r="M470" s="16">
        <f t="shared" ca="1" si="18"/>
        <v>1965.8</v>
      </c>
      <c r="N470" s="16">
        <f t="shared" ca="1" si="19"/>
        <v>1856.9999999999998</v>
      </c>
    </row>
    <row r="471" spans="1:14" ht="24.75" customHeight="1" x14ac:dyDescent="0.8">
      <c r="A471" s="18" t="s">
        <v>1647</v>
      </c>
      <c r="B471" s="10">
        <f ca="1">IFERROR(__xludf.DUMMYFUNCTION("GOOGLEFINANCE(A471,""PRICE"")"),832)</f>
        <v>832</v>
      </c>
      <c r="C471" s="11">
        <f ca="1">IFERROR(__xludf.DUMMYFUNCTION("GOOGLEFINANCE(A471,""PRICEOPEN"")"),839.8)</f>
        <v>839.8</v>
      </c>
      <c r="D471" s="11">
        <f ca="1">IFERROR(__xludf.DUMMYFUNCTION("GOOGLEFINANCE(A471,""HIGH"")"),846.2)</f>
        <v>846.2</v>
      </c>
      <c r="E471" s="11">
        <f ca="1">IFERROR(__xludf.DUMMYFUNCTION("GOOGLEFINANCE(A471,""LOW"")"),830.5)</f>
        <v>830.5</v>
      </c>
      <c r="F471" s="12" t="str">
        <f t="shared" ca="1" si="14"/>
        <v/>
      </c>
      <c r="G471" s="13">
        <f ca="1">IFERROR(__xludf.DUMMYFUNCTION("GOOGLEFINANCE(A471,""CLOSEYEST"")"),833.45)</f>
        <v>833.45</v>
      </c>
      <c r="H471" s="14" t="str">
        <f t="shared" ca="1" si="20"/>
        <v/>
      </c>
      <c r="I471" s="15">
        <f t="shared" ca="1" si="15"/>
        <v>836.7166666666667</v>
      </c>
      <c r="J471" s="16">
        <f t="shared" ca="1" si="16"/>
        <v>842.93333333333339</v>
      </c>
      <c r="K471" s="16"/>
      <c r="L471" s="16">
        <f t="shared" ca="1" si="17"/>
        <v>827.23333333333335</v>
      </c>
      <c r="M471" s="16">
        <f t="shared" ca="1" si="18"/>
        <v>852.41666666666674</v>
      </c>
      <c r="N471" s="16">
        <f t="shared" ca="1" si="19"/>
        <v>821.01666666666665</v>
      </c>
    </row>
    <row r="472" spans="1:14" ht="24.75" customHeight="1" x14ac:dyDescent="0.8">
      <c r="A472" s="18" t="s">
        <v>101</v>
      </c>
      <c r="B472" s="10">
        <f ca="1">IFERROR(__xludf.DUMMYFUNCTION("GOOGLEFINANCE(A472,""PRICE"")"),921.5)</f>
        <v>921.5</v>
      </c>
      <c r="C472" s="11">
        <f ca="1">IFERROR(__xludf.DUMMYFUNCTION("GOOGLEFINANCE(A472,""PRICEOPEN"")"),918)</f>
        <v>918</v>
      </c>
      <c r="D472" s="11">
        <f ca="1">IFERROR(__xludf.DUMMYFUNCTION("GOOGLEFINANCE(A472,""HIGH"")"),924.5)</f>
        <v>924.5</v>
      </c>
      <c r="E472" s="11">
        <f ca="1">IFERROR(__xludf.DUMMYFUNCTION("GOOGLEFINANCE(A472,""LOW"")"),905)</f>
        <v>905</v>
      </c>
      <c r="F472" s="12" t="str">
        <f t="shared" ca="1" si="14"/>
        <v/>
      </c>
      <c r="G472" s="13">
        <f ca="1">IFERROR(__xludf.DUMMYFUNCTION("GOOGLEFINANCE(A472,""CLOSEYEST"")"),912.5)</f>
        <v>912.5</v>
      </c>
      <c r="H472" s="14" t="str">
        <f t="shared" ca="1" si="20"/>
        <v/>
      </c>
      <c r="I472" s="15">
        <f t="shared" ca="1" si="15"/>
        <v>914</v>
      </c>
      <c r="J472" s="16">
        <f t="shared" ca="1" si="16"/>
        <v>923</v>
      </c>
      <c r="K472" s="16"/>
      <c r="L472" s="16">
        <f t="shared" ca="1" si="17"/>
        <v>903.5</v>
      </c>
      <c r="M472" s="16">
        <f t="shared" ca="1" si="18"/>
        <v>933.5</v>
      </c>
      <c r="N472" s="16">
        <f t="shared" ca="1" si="19"/>
        <v>894.5</v>
      </c>
    </row>
    <row r="473" spans="1:14" ht="24.75" customHeight="1" x14ac:dyDescent="0.8">
      <c r="A473" s="18" t="s">
        <v>296</v>
      </c>
      <c r="B473" s="10">
        <f ca="1">IFERROR(__xludf.DUMMYFUNCTION("GOOGLEFINANCE(A473,""PRICE"")"),1246.3)</f>
        <v>1246.3</v>
      </c>
      <c r="C473" s="11">
        <f ca="1">IFERROR(__xludf.DUMMYFUNCTION("GOOGLEFINANCE(A473,""PRICEOPEN"")"),1236.9)</f>
        <v>1236.9000000000001</v>
      </c>
      <c r="D473" s="11">
        <f ca="1">IFERROR(__xludf.DUMMYFUNCTION("GOOGLEFINANCE(A473,""HIGH"")"),1264)</f>
        <v>1264</v>
      </c>
      <c r="E473" s="11">
        <f ca="1">IFERROR(__xludf.DUMMYFUNCTION("GOOGLEFINANCE(A473,""LOW"")"),1220.1)</f>
        <v>1220.0999999999999</v>
      </c>
      <c r="F473" s="12" t="str">
        <f t="shared" ca="1" si="14"/>
        <v/>
      </c>
      <c r="G473" s="13">
        <f ca="1">IFERROR(__xludf.DUMMYFUNCTION("GOOGLEFINANCE(A473,""CLOSEYEST"")"),1234.4)</f>
        <v>1234.4000000000001</v>
      </c>
      <c r="H473" s="14" t="str">
        <f t="shared" ca="1" si="20"/>
        <v/>
      </c>
      <c r="I473" s="15">
        <f t="shared" ca="1" si="15"/>
        <v>1239.5</v>
      </c>
      <c r="J473" s="16">
        <f t="shared" ca="1" si="16"/>
        <v>1258.9000000000001</v>
      </c>
      <c r="K473" s="16"/>
      <c r="L473" s="16">
        <f t="shared" ca="1" si="17"/>
        <v>1215</v>
      </c>
      <c r="M473" s="16">
        <f t="shared" ca="1" si="18"/>
        <v>1283.4000000000001</v>
      </c>
      <c r="N473" s="16">
        <f t="shared" ca="1" si="19"/>
        <v>1195.5999999999999</v>
      </c>
    </row>
    <row r="474" spans="1:14" ht="24.75" customHeight="1" x14ac:dyDescent="0.8">
      <c r="A474" s="18" t="s">
        <v>62</v>
      </c>
      <c r="B474" s="10">
        <f ca="1">IFERROR(__xludf.DUMMYFUNCTION("GOOGLEFINANCE(A474,""PRICE"")"),245.7)</f>
        <v>245.7</v>
      </c>
      <c r="C474" s="11">
        <f ca="1">IFERROR(__xludf.DUMMYFUNCTION("GOOGLEFINANCE(A474,""PRICEOPEN"")"),245.9)</f>
        <v>245.9</v>
      </c>
      <c r="D474" s="11">
        <f ca="1">IFERROR(__xludf.DUMMYFUNCTION("GOOGLEFINANCE(A474,""HIGH"")"),248.7)</f>
        <v>248.7</v>
      </c>
      <c r="E474" s="11">
        <f ca="1">IFERROR(__xludf.DUMMYFUNCTION("GOOGLEFINANCE(A474,""LOW"")"),245.05)</f>
        <v>245.05</v>
      </c>
      <c r="F474" s="12" t="str">
        <f t="shared" ca="1" si="14"/>
        <v/>
      </c>
      <c r="G474" s="13">
        <f ca="1">IFERROR(__xludf.DUMMYFUNCTION("GOOGLEFINANCE(A474,""CLOSEYEST"")"),244.95)</f>
        <v>244.95</v>
      </c>
      <c r="H474" s="14" t="str">
        <f t="shared" ca="1" si="20"/>
        <v/>
      </c>
      <c r="I474" s="15">
        <f t="shared" ca="1" si="15"/>
        <v>246.23333333333335</v>
      </c>
      <c r="J474" s="16">
        <f t="shared" ca="1" si="16"/>
        <v>247.41666666666669</v>
      </c>
      <c r="K474" s="16"/>
      <c r="L474" s="16">
        <f t="shared" ca="1" si="17"/>
        <v>243.76666666666671</v>
      </c>
      <c r="M474" s="16">
        <f t="shared" ca="1" si="18"/>
        <v>249.88333333333333</v>
      </c>
      <c r="N474" s="16">
        <f t="shared" ca="1" si="19"/>
        <v>242.58333333333337</v>
      </c>
    </row>
    <row r="475" spans="1:14" ht="24.75" customHeight="1" x14ac:dyDescent="0.8">
      <c r="A475" s="18" t="s">
        <v>180</v>
      </c>
      <c r="B475" s="10">
        <f ca="1">IFERROR(__xludf.DUMMYFUNCTION("GOOGLEFINANCE(A475,""PRICE"")"),516)</f>
        <v>516</v>
      </c>
      <c r="C475" s="11">
        <f ca="1">IFERROR(__xludf.DUMMYFUNCTION("GOOGLEFINANCE(A475,""PRICEOPEN"")"),515)</f>
        <v>515</v>
      </c>
      <c r="D475" s="11">
        <f ca="1">IFERROR(__xludf.DUMMYFUNCTION("GOOGLEFINANCE(A475,""HIGH"")"),521.25)</f>
        <v>521.25</v>
      </c>
      <c r="E475" s="11">
        <f ca="1">IFERROR(__xludf.DUMMYFUNCTION("GOOGLEFINANCE(A475,""LOW"")"),512.3)</f>
        <v>512.29999999999995</v>
      </c>
      <c r="F475" s="12" t="str">
        <f t="shared" ca="1" si="14"/>
        <v/>
      </c>
      <c r="G475" s="13">
        <f ca="1">IFERROR(__xludf.DUMMYFUNCTION("GOOGLEFINANCE(A475,""CLOSEYEST"")"),513.4)</f>
        <v>513.4</v>
      </c>
      <c r="H475" s="14" t="str">
        <f t="shared" ca="1" si="20"/>
        <v/>
      </c>
      <c r="I475" s="15">
        <f t="shared" ca="1" si="15"/>
        <v>515.65</v>
      </c>
      <c r="J475" s="16">
        <f t="shared" ca="1" si="16"/>
        <v>519</v>
      </c>
      <c r="K475" s="16"/>
      <c r="L475" s="16">
        <f t="shared" ca="1" si="17"/>
        <v>510.04999999999995</v>
      </c>
      <c r="M475" s="16">
        <f t="shared" ca="1" si="18"/>
        <v>524.6</v>
      </c>
      <c r="N475" s="16">
        <f t="shared" ca="1" si="19"/>
        <v>506.69999999999993</v>
      </c>
    </row>
    <row r="476" spans="1:14" ht="24.75" customHeight="1" x14ac:dyDescent="0.8">
      <c r="A476" s="18" t="s">
        <v>139</v>
      </c>
      <c r="B476" s="10">
        <f ca="1">IFERROR(__xludf.DUMMYFUNCTION("GOOGLEFINANCE(A476,""PRICE"")"),501.1)</f>
        <v>501.1</v>
      </c>
      <c r="C476" s="11">
        <f ca="1">IFERROR(__xludf.DUMMYFUNCTION("GOOGLEFINANCE(A476,""PRICEOPEN"")"),498)</f>
        <v>498</v>
      </c>
      <c r="D476" s="11">
        <f ca="1">IFERROR(__xludf.DUMMYFUNCTION("GOOGLEFINANCE(A476,""HIGH"")"),503.35)</f>
        <v>503.35</v>
      </c>
      <c r="E476" s="11">
        <f ca="1">IFERROR(__xludf.DUMMYFUNCTION("GOOGLEFINANCE(A476,""LOW"")"),497.15)</f>
        <v>497.15</v>
      </c>
      <c r="F476" s="12" t="str">
        <f t="shared" ca="1" si="14"/>
        <v/>
      </c>
      <c r="G476" s="13">
        <f ca="1">IFERROR(__xludf.DUMMYFUNCTION("GOOGLEFINANCE(A476,""CLOSEYEST"")"),496.2)</f>
        <v>496.2</v>
      </c>
      <c r="H476" s="14" t="str">
        <f t="shared" ca="1" si="20"/>
        <v/>
      </c>
      <c r="I476" s="15">
        <f t="shared" ca="1" si="15"/>
        <v>498.90000000000003</v>
      </c>
      <c r="J476" s="16">
        <f t="shared" ca="1" si="16"/>
        <v>500.65000000000009</v>
      </c>
      <c r="K476" s="16"/>
      <c r="L476" s="16">
        <f t="shared" ca="1" si="17"/>
        <v>494.45000000000005</v>
      </c>
      <c r="M476" s="16">
        <f t="shared" ca="1" si="18"/>
        <v>505.10000000000008</v>
      </c>
      <c r="N476" s="16">
        <f t="shared" ca="1" si="19"/>
        <v>492.7</v>
      </c>
    </row>
    <row r="477" spans="1:14" ht="24.75" customHeight="1" x14ac:dyDescent="0.8">
      <c r="A477" s="18" t="s">
        <v>1648</v>
      </c>
      <c r="B477" s="10">
        <f ca="1">IFERROR(__xludf.DUMMYFUNCTION("GOOGLEFINANCE(A477,""PRICE"")"),111.65)</f>
        <v>111.65</v>
      </c>
      <c r="C477" s="11">
        <f ca="1">IFERROR(__xludf.DUMMYFUNCTION("GOOGLEFINANCE(A477,""PRICEOPEN"")"),109.5)</f>
        <v>109.5</v>
      </c>
      <c r="D477" s="11">
        <f ca="1">IFERROR(__xludf.DUMMYFUNCTION("GOOGLEFINANCE(A477,""HIGH"")"),111.78)</f>
        <v>111.78</v>
      </c>
      <c r="E477" s="11">
        <f ca="1">IFERROR(__xludf.DUMMYFUNCTION("GOOGLEFINANCE(A477,""LOW"")"),108.66)</f>
        <v>108.66</v>
      </c>
      <c r="F477" s="12" t="str">
        <f t="shared" ca="1" si="14"/>
        <v/>
      </c>
      <c r="G477" s="13">
        <f ca="1">IFERROR(__xludf.DUMMYFUNCTION("GOOGLEFINANCE(A477,""CLOSEYEST"")"),108.67)</f>
        <v>108.67</v>
      </c>
      <c r="H477" s="14" t="str">
        <f t="shared" ca="1" si="20"/>
        <v/>
      </c>
      <c r="I477" s="15">
        <f t="shared" ca="1" si="15"/>
        <v>109.70333333333333</v>
      </c>
      <c r="J477" s="16">
        <f t="shared" ca="1" si="16"/>
        <v>110.74666666666667</v>
      </c>
      <c r="K477" s="16"/>
      <c r="L477" s="16">
        <f t="shared" ca="1" si="17"/>
        <v>107.62666666666667</v>
      </c>
      <c r="M477" s="16">
        <f t="shared" ca="1" si="18"/>
        <v>112.82333333333334</v>
      </c>
      <c r="N477" s="16">
        <f t="shared" ca="1" si="19"/>
        <v>106.58333333333333</v>
      </c>
    </row>
    <row r="478" spans="1:14" ht="24.75" customHeight="1" x14ac:dyDescent="0.8">
      <c r="A478" s="18" t="s">
        <v>636</v>
      </c>
      <c r="B478" s="10">
        <f ca="1">IFERROR(__xludf.DUMMYFUNCTION("GOOGLEFINANCE(A478,""PRICE"")"),863.85)</f>
        <v>863.85</v>
      </c>
      <c r="C478" s="11">
        <f ca="1">IFERROR(__xludf.DUMMYFUNCTION("GOOGLEFINANCE(A478,""PRICEOPEN"")"),857.6)</f>
        <v>857.6</v>
      </c>
      <c r="D478" s="11">
        <f ca="1">IFERROR(__xludf.DUMMYFUNCTION("GOOGLEFINANCE(A478,""HIGH"")"),866.8)</f>
        <v>866.8</v>
      </c>
      <c r="E478" s="11">
        <f ca="1">IFERROR(__xludf.DUMMYFUNCTION("GOOGLEFINANCE(A478,""LOW"")"),855.65)</f>
        <v>855.65</v>
      </c>
      <c r="F478" s="12" t="str">
        <f t="shared" ca="1" si="14"/>
        <v/>
      </c>
      <c r="G478" s="13">
        <f ca="1">IFERROR(__xludf.DUMMYFUNCTION("GOOGLEFINANCE(A478,""CLOSEYEST"")"),867.8)</f>
        <v>867.8</v>
      </c>
      <c r="H478" s="14" t="str">
        <f t="shared" ca="1" si="20"/>
        <v>GAP DOWN</v>
      </c>
      <c r="I478" s="15">
        <f t="shared" ca="1" si="15"/>
        <v>863.41666666666663</v>
      </c>
      <c r="J478" s="16">
        <f t="shared" ca="1" si="16"/>
        <v>871.18333333333328</v>
      </c>
      <c r="K478" s="16"/>
      <c r="L478" s="16">
        <f t="shared" ca="1" si="17"/>
        <v>860.0333333333333</v>
      </c>
      <c r="M478" s="16">
        <f t="shared" ca="1" si="18"/>
        <v>874.56666666666661</v>
      </c>
      <c r="N478" s="16">
        <f t="shared" ca="1" si="19"/>
        <v>852.26666666666665</v>
      </c>
    </row>
    <row r="479" spans="1:14" ht="24.75" customHeight="1" x14ac:dyDescent="0.8">
      <c r="A479" s="18" t="s">
        <v>357</v>
      </c>
      <c r="B479" s="10">
        <f ca="1">IFERROR(__xludf.DUMMYFUNCTION("GOOGLEFINANCE(A479,""PRICE"")"),1758.5)</f>
        <v>1758.5</v>
      </c>
      <c r="C479" s="11">
        <f ca="1">IFERROR(__xludf.DUMMYFUNCTION("GOOGLEFINANCE(A479,""PRICEOPEN"")"),1757.7)</f>
        <v>1757.7</v>
      </c>
      <c r="D479" s="11">
        <f ca="1">IFERROR(__xludf.DUMMYFUNCTION("GOOGLEFINANCE(A479,""HIGH"")"),1773.4)</f>
        <v>1773.4</v>
      </c>
      <c r="E479" s="11">
        <f ca="1">IFERROR(__xludf.DUMMYFUNCTION("GOOGLEFINANCE(A479,""LOW"")"),1743)</f>
        <v>1743</v>
      </c>
      <c r="F479" s="12" t="str">
        <f t="shared" ca="1" si="14"/>
        <v/>
      </c>
      <c r="G479" s="13">
        <f ca="1">IFERROR(__xludf.DUMMYFUNCTION("GOOGLEFINANCE(A479,""CLOSEYEST"")"),1754)</f>
        <v>1754</v>
      </c>
      <c r="H479" s="14" t="str">
        <f t="shared" ca="1" si="20"/>
        <v/>
      </c>
      <c r="I479" s="15">
        <f t="shared" ca="1" si="15"/>
        <v>1756.8</v>
      </c>
      <c r="J479" s="16">
        <f t="shared" ca="1" si="16"/>
        <v>1770.6</v>
      </c>
      <c r="K479" s="16"/>
      <c r="L479" s="16">
        <f t="shared" ca="1" si="17"/>
        <v>1740.1999999999998</v>
      </c>
      <c r="M479" s="16">
        <f t="shared" ca="1" si="18"/>
        <v>1787.2</v>
      </c>
      <c r="N479" s="16">
        <f t="shared" ca="1" si="19"/>
        <v>1726.3999999999999</v>
      </c>
    </row>
    <row r="480" spans="1:14" ht="24.75" customHeight="1" x14ac:dyDescent="0.8">
      <c r="A480" s="18" t="s">
        <v>835</v>
      </c>
      <c r="B480" s="10">
        <f ca="1">IFERROR(__xludf.DUMMYFUNCTION("GOOGLEFINANCE(A480,""PRICE"")"),641.3)</f>
        <v>641.29999999999995</v>
      </c>
      <c r="C480" s="11">
        <f ca="1">IFERROR(__xludf.DUMMYFUNCTION("GOOGLEFINANCE(A480,""PRICEOPEN"")"),638.9)</f>
        <v>638.9</v>
      </c>
      <c r="D480" s="11">
        <f ca="1">IFERROR(__xludf.DUMMYFUNCTION("GOOGLEFINANCE(A480,""HIGH"")"),646.5)</f>
        <v>646.5</v>
      </c>
      <c r="E480" s="11">
        <f ca="1">IFERROR(__xludf.DUMMYFUNCTION("GOOGLEFINANCE(A480,""LOW"")"),633.1)</f>
        <v>633.1</v>
      </c>
      <c r="F480" s="12" t="str">
        <f t="shared" ca="1" si="14"/>
        <v/>
      </c>
      <c r="G480" s="13">
        <f ca="1">IFERROR(__xludf.DUMMYFUNCTION("GOOGLEFINANCE(A480,""CLOSEYEST"")"),636.15)</f>
        <v>636.15</v>
      </c>
      <c r="H480" s="14" t="str">
        <f t="shared" ca="1" si="20"/>
        <v/>
      </c>
      <c r="I480" s="15">
        <f t="shared" ca="1" si="15"/>
        <v>638.58333333333337</v>
      </c>
      <c r="J480" s="16">
        <f t="shared" ca="1" si="16"/>
        <v>644.06666666666672</v>
      </c>
      <c r="K480" s="16"/>
      <c r="L480" s="16">
        <f t="shared" ca="1" si="17"/>
        <v>630.66666666666674</v>
      </c>
      <c r="M480" s="16">
        <f t="shared" ca="1" si="18"/>
        <v>651.98333333333335</v>
      </c>
      <c r="N480" s="16">
        <f t="shared" ca="1" si="19"/>
        <v>625.18333333333339</v>
      </c>
    </row>
    <row r="481" spans="1:14" ht="24.75" customHeight="1" x14ac:dyDescent="0.8">
      <c r="A481" s="18" t="s">
        <v>288</v>
      </c>
      <c r="B481" s="10">
        <f ca="1">IFERROR(__xludf.DUMMYFUNCTION("GOOGLEFINANCE(A481,""PRICE"")"),760)</f>
        <v>760</v>
      </c>
      <c r="C481" s="11">
        <f ca="1">IFERROR(__xludf.DUMMYFUNCTION("GOOGLEFINANCE(A481,""PRICEOPEN"")"),772.4)</f>
        <v>772.4</v>
      </c>
      <c r="D481" s="11">
        <f ca="1">IFERROR(__xludf.DUMMYFUNCTION("GOOGLEFINANCE(A481,""HIGH"")"),779.4)</f>
        <v>779.4</v>
      </c>
      <c r="E481" s="11">
        <f ca="1">IFERROR(__xludf.DUMMYFUNCTION("GOOGLEFINANCE(A481,""LOW"")"),754)</f>
        <v>754</v>
      </c>
      <c r="F481" s="12" t="str">
        <f t="shared" ca="1" si="14"/>
        <v/>
      </c>
      <c r="G481" s="13">
        <f ca="1">IFERROR(__xludf.DUMMYFUNCTION("GOOGLEFINANCE(A481,""CLOSEYEST"")"),772.2)</f>
        <v>772.2</v>
      </c>
      <c r="H481" s="14" t="str">
        <f t="shared" ca="1" si="20"/>
        <v/>
      </c>
      <c r="I481" s="15">
        <f t="shared" ca="1" si="15"/>
        <v>768.53333333333342</v>
      </c>
      <c r="J481" s="16">
        <f t="shared" ca="1" si="16"/>
        <v>783.06666666666683</v>
      </c>
      <c r="K481" s="16"/>
      <c r="L481" s="16">
        <f t="shared" ca="1" si="17"/>
        <v>757.66666666666686</v>
      </c>
      <c r="M481" s="16">
        <f t="shared" ca="1" si="18"/>
        <v>793.93333333333339</v>
      </c>
      <c r="N481" s="16">
        <f t="shared" ca="1" si="19"/>
        <v>743.13333333333344</v>
      </c>
    </row>
    <row r="482" spans="1:14" ht="24.75" customHeight="1" x14ac:dyDescent="0.8">
      <c r="A482" s="18" t="s">
        <v>152</v>
      </c>
      <c r="B482" s="10" t="str">
        <f ca="1">IFERROR(__xludf.DUMMYFUNCTION("GOOGLEFINANCE(A482,""PRICE"")"),"#N/A")</f>
        <v>#N/A</v>
      </c>
      <c r="C482" s="11" t="str">
        <f ca="1">IFERROR(__xludf.DUMMYFUNCTION("GOOGLEFINANCE(A482,""PRICEOPEN"")"),"#N/A")</f>
        <v>#N/A</v>
      </c>
      <c r="D482" s="11" t="str">
        <f ca="1">IFERROR(__xludf.DUMMYFUNCTION("GOOGLEFINANCE(A482,""HIGH"")"),"#N/A")</f>
        <v>#N/A</v>
      </c>
      <c r="E482" s="11" t="str">
        <f ca="1">IFERROR(__xludf.DUMMYFUNCTION("GOOGLEFINANCE(A482,""LOW"")"),"#N/A")</f>
        <v>#N/A</v>
      </c>
      <c r="F482" s="12" t="str">
        <f t="shared" ca="1" si="14"/>
        <v>SELL</v>
      </c>
      <c r="G482" s="13" t="str">
        <f ca="1">IFERROR(__xludf.DUMMYFUNCTION("GOOGLEFINANCE(A482,""CLOSEYEST"")"),"#N/A")</f>
        <v>#N/A</v>
      </c>
      <c r="H482" s="14" t="e">
        <f t="shared" ca="1" si="20"/>
        <v>#VALUE!</v>
      </c>
      <c r="I482" s="15" t="e">
        <f t="shared" ca="1" si="15"/>
        <v>#VALUE!</v>
      </c>
      <c r="J482" s="16" t="e">
        <f t="shared" ca="1" si="16"/>
        <v>#VALUE!</v>
      </c>
      <c r="K482" s="16"/>
      <c r="L482" s="16" t="e">
        <f t="shared" ca="1" si="17"/>
        <v>#VALUE!</v>
      </c>
      <c r="M482" s="16" t="e">
        <f t="shared" ca="1" si="18"/>
        <v>#VALUE!</v>
      </c>
      <c r="N482" s="16" t="e">
        <f t="shared" ca="1" si="19"/>
        <v>#VALUE!</v>
      </c>
    </row>
    <row r="483" spans="1:14" ht="24.75" customHeight="1" x14ac:dyDescent="0.8">
      <c r="A483" s="18" t="s">
        <v>1649</v>
      </c>
      <c r="B483" s="10">
        <f ca="1">IFERROR(__xludf.DUMMYFUNCTION("GOOGLEFINANCE(A483,""PRICE"")"),18.23)</f>
        <v>18.23</v>
      </c>
      <c r="C483" s="11" t="str">
        <f ca="1">IFERROR(__xludf.DUMMYFUNCTION("GOOGLEFINANCE(A483,""PRICEOPEN"")"),"#N/A")</f>
        <v>#N/A</v>
      </c>
      <c r="D483" s="11" t="str">
        <f ca="1">IFERROR(__xludf.DUMMYFUNCTION("GOOGLEFINANCE(A483,""HIGH"")"),"#N/A")</f>
        <v>#N/A</v>
      </c>
      <c r="E483" s="11" t="str">
        <f ca="1">IFERROR(__xludf.DUMMYFUNCTION("GOOGLEFINANCE(A483,""LOW"")"),"#N/A")</f>
        <v>#N/A</v>
      </c>
      <c r="F483" s="12" t="str">
        <f t="shared" ca="1" si="14"/>
        <v>SELL</v>
      </c>
      <c r="G483" s="13">
        <f ca="1">IFERROR(__xludf.DUMMYFUNCTION("GOOGLEFINANCE(A483,""CLOSEYEST"")"),18.21)</f>
        <v>18.21</v>
      </c>
      <c r="H483" s="14" t="str">
        <f t="shared" ca="1" si="20"/>
        <v>GAP UP</v>
      </c>
      <c r="I483" s="15" t="e">
        <f t="shared" ca="1" si="15"/>
        <v>#VALUE!</v>
      </c>
      <c r="J483" s="16" t="e">
        <f t="shared" ca="1" si="16"/>
        <v>#VALUE!</v>
      </c>
      <c r="K483" s="16"/>
      <c r="L483" s="16" t="e">
        <f t="shared" ca="1" si="17"/>
        <v>#VALUE!</v>
      </c>
      <c r="M483" s="16" t="e">
        <f t="shared" ca="1" si="18"/>
        <v>#VALUE!</v>
      </c>
      <c r="N483" s="16" t="e">
        <f t="shared" ca="1" si="19"/>
        <v>#VALUE!</v>
      </c>
    </row>
    <row r="484" spans="1:14" ht="24.75" customHeight="1" x14ac:dyDescent="0.8">
      <c r="A484" s="18" t="s">
        <v>75</v>
      </c>
      <c r="B484" s="10">
        <f ca="1">IFERROR(__xludf.DUMMYFUNCTION("GOOGLEFINANCE(A484,""PRICE"")"),2110)</f>
        <v>2110</v>
      </c>
      <c r="C484" s="11">
        <f ca="1">IFERROR(__xludf.DUMMYFUNCTION("GOOGLEFINANCE(A484,""PRICEOPEN"")"),2055)</f>
        <v>2055</v>
      </c>
      <c r="D484" s="11">
        <f ca="1">IFERROR(__xludf.DUMMYFUNCTION("GOOGLEFINANCE(A484,""HIGH"")"),2120)</f>
        <v>2120</v>
      </c>
      <c r="E484" s="11">
        <f ca="1">IFERROR(__xludf.DUMMYFUNCTION("GOOGLEFINANCE(A484,""LOW"")"),2050)</f>
        <v>2050</v>
      </c>
      <c r="F484" s="12" t="str">
        <f t="shared" ca="1" si="14"/>
        <v/>
      </c>
      <c r="G484" s="13">
        <f ca="1">IFERROR(__xludf.DUMMYFUNCTION("GOOGLEFINANCE(A484,""CLOSEYEST"")"),2075)</f>
        <v>2075</v>
      </c>
      <c r="H484" s="14" t="str">
        <f t="shared" ca="1" si="20"/>
        <v/>
      </c>
      <c r="I484" s="15">
        <f t="shared" ca="1" si="15"/>
        <v>2081.6666666666665</v>
      </c>
      <c r="J484" s="16">
        <f t="shared" ca="1" si="16"/>
        <v>2113.333333333333</v>
      </c>
      <c r="K484" s="16"/>
      <c r="L484" s="16">
        <f t="shared" ca="1" si="17"/>
        <v>2043.333333333333</v>
      </c>
      <c r="M484" s="16">
        <f t="shared" ca="1" si="18"/>
        <v>2151.6666666666665</v>
      </c>
      <c r="N484" s="16">
        <f t="shared" ca="1" si="19"/>
        <v>2011.6666666666665</v>
      </c>
    </row>
    <row r="485" spans="1:14" ht="24.75" customHeight="1" x14ac:dyDescent="0.8">
      <c r="A485" s="18" t="s">
        <v>476</v>
      </c>
      <c r="B485" s="10">
        <f ca="1">IFERROR(__xludf.DUMMYFUNCTION("GOOGLEFINANCE(A485,""PRICE"")"),358.9)</f>
        <v>358.9</v>
      </c>
      <c r="C485" s="11">
        <f ca="1">IFERROR(__xludf.DUMMYFUNCTION("GOOGLEFINANCE(A485,""PRICEOPEN"")"),338)</f>
        <v>338</v>
      </c>
      <c r="D485" s="11">
        <f ca="1">IFERROR(__xludf.DUMMYFUNCTION("GOOGLEFINANCE(A485,""HIGH"")"),363.9)</f>
        <v>363.9</v>
      </c>
      <c r="E485" s="11">
        <f ca="1">IFERROR(__xludf.DUMMYFUNCTION("GOOGLEFINANCE(A485,""LOW"")"),336.65)</f>
        <v>336.65</v>
      </c>
      <c r="F485" s="12" t="str">
        <f t="shared" ca="1" si="14"/>
        <v/>
      </c>
      <c r="G485" s="13">
        <f ca="1">IFERROR(__xludf.DUMMYFUNCTION("GOOGLEFINANCE(A485,""CLOSEYEST"")"),335.2)</f>
        <v>335.2</v>
      </c>
      <c r="H485" s="14" t="str">
        <f t="shared" ca="1" si="20"/>
        <v/>
      </c>
      <c r="I485" s="15">
        <f t="shared" ca="1" si="15"/>
        <v>345.25</v>
      </c>
      <c r="J485" s="16">
        <f t="shared" ca="1" si="16"/>
        <v>353.85</v>
      </c>
      <c r="K485" s="16"/>
      <c r="L485" s="16">
        <f t="shared" ca="1" si="17"/>
        <v>326.60000000000002</v>
      </c>
      <c r="M485" s="16">
        <f t="shared" ca="1" si="18"/>
        <v>372.5</v>
      </c>
      <c r="N485" s="16">
        <f t="shared" ca="1" si="19"/>
        <v>318</v>
      </c>
    </row>
    <row r="486" spans="1:14" ht="24.75" customHeight="1" x14ac:dyDescent="0.8">
      <c r="A486" s="18" t="s">
        <v>1650</v>
      </c>
      <c r="B486" s="10">
        <f ca="1">IFERROR(__xludf.DUMMYFUNCTION("GOOGLEFINANCE(A486,""PRICE"")"),0)</f>
        <v>0</v>
      </c>
      <c r="C486" s="11" t="str">
        <f ca="1">IFERROR(__xludf.DUMMYFUNCTION("GOOGLEFINANCE(A486,""PRICEOPEN"")"),"#N/A")</f>
        <v>#N/A</v>
      </c>
      <c r="D486" s="11" t="str">
        <f ca="1">IFERROR(__xludf.DUMMYFUNCTION("GOOGLEFINANCE(A486,""HIGH"")"),"#N/A")</f>
        <v>#N/A</v>
      </c>
      <c r="E486" s="11" t="str">
        <f ca="1">IFERROR(__xludf.DUMMYFUNCTION("GOOGLEFINANCE(A486,""LOW"")"),"#N/A")</f>
        <v>#N/A</v>
      </c>
      <c r="F486" s="12" t="str">
        <f t="shared" ca="1" si="14"/>
        <v>SELL</v>
      </c>
      <c r="G486" s="13">
        <f ca="1">IFERROR(__xludf.DUMMYFUNCTION("GOOGLEFINANCE(A486,""CLOSEYEST"")"),0)</f>
        <v>0</v>
      </c>
      <c r="H486" s="14" t="str">
        <f t="shared" ca="1" si="20"/>
        <v>GAP UP</v>
      </c>
      <c r="I486" s="15" t="e">
        <f t="shared" ca="1" si="15"/>
        <v>#VALUE!</v>
      </c>
      <c r="J486" s="16" t="e">
        <f t="shared" ca="1" si="16"/>
        <v>#VALUE!</v>
      </c>
      <c r="K486" s="16"/>
      <c r="L486" s="16" t="e">
        <f t="shared" ca="1" si="17"/>
        <v>#VALUE!</v>
      </c>
      <c r="M486" s="16" t="e">
        <f t="shared" ca="1" si="18"/>
        <v>#VALUE!</v>
      </c>
      <c r="N486" s="16" t="e">
        <f t="shared" ca="1" si="19"/>
        <v>#VALUE!</v>
      </c>
    </row>
    <row r="487" spans="1:14" ht="24.75" customHeight="1" x14ac:dyDescent="0.8">
      <c r="A487" s="18" t="s">
        <v>161</v>
      </c>
      <c r="B487" s="10">
        <f ca="1">IFERROR(__xludf.DUMMYFUNCTION("GOOGLEFINANCE(A487,""PRICE"")"),57.56)</f>
        <v>57.56</v>
      </c>
      <c r="C487" s="11">
        <f ca="1">IFERROR(__xludf.DUMMYFUNCTION("GOOGLEFINANCE(A487,""PRICEOPEN"")"),56.85)</f>
        <v>56.85</v>
      </c>
      <c r="D487" s="11">
        <f ca="1">IFERROR(__xludf.DUMMYFUNCTION("GOOGLEFINANCE(A487,""HIGH"")"),57.58)</f>
        <v>57.58</v>
      </c>
      <c r="E487" s="11">
        <f ca="1">IFERROR(__xludf.DUMMYFUNCTION("GOOGLEFINANCE(A487,""LOW"")"),56.72)</f>
        <v>56.72</v>
      </c>
      <c r="F487" s="12" t="str">
        <f t="shared" ca="1" si="14"/>
        <v/>
      </c>
      <c r="G487" s="13">
        <f ca="1">IFERROR(__xludf.DUMMYFUNCTION("GOOGLEFINANCE(A487,""CLOSEYEST"")"),56.85)</f>
        <v>56.85</v>
      </c>
      <c r="H487" s="14" t="str">
        <f t="shared" ca="1" si="20"/>
        <v/>
      </c>
      <c r="I487" s="15">
        <f t="shared" ca="1" si="15"/>
        <v>57.050000000000004</v>
      </c>
      <c r="J487" s="16">
        <f t="shared" ca="1" si="16"/>
        <v>57.38000000000001</v>
      </c>
      <c r="K487" s="16"/>
      <c r="L487" s="16">
        <f t="shared" ca="1" si="17"/>
        <v>56.52000000000001</v>
      </c>
      <c r="M487" s="16">
        <f t="shared" ca="1" si="18"/>
        <v>57.910000000000004</v>
      </c>
      <c r="N487" s="16">
        <f t="shared" ca="1" si="19"/>
        <v>56.190000000000005</v>
      </c>
    </row>
    <row r="488" spans="1:14" ht="24.75" customHeight="1" x14ac:dyDescent="0.8">
      <c r="A488" s="18" t="s">
        <v>141</v>
      </c>
      <c r="B488" s="10">
        <f ca="1">IFERROR(__xludf.DUMMYFUNCTION("GOOGLEFINANCE(A488,""PRICE"")"),616.05)</f>
        <v>616.04999999999995</v>
      </c>
      <c r="C488" s="11">
        <f ca="1">IFERROR(__xludf.DUMMYFUNCTION("GOOGLEFINANCE(A488,""PRICEOPEN"")"),618.1)</f>
        <v>618.1</v>
      </c>
      <c r="D488" s="11">
        <f ca="1">IFERROR(__xludf.DUMMYFUNCTION("GOOGLEFINANCE(A488,""HIGH"")"),624.4)</f>
        <v>624.4</v>
      </c>
      <c r="E488" s="11">
        <f ca="1">IFERROR(__xludf.DUMMYFUNCTION("GOOGLEFINANCE(A488,""LOW"")"),603.8)</f>
        <v>603.79999999999995</v>
      </c>
      <c r="F488" s="12" t="str">
        <f t="shared" ca="1" si="14"/>
        <v/>
      </c>
      <c r="G488" s="13">
        <f ca="1">IFERROR(__xludf.DUMMYFUNCTION("GOOGLEFINANCE(A488,""CLOSEYEST"")"),610.15)</f>
        <v>610.15</v>
      </c>
      <c r="H488" s="14" t="str">
        <f t="shared" ca="1" si="20"/>
        <v>GAP UP</v>
      </c>
      <c r="I488" s="15">
        <f t="shared" ca="1" si="15"/>
        <v>612.7833333333333</v>
      </c>
      <c r="J488" s="16">
        <f t="shared" ca="1" si="16"/>
        <v>621.76666666666665</v>
      </c>
      <c r="K488" s="16"/>
      <c r="L488" s="16">
        <f t="shared" ca="1" si="17"/>
        <v>601.16666666666663</v>
      </c>
      <c r="M488" s="16">
        <f t="shared" ca="1" si="18"/>
        <v>633.38333333333333</v>
      </c>
      <c r="N488" s="16">
        <f t="shared" ca="1" si="19"/>
        <v>592.18333333333328</v>
      </c>
    </row>
    <row r="489" spans="1:14" ht="24.75" customHeight="1" x14ac:dyDescent="0.8">
      <c r="A489" s="18" t="s">
        <v>1651</v>
      </c>
      <c r="B489" s="10">
        <f ca="1">IFERROR(__xludf.DUMMYFUNCTION("GOOGLEFINANCE(A489,""PRICE"")"),1545.6)</f>
        <v>1545.6</v>
      </c>
      <c r="C489" s="11">
        <f ca="1">IFERROR(__xludf.DUMMYFUNCTION("GOOGLEFINANCE(A489,""PRICEOPEN"")"),1559)</f>
        <v>1559</v>
      </c>
      <c r="D489" s="11">
        <f ca="1">IFERROR(__xludf.DUMMYFUNCTION("GOOGLEFINANCE(A489,""HIGH"")"),1563.8)</f>
        <v>1563.8</v>
      </c>
      <c r="E489" s="11">
        <f ca="1">IFERROR(__xludf.DUMMYFUNCTION("GOOGLEFINANCE(A489,""LOW"")"),1537)</f>
        <v>1537</v>
      </c>
      <c r="F489" s="12" t="str">
        <f t="shared" ca="1" si="14"/>
        <v/>
      </c>
      <c r="G489" s="13">
        <f ca="1">IFERROR(__xludf.DUMMYFUNCTION("GOOGLEFINANCE(A489,""CLOSEYEST"")"),1558)</f>
        <v>1558</v>
      </c>
      <c r="H489" s="14" t="str">
        <f t="shared" ca="1" si="20"/>
        <v/>
      </c>
      <c r="I489" s="15">
        <f t="shared" ca="1" si="15"/>
        <v>1552.9333333333334</v>
      </c>
      <c r="J489" s="16">
        <f t="shared" ca="1" si="16"/>
        <v>1568.8666666666668</v>
      </c>
      <c r="K489" s="16"/>
      <c r="L489" s="16">
        <f t="shared" ca="1" si="17"/>
        <v>1542.0666666666668</v>
      </c>
      <c r="M489" s="16">
        <f t="shared" ca="1" si="18"/>
        <v>1579.7333333333333</v>
      </c>
      <c r="N489" s="16">
        <f t="shared" ca="1" si="19"/>
        <v>1526.1333333333334</v>
      </c>
    </row>
    <row r="490" spans="1:14" ht="24.75" customHeight="1" x14ac:dyDescent="0.8">
      <c r="A490" s="18" t="s">
        <v>506</v>
      </c>
      <c r="B490" s="10">
        <f ca="1">IFERROR(__xludf.DUMMYFUNCTION("GOOGLEFINANCE(A490,""PRICE"")"),253.5)</f>
        <v>253.5</v>
      </c>
      <c r="C490" s="11">
        <f ca="1">IFERROR(__xludf.DUMMYFUNCTION("GOOGLEFINANCE(A490,""PRICEOPEN"")"),253.7)</f>
        <v>253.7</v>
      </c>
      <c r="D490" s="11">
        <f ca="1">IFERROR(__xludf.DUMMYFUNCTION("GOOGLEFINANCE(A490,""HIGH"")"),255)</f>
        <v>255</v>
      </c>
      <c r="E490" s="11">
        <f ca="1">IFERROR(__xludf.DUMMYFUNCTION("GOOGLEFINANCE(A490,""LOW"")"),251.51)</f>
        <v>251.51</v>
      </c>
      <c r="F490" s="12" t="str">
        <f t="shared" ca="1" si="14"/>
        <v/>
      </c>
      <c r="G490" s="13">
        <f ca="1">IFERROR(__xludf.DUMMYFUNCTION("GOOGLEFINANCE(A490,""CLOSEYEST"")"),251.8)</f>
        <v>251.8</v>
      </c>
      <c r="H490" s="14" t="str">
        <f t="shared" ca="1" si="20"/>
        <v/>
      </c>
      <c r="I490" s="15">
        <f t="shared" ca="1" si="15"/>
        <v>252.76999999999998</v>
      </c>
      <c r="J490" s="16">
        <f t="shared" ca="1" si="16"/>
        <v>254.02999999999997</v>
      </c>
      <c r="K490" s="16"/>
      <c r="L490" s="16">
        <f t="shared" ca="1" si="17"/>
        <v>250.53999999999996</v>
      </c>
      <c r="M490" s="16">
        <f t="shared" ca="1" si="18"/>
        <v>256.26</v>
      </c>
      <c r="N490" s="16">
        <f t="shared" ca="1" si="19"/>
        <v>249.27999999999997</v>
      </c>
    </row>
    <row r="491" spans="1:14" ht="24.75" customHeight="1" x14ac:dyDescent="0.8">
      <c r="A491" s="18" t="s">
        <v>1652</v>
      </c>
      <c r="B491" s="10">
        <f ca="1">IFERROR(__xludf.DUMMYFUNCTION("GOOGLEFINANCE(A491,""PRICE"")"),20.82)</f>
        <v>20.82</v>
      </c>
      <c r="C491" s="11">
        <f ca="1">IFERROR(__xludf.DUMMYFUNCTION("GOOGLEFINANCE(A491,""PRICEOPEN"")"),20.48)</f>
        <v>20.48</v>
      </c>
      <c r="D491" s="11">
        <f ca="1">IFERROR(__xludf.DUMMYFUNCTION("GOOGLEFINANCE(A491,""HIGH"")"),20.82)</f>
        <v>20.82</v>
      </c>
      <c r="E491" s="11">
        <f ca="1">IFERROR(__xludf.DUMMYFUNCTION("GOOGLEFINANCE(A491,""LOW"")"),20.48)</f>
        <v>20.48</v>
      </c>
      <c r="F491" s="12" t="str">
        <f t="shared" ca="1" si="14"/>
        <v>BUY</v>
      </c>
      <c r="G491" s="13">
        <f ca="1">IFERROR(__xludf.DUMMYFUNCTION("GOOGLEFINANCE(A491,""CLOSEYEST"")"),20.5)</f>
        <v>20.5</v>
      </c>
      <c r="H491" s="14" t="str">
        <f t="shared" ca="1" si="20"/>
        <v/>
      </c>
      <c r="I491" s="15">
        <f t="shared" ca="1" si="15"/>
        <v>20.599999999999998</v>
      </c>
      <c r="J491" s="16">
        <f t="shared" ca="1" si="16"/>
        <v>20.719999999999995</v>
      </c>
      <c r="K491" s="16"/>
      <c r="L491" s="16">
        <f t="shared" ca="1" si="17"/>
        <v>20.379999999999995</v>
      </c>
      <c r="M491" s="16">
        <f t="shared" ca="1" si="18"/>
        <v>20.939999999999998</v>
      </c>
      <c r="N491" s="16">
        <f t="shared" ca="1" si="19"/>
        <v>20.259999999999998</v>
      </c>
    </row>
    <row r="492" spans="1:14" ht="24.75" customHeight="1" x14ac:dyDescent="0.8">
      <c r="A492" s="18" t="s">
        <v>395</v>
      </c>
      <c r="B492" s="10">
        <f ca="1">IFERROR(__xludf.DUMMYFUNCTION("GOOGLEFINANCE(A492,""PRICE"")"),506.25)</f>
        <v>506.25</v>
      </c>
      <c r="C492" s="11">
        <f ca="1">IFERROR(__xludf.DUMMYFUNCTION("GOOGLEFINANCE(A492,""PRICEOPEN"")"),497.6)</f>
        <v>497.6</v>
      </c>
      <c r="D492" s="11">
        <f ca="1">IFERROR(__xludf.DUMMYFUNCTION("GOOGLEFINANCE(A492,""HIGH"")"),507)</f>
        <v>507</v>
      </c>
      <c r="E492" s="11">
        <f ca="1">IFERROR(__xludf.DUMMYFUNCTION("GOOGLEFINANCE(A492,""LOW"")"),497.6)</f>
        <v>497.6</v>
      </c>
      <c r="F492" s="12" t="str">
        <f t="shared" ca="1" si="14"/>
        <v>BUY</v>
      </c>
      <c r="G492" s="13">
        <f ca="1">IFERROR(__xludf.DUMMYFUNCTION("GOOGLEFINANCE(A492,""CLOSEYEST"")"),496.6)</f>
        <v>496.6</v>
      </c>
      <c r="H492" s="14" t="str">
        <f t="shared" ca="1" si="20"/>
        <v/>
      </c>
      <c r="I492" s="15">
        <f t="shared" ca="1" si="15"/>
        <v>500.40000000000003</v>
      </c>
      <c r="J492" s="16">
        <f t="shared" ca="1" si="16"/>
        <v>503.20000000000005</v>
      </c>
      <c r="K492" s="16"/>
      <c r="L492" s="16">
        <f t="shared" ca="1" si="17"/>
        <v>493.80000000000007</v>
      </c>
      <c r="M492" s="16">
        <f t="shared" ca="1" si="18"/>
        <v>509.8</v>
      </c>
      <c r="N492" s="16">
        <f t="shared" ca="1" si="19"/>
        <v>491.00000000000006</v>
      </c>
    </row>
    <row r="493" spans="1:14" ht="24.75" customHeight="1" x14ac:dyDescent="0.8">
      <c r="A493" s="18" t="s">
        <v>219</v>
      </c>
      <c r="B493" s="10">
        <f ca="1">IFERROR(__xludf.DUMMYFUNCTION("GOOGLEFINANCE(A493,""PRICE"")"),8.14)</f>
        <v>8.14</v>
      </c>
      <c r="C493" s="11">
        <f ca="1">IFERROR(__xludf.DUMMYFUNCTION("GOOGLEFINANCE(A493,""PRICEOPEN"")"),8.12)</f>
        <v>8.1199999999999992</v>
      </c>
      <c r="D493" s="11">
        <f ca="1">IFERROR(__xludf.DUMMYFUNCTION("GOOGLEFINANCE(A493,""HIGH"")"),8.17)</f>
        <v>8.17</v>
      </c>
      <c r="E493" s="11">
        <f ca="1">IFERROR(__xludf.DUMMYFUNCTION("GOOGLEFINANCE(A493,""LOW"")"),8.04)</f>
        <v>8.0399999999999991</v>
      </c>
      <c r="F493" s="12" t="str">
        <f t="shared" ca="1" si="14"/>
        <v/>
      </c>
      <c r="G493" s="13">
        <f ca="1">IFERROR(__xludf.DUMMYFUNCTION("GOOGLEFINANCE(A493,""CLOSEYEST"")"),8.12)</f>
        <v>8.1199999999999992</v>
      </c>
      <c r="H493" s="14" t="str">
        <f t="shared" ca="1" si="20"/>
        <v/>
      </c>
      <c r="I493" s="15">
        <f t="shared" ca="1" si="15"/>
        <v>8.11</v>
      </c>
      <c r="J493" s="16">
        <f t="shared" ca="1" si="16"/>
        <v>8.18</v>
      </c>
      <c r="K493" s="16"/>
      <c r="L493" s="16">
        <f t="shared" ca="1" si="17"/>
        <v>8.0499999999999989</v>
      </c>
      <c r="M493" s="16">
        <f t="shared" ca="1" si="18"/>
        <v>8.24</v>
      </c>
      <c r="N493" s="16">
        <f t="shared" ca="1" si="19"/>
        <v>7.9799999999999986</v>
      </c>
    </row>
    <row r="494" spans="1:14" ht="24.75" customHeight="1" x14ac:dyDescent="0.8">
      <c r="A494" s="18" t="s">
        <v>63</v>
      </c>
      <c r="B494" s="10">
        <f ca="1">IFERROR(__xludf.DUMMYFUNCTION("GOOGLEFINANCE(A494,""PRICE"")"),83.86)</f>
        <v>83.86</v>
      </c>
      <c r="C494" s="11">
        <f ca="1">IFERROR(__xludf.DUMMYFUNCTION("GOOGLEFINANCE(A494,""PRICEOPEN"")"),83.06)</f>
        <v>83.06</v>
      </c>
      <c r="D494" s="11">
        <f ca="1">IFERROR(__xludf.DUMMYFUNCTION("GOOGLEFINANCE(A494,""HIGH"")"),84.18)</f>
        <v>84.18</v>
      </c>
      <c r="E494" s="11">
        <f ca="1">IFERROR(__xludf.DUMMYFUNCTION("GOOGLEFINANCE(A494,""LOW"")"),82.89)</f>
        <v>82.89</v>
      </c>
      <c r="F494" s="12" t="str">
        <f t="shared" ca="1" si="14"/>
        <v/>
      </c>
      <c r="G494" s="13">
        <f ca="1">IFERROR(__xludf.DUMMYFUNCTION("GOOGLEFINANCE(A494,""CLOSEYEST"")"),83.18)</f>
        <v>83.18</v>
      </c>
      <c r="H494" s="14" t="str">
        <f t="shared" ca="1" si="20"/>
        <v/>
      </c>
      <c r="I494" s="15">
        <f t="shared" ca="1" si="15"/>
        <v>83.416666666666671</v>
      </c>
      <c r="J494" s="16">
        <f t="shared" ca="1" si="16"/>
        <v>83.943333333333342</v>
      </c>
      <c r="K494" s="16"/>
      <c r="L494" s="16">
        <f t="shared" ca="1" si="17"/>
        <v>82.653333333333336</v>
      </c>
      <c r="M494" s="16">
        <f t="shared" ca="1" si="18"/>
        <v>84.706666666666678</v>
      </c>
      <c r="N494" s="16">
        <f t="shared" ca="1" si="19"/>
        <v>82.126666666666665</v>
      </c>
    </row>
    <row r="495" spans="1:14" ht="24.75" customHeight="1" x14ac:dyDescent="0.8">
      <c r="A495" s="18" t="s">
        <v>510</v>
      </c>
      <c r="B495" s="10">
        <f ca="1">IFERROR(__xludf.DUMMYFUNCTION("GOOGLEFINANCE(A495,""PRICE"")"),254.3)</f>
        <v>254.3</v>
      </c>
      <c r="C495" s="11">
        <f ca="1">IFERROR(__xludf.DUMMYFUNCTION("GOOGLEFINANCE(A495,""PRICEOPEN"")"),255.05)</f>
        <v>255.05</v>
      </c>
      <c r="D495" s="11">
        <f ca="1">IFERROR(__xludf.DUMMYFUNCTION("GOOGLEFINANCE(A495,""HIGH"")"),257.5)</f>
        <v>257.5</v>
      </c>
      <c r="E495" s="11">
        <f ca="1">IFERROR(__xludf.DUMMYFUNCTION("GOOGLEFINANCE(A495,""LOW"")"),252)</f>
        <v>252</v>
      </c>
      <c r="F495" s="12" t="str">
        <f t="shared" ca="1" si="14"/>
        <v/>
      </c>
      <c r="G495" s="13">
        <f ca="1">IFERROR(__xludf.DUMMYFUNCTION("GOOGLEFINANCE(A495,""CLOSEYEST"")"),255)</f>
        <v>255</v>
      </c>
      <c r="H495" s="14" t="str">
        <f t="shared" ca="1" si="20"/>
        <v/>
      </c>
      <c r="I495" s="15">
        <f t="shared" ca="1" si="15"/>
        <v>254.83333333333334</v>
      </c>
      <c r="J495" s="16">
        <f t="shared" ca="1" si="16"/>
        <v>257.66666666666669</v>
      </c>
      <c r="K495" s="16"/>
      <c r="L495" s="16">
        <f t="shared" ca="1" si="17"/>
        <v>252.16666666666669</v>
      </c>
      <c r="M495" s="16">
        <f t="shared" ca="1" si="18"/>
        <v>260.33333333333337</v>
      </c>
      <c r="N495" s="16">
        <f t="shared" ca="1" si="19"/>
        <v>249.33333333333334</v>
      </c>
    </row>
    <row r="496" spans="1:14" ht="24.75" customHeight="1" x14ac:dyDescent="0.8">
      <c r="A496" s="18" t="s">
        <v>166</v>
      </c>
      <c r="B496" s="10">
        <f ca="1">IFERROR(__xludf.DUMMYFUNCTION("GOOGLEFINANCE(A496,""PRICE"")"),109.4)</f>
        <v>109.4</v>
      </c>
      <c r="C496" s="11">
        <f ca="1">IFERROR(__xludf.DUMMYFUNCTION("GOOGLEFINANCE(A496,""PRICEOPEN"")"),105.4)</f>
        <v>105.4</v>
      </c>
      <c r="D496" s="11">
        <f ca="1">IFERROR(__xludf.DUMMYFUNCTION("GOOGLEFINANCE(A496,""HIGH"")"),110.9)</f>
        <v>110.9</v>
      </c>
      <c r="E496" s="11">
        <f ca="1">IFERROR(__xludf.DUMMYFUNCTION("GOOGLEFINANCE(A496,""LOW"")"),105.39)</f>
        <v>105.39</v>
      </c>
      <c r="F496" s="12" t="str">
        <f t="shared" ca="1" si="14"/>
        <v/>
      </c>
      <c r="G496" s="13">
        <f ca="1">IFERROR(__xludf.DUMMYFUNCTION("GOOGLEFINANCE(A496,""CLOSEYEST"")"),105.41)</f>
        <v>105.41</v>
      </c>
      <c r="H496" s="14" t="str">
        <f t="shared" ca="1" si="20"/>
        <v/>
      </c>
      <c r="I496" s="15">
        <f t="shared" ca="1" si="15"/>
        <v>107.23333333333335</v>
      </c>
      <c r="J496" s="16">
        <f t="shared" ca="1" si="16"/>
        <v>109.0766666666667</v>
      </c>
      <c r="K496" s="16"/>
      <c r="L496" s="16">
        <f t="shared" ca="1" si="17"/>
        <v>103.56666666666669</v>
      </c>
      <c r="M496" s="16">
        <f t="shared" ca="1" si="18"/>
        <v>112.74333333333335</v>
      </c>
      <c r="N496" s="16">
        <f t="shared" ca="1" si="19"/>
        <v>101.72333333333334</v>
      </c>
    </row>
    <row r="497" spans="1:14" ht="24.75" customHeight="1" x14ac:dyDescent="0.8">
      <c r="A497" s="18" t="s">
        <v>1653</v>
      </c>
      <c r="B497" s="10">
        <f ca="1">IFERROR(__xludf.DUMMYFUNCTION("GOOGLEFINANCE(A497,""PRICE"")"),6120)</f>
        <v>6120</v>
      </c>
      <c r="C497" s="11">
        <f ca="1">IFERROR(__xludf.DUMMYFUNCTION("GOOGLEFINANCE(A497,""PRICEOPEN"")"),6106)</f>
        <v>6106</v>
      </c>
      <c r="D497" s="11">
        <f ca="1">IFERROR(__xludf.DUMMYFUNCTION("GOOGLEFINANCE(A497,""HIGH"")"),6170)</f>
        <v>6170</v>
      </c>
      <c r="E497" s="11">
        <f ca="1">IFERROR(__xludf.DUMMYFUNCTION("GOOGLEFINANCE(A497,""LOW"")"),6066)</f>
        <v>6066</v>
      </c>
      <c r="F497" s="12" t="str">
        <f t="shared" ca="1" si="14"/>
        <v/>
      </c>
      <c r="G497" s="13">
        <f ca="1">IFERROR(__xludf.DUMMYFUNCTION("GOOGLEFINANCE(A497,""CLOSEYEST"")"),6106)</f>
        <v>6106</v>
      </c>
      <c r="H497" s="14" t="str">
        <f t="shared" ca="1" si="20"/>
        <v/>
      </c>
      <c r="I497" s="15">
        <f t="shared" ca="1" si="15"/>
        <v>6114</v>
      </c>
      <c r="J497" s="16">
        <f t="shared" ca="1" si="16"/>
        <v>6162</v>
      </c>
      <c r="K497" s="16"/>
      <c r="L497" s="16">
        <f t="shared" ca="1" si="17"/>
        <v>6058</v>
      </c>
      <c r="M497" s="16">
        <f t="shared" ca="1" si="18"/>
        <v>6218</v>
      </c>
      <c r="N497" s="16">
        <f t="shared" ca="1" si="19"/>
        <v>6010</v>
      </c>
    </row>
    <row r="498" spans="1:14" ht="24.75" customHeight="1" x14ac:dyDescent="0.8">
      <c r="A498" s="18" t="s">
        <v>64</v>
      </c>
      <c r="B498" s="10">
        <f ca="1">IFERROR(__xludf.DUMMYFUNCTION("GOOGLEFINANCE(A498,""PRICE"")"),2031)</f>
        <v>2031</v>
      </c>
      <c r="C498" s="11">
        <f ca="1">IFERROR(__xludf.DUMMYFUNCTION("GOOGLEFINANCE(A498,""PRICEOPEN"")"),2060)</f>
        <v>2060</v>
      </c>
      <c r="D498" s="11">
        <f ca="1">IFERROR(__xludf.DUMMYFUNCTION("GOOGLEFINANCE(A498,""HIGH"")"),2067)</f>
        <v>2067</v>
      </c>
      <c r="E498" s="11">
        <f ca="1">IFERROR(__xludf.DUMMYFUNCTION("GOOGLEFINANCE(A498,""LOW"")"),1995.1)</f>
        <v>1995.1</v>
      </c>
      <c r="F498" s="12" t="str">
        <f t="shared" ca="1" si="14"/>
        <v/>
      </c>
      <c r="G498" s="13">
        <f ca="1">IFERROR(__xludf.DUMMYFUNCTION("GOOGLEFINANCE(A498,""CLOSEYEST"")"),2058.5)</f>
        <v>2058.5</v>
      </c>
      <c r="H498" s="14" t="str">
        <f t="shared" ca="1" si="20"/>
        <v/>
      </c>
      <c r="I498" s="15">
        <f t="shared" ca="1" si="15"/>
        <v>2040.2</v>
      </c>
      <c r="J498" s="16">
        <f t="shared" ca="1" si="16"/>
        <v>2085.3000000000002</v>
      </c>
      <c r="K498" s="16"/>
      <c r="L498" s="16">
        <f t="shared" ca="1" si="17"/>
        <v>2013.4</v>
      </c>
      <c r="M498" s="16">
        <f t="shared" ca="1" si="18"/>
        <v>2112.1000000000004</v>
      </c>
      <c r="N498" s="16">
        <f t="shared" ca="1" si="19"/>
        <v>1968.3</v>
      </c>
    </row>
    <row r="499" spans="1:14" ht="24.75" customHeight="1" x14ac:dyDescent="0.8">
      <c r="A499" s="18" t="s">
        <v>801</v>
      </c>
      <c r="B499" s="10">
        <f ca="1">IFERROR(__xludf.DUMMYFUNCTION("GOOGLEFINANCE(A499,""PRICE"")"),45.86)</f>
        <v>45.86</v>
      </c>
      <c r="C499" s="11" t="str">
        <f ca="1">IFERROR(__xludf.DUMMYFUNCTION("GOOGLEFINANCE(A499,""PRICEOPEN"")"),"#N/A")</f>
        <v>#N/A</v>
      </c>
      <c r="D499" s="11" t="str">
        <f ca="1">IFERROR(__xludf.DUMMYFUNCTION("GOOGLEFINANCE(A499,""HIGH"")"),"#N/A")</f>
        <v>#N/A</v>
      </c>
      <c r="E499" s="11">
        <f ca="1">IFERROR(__xludf.DUMMYFUNCTION("GOOGLEFINANCE(A499,""LOW"")"),45.68)</f>
        <v>45.68</v>
      </c>
      <c r="F499" s="12" t="str">
        <f t="shared" ca="1" si="14"/>
        <v>SELL</v>
      </c>
      <c r="G499" s="13">
        <f ca="1">IFERROR(__xludf.DUMMYFUNCTION("GOOGLEFINANCE(A499,""CLOSEYEST"")"),45.3)</f>
        <v>45.3</v>
      </c>
      <c r="H499" s="14" t="str">
        <f t="shared" ca="1" si="20"/>
        <v>GAP UP</v>
      </c>
      <c r="I499" s="15" t="e">
        <f t="shared" ca="1" si="15"/>
        <v>#VALUE!</v>
      </c>
      <c r="J499" s="16" t="e">
        <f t="shared" ca="1" si="16"/>
        <v>#VALUE!</v>
      </c>
      <c r="K499" s="16"/>
      <c r="L499" s="16" t="e">
        <f t="shared" ca="1" si="17"/>
        <v>#VALUE!</v>
      </c>
      <c r="M499" s="16" t="e">
        <f t="shared" ca="1" si="18"/>
        <v>#VALUE!</v>
      </c>
      <c r="N499" s="16" t="e">
        <f t="shared" ca="1" si="19"/>
        <v>#VALUE!</v>
      </c>
    </row>
    <row r="500" spans="1:14" ht="24.75" customHeight="1" x14ac:dyDescent="0.8">
      <c r="A500" s="18" t="s">
        <v>334</v>
      </c>
      <c r="B500" s="10">
        <f ca="1">IFERROR(__xludf.DUMMYFUNCTION("GOOGLEFINANCE(A500,""PRICE"")"),0.17)</f>
        <v>0.17</v>
      </c>
      <c r="C500" s="11">
        <f ca="1">IFERROR(__xludf.DUMMYFUNCTION("GOOGLEFINANCE(A500,""PRICEOPEN"")"),0.17)</f>
        <v>0.17</v>
      </c>
      <c r="D500" s="11">
        <f ca="1">IFERROR(__xludf.DUMMYFUNCTION("GOOGLEFINANCE(A500,""HIGH"")"),0.17)</f>
        <v>0.17</v>
      </c>
      <c r="E500" s="11">
        <f ca="1">IFERROR(__xludf.DUMMYFUNCTION("GOOGLEFINANCE(A500,""LOW"")"),0.16)</f>
        <v>0.16</v>
      </c>
      <c r="F500" s="12" t="str">
        <f t="shared" ca="1" si="14"/>
        <v>SELL</v>
      </c>
      <c r="G500" s="13">
        <f ca="1">IFERROR(__xludf.DUMMYFUNCTION("GOOGLEFINANCE(A500,""CLOSEYEST"")"),0.17)</f>
        <v>0.17</v>
      </c>
      <c r="H500" s="14" t="str">
        <f t="shared" ca="1" si="20"/>
        <v/>
      </c>
      <c r="I500" s="15">
        <f t="shared" ca="1" si="15"/>
        <v>0.16666666666666666</v>
      </c>
      <c r="J500" s="16">
        <f t="shared" ca="1" si="16"/>
        <v>0.17333333333333331</v>
      </c>
      <c r="K500" s="16"/>
      <c r="L500" s="16">
        <f t="shared" ca="1" si="17"/>
        <v>0.1633333333333333</v>
      </c>
      <c r="M500" s="16">
        <f t="shared" ca="1" si="18"/>
        <v>0.17666666666666667</v>
      </c>
      <c r="N500" s="16">
        <f t="shared" ca="1" si="19"/>
        <v>0.15666666666666665</v>
      </c>
    </row>
    <row r="501" spans="1:14" ht="24.75" customHeight="1" x14ac:dyDescent="0.8">
      <c r="A501" s="18" t="s">
        <v>1654</v>
      </c>
      <c r="B501" s="10">
        <f ca="1">IFERROR(__xludf.DUMMYFUNCTION("GOOGLEFINANCE(A501,""PRICE"")"),475.8)</f>
        <v>475.8</v>
      </c>
      <c r="C501" s="11">
        <f ca="1">IFERROR(__xludf.DUMMYFUNCTION("GOOGLEFINANCE(A501,""PRICEOPEN"")"),466.8)</f>
        <v>466.8</v>
      </c>
      <c r="D501" s="11">
        <f ca="1">IFERROR(__xludf.DUMMYFUNCTION("GOOGLEFINANCE(A501,""HIGH"")"),484.8)</f>
        <v>484.8</v>
      </c>
      <c r="E501" s="11">
        <f ca="1">IFERROR(__xludf.DUMMYFUNCTION("GOOGLEFINANCE(A501,""LOW"")"),464.3)</f>
        <v>464.3</v>
      </c>
      <c r="F501" s="12" t="str">
        <f t="shared" ca="1" si="14"/>
        <v/>
      </c>
      <c r="G501" s="13">
        <f ca="1">IFERROR(__xludf.DUMMYFUNCTION("GOOGLEFINANCE(A501,""CLOSEYEST"")"),463.9)</f>
        <v>463.9</v>
      </c>
      <c r="H501" s="14" t="str">
        <f t="shared" ca="1" si="20"/>
        <v/>
      </c>
      <c r="I501" s="15">
        <f t="shared" ca="1" si="15"/>
        <v>471</v>
      </c>
      <c r="J501" s="16">
        <f t="shared" ca="1" si="16"/>
        <v>477.7</v>
      </c>
      <c r="K501" s="16"/>
      <c r="L501" s="16">
        <f t="shared" ca="1" si="17"/>
        <v>457.2</v>
      </c>
      <c r="M501" s="16">
        <f t="shared" ca="1" si="18"/>
        <v>491.5</v>
      </c>
      <c r="N501" s="16">
        <f t="shared" ca="1" si="19"/>
        <v>450.5</v>
      </c>
    </row>
    <row r="502" spans="1:14" ht="24.75" customHeight="1" x14ac:dyDescent="0.8">
      <c r="A502" s="18" t="s">
        <v>354</v>
      </c>
      <c r="B502" s="10">
        <f ca="1">IFERROR(__xludf.DUMMYFUNCTION("GOOGLEFINANCE(A502,""PRICE"")"),348.05)</f>
        <v>348.05</v>
      </c>
      <c r="C502" s="11">
        <f ca="1">IFERROR(__xludf.DUMMYFUNCTION("GOOGLEFINANCE(A502,""PRICEOPEN"")"),352)</f>
        <v>352</v>
      </c>
      <c r="D502" s="11">
        <f ca="1">IFERROR(__xludf.DUMMYFUNCTION("GOOGLEFINANCE(A502,""HIGH"")"),354.95)</f>
        <v>354.95</v>
      </c>
      <c r="E502" s="11">
        <f ca="1">IFERROR(__xludf.DUMMYFUNCTION("GOOGLEFINANCE(A502,""LOW"")"),344.15)</f>
        <v>344.15</v>
      </c>
      <c r="F502" s="12" t="str">
        <f t="shared" ca="1" si="14"/>
        <v/>
      </c>
      <c r="G502" s="13">
        <f ca="1">IFERROR(__xludf.DUMMYFUNCTION("GOOGLEFINANCE(A502,""CLOSEYEST"")"),343.7)</f>
        <v>343.7</v>
      </c>
      <c r="H502" s="14" t="str">
        <f t="shared" ca="1" si="20"/>
        <v>GAP UP</v>
      </c>
      <c r="I502" s="15">
        <f t="shared" ca="1" si="15"/>
        <v>347.59999999999997</v>
      </c>
      <c r="J502" s="16">
        <f t="shared" ca="1" si="16"/>
        <v>351.04999999999995</v>
      </c>
      <c r="K502" s="16"/>
      <c r="L502" s="16">
        <f t="shared" ca="1" si="17"/>
        <v>340.24999999999994</v>
      </c>
      <c r="M502" s="16">
        <f t="shared" ca="1" si="18"/>
        <v>358.4</v>
      </c>
      <c r="N502" s="16">
        <f t="shared" ca="1" si="19"/>
        <v>336.79999999999995</v>
      </c>
    </row>
    <row r="503" spans="1:14" ht="24.75" customHeight="1" x14ac:dyDescent="0.8">
      <c r="A503" s="18" t="s">
        <v>466</v>
      </c>
      <c r="B503" s="10">
        <f ca="1">IFERROR(__xludf.DUMMYFUNCTION("GOOGLEFINANCE(A503,""PRICE"")"),15.48)</f>
        <v>15.48</v>
      </c>
      <c r="C503" s="11">
        <f ca="1">IFERROR(__xludf.DUMMYFUNCTION("GOOGLEFINANCE(A503,""PRICEOPEN"")"),15.48)</f>
        <v>15.48</v>
      </c>
      <c r="D503" s="11">
        <f ca="1">IFERROR(__xludf.DUMMYFUNCTION("GOOGLEFINANCE(A503,""HIGH"")"),15.53)</f>
        <v>15.53</v>
      </c>
      <c r="E503" s="11">
        <f ca="1">IFERROR(__xludf.DUMMYFUNCTION("GOOGLEFINANCE(A503,""LOW"")"),15.48)</f>
        <v>15.48</v>
      </c>
      <c r="F503" s="12" t="str">
        <f t="shared" ca="1" si="14"/>
        <v>BUY</v>
      </c>
      <c r="G503" s="13">
        <f ca="1">IFERROR(__xludf.DUMMYFUNCTION("GOOGLEFINANCE(A503,""CLOSEYEST"")"),15.49)</f>
        <v>15.49</v>
      </c>
      <c r="H503" s="14" t="str">
        <f t="shared" ca="1" si="20"/>
        <v/>
      </c>
      <c r="I503" s="15">
        <f t="shared" ca="1" si="15"/>
        <v>15.5</v>
      </c>
      <c r="J503" s="16">
        <f t="shared" ca="1" si="16"/>
        <v>15.52</v>
      </c>
      <c r="K503" s="16"/>
      <c r="L503" s="16">
        <f t="shared" ca="1" si="17"/>
        <v>15.47</v>
      </c>
      <c r="M503" s="16">
        <f t="shared" ca="1" si="18"/>
        <v>15.549999999999999</v>
      </c>
      <c r="N503" s="16">
        <f t="shared" ca="1" si="19"/>
        <v>15.450000000000001</v>
      </c>
    </row>
    <row r="504" spans="1:14" ht="24.75" customHeight="1" x14ac:dyDescent="0.8">
      <c r="A504" s="18" t="s">
        <v>467</v>
      </c>
      <c r="B504" s="10">
        <f ca="1">IFERROR(__xludf.DUMMYFUNCTION("GOOGLEFINANCE(A504,""PRICE"")"),3406)</f>
        <v>3406</v>
      </c>
      <c r="C504" s="11">
        <f ca="1">IFERROR(__xludf.DUMMYFUNCTION("GOOGLEFINANCE(A504,""PRICEOPEN"")"),3385)</f>
        <v>3385</v>
      </c>
      <c r="D504" s="11">
        <f ca="1">IFERROR(__xludf.DUMMYFUNCTION("GOOGLEFINANCE(A504,""HIGH"")"),3442.5)</f>
        <v>3442.5</v>
      </c>
      <c r="E504" s="11">
        <f ca="1">IFERROR(__xludf.DUMMYFUNCTION("GOOGLEFINANCE(A504,""LOW"")"),3342.7)</f>
        <v>3342.7</v>
      </c>
      <c r="F504" s="12" t="str">
        <f t="shared" ca="1" si="14"/>
        <v/>
      </c>
      <c r="G504" s="13">
        <f ca="1">IFERROR(__xludf.DUMMYFUNCTION("GOOGLEFINANCE(A504,""CLOSEYEST"")"),3376.5)</f>
        <v>3376.5</v>
      </c>
      <c r="H504" s="14" t="str">
        <f t="shared" ca="1" si="20"/>
        <v/>
      </c>
      <c r="I504" s="15">
        <f t="shared" ca="1" si="15"/>
        <v>3387.2333333333336</v>
      </c>
      <c r="J504" s="16">
        <f t="shared" ca="1" si="16"/>
        <v>3431.7666666666673</v>
      </c>
      <c r="K504" s="16"/>
      <c r="L504" s="16">
        <f t="shared" ca="1" si="17"/>
        <v>3331.9666666666672</v>
      </c>
      <c r="M504" s="16">
        <f t="shared" ca="1" si="18"/>
        <v>3487.0333333333338</v>
      </c>
      <c r="N504" s="16">
        <f t="shared" ca="1" si="19"/>
        <v>3287.4333333333334</v>
      </c>
    </row>
    <row r="505" spans="1:14" ht="24.75" customHeight="1" x14ac:dyDescent="0.8">
      <c r="A505" s="18" t="s">
        <v>468</v>
      </c>
      <c r="B505" s="10">
        <f ca="1">IFERROR(__xludf.DUMMYFUNCTION("GOOGLEFINANCE(A505,""PRICE"")"),1039.4)</f>
        <v>1039.4000000000001</v>
      </c>
      <c r="C505" s="11">
        <f ca="1">IFERROR(__xludf.DUMMYFUNCTION("GOOGLEFINANCE(A505,""PRICEOPEN"")"),1036)</f>
        <v>1036</v>
      </c>
      <c r="D505" s="11">
        <f ca="1">IFERROR(__xludf.DUMMYFUNCTION("GOOGLEFINANCE(A505,""HIGH"")"),1061.8)</f>
        <v>1061.8</v>
      </c>
      <c r="E505" s="11">
        <f ca="1">IFERROR(__xludf.DUMMYFUNCTION("GOOGLEFINANCE(A505,""LOW"")"),1026.8)</f>
        <v>1026.8</v>
      </c>
      <c r="F505" s="12" t="str">
        <f t="shared" ca="1" si="14"/>
        <v/>
      </c>
      <c r="G505" s="13">
        <f ca="1">IFERROR(__xludf.DUMMYFUNCTION("GOOGLEFINANCE(A505,""CLOSEYEST"")"),1028.1)</f>
        <v>1028.0999999999999</v>
      </c>
      <c r="H505" s="14" t="str">
        <f t="shared" ca="1" si="20"/>
        <v/>
      </c>
      <c r="I505" s="15">
        <f t="shared" ca="1" si="15"/>
        <v>1038.8999999999999</v>
      </c>
      <c r="J505" s="16">
        <f t="shared" ca="1" si="16"/>
        <v>1050.9999999999998</v>
      </c>
      <c r="K505" s="16"/>
      <c r="L505" s="16">
        <f t="shared" ca="1" si="17"/>
        <v>1015.9999999999998</v>
      </c>
      <c r="M505" s="16">
        <f t="shared" ca="1" si="18"/>
        <v>1073.8999999999999</v>
      </c>
      <c r="N505" s="16">
        <f t="shared" ca="1" si="19"/>
        <v>1003.8999999999999</v>
      </c>
    </row>
    <row r="506" spans="1:14" ht="24.75" customHeight="1" x14ac:dyDescent="0.8">
      <c r="A506" s="18" t="s">
        <v>469</v>
      </c>
      <c r="B506" s="10">
        <f ca="1">IFERROR(__xludf.DUMMYFUNCTION("GOOGLEFINANCE(A506,""PRICE"")"),351.4)</f>
        <v>351.4</v>
      </c>
      <c r="C506" s="11">
        <f ca="1">IFERROR(__xludf.DUMMYFUNCTION("GOOGLEFINANCE(A506,""PRICEOPEN"")"),339.3)</f>
        <v>339.3</v>
      </c>
      <c r="D506" s="11">
        <f ca="1">IFERROR(__xludf.DUMMYFUNCTION("GOOGLEFINANCE(A506,""HIGH"")"),351.7)</f>
        <v>351.7</v>
      </c>
      <c r="E506" s="11">
        <f ca="1">IFERROR(__xludf.DUMMYFUNCTION("GOOGLEFINANCE(A506,""LOW"")"),337.7)</f>
        <v>337.7</v>
      </c>
      <c r="F506" s="12" t="str">
        <f t="shared" ca="1" si="14"/>
        <v/>
      </c>
      <c r="G506" s="13">
        <f ca="1">IFERROR(__xludf.DUMMYFUNCTION("GOOGLEFINANCE(A506,""CLOSEYEST"")"),339.25)</f>
        <v>339.25</v>
      </c>
      <c r="H506" s="14" t="str">
        <f t="shared" ca="1" si="20"/>
        <v/>
      </c>
      <c r="I506" s="15">
        <f t="shared" ca="1" si="15"/>
        <v>342.88333333333338</v>
      </c>
      <c r="J506" s="16">
        <f t="shared" ca="1" si="16"/>
        <v>348.06666666666678</v>
      </c>
      <c r="K506" s="16"/>
      <c r="L506" s="16">
        <f t="shared" ca="1" si="17"/>
        <v>334.06666666666678</v>
      </c>
      <c r="M506" s="16">
        <f t="shared" ca="1" si="18"/>
        <v>356.88333333333338</v>
      </c>
      <c r="N506" s="16">
        <f t="shared" ca="1" si="19"/>
        <v>328.88333333333338</v>
      </c>
    </row>
    <row r="507" spans="1:14" ht="24.75" customHeight="1" x14ac:dyDescent="0.8">
      <c r="A507" s="18" t="s">
        <v>470</v>
      </c>
      <c r="B507" s="10">
        <f ca="1">IFERROR(__xludf.DUMMYFUNCTION("GOOGLEFINANCE(A507,""PRICE"")"),1052)</f>
        <v>1052</v>
      </c>
      <c r="C507" s="11">
        <f ca="1">IFERROR(__xludf.DUMMYFUNCTION("GOOGLEFINANCE(A507,""PRICEOPEN"")"),1053.5)</f>
        <v>1053.5</v>
      </c>
      <c r="D507" s="11">
        <f ca="1">IFERROR(__xludf.DUMMYFUNCTION("GOOGLEFINANCE(A507,""HIGH"")"),1059.1)</f>
        <v>1059.0999999999999</v>
      </c>
      <c r="E507" s="11">
        <f ca="1">IFERROR(__xludf.DUMMYFUNCTION("GOOGLEFINANCE(A507,""LOW"")"),1040)</f>
        <v>1040</v>
      </c>
      <c r="F507" s="12" t="str">
        <f t="shared" ca="1" si="14"/>
        <v/>
      </c>
      <c r="G507" s="13">
        <f ca="1">IFERROR(__xludf.DUMMYFUNCTION("GOOGLEFINANCE(A507,""CLOSEYEST"")"),1053.7)</f>
        <v>1053.7</v>
      </c>
      <c r="H507" s="14" t="str">
        <f t="shared" ca="1" si="20"/>
        <v/>
      </c>
      <c r="I507" s="15">
        <f t="shared" ca="1" si="15"/>
        <v>1050.9333333333334</v>
      </c>
      <c r="J507" s="16">
        <f t="shared" ca="1" si="16"/>
        <v>1061.8666666666668</v>
      </c>
      <c r="K507" s="16"/>
      <c r="L507" s="16">
        <f t="shared" ca="1" si="17"/>
        <v>1042.7666666666669</v>
      </c>
      <c r="M507" s="16">
        <f t="shared" ca="1" si="18"/>
        <v>1070.0333333333333</v>
      </c>
      <c r="N507" s="16">
        <f t="shared" ca="1" si="19"/>
        <v>1031.8333333333335</v>
      </c>
    </row>
    <row r="508" spans="1:14" ht="24.75" customHeight="1" x14ac:dyDescent="0.8">
      <c r="A508" s="18" t="s">
        <v>471</v>
      </c>
      <c r="B508" s="10">
        <f ca="1">IFERROR(__xludf.DUMMYFUNCTION("GOOGLEFINANCE(A508,""PRICE"")"),1565)</f>
        <v>1565</v>
      </c>
      <c r="C508" s="11">
        <f ca="1">IFERROR(__xludf.DUMMYFUNCTION("GOOGLEFINANCE(A508,""PRICEOPEN"")"),1549.1)</f>
        <v>1549.1</v>
      </c>
      <c r="D508" s="11">
        <f ca="1">IFERROR(__xludf.DUMMYFUNCTION("GOOGLEFINANCE(A508,""HIGH"")"),1581.1)</f>
        <v>1581.1</v>
      </c>
      <c r="E508" s="11">
        <f ca="1">IFERROR(__xludf.DUMMYFUNCTION("GOOGLEFINANCE(A508,""LOW"")"),1531.6)</f>
        <v>1531.6</v>
      </c>
      <c r="F508" s="12" t="str">
        <f t="shared" ca="1" si="14"/>
        <v/>
      </c>
      <c r="G508" s="13">
        <f ca="1">IFERROR(__xludf.DUMMYFUNCTION("GOOGLEFINANCE(A508,""CLOSEYEST"")"),1547.1)</f>
        <v>1547.1</v>
      </c>
      <c r="H508" s="14" t="str">
        <f t="shared" ca="1" si="20"/>
        <v/>
      </c>
      <c r="I508" s="15">
        <f t="shared" ca="1" si="15"/>
        <v>1553.2666666666664</v>
      </c>
      <c r="J508" s="16">
        <f t="shared" ca="1" si="16"/>
        <v>1574.9333333333329</v>
      </c>
      <c r="K508" s="16"/>
      <c r="L508" s="16">
        <f t="shared" ca="1" si="17"/>
        <v>1525.4333333333329</v>
      </c>
      <c r="M508" s="16">
        <f t="shared" ca="1" si="18"/>
        <v>1602.7666666666664</v>
      </c>
      <c r="N508" s="16">
        <f t="shared" ca="1" si="19"/>
        <v>1503.7666666666664</v>
      </c>
    </row>
    <row r="509" spans="1:14" ht="24.75" customHeight="1" x14ac:dyDescent="0.8">
      <c r="A509" s="18" t="s">
        <v>472</v>
      </c>
      <c r="B509" s="10">
        <f ca="1">IFERROR(__xludf.DUMMYFUNCTION("GOOGLEFINANCE(A509,""PRICE"")"),524.45)</f>
        <v>524.45000000000005</v>
      </c>
      <c r="C509" s="11">
        <f ca="1">IFERROR(__xludf.DUMMYFUNCTION("GOOGLEFINANCE(A509,""PRICEOPEN"")"),526)</f>
        <v>526</v>
      </c>
      <c r="D509" s="11">
        <f ca="1">IFERROR(__xludf.DUMMYFUNCTION("GOOGLEFINANCE(A509,""HIGH"")"),528.45)</f>
        <v>528.45000000000005</v>
      </c>
      <c r="E509" s="11">
        <f ca="1">IFERROR(__xludf.DUMMYFUNCTION("GOOGLEFINANCE(A509,""LOW"")"),520.1)</f>
        <v>520.1</v>
      </c>
      <c r="F509" s="12" t="str">
        <f t="shared" ca="1" si="14"/>
        <v/>
      </c>
      <c r="G509" s="13">
        <f ca="1">IFERROR(__xludf.DUMMYFUNCTION("GOOGLEFINANCE(A509,""CLOSEYEST"")"),523.6)</f>
        <v>523.6</v>
      </c>
      <c r="H509" s="14" t="str">
        <f t="shared" ca="1" si="20"/>
        <v/>
      </c>
      <c r="I509" s="15">
        <f t="shared" ca="1" si="15"/>
        <v>524.05000000000007</v>
      </c>
      <c r="J509" s="16">
        <f t="shared" ca="1" si="16"/>
        <v>528.00000000000011</v>
      </c>
      <c r="K509" s="16"/>
      <c r="L509" s="16">
        <f t="shared" ca="1" si="17"/>
        <v>519.65000000000009</v>
      </c>
      <c r="M509" s="16">
        <f t="shared" ca="1" si="18"/>
        <v>532.40000000000009</v>
      </c>
      <c r="N509" s="16">
        <f t="shared" ca="1" si="19"/>
        <v>515.70000000000005</v>
      </c>
    </row>
    <row r="510" spans="1:14" ht="24.75" customHeight="1" x14ac:dyDescent="0.8">
      <c r="A510" s="18" t="s">
        <v>473</v>
      </c>
      <c r="B510" s="10">
        <f ca="1">IFERROR(__xludf.DUMMYFUNCTION("GOOGLEFINANCE(A510,""PRICE"")"),28.57)</f>
        <v>28.57</v>
      </c>
      <c r="C510" s="11">
        <f ca="1">IFERROR(__xludf.DUMMYFUNCTION("GOOGLEFINANCE(A510,""PRICEOPEN"")"),29)</f>
        <v>29</v>
      </c>
      <c r="D510" s="11">
        <f ca="1">IFERROR(__xludf.DUMMYFUNCTION("GOOGLEFINANCE(A510,""HIGH"")"),29.24)</f>
        <v>29.24</v>
      </c>
      <c r="E510" s="11">
        <f ca="1">IFERROR(__xludf.DUMMYFUNCTION("GOOGLEFINANCE(A510,""LOW"")"),28.47)</f>
        <v>28.47</v>
      </c>
      <c r="F510" s="12" t="str">
        <f t="shared" ca="1" si="14"/>
        <v/>
      </c>
      <c r="G510" s="13">
        <f ca="1">IFERROR(__xludf.DUMMYFUNCTION("GOOGLEFINANCE(A510,""CLOSEYEST"")"),28.85)</f>
        <v>28.85</v>
      </c>
      <c r="H510" s="14" t="str">
        <f t="shared" ca="1" si="20"/>
        <v/>
      </c>
      <c r="I510" s="15">
        <f t="shared" ca="1" si="15"/>
        <v>28.853333333333335</v>
      </c>
      <c r="J510" s="16">
        <f t="shared" ca="1" si="16"/>
        <v>29.236666666666672</v>
      </c>
      <c r="K510" s="16"/>
      <c r="L510" s="16">
        <f t="shared" ca="1" si="17"/>
        <v>28.466666666666672</v>
      </c>
      <c r="M510" s="16">
        <f t="shared" ca="1" si="18"/>
        <v>29.623333333333335</v>
      </c>
      <c r="N510" s="16">
        <f t="shared" ca="1" si="19"/>
        <v>28.083333333333336</v>
      </c>
    </row>
    <row r="511" spans="1:14" ht="24.75" customHeight="1" x14ac:dyDescent="0.8">
      <c r="A511" s="18" t="s">
        <v>474</v>
      </c>
      <c r="B511" s="10">
        <f ca="1">IFERROR(__xludf.DUMMYFUNCTION("GOOGLEFINANCE(A511,""PRICE"")"),1179)</f>
        <v>1179</v>
      </c>
      <c r="C511" s="11">
        <f ca="1">IFERROR(__xludf.DUMMYFUNCTION("GOOGLEFINANCE(A511,""PRICEOPEN"")"),1150)</f>
        <v>1150</v>
      </c>
      <c r="D511" s="11">
        <f ca="1">IFERROR(__xludf.DUMMYFUNCTION("GOOGLEFINANCE(A511,""HIGH"")"),1190.9)</f>
        <v>1190.9000000000001</v>
      </c>
      <c r="E511" s="11">
        <f ca="1">IFERROR(__xludf.DUMMYFUNCTION("GOOGLEFINANCE(A511,""LOW"")"),1132.5)</f>
        <v>1132.5</v>
      </c>
      <c r="F511" s="12" t="str">
        <f t="shared" ca="1" si="14"/>
        <v/>
      </c>
      <c r="G511" s="13">
        <f ca="1">IFERROR(__xludf.DUMMYFUNCTION("GOOGLEFINANCE(A511,""CLOSEYEST"")"),1148.8)</f>
        <v>1148.8</v>
      </c>
      <c r="H511" s="14" t="str">
        <f t="shared" ca="1" si="20"/>
        <v/>
      </c>
      <c r="I511" s="15">
        <f t="shared" ca="1" si="15"/>
        <v>1157.3999999999999</v>
      </c>
      <c r="J511" s="16">
        <f t="shared" ca="1" si="16"/>
        <v>1182.2999999999997</v>
      </c>
      <c r="K511" s="16"/>
      <c r="L511" s="16">
        <f t="shared" ca="1" si="17"/>
        <v>1123.8999999999996</v>
      </c>
      <c r="M511" s="16">
        <f t="shared" ca="1" si="18"/>
        <v>1215.8</v>
      </c>
      <c r="N511" s="16">
        <f t="shared" ca="1" si="19"/>
        <v>1098.9999999999998</v>
      </c>
    </row>
    <row r="512" spans="1:14" ht="24.75" customHeight="1" x14ac:dyDescent="0.8">
      <c r="A512" s="18" t="s">
        <v>475</v>
      </c>
      <c r="B512" s="10" t="str">
        <f ca="1">IFERROR(__xludf.DUMMYFUNCTION("GOOGLEFINANCE(A512,""PRICE"")"),"#N/A")</f>
        <v>#N/A</v>
      </c>
      <c r="C512" s="11" t="str">
        <f ca="1">IFERROR(__xludf.DUMMYFUNCTION("GOOGLEFINANCE(A512,""PRICEOPEN"")"),"#N/A")</f>
        <v>#N/A</v>
      </c>
      <c r="D512" s="11" t="str">
        <f ca="1">IFERROR(__xludf.DUMMYFUNCTION("GOOGLEFINANCE(A512,""HIGH"")"),"#N/A")</f>
        <v>#N/A</v>
      </c>
      <c r="E512" s="11" t="str">
        <f ca="1">IFERROR(__xludf.DUMMYFUNCTION("GOOGLEFINANCE(A512,""LOW"")"),"#N/A")</f>
        <v>#N/A</v>
      </c>
      <c r="F512" s="12" t="str">
        <f t="shared" ca="1" si="14"/>
        <v>SELL</v>
      </c>
      <c r="G512" s="13" t="str">
        <f ca="1">IFERROR(__xludf.DUMMYFUNCTION("GOOGLEFINANCE(A512,""CLOSEYEST"")"),"#N/A")</f>
        <v>#N/A</v>
      </c>
      <c r="H512" s="14" t="e">
        <f t="shared" ca="1" si="20"/>
        <v>#VALUE!</v>
      </c>
      <c r="I512" s="15" t="e">
        <f t="shared" ca="1" si="15"/>
        <v>#VALUE!</v>
      </c>
      <c r="J512" s="16" t="e">
        <f t="shared" ca="1" si="16"/>
        <v>#VALUE!</v>
      </c>
      <c r="K512" s="16"/>
      <c r="L512" s="16" t="e">
        <f t="shared" ca="1" si="17"/>
        <v>#VALUE!</v>
      </c>
      <c r="M512" s="16" t="e">
        <f t="shared" ca="1" si="18"/>
        <v>#VALUE!</v>
      </c>
      <c r="N512" s="16" t="e">
        <f t="shared" ca="1" si="19"/>
        <v>#VALUE!</v>
      </c>
    </row>
    <row r="513" spans="1:14" ht="24.75" customHeight="1" x14ac:dyDescent="0.8">
      <c r="A513" s="18" t="s">
        <v>476</v>
      </c>
      <c r="B513" s="10">
        <f ca="1">IFERROR(__xludf.DUMMYFUNCTION("GOOGLEFINANCE(A513,""PRICE"")"),1010.5)</f>
        <v>1010.5</v>
      </c>
      <c r="C513" s="11">
        <f ca="1">IFERROR(__xludf.DUMMYFUNCTION("GOOGLEFINANCE(A513,""PRICEOPEN"")"),1022)</f>
        <v>1022</v>
      </c>
      <c r="D513" s="11">
        <f ca="1">IFERROR(__xludf.DUMMYFUNCTION("GOOGLEFINANCE(A513,""HIGH"")"),1027.45)</f>
        <v>1027.45</v>
      </c>
      <c r="E513" s="11">
        <f ca="1">IFERROR(__xludf.DUMMYFUNCTION("GOOGLEFINANCE(A513,""LOW"")"),1005.1)</f>
        <v>1005.1</v>
      </c>
      <c r="F513" s="12" t="str">
        <f t="shared" ca="1" si="14"/>
        <v/>
      </c>
      <c r="G513" s="13">
        <f ca="1">IFERROR(__xludf.DUMMYFUNCTION("GOOGLEFINANCE(A513,""CLOSEYEST"")"),1003.7)</f>
        <v>1003.7</v>
      </c>
      <c r="H513" s="14" t="str">
        <f t="shared" ca="1" si="20"/>
        <v>GAP UP</v>
      </c>
      <c r="I513" s="15">
        <f t="shared" ca="1" si="15"/>
        <v>1012.0833333333334</v>
      </c>
      <c r="J513" s="16">
        <f t="shared" ca="1" si="16"/>
        <v>1019.0666666666667</v>
      </c>
      <c r="K513" s="16"/>
      <c r="L513" s="16">
        <f t="shared" ca="1" si="17"/>
        <v>996.7166666666667</v>
      </c>
      <c r="M513" s="16">
        <f t="shared" ca="1" si="18"/>
        <v>1034.4333333333334</v>
      </c>
      <c r="N513" s="16">
        <f t="shared" ca="1" si="19"/>
        <v>989.73333333333335</v>
      </c>
    </row>
    <row r="514" spans="1:14" ht="24.75" customHeight="1" x14ac:dyDescent="0.8">
      <c r="A514" s="18" t="s">
        <v>477</v>
      </c>
      <c r="B514" s="10">
        <f ca="1">IFERROR(__xludf.DUMMYFUNCTION("GOOGLEFINANCE(A514,""PRICE"")"),2886)</f>
        <v>2886</v>
      </c>
      <c r="C514" s="11">
        <f ca="1">IFERROR(__xludf.DUMMYFUNCTION("GOOGLEFINANCE(A514,""PRICEOPEN"")"),2841)</f>
        <v>2841</v>
      </c>
      <c r="D514" s="11">
        <f ca="1">IFERROR(__xludf.DUMMYFUNCTION("GOOGLEFINANCE(A514,""HIGH"")"),2890)</f>
        <v>2890</v>
      </c>
      <c r="E514" s="11">
        <f ca="1">IFERROR(__xludf.DUMMYFUNCTION("GOOGLEFINANCE(A514,""LOW"")"),2829.3)</f>
        <v>2829.3</v>
      </c>
      <c r="F514" s="12" t="str">
        <f t="shared" ca="1" si="14"/>
        <v/>
      </c>
      <c r="G514" s="13">
        <f ca="1">IFERROR(__xludf.DUMMYFUNCTION("GOOGLEFINANCE(A514,""CLOSEYEST"")"),2841.6)</f>
        <v>2841.6</v>
      </c>
      <c r="H514" s="14" t="str">
        <f t="shared" ca="1" si="20"/>
        <v/>
      </c>
      <c r="I514" s="15">
        <f t="shared" ca="1" si="15"/>
        <v>2853.6333333333332</v>
      </c>
      <c r="J514" s="16">
        <f t="shared" ca="1" si="16"/>
        <v>2877.9666666666662</v>
      </c>
      <c r="K514" s="16"/>
      <c r="L514" s="16">
        <f t="shared" ca="1" si="17"/>
        <v>2817.2666666666664</v>
      </c>
      <c r="M514" s="16">
        <f t="shared" ca="1" si="18"/>
        <v>2914.333333333333</v>
      </c>
      <c r="N514" s="16">
        <f t="shared" ca="1" si="19"/>
        <v>2792.9333333333334</v>
      </c>
    </row>
    <row r="515" spans="1:14" ht="24.75" customHeight="1" x14ac:dyDescent="0.8">
      <c r="A515" s="18" t="s">
        <v>478</v>
      </c>
      <c r="B515" s="10" t="str">
        <f ca="1">IFERROR(__xludf.DUMMYFUNCTION("GOOGLEFINANCE(A515,""PRICE"")"),"#N/A")</f>
        <v>#N/A</v>
      </c>
      <c r="C515" s="11" t="str">
        <f ca="1">IFERROR(__xludf.DUMMYFUNCTION("GOOGLEFINANCE(A515,""PRICEOPEN"")"),"#N/A")</f>
        <v>#N/A</v>
      </c>
      <c r="D515" s="11" t="str">
        <f ca="1">IFERROR(__xludf.DUMMYFUNCTION("GOOGLEFINANCE(A515,""HIGH"")"),"#N/A")</f>
        <v>#N/A</v>
      </c>
      <c r="E515" s="11" t="str">
        <f ca="1">IFERROR(__xludf.DUMMYFUNCTION("GOOGLEFINANCE(A515,""LOW"")"),"#N/A")</f>
        <v>#N/A</v>
      </c>
      <c r="F515" s="12" t="str">
        <f t="shared" ca="1" si="14"/>
        <v>SELL</v>
      </c>
      <c r="G515" s="13" t="str">
        <f ca="1">IFERROR(__xludf.DUMMYFUNCTION("GOOGLEFINANCE(A515,""CLOSEYEST"")"),"#N/A")</f>
        <v>#N/A</v>
      </c>
      <c r="H515" s="14" t="e">
        <f t="shared" ca="1" si="20"/>
        <v>#VALUE!</v>
      </c>
      <c r="I515" s="15" t="e">
        <f t="shared" ca="1" si="15"/>
        <v>#VALUE!</v>
      </c>
      <c r="J515" s="16" t="e">
        <f t="shared" ca="1" si="16"/>
        <v>#VALUE!</v>
      </c>
      <c r="K515" s="16"/>
      <c r="L515" s="16" t="e">
        <f t="shared" ca="1" si="17"/>
        <v>#VALUE!</v>
      </c>
      <c r="M515" s="16" t="e">
        <f t="shared" ca="1" si="18"/>
        <v>#VALUE!</v>
      </c>
      <c r="N515" s="16" t="e">
        <f t="shared" ca="1" si="19"/>
        <v>#VALUE!</v>
      </c>
    </row>
    <row r="516" spans="1:14" ht="24.75" customHeight="1" x14ac:dyDescent="0.8">
      <c r="A516" s="18" t="s">
        <v>479</v>
      </c>
      <c r="B516" s="10">
        <f ca="1">IFERROR(__xludf.DUMMYFUNCTION("GOOGLEFINANCE(A516,""PRICE"")"),16.75)</f>
        <v>16.75</v>
      </c>
      <c r="C516" s="11">
        <f ca="1">IFERROR(__xludf.DUMMYFUNCTION("GOOGLEFINANCE(A516,""PRICEOPEN"")"),16.45)</f>
        <v>16.45</v>
      </c>
      <c r="D516" s="11">
        <f ca="1">IFERROR(__xludf.DUMMYFUNCTION("GOOGLEFINANCE(A516,""HIGH"")"),16.8)</f>
        <v>16.8</v>
      </c>
      <c r="E516" s="11">
        <f ca="1">IFERROR(__xludf.DUMMYFUNCTION("GOOGLEFINANCE(A516,""LOW"")"),16.44)</f>
        <v>16.440000000000001</v>
      </c>
      <c r="F516" s="12" t="str">
        <f t="shared" ca="1" si="14"/>
        <v/>
      </c>
      <c r="G516" s="13">
        <f ca="1">IFERROR(__xludf.DUMMYFUNCTION("GOOGLEFINANCE(A516,""CLOSEYEST"")"),16.45)</f>
        <v>16.45</v>
      </c>
      <c r="H516" s="14" t="str">
        <f t="shared" ca="1" si="20"/>
        <v/>
      </c>
      <c r="I516" s="15">
        <f t="shared" ca="1" si="15"/>
        <v>16.563333333333333</v>
      </c>
      <c r="J516" s="16">
        <f t="shared" ca="1" si="16"/>
        <v>16.686666666666664</v>
      </c>
      <c r="K516" s="16"/>
      <c r="L516" s="16">
        <f t="shared" ca="1" si="17"/>
        <v>16.326666666666664</v>
      </c>
      <c r="M516" s="16">
        <f t="shared" ca="1" si="18"/>
        <v>16.923333333333332</v>
      </c>
      <c r="N516" s="16">
        <f t="shared" ca="1" si="19"/>
        <v>16.203333333333333</v>
      </c>
    </row>
    <row r="517" spans="1:14" ht="24.75" customHeight="1" x14ac:dyDescent="0.8">
      <c r="A517" s="18" t="s">
        <v>480</v>
      </c>
      <c r="B517" s="10">
        <f ca="1">IFERROR(__xludf.DUMMYFUNCTION("GOOGLEFINANCE(A517,""PRICE"")"),313.2)</f>
        <v>313.2</v>
      </c>
      <c r="C517" s="11">
        <f ca="1">IFERROR(__xludf.DUMMYFUNCTION("GOOGLEFINANCE(A517,""PRICEOPEN"")"),313.1)</f>
        <v>313.10000000000002</v>
      </c>
      <c r="D517" s="11">
        <f ca="1">IFERROR(__xludf.DUMMYFUNCTION("GOOGLEFINANCE(A517,""HIGH"")"),313.75)</f>
        <v>313.75</v>
      </c>
      <c r="E517" s="11">
        <f ca="1">IFERROR(__xludf.DUMMYFUNCTION("GOOGLEFINANCE(A517,""LOW"")"),303)</f>
        <v>303</v>
      </c>
      <c r="F517" s="12" t="str">
        <f t="shared" ca="1" si="14"/>
        <v/>
      </c>
      <c r="G517" s="13">
        <f ca="1">IFERROR(__xludf.DUMMYFUNCTION("GOOGLEFINANCE(A517,""CLOSEYEST"")"),309.2)</f>
        <v>309.2</v>
      </c>
      <c r="H517" s="14" t="str">
        <f t="shared" ca="1" si="20"/>
        <v>GAP UP</v>
      </c>
      <c r="I517" s="15">
        <f t="shared" ca="1" si="15"/>
        <v>308.65000000000003</v>
      </c>
      <c r="J517" s="16">
        <f t="shared" ca="1" si="16"/>
        <v>314.30000000000007</v>
      </c>
      <c r="K517" s="16"/>
      <c r="L517" s="16">
        <f t="shared" ca="1" si="17"/>
        <v>303.55000000000007</v>
      </c>
      <c r="M517" s="16">
        <f t="shared" ca="1" si="18"/>
        <v>319.40000000000003</v>
      </c>
      <c r="N517" s="16">
        <f t="shared" ca="1" si="19"/>
        <v>297.90000000000003</v>
      </c>
    </row>
    <row r="518" spans="1:14" ht="24.75" customHeight="1" x14ac:dyDescent="0.8">
      <c r="A518" s="18" t="s">
        <v>481</v>
      </c>
      <c r="B518" s="10">
        <f ca="1">IFERROR(__xludf.DUMMYFUNCTION("GOOGLEFINANCE(A518,""PRICE"")"),300)</f>
        <v>300</v>
      </c>
      <c r="C518" s="11">
        <f ca="1">IFERROR(__xludf.DUMMYFUNCTION("GOOGLEFINANCE(A518,""PRICEOPEN"")"),293.5)</f>
        <v>293.5</v>
      </c>
      <c r="D518" s="11">
        <f ca="1">IFERROR(__xludf.DUMMYFUNCTION("GOOGLEFINANCE(A518,""HIGH"")"),300.75)</f>
        <v>300.75</v>
      </c>
      <c r="E518" s="11">
        <f ca="1">IFERROR(__xludf.DUMMYFUNCTION("GOOGLEFINANCE(A518,""LOW"")"),283.7)</f>
        <v>283.7</v>
      </c>
      <c r="F518" s="12" t="str">
        <f t="shared" ca="1" si="14"/>
        <v/>
      </c>
      <c r="G518" s="13">
        <f ca="1">IFERROR(__xludf.DUMMYFUNCTION("GOOGLEFINANCE(A518,""CLOSEYEST"")"),297.3)</f>
        <v>297.3</v>
      </c>
      <c r="H518" s="14" t="str">
        <f t="shared" ca="1" si="20"/>
        <v>GAP DOWN</v>
      </c>
      <c r="I518" s="15">
        <f t="shared" ca="1" si="15"/>
        <v>293.91666666666669</v>
      </c>
      <c r="J518" s="16">
        <f t="shared" ca="1" si="16"/>
        <v>304.13333333333338</v>
      </c>
      <c r="K518" s="16"/>
      <c r="L518" s="16">
        <f t="shared" ca="1" si="17"/>
        <v>287.08333333333337</v>
      </c>
      <c r="M518" s="16">
        <f t="shared" ca="1" si="18"/>
        <v>310.9666666666667</v>
      </c>
      <c r="N518" s="16">
        <f t="shared" ca="1" si="19"/>
        <v>276.86666666666667</v>
      </c>
    </row>
    <row r="519" spans="1:14" ht="24.75" customHeight="1" x14ac:dyDescent="0.8">
      <c r="A519" s="18" t="s">
        <v>482</v>
      </c>
      <c r="B519" s="10">
        <f ca="1">IFERROR(__xludf.DUMMYFUNCTION("GOOGLEFINANCE(A519,""PRICE"")"),201.85)</f>
        <v>201.85</v>
      </c>
      <c r="C519" s="11">
        <f ca="1">IFERROR(__xludf.DUMMYFUNCTION("GOOGLEFINANCE(A519,""PRICEOPEN"")"),204)</f>
        <v>204</v>
      </c>
      <c r="D519" s="11">
        <f ca="1">IFERROR(__xludf.DUMMYFUNCTION("GOOGLEFINANCE(A519,""HIGH"")"),204.3)</f>
        <v>204.3</v>
      </c>
      <c r="E519" s="11">
        <f ca="1">IFERROR(__xludf.DUMMYFUNCTION("GOOGLEFINANCE(A519,""LOW"")"),199.02)</f>
        <v>199.02</v>
      </c>
      <c r="F519" s="12" t="str">
        <f t="shared" ca="1" si="14"/>
        <v/>
      </c>
      <c r="G519" s="13">
        <f ca="1">IFERROR(__xludf.DUMMYFUNCTION("GOOGLEFINANCE(A519,""CLOSEYEST"")"),203.22)</f>
        <v>203.22</v>
      </c>
      <c r="H519" s="14" t="str">
        <f t="shared" ca="1" si="20"/>
        <v/>
      </c>
      <c r="I519" s="15">
        <f t="shared" ca="1" si="15"/>
        <v>202.18000000000004</v>
      </c>
      <c r="J519" s="16">
        <f t="shared" ca="1" si="16"/>
        <v>205.34000000000006</v>
      </c>
      <c r="K519" s="16"/>
      <c r="L519" s="16">
        <f t="shared" ca="1" si="17"/>
        <v>200.06000000000006</v>
      </c>
      <c r="M519" s="16">
        <f t="shared" ca="1" si="18"/>
        <v>207.46000000000004</v>
      </c>
      <c r="N519" s="16">
        <f t="shared" ca="1" si="19"/>
        <v>196.90000000000003</v>
      </c>
    </row>
    <row r="520" spans="1:14" ht="24.75" customHeight="1" x14ac:dyDescent="0.8">
      <c r="A520" s="18" t="s">
        <v>483</v>
      </c>
      <c r="B520" s="10">
        <f ca="1">IFERROR(__xludf.DUMMYFUNCTION("GOOGLEFINANCE(A520,""PRICE"")"),236.4)</f>
        <v>236.4</v>
      </c>
      <c r="C520" s="11">
        <f ca="1">IFERROR(__xludf.DUMMYFUNCTION("GOOGLEFINANCE(A520,""PRICEOPEN"")"),236.98)</f>
        <v>236.98</v>
      </c>
      <c r="D520" s="11">
        <f ca="1">IFERROR(__xludf.DUMMYFUNCTION("GOOGLEFINANCE(A520,""HIGH"")"),237.8)</f>
        <v>237.8</v>
      </c>
      <c r="E520" s="11">
        <f ca="1">IFERROR(__xludf.DUMMYFUNCTION("GOOGLEFINANCE(A520,""LOW"")"),231.4)</f>
        <v>231.4</v>
      </c>
      <c r="F520" s="12" t="str">
        <f t="shared" ca="1" si="14"/>
        <v/>
      </c>
      <c r="G520" s="13">
        <f ca="1">IFERROR(__xludf.DUMMYFUNCTION("GOOGLEFINANCE(A520,""CLOSEYEST"")"),234.12)</f>
        <v>234.12</v>
      </c>
      <c r="H520" s="14" t="str">
        <f t="shared" ca="1" si="20"/>
        <v>GAP UP</v>
      </c>
      <c r="I520" s="15">
        <f t="shared" ca="1" si="15"/>
        <v>234.44000000000003</v>
      </c>
      <c r="J520" s="16">
        <f t="shared" ca="1" si="16"/>
        <v>237.48000000000005</v>
      </c>
      <c r="K520" s="16"/>
      <c r="L520" s="16">
        <f t="shared" ca="1" si="17"/>
        <v>231.08000000000004</v>
      </c>
      <c r="M520" s="16">
        <f t="shared" ca="1" si="18"/>
        <v>240.84000000000003</v>
      </c>
      <c r="N520" s="16">
        <f t="shared" ca="1" si="19"/>
        <v>228.04000000000002</v>
      </c>
    </row>
    <row r="521" spans="1:14" ht="24.75" customHeight="1" x14ac:dyDescent="0.8">
      <c r="A521" s="18" t="s">
        <v>484</v>
      </c>
      <c r="B521" s="10">
        <f ca="1">IFERROR(__xludf.DUMMYFUNCTION("GOOGLEFINANCE(A521,""PRICE"")"),36)</f>
        <v>36</v>
      </c>
      <c r="C521" s="11">
        <f ca="1">IFERROR(__xludf.DUMMYFUNCTION("GOOGLEFINANCE(A521,""PRICEOPEN"")"),35.69)</f>
        <v>35.69</v>
      </c>
      <c r="D521" s="11">
        <f ca="1">IFERROR(__xludf.DUMMYFUNCTION("GOOGLEFINANCE(A521,""HIGH"")"),36.5)</f>
        <v>36.5</v>
      </c>
      <c r="E521" s="11">
        <f ca="1">IFERROR(__xludf.DUMMYFUNCTION("GOOGLEFINANCE(A521,""LOW"")"),35.52)</f>
        <v>35.520000000000003</v>
      </c>
      <c r="F521" s="12" t="str">
        <f t="shared" ca="1" si="14"/>
        <v/>
      </c>
      <c r="G521" s="13">
        <f ca="1">IFERROR(__xludf.DUMMYFUNCTION("GOOGLEFINANCE(A521,""CLOSEYEST"")"),35.69)</f>
        <v>35.69</v>
      </c>
      <c r="H521" s="14" t="str">
        <f t="shared" ca="1" si="20"/>
        <v/>
      </c>
      <c r="I521" s="15">
        <f t="shared" ca="1" si="15"/>
        <v>35.903333333333336</v>
      </c>
      <c r="J521" s="16">
        <f t="shared" ca="1" si="16"/>
        <v>36.286666666666669</v>
      </c>
      <c r="K521" s="16"/>
      <c r="L521" s="16">
        <f t="shared" ca="1" si="17"/>
        <v>35.306666666666672</v>
      </c>
      <c r="M521" s="16">
        <f t="shared" ca="1" si="18"/>
        <v>36.883333333333333</v>
      </c>
      <c r="N521" s="16">
        <f t="shared" ca="1" si="19"/>
        <v>34.923333333333339</v>
      </c>
    </row>
    <row r="522" spans="1:14" ht="24.75" customHeight="1" x14ac:dyDescent="0.8">
      <c r="A522" s="18" t="s">
        <v>485</v>
      </c>
      <c r="B522" s="10">
        <f ca="1">IFERROR(__xludf.DUMMYFUNCTION("GOOGLEFINANCE(A522,""PRICE"")"),1729.1)</f>
        <v>1729.1</v>
      </c>
      <c r="C522" s="11">
        <f ca="1">IFERROR(__xludf.DUMMYFUNCTION("GOOGLEFINANCE(A522,""PRICEOPEN"")"),1748.9)</f>
        <v>1748.9</v>
      </c>
      <c r="D522" s="11">
        <f ca="1">IFERROR(__xludf.DUMMYFUNCTION("GOOGLEFINANCE(A522,""HIGH"")"),1748.9)</f>
        <v>1748.9</v>
      </c>
      <c r="E522" s="11">
        <f ca="1">IFERROR(__xludf.DUMMYFUNCTION("GOOGLEFINANCE(A522,""LOW"")"),1727.8)</f>
        <v>1727.8</v>
      </c>
      <c r="F522" s="12" t="str">
        <f t="shared" ca="1" si="14"/>
        <v>SELL</v>
      </c>
      <c r="G522" s="13">
        <f ca="1">IFERROR(__xludf.DUMMYFUNCTION("GOOGLEFINANCE(A522,""CLOSEYEST"")"),1740.7)</f>
        <v>1740.7</v>
      </c>
      <c r="H522" s="14" t="str">
        <f t="shared" ca="1" si="20"/>
        <v/>
      </c>
      <c r="I522" s="15">
        <f t="shared" ca="1" si="15"/>
        <v>1739.1333333333332</v>
      </c>
      <c r="J522" s="16">
        <f t="shared" ca="1" si="16"/>
        <v>1750.4666666666665</v>
      </c>
      <c r="K522" s="16"/>
      <c r="L522" s="16">
        <f t="shared" ca="1" si="17"/>
        <v>1729.3666666666663</v>
      </c>
      <c r="M522" s="16">
        <f t="shared" ca="1" si="18"/>
        <v>1760.2333333333333</v>
      </c>
      <c r="N522" s="16">
        <f t="shared" ca="1" si="19"/>
        <v>1718.0333333333331</v>
      </c>
    </row>
    <row r="523" spans="1:14" ht="24.75" customHeight="1" x14ac:dyDescent="0.8">
      <c r="A523" s="18" t="s">
        <v>486</v>
      </c>
      <c r="B523" s="10">
        <f ca="1">IFERROR(__xludf.DUMMYFUNCTION("GOOGLEFINANCE(A523,""PRICE"")"),592.5)</f>
        <v>592.5</v>
      </c>
      <c r="C523" s="11">
        <f ca="1">IFERROR(__xludf.DUMMYFUNCTION("GOOGLEFINANCE(A523,""PRICEOPEN"")"),585.1)</f>
        <v>585.1</v>
      </c>
      <c r="D523" s="11">
        <f ca="1">IFERROR(__xludf.DUMMYFUNCTION("GOOGLEFINANCE(A523,""HIGH"")"),593)</f>
        <v>593</v>
      </c>
      <c r="E523" s="11">
        <f ca="1">IFERROR(__xludf.DUMMYFUNCTION("GOOGLEFINANCE(A523,""LOW"")"),583.65)</f>
        <v>583.65</v>
      </c>
      <c r="F523" s="12" t="str">
        <f t="shared" ca="1" si="14"/>
        <v/>
      </c>
      <c r="G523" s="13">
        <f ca="1">IFERROR(__xludf.DUMMYFUNCTION("GOOGLEFINANCE(A523,""CLOSEYEST"")"),582.35)</f>
        <v>582.35</v>
      </c>
      <c r="H523" s="14" t="str">
        <f t="shared" ca="1" si="20"/>
        <v/>
      </c>
      <c r="I523" s="15">
        <f t="shared" ca="1" si="15"/>
        <v>586.33333333333337</v>
      </c>
      <c r="J523" s="16">
        <f t="shared" ca="1" si="16"/>
        <v>589.01666666666677</v>
      </c>
      <c r="K523" s="16"/>
      <c r="L523" s="16">
        <f t="shared" ca="1" si="17"/>
        <v>579.66666666666674</v>
      </c>
      <c r="M523" s="16">
        <f t="shared" ca="1" si="18"/>
        <v>595.68333333333339</v>
      </c>
      <c r="N523" s="16">
        <f t="shared" ca="1" si="19"/>
        <v>576.98333333333335</v>
      </c>
    </row>
    <row r="524" spans="1:14" ht="24.75" customHeight="1" x14ac:dyDescent="0.8">
      <c r="A524" s="18" t="s">
        <v>487</v>
      </c>
      <c r="B524" s="10">
        <f ca="1">IFERROR(__xludf.DUMMYFUNCTION("GOOGLEFINANCE(A524,""PRICE"")"),10065)</f>
        <v>10065</v>
      </c>
      <c r="C524" s="11">
        <f ca="1">IFERROR(__xludf.DUMMYFUNCTION("GOOGLEFINANCE(A524,""PRICEOPEN"")"),10145)</f>
        <v>10145</v>
      </c>
      <c r="D524" s="11">
        <f ca="1">IFERROR(__xludf.DUMMYFUNCTION("GOOGLEFINANCE(A524,""HIGH"")"),10225)</f>
        <v>10225</v>
      </c>
      <c r="E524" s="11">
        <f ca="1">IFERROR(__xludf.DUMMYFUNCTION("GOOGLEFINANCE(A524,""LOW"")"),9976)</f>
        <v>9976</v>
      </c>
      <c r="F524" s="12" t="str">
        <f t="shared" ca="1" si="14"/>
        <v/>
      </c>
      <c r="G524" s="13">
        <f ca="1">IFERROR(__xludf.DUMMYFUNCTION("GOOGLEFINANCE(A524,""CLOSEYEST"")"),9995)</f>
        <v>9995</v>
      </c>
      <c r="H524" s="14" t="str">
        <f t="shared" ca="1" si="20"/>
        <v>GAP UP</v>
      </c>
      <c r="I524" s="15">
        <f t="shared" ca="1" si="15"/>
        <v>10065.333333333334</v>
      </c>
      <c r="J524" s="16">
        <f t="shared" ca="1" si="16"/>
        <v>10154.666666666668</v>
      </c>
      <c r="K524" s="16"/>
      <c r="L524" s="16">
        <f t="shared" ca="1" si="17"/>
        <v>9905.6666666666679</v>
      </c>
      <c r="M524" s="16">
        <f t="shared" ca="1" si="18"/>
        <v>10314.333333333334</v>
      </c>
      <c r="N524" s="16">
        <f t="shared" ca="1" si="19"/>
        <v>9816.3333333333339</v>
      </c>
    </row>
    <row r="525" spans="1:14" ht="24.75" customHeight="1" x14ac:dyDescent="0.8">
      <c r="A525" s="18" t="s">
        <v>488</v>
      </c>
      <c r="B525" s="10">
        <f ca="1">IFERROR(__xludf.DUMMYFUNCTION("GOOGLEFINANCE(A525,""PRICE"")"),271.5)</f>
        <v>271.5</v>
      </c>
      <c r="C525" s="11">
        <f ca="1">IFERROR(__xludf.DUMMYFUNCTION("GOOGLEFINANCE(A525,""PRICEOPEN"")"),272)</f>
        <v>272</v>
      </c>
      <c r="D525" s="11">
        <f ca="1">IFERROR(__xludf.DUMMYFUNCTION("GOOGLEFINANCE(A525,""HIGH"")"),274.6)</f>
        <v>274.60000000000002</v>
      </c>
      <c r="E525" s="11">
        <f ca="1">IFERROR(__xludf.DUMMYFUNCTION("GOOGLEFINANCE(A525,""LOW"")"),267.65)</f>
        <v>267.64999999999998</v>
      </c>
      <c r="F525" s="12" t="str">
        <f t="shared" ca="1" si="14"/>
        <v/>
      </c>
      <c r="G525" s="13">
        <f ca="1">IFERROR(__xludf.DUMMYFUNCTION("GOOGLEFINANCE(A525,""CLOSEYEST"")"),269.65)</f>
        <v>269.64999999999998</v>
      </c>
      <c r="H525" s="14" t="str">
        <f t="shared" ca="1" si="20"/>
        <v/>
      </c>
      <c r="I525" s="15">
        <f t="shared" ca="1" si="15"/>
        <v>270.63333333333333</v>
      </c>
      <c r="J525" s="16">
        <f t="shared" ca="1" si="16"/>
        <v>273.61666666666667</v>
      </c>
      <c r="K525" s="16"/>
      <c r="L525" s="16">
        <f t="shared" ca="1" si="17"/>
        <v>266.66666666666663</v>
      </c>
      <c r="M525" s="16">
        <f t="shared" ca="1" si="18"/>
        <v>277.58333333333337</v>
      </c>
      <c r="N525" s="16">
        <f t="shared" ca="1" si="19"/>
        <v>263.68333333333328</v>
      </c>
    </row>
    <row r="526" spans="1:14" ht="24.75" customHeight="1" x14ac:dyDescent="0.8">
      <c r="A526" s="18" t="s">
        <v>489</v>
      </c>
      <c r="B526" s="10">
        <f ca="1">IFERROR(__xludf.DUMMYFUNCTION("GOOGLEFINANCE(A526,""PRICE"")"),314)</f>
        <v>314</v>
      </c>
      <c r="C526" s="11">
        <f ca="1">IFERROR(__xludf.DUMMYFUNCTION("GOOGLEFINANCE(A526,""PRICEOPEN"")"),318.05)</f>
        <v>318.05</v>
      </c>
      <c r="D526" s="11">
        <f ca="1">IFERROR(__xludf.DUMMYFUNCTION("GOOGLEFINANCE(A526,""HIGH"")"),323.7)</f>
        <v>323.7</v>
      </c>
      <c r="E526" s="11">
        <f ca="1">IFERROR(__xludf.DUMMYFUNCTION("GOOGLEFINANCE(A526,""LOW"")"),312)</f>
        <v>312</v>
      </c>
      <c r="F526" s="12" t="str">
        <f t="shared" ca="1" si="14"/>
        <v/>
      </c>
      <c r="G526" s="13">
        <f ca="1">IFERROR(__xludf.DUMMYFUNCTION("GOOGLEFINANCE(A526,""CLOSEYEST"")"),318.1)</f>
        <v>318.10000000000002</v>
      </c>
      <c r="H526" s="14" t="str">
        <f t="shared" ca="1" si="20"/>
        <v/>
      </c>
      <c r="I526" s="15">
        <f t="shared" ca="1" si="15"/>
        <v>317.93333333333334</v>
      </c>
      <c r="J526" s="16">
        <f t="shared" ca="1" si="16"/>
        <v>323.86666666666667</v>
      </c>
      <c r="K526" s="16"/>
      <c r="L526" s="16">
        <f t="shared" ca="1" si="17"/>
        <v>312.16666666666669</v>
      </c>
      <c r="M526" s="16">
        <f t="shared" ca="1" si="18"/>
        <v>329.63333333333333</v>
      </c>
      <c r="N526" s="16">
        <f t="shared" ca="1" si="19"/>
        <v>306.23333333333335</v>
      </c>
    </row>
    <row r="527" spans="1:14" ht="24.75" customHeight="1" x14ac:dyDescent="0.8">
      <c r="A527" s="18" t="s">
        <v>490</v>
      </c>
      <c r="B527" s="10">
        <f ca="1">IFERROR(__xludf.DUMMYFUNCTION("GOOGLEFINANCE(A527,""PRICE"")"),4979)</f>
        <v>4979</v>
      </c>
      <c r="C527" s="11">
        <f ca="1">IFERROR(__xludf.DUMMYFUNCTION("GOOGLEFINANCE(A527,""PRICEOPEN"")"),4964)</f>
        <v>4964</v>
      </c>
      <c r="D527" s="11">
        <f ca="1">IFERROR(__xludf.DUMMYFUNCTION("GOOGLEFINANCE(A527,""HIGH"")"),4987.5)</f>
        <v>4987.5</v>
      </c>
      <c r="E527" s="11">
        <f ca="1">IFERROR(__xludf.DUMMYFUNCTION("GOOGLEFINANCE(A527,""LOW"")"),4926)</f>
        <v>4926</v>
      </c>
      <c r="F527" s="12" t="str">
        <f t="shared" ca="1" si="14"/>
        <v/>
      </c>
      <c r="G527" s="13">
        <f ca="1">IFERROR(__xludf.DUMMYFUNCTION("GOOGLEFINANCE(A527,""CLOSEYEST"")"),4946.1)</f>
        <v>4946.1000000000004</v>
      </c>
      <c r="H527" s="14" t="str">
        <f t="shared" ca="1" si="20"/>
        <v/>
      </c>
      <c r="I527" s="15">
        <f t="shared" ca="1" si="15"/>
        <v>4953.2</v>
      </c>
      <c r="J527" s="16">
        <f t="shared" ca="1" si="16"/>
        <v>4980.3999999999996</v>
      </c>
      <c r="K527" s="16"/>
      <c r="L527" s="16">
        <f t="shared" ca="1" si="17"/>
        <v>4918.8999999999996</v>
      </c>
      <c r="M527" s="16">
        <f t="shared" ca="1" si="18"/>
        <v>5014.7</v>
      </c>
      <c r="N527" s="16">
        <f t="shared" ca="1" si="19"/>
        <v>4891.7</v>
      </c>
    </row>
    <row r="528" spans="1:14" ht="24.75" customHeight="1" x14ac:dyDescent="0.8">
      <c r="A528" s="18" t="s">
        <v>491</v>
      </c>
      <c r="B528" s="10" t="str">
        <f ca="1">IFERROR(__xludf.DUMMYFUNCTION("GOOGLEFINANCE(A528,""PRICE"")"),"#N/A")</f>
        <v>#N/A</v>
      </c>
      <c r="C528" s="11" t="str">
        <f ca="1">IFERROR(__xludf.DUMMYFUNCTION("GOOGLEFINANCE(A528,""PRICEOPEN"")"),"#N/A")</f>
        <v>#N/A</v>
      </c>
      <c r="D528" s="11" t="str">
        <f ca="1">IFERROR(__xludf.DUMMYFUNCTION("GOOGLEFINANCE(A528,""HIGH"")"),"#N/A")</f>
        <v>#N/A</v>
      </c>
      <c r="E528" s="11" t="str">
        <f ca="1">IFERROR(__xludf.DUMMYFUNCTION("GOOGLEFINANCE(A528,""LOW"")"),"#N/A")</f>
        <v>#N/A</v>
      </c>
      <c r="F528" s="12" t="str">
        <f t="shared" ca="1" si="14"/>
        <v>SELL</v>
      </c>
      <c r="G528" s="13" t="str">
        <f ca="1">IFERROR(__xludf.DUMMYFUNCTION("GOOGLEFINANCE(A528,""CLOSEYEST"")"),"#N/A")</f>
        <v>#N/A</v>
      </c>
      <c r="H528" s="14" t="e">
        <f t="shared" ca="1" si="20"/>
        <v>#VALUE!</v>
      </c>
      <c r="I528" s="15" t="e">
        <f t="shared" ca="1" si="15"/>
        <v>#VALUE!</v>
      </c>
      <c r="J528" s="16" t="e">
        <f t="shared" ca="1" si="16"/>
        <v>#VALUE!</v>
      </c>
      <c r="K528" s="16"/>
      <c r="L528" s="16" t="e">
        <f t="shared" ca="1" si="17"/>
        <v>#VALUE!</v>
      </c>
      <c r="M528" s="16" t="e">
        <f t="shared" ca="1" si="18"/>
        <v>#VALUE!</v>
      </c>
      <c r="N528" s="16" t="e">
        <f t="shared" ca="1" si="19"/>
        <v>#VALUE!</v>
      </c>
    </row>
    <row r="529" spans="1:14" ht="24.75" customHeight="1" x14ac:dyDescent="0.8">
      <c r="A529" s="18" t="s">
        <v>492</v>
      </c>
      <c r="B529" s="10">
        <f ca="1">IFERROR(__xludf.DUMMYFUNCTION("GOOGLEFINANCE(A529,""PRICE"")"),217.35)</f>
        <v>217.35</v>
      </c>
      <c r="C529" s="11">
        <f ca="1">IFERROR(__xludf.DUMMYFUNCTION("GOOGLEFINANCE(A529,""PRICEOPEN"")"),215.4)</f>
        <v>215.4</v>
      </c>
      <c r="D529" s="11">
        <f ca="1">IFERROR(__xludf.DUMMYFUNCTION("GOOGLEFINANCE(A529,""HIGH"")"),217.69)</f>
        <v>217.69</v>
      </c>
      <c r="E529" s="11">
        <f ca="1">IFERROR(__xludf.DUMMYFUNCTION("GOOGLEFINANCE(A529,""LOW"")"),213.3)</f>
        <v>213.3</v>
      </c>
      <c r="F529" s="12" t="str">
        <f t="shared" ca="1" si="14"/>
        <v/>
      </c>
      <c r="G529" s="13">
        <f ca="1">IFERROR(__xludf.DUMMYFUNCTION("GOOGLEFINANCE(A529,""CLOSEYEST"")"),215.07)</f>
        <v>215.07</v>
      </c>
      <c r="H529" s="14" t="str">
        <f t="shared" ca="1" si="20"/>
        <v/>
      </c>
      <c r="I529" s="15">
        <f t="shared" ca="1" si="15"/>
        <v>215.35333333333332</v>
      </c>
      <c r="J529" s="16">
        <f t="shared" ca="1" si="16"/>
        <v>217.40666666666664</v>
      </c>
      <c r="K529" s="16"/>
      <c r="L529" s="16">
        <f t="shared" ca="1" si="17"/>
        <v>213.01666666666665</v>
      </c>
      <c r="M529" s="16">
        <f t="shared" ca="1" si="18"/>
        <v>219.74333333333331</v>
      </c>
      <c r="N529" s="16">
        <f t="shared" ca="1" si="19"/>
        <v>210.96333333333334</v>
      </c>
    </row>
    <row r="530" spans="1:14" ht="24.75" customHeight="1" x14ac:dyDescent="0.8">
      <c r="A530" s="18" t="s">
        <v>493</v>
      </c>
      <c r="B530" s="10">
        <f ca="1">IFERROR(__xludf.DUMMYFUNCTION("GOOGLEFINANCE(A530,""PRICE"")"),199.1)</f>
        <v>199.1</v>
      </c>
      <c r="C530" s="11">
        <f ca="1">IFERROR(__xludf.DUMMYFUNCTION("GOOGLEFINANCE(A530,""PRICEOPEN"")"),196.6)</f>
        <v>196.6</v>
      </c>
      <c r="D530" s="11">
        <f ca="1">IFERROR(__xludf.DUMMYFUNCTION("GOOGLEFINANCE(A530,""HIGH"")"),199.99)</f>
        <v>199.99</v>
      </c>
      <c r="E530" s="11">
        <f ca="1">IFERROR(__xludf.DUMMYFUNCTION("GOOGLEFINANCE(A530,""LOW"")"),196.6)</f>
        <v>196.6</v>
      </c>
      <c r="F530" s="12" t="str">
        <f t="shared" ca="1" si="14"/>
        <v>BUY</v>
      </c>
      <c r="G530" s="13">
        <f ca="1">IFERROR(__xludf.DUMMYFUNCTION("GOOGLEFINANCE(A530,""CLOSEYEST"")"),196.53)</f>
        <v>196.53</v>
      </c>
      <c r="H530" s="14" t="str">
        <f t="shared" ca="1" si="20"/>
        <v/>
      </c>
      <c r="I530" s="15">
        <f t="shared" ca="1" si="15"/>
        <v>197.70666666666668</v>
      </c>
      <c r="J530" s="16">
        <f t="shared" ca="1" si="16"/>
        <v>198.81333333333336</v>
      </c>
      <c r="K530" s="16"/>
      <c r="L530" s="16">
        <f t="shared" ca="1" si="17"/>
        <v>195.42333333333335</v>
      </c>
      <c r="M530" s="16">
        <f t="shared" ca="1" si="18"/>
        <v>201.09666666666669</v>
      </c>
      <c r="N530" s="16">
        <f t="shared" ca="1" si="19"/>
        <v>194.31666666666666</v>
      </c>
    </row>
    <row r="531" spans="1:14" ht="24.75" customHeight="1" x14ac:dyDescent="0.8">
      <c r="A531" s="18" t="s">
        <v>494</v>
      </c>
      <c r="B531" s="10">
        <f ca="1">IFERROR(__xludf.DUMMYFUNCTION("GOOGLEFINANCE(A531,""PRICE"")"),46.41)</f>
        <v>46.41</v>
      </c>
      <c r="C531" s="11">
        <f ca="1">IFERROR(__xludf.DUMMYFUNCTION("GOOGLEFINANCE(A531,""PRICEOPEN"")"),45.88)</f>
        <v>45.88</v>
      </c>
      <c r="D531" s="11">
        <f ca="1">IFERROR(__xludf.DUMMYFUNCTION("GOOGLEFINANCE(A531,""HIGH"")"),47.4)</f>
        <v>47.4</v>
      </c>
      <c r="E531" s="11">
        <f ca="1">IFERROR(__xludf.DUMMYFUNCTION("GOOGLEFINANCE(A531,""LOW"")"),45.22)</f>
        <v>45.22</v>
      </c>
      <c r="F531" s="12" t="str">
        <f t="shared" ca="1" si="14"/>
        <v/>
      </c>
      <c r="G531" s="13">
        <f ca="1">IFERROR(__xludf.DUMMYFUNCTION("GOOGLEFINANCE(A531,""CLOSEYEST"")"),45.7)</f>
        <v>45.7</v>
      </c>
      <c r="H531" s="14" t="str">
        <f t="shared" ca="1" si="20"/>
        <v/>
      </c>
      <c r="I531" s="15">
        <f t="shared" ca="1" si="15"/>
        <v>46.106666666666662</v>
      </c>
      <c r="J531" s="16">
        <f t="shared" ca="1" si="16"/>
        <v>46.993333333333325</v>
      </c>
      <c r="K531" s="16"/>
      <c r="L531" s="16">
        <f t="shared" ca="1" si="17"/>
        <v>44.813333333333325</v>
      </c>
      <c r="M531" s="16">
        <f t="shared" ca="1" si="18"/>
        <v>48.286666666666662</v>
      </c>
      <c r="N531" s="16">
        <f t="shared" ca="1" si="19"/>
        <v>43.926666666666662</v>
      </c>
    </row>
    <row r="532" spans="1:14" ht="24.75" customHeight="1" x14ac:dyDescent="0.8">
      <c r="A532" s="18" t="s">
        <v>495</v>
      </c>
      <c r="B532" s="10">
        <f ca="1">IFERROR(__xludf.DUMMYFUNCTION("GOOGLEFINANCE(A532,""PRICE"")"),354)</f>
        <v>354</v>
      </c>
      <c r="C532" s="11">
        <f ca="1">IFERROR(__xludf.DUMMYFUNCTION("GOOGLEFINANCE(A532,""PRICEOPEN"")"),348)</f>
        <v>348</v>
      </c>
      <c r="D532" s="11">
        <f ca="1">IFERROR(__xludf.DUMMYFUNCTION("GOOGLEFINANCE(A532,""HIGH"")"),354)</f>
        <v>354</v>
      </c>
      <c r="E532" s="11">
        <f ca="1">IFERROR(__xludf.DUMMYFUNCTION("GOOGLEFINANCE(A532,""LOW"")"),345)</f>
        <v>345</v>
      </c>
      <c r="F532" s="12" t="str">
        <f t="shared" ca="1" si="14"/>
        <v/>
      </c>
      <c r="G532" s="13">
        <f ca="1">IFERROR(__xludf.DUMMYFUNCTION("GOOGLEFINANCE(A532,""CLOSEYEST"")"),348.2)</f>
        <v>348.2</v>
      </c>
      <c r="H532" s="14" t="str">
        <f t="shared" ca="1" si="20"/>
        <v/>
      </c>
      <c r="I532" s="15">
        <f t="shared" ca="1" si="15"/>
        <v>349.06666666666666</v>
      </c>
      <c r="J532" s="16">
        <f t="shared" ca="1" si="16"/>
        <v>353.13333333333333</v>
      </c>
      <c r="K532" s="16"/>
      <c r="L532" s="16">
        <f t="shared" ca="1" si="17"/>
        <v>344.13333333333333</v>
      </c>
      <c r="M532" s="16">
        <f t="shared" ca="1" si="18"/>
        <v>358.06666666666666</v>
      </c>
      <c r="N532" s="16">
        <f t="shared" ca="1" si="19"/>
        <v>340.06666666666666</v>
      </c>
    </row>
    <row r="533" spans="1:14" ht="24.75" customHeight="1" x14ac:dyDescent="0.8">
      <c r="A533" s="18" t="s">
        <v>496</v>
      </c>
      <c r="B533" s="10">
        <f ca="1">IFERROR(__xludf.DUMMYFUNCTION("GOOGLEFINANCE(A533,""PRICE"")"),461)</f>
        <v>461</v>
      </c>
      <c r="C533" s="11">
        <f ca="1">IFERROR(__xludf.DUMMYFUNCTION("GOOGLEFINANCE(A533,""PRICEOPEN"")"),460)</f>
        <v>460</v>
      </c>
      <c r="D533" s="11">
        <f ca="1">IFERROR(__xludf.DUMMYFUNCTION("GOOGLEFINANCE(A533,""HIGH"")"),463.35)</f>
        <v>463.35</v>
      </c>
      <c r="E533" s="11">
        <f ca="1">IFERROR(__xludf.DUMMYFUNCTION("GOOGLEFINANCE(A533,""LOW"")"),453.7)</f>
        <v>453.7</v>
      </c>
      <c r="F533" s="12" t="str">
        <f t="shared" ca="1" si="14"/>
        <v/>
      </c>
      <c r="G533" s="13">
        <f ca="1">IFERROR(__xludf.DUMMYFUNCTION("GOOGLEFINANCE(A533,""CLOSEYEST"")"),457.3)</f>
        <v>457.3</v>
      </c>
      <c r="H533" s="14" t="str">
        <f t="shared" ca="1" si="20"/>
        <v/>
      </c>
      <c r="I533" s="15">
        <f t="shared" ca="1" si="15"/>
        <v>458.11666666666662</v>
      </c>
      <c r="J533" s="16">
        <f t="shared" ca="1" si="16"/>
        <v>462.53333333333325</v>
      </c>
      <c r="K533" s="16"/>
      <c r="L533" s="16">
        <f t="shared" ca="1" si="17"/>
        <v>452.88333333333321</v>
      </c>
      <c r="M533" s="16">
        <f t="shared" ca="1" si="18"/>
        <v>467.76666666666665</v>
      </c>
      <c r="N533" s="16">
        <f t="shared" ca="1" si="19"/>
        <v>448.46666666666658</v>
      </c>
    </row>
    <row r="534" spans="1:14" ht="24.75" customHeight="1" x14ac:dyDescent="0.8">
      <c r="A534" s="18" t="s">
        <v>497</v>
      </c>
      <c r="B534" s="10">
        <f ca="1">IFERROR(__xludf.DUMMYFUNCTION("GOOGLEFINANCE(A534,""PRICE"")"),560.1)</f>
        <v>560.1</v>
      </c>
      <c r="C534" s="11">
        <f ca="1">IFERROR(__xludf.DUMMYFUNCTION("GOOGLEFINANCE(A534,""PRICEOPEN"")"),552.7)</f>
        <v>552.70000000000005</v>
      </c>
      <c r="D534" s="11">
        <f ca="1">IFERROR(__xludf.DUMMYFUNCTION("GOOGLEFINANCE(A534,""HIGH"")"),563.7)</f>
        <v>563.70000000000005</v>
      </c>
      <c r="E534" s="11">
        <f ca="1">IFERROR(__xludf.DUMMYFUNCTION("GOOGLEFINANCE(A534,""LOW"")"),552.7)</f>
        <v>552.70000000000005</v>
      </c>
      <c r="F534" s="12" t="str">
        <f t="shared" ref="F534:F788" ca="1" si="21">IF(C534=D534,"SELL",IF(C534=E534,"BUY", ""))</f>
        <v>BUY</v>
      </c>
      <c r="G534" s="13">
        <f ca="1">IFERROR(__xludf.DUMMYFUNCTION("GOOGLEFINANCE(A534,""CLOSEYEST"")"),552.7)</f>
        <v>552.70000000000005</v>
      </c>
      <c r="H534" s="14" t="str">
        <f t="shared" ca="1" si="20"/>
        <v/>
      </c>
      <c r="I534" s="15">
        <f t="shared" ref="I534:I788" ca="1" si="22">(D534+E534+G534)/3</f>
        <v>556.36666666666667</v>
      </c>
      <c r="J534" s="16">
        <f t="shared" ref="J534:J788" ca="1" si="23">(I534*2)-E534</f>
        <v>560.0333333333333</v>
      </c>
      <c r="K534" s="16"/>
      <c r="L534" s="16">
        <f t="shared" ref="L534:L788" ca="1" si="24">(I534*2)-D534</f>
        <v>549.0333333333333</v>
      </c>
      <c r="M534" s="16">
        <f t="shared" ref="M534:M788" ca="1" si="25">I534+(J534-L534)</f>
        <v>567.36666666666667</v>
      </c>
      <c r="N534" s="16">
        <f t="shared" ref="N534:N788" ca="1" si="26">I534-(J534-L534)</f>
        <v>545.36666666666667</v>
      </c>
    </row>
    <row r="535" spans="1:14" ht="24.75" customHeight="1" x14ac:dyDescent="0.8">
      <c r="A535" s="18" t="s">
        <v>498</v>
      </c>
      <c r="B535" s="10">
        <f ca="1">IFERROR(__xludf.DUMMYFUNCTION("GOOGLEFINANCE(A535,""PRICE"")"),386.4)</f>
        <v>386.4</v>
      </c>
      <c r="C535" s="11">
        <f ca="1">IFERROR(__xludf.DUMMYFUNCTION("GOOGLEFINANCE(A535,""PRICEOPEN"")"),400)</f>
        <v>400</v>
      </c>
      <c r="D535" s="11">
        <f ca="1">IFERROR(__xludf.DUMMYFUNCTION("GOOGLEFINANCE(A535,""HIGH"")"),407.7)</f>
        <v>407.7</v>
      </c>
      <c r="E535" s="11">
        <f ca="1">IFERROR(__xludf.DUMMYFUNCTION("GOOGLEFINANCE(A535,""LOW"")"),379.8)</f>
        <v>379.8</v>
      </c>
      <c r="F535" s="12" t="str">
        <f t="shared" ca="1" si="21"/>
        <v/>
      </c>
      <c r="G535" s="13">
        <f ca="1">IFERROR(__xludf.DUMMYFUNCTION("GOOGLEFINANCE(A535,""CLOSEYEST"")"),389.4)</f>
        <v>389.4</v>
      </c>
      <c r="H535" s="14" t="str">
        <f t="shared" ca="1" si="20"/>
        <v>GAP UP</v>
      </c>
      <c r="I535" s="15">
        <f t="shared" ca="1" si="22"/>
        <v>392.3</v>
      </c>
      <c r="J535" s="16">
        <f t="shared" ca="1" si="23"/>
        <v>404.8</v>
      </c>
      <c r="K535" s="16"/>
      <c r="L535" s="16">
        <f t="shared" ca="1" si="24"/>
        <v>376.90000000000003</v>
      </c>
      <c r="M535" s="16">
        <f t="shared" ca="1" si="25"/>
        <v>420.2</v>
      </c>
      <c r="N535" s="16">
        <f t="shared" ca="1" si="26"/>
        <v>364.40000000000003</v>
      </c>
    </row>
    <row r="536" spans="1:14" ht="24.75" customHeight="1" x14ac:dyDescent="0.8">
      <c r="A536" s="18" t="s">
        <v>499</v>
      </c>
      <c r="B536" s="10">
        <f ca="1">IFERROR(__xludf.DUMMYFUNCTION("GOOGLEFINANCE(A536,""PRICE"")"),6798.5)</f>
        <v>6798.5</v>
      </c>
      <c r="C536" s="11">
        <f ca="1">IFERROR(__xludf.DUMMYFUNCTION("GOOGLEFINANCE(A536,""PRICEOPEN"")"),6747)</f>
        <v>6747</v>
      </c>
      <c r="D536" s="11">
        <f ca="1">IFERROR(__xludf.DUMMYFUNCTION("GOOGLEFINANCE(A536,""HIGH"")"),6800)</f>
        <v>6800</v>
      </c>
      <c r="E536" s="11">
        <f ca="1">IFERROR(__xludf.DUMMYFUNCTION("GOOGLEFINANCE(A536,""LOW"")"),6669.5)</f>
        <v>6669.5</v>
      </c>
      <c r="F536" s="12" t="str">
        <f t="shared" ca="1" si="21"/>
        <v/>
      </c>
      <c r="G536" s="13">
        <f ca="1">IFERROR(__xludf.DUMMYFUNCTION("GOOGLEFINANCE(A536,""CLOSEYEST"")"),6716.5)</f>
        <v>6716.5</v>
      </c>
      <c r="H536" s="14" t="str">
        <f t="shared" ref="H536:H790" ca="1" si="27">IF(C536&gt;=(G536+(G536*1%)),"GAP UP",IF(C536&lt;=(G536-(G536*1%)),"GAP DOWN",""))</f>
        <v/>
      </c>
      <c r="I536" s="15">
        <f t="shared" ca="1" si="22"/>
        <v>6728.666666666667</v>
      </c>
      <c r="J536" s="16">
        <f t="shared" ca="1" si="23"/>
        <v>6787.8333333333339</v>
      </c>
      <c r="K536" s="16"/>
      <c r="L536" s="16">
        <f t="shared" ca="1" si="24"/>
        <v>6657.3333333333339</v>
      </c>
      <c r="M536" s="16">
        <f t="shared" ca="1" si="25"/>
        <v>6859.166666666667</v>
      </c>
      <c r="N536" s="16">
        <f t="shared" ca="1" si="26"/>
        <v>6598.166666666667</v>
      </c>
    </row>
    <row r="537" spans="1:14" ht="24.75" customHeight="1" x14ac:dyDescent="0.8">
      <c r="A537" s="18" t="s">
        <v>500</v>
      </c>
      <c r="B537" s="10">
        <f ca="1">IFERROR(__xludf.DUMMYFUNCTION("GOOGLEFINANCE(A537,""PRICE"")"),490)</f>
        <v>490</v>
      </c>
      <c r="C537" s="11">
        <f ca="1">IFERROR(__xludf.DUMMYFUNCTION("GOOGLEFINANCE(A537,""PRICEOPEN"")"),488)</f>
        <v>488</v>
      </c>
      <c r="D537" s="11">
        <f ca="1">IFERROR(__xludf.DUMMYFUNCTION("GOOGLEFINANCE(A537,""HIGH"")"),493.7)</f>
        <v>493.7</v>
      </c>
      <c r="E537" s="11">
        <f ca="1">IFERROR(__xludf.DUMMYFUNCTION("GOOGLEFINANCE(A537,""LOW"")"),485.25)</f>
        <v>485.25</v>
      </c>
      <c r="F537" s="12" t="str">
        <f t="shared" ca="1" si="21"/>
        <v/>
      </c>
      <c r="G537" s="13">
        <f ca="1">IFERROR(__xludf.DUMMYFUNCTION("GOOGLEFINANCE(A537,""CLOSEYEST"")"),488.05)</f>
        <v>488.05</v>
      </c>
      <c r="H537" s="14" t="str">
        <f t="shared" ca="1" si="27"/>
        <v/>
      </c>
      <c r="I537" s="15">
        <f t="shared" ca="1" si="22"/>
        <v>489</v>
      </c>
      <c r="J537" s="16">
        <f t="shared" ca="1" si="23"/>
        <v>492.75</v>
      </c>
      <c r="K537" s="16"/>
      <c r="L537" s="16">
        <f t="shared" ca="1" si="24"/>
        <v>484.3</v>
      </c>
      <c r="M537" s="16">
        <f t="shared" ca="1" si="25"/>
        <v>497.45</v>
      </c>
      <c r="N537" s="16">
        <f t="shared" ca="1" si="26"/>
        <v>480.55</v>
      </c>
    </row>
    <row r="538" spans="1:14" ht="24.75" customHeight="1" x14ac:dyDescent="0.8">
      <c r="A538" s="18" t="s">
        <v>501</v>
      </c>
      <c r="B538" s="10">
        <f ca="1">IFERROR(__xludf.DUMMYFUNCTION("GOOGLEFINANCE(A538,""PRICE"")"),263)</f>
        <v>263</v>
      </c>
      <c r="C538" s="11">
        <f ca="1">IFERROR(__xludf.DUMMYFUNCTION("GOOGLEFINANCE(A538,""PRICEOPEN"")"),261)</f>
        <v>261</v>
      </c>
      <c r="D538" s="11">
        <f ca="1">IFERROR(__xludf.DUMMYFUNCTION("GOOGLEFINANCE(A538,""HIGH"")"),264)</f>
        <v>264</v>
      </c>
      <c r="E538" s="11">
        <f ca="1">IFERROR(__xludf.DUMMYFUNCTION("GOOGLEFINANCE(A538,""LOW"")"),259.25)</f>
        <v>259.25</v>
      </c>
      <c r="F538" s="12" t="str">
        <f t="shared" ca="1" si="21"/>
        <v/>
      </c>
      <c r="G538" s="13">
        <f ca="1">IFERROR(__xludf.DUMMYFUNCTION("GOOGLEFINANCE(A538,""CLOSEYEST"")"),260.5)</f>
        <v>260.5</v>
      </c>
      <c r="H538" s="14" t="str">
        <f t="shared" ca="1" si="27"/>
        <v/>
      </c>
      <c r="I538" s="15">
        <f t="shared" ca="1" si="22"/>
        <v>261.25</v>
      </c>
      <c r="J538" s="16">
        <f t="shared" ca="1" si="23"/>
        <v>263.25</v>
      </c>
      <c r="K538" s="16"/>
      <c r="L538" s="16">
        <f t="shared" ca="1" si="24"/>
        <v>258.5</v>
      </c>
      <c r="M538" s="16">
        <f t="shared" ca="1" si="25"/>
        <v>266</v>
      </c>
      <c r="N538" s="16">
        <f t="shared" ca="1" si="26"/>
        <v>256.5</v>
      </c>
    </row>
    <row r="539" spans="1:14" ht="24.75" customHeight="1" x14ac:dyDescent="0.8">
      <c r="A539" s="18" t="s">
        <v>502</v>
      </c>
      <c r="B539" s="10">
        <f ca="1">IFERROR(__xludf.DUMMYFUNCTION("GOOGLEFINANCE(A539,""PRICE"")"),898.15)</f>
        <v>898.15</v>
      </c>
      <c r="C539" s="11">
        <f ca="1">IFERROR(__xludf.DUMMYFUNCTION("GOOGLEFINANCE(A539,""PRICEOPEN"")"),894.9)</f>
        <v>894.9</v>
      </c>
      <c r="D539" s="11">
        <f ca="1">IFERROR(__xludf.DUMMYFUNCTION("GOOGLEFINANCE(A539,""HIGH"")"),925)</f>
        <v>925</v>
      </c>
      <c r="E539" s="11">
        <f ca="1">IFERROR(__xludf.DUMMYFUNCTION("GOOGLEFINANCE(A539,""LOW"")"),890)</f>
        <v>890</v>
      </c>
      <c r="F539" s="12" t="str">
        <f t="shared" ca="1" si="21"/>
        <v/>
      </c>
      <c r="G539" s="13">
        <f ca="1">IFERROR(__xludf.DUMMYFUNCTION("GOOGLEFINANCE(A539,""CLOSEYEST"")"),894.25)</f>
        <v>894.25</v>
      </c>
      <c r="H539" s="14" t="str">
        <f t="shared" ca="1" si="27"/>
        <v/>
      </c>
      <c r="I539" s="15">
        <f t="shared" ca="1" si="22"/>
        <v>903.08333333333337</v>
      </c>
      <c r="J539" s="16">
        <f t="shared" ca="1" si="23"/>
        <v>916.16666666666674</v>
      </c>
      <c r="K539" s="16"/>
      <c r="L539" s="16">
        <f t="shared" ca="1" si="24"/>
        <v>881.16666666666674</v>
      </c>
      <c r="M539" s="16">
        <f t="shared" ca="1" si="25"/>
        <v>938.08333333333337</v>
      </c>
      <c r="N539" s="16">
        <f t="shared" ca="1" si="26"/>
        <v>868.08333333333337</v>
      </c>
    </row>
    <row r="540" spans="1:14" ht="24.75" customHeight="1" x14ac:dyDescent="0.8">
      <c r="A540" s="18" t="s">
        <v>503</v>
      </c>
      <c r="B540" s="10">
        <f ca="1">IFERROR(__xludf.DUMMYFUNCTION("GOOGLEFINANCE(A540,""PRICE"")"),967.8)</f>
        <v>967.8</v>
      </c>
      <c r="C540" s="11">
        <f ca="1">IFERROR(__xludf.DUMMYFUNCTION("GOOGLEFINANCE(A540,""PRICEOPEN"")"),961)</f>
        <v>961</v>
      </c>
      <c r="D540" s="11">
        <f ca="1">IFERROR(__xludf.DUMMYFUNCTION("GOOGLEFINANCE(A540,""HIGH"")"),989.45)</f>
        <v>989.45</v>
      </c>
      <c r="E540" s="11">
        <f ca="1">IFERROR(__xludf.DUMMYFUNCTION("GOOGLEFINANCE(A540,""LOW"")"),948.35)</f>
        <v>948.35</v>
      </c>
      <c r="F540" s="12" t="str">
        <f t="shared" ca="1" si="21"/>
        <v/>
      </c>
      <c r="G540" s="13">
        <f ca="1">IFERROR(__xludf.DUMMYFUNCTION("GOOGLEFINANCE(A540,""CLOSEYEST"")"),957.8)</f>
        <v>957.8</v>
      </c>
      <c r="H540" s="14" t="str">
        <f t="shared" ca="1" si="27"/>
        <v/>
      </c>
      <c r="I540" s="15">
        <f t="shared" ca="1" si="22"/>
        <v>965.20000000000016</v>
      </c>
      <c r="J540" s="16">
        <f t="shared" ca="1" si="23"/>
        <v>982.0500000000003</v>
      </c>
      <c r="K540" s="16"/>
      <c r="L540" s="16">
        <f t="shared" ca="1" si="24"/>
        <v>940.95000000000027</v>
      </c>
      <c r="M540" s="16">
        <f t="shared" ca="1" si="25"/>
        <v>1006.3000000000002</v>
      </c>
      <c r="N540" s="16">
        <f t="shared" ca="1" si="26"/>
        <v>924.10000000000014</v>
      </c>
    </row>
    <row r="541" spans="1:14" ht="24.75" customHeight="1" x14ac:dyDescent="0.8">
      <c r="A541" s="18" t="s">
        <v>504</v>
      </c>
      <c r="B541" s="10">
        <f ca="1">IFERROR(__xludf.DUMMYFUNCTION("GOOGLEFINANCE(A541,""PRICE"")"),189.99)</f>
        <v>189.99</v>
      </c>
      <c r="C541" s="11">
        <f ca="1">IFERROR(__xludf.DUMMYFUNCTION("GOOGLEFINANCE(A541,""PRICEOPEN"")"),185.95)</f>
        <v>185.95</v>
      </c>
      <c r="D541" s="11">
        <f ca="1">IFERROR(__xludf.DUMMYFUNCTION("GOOGLEFINANCE(A541,""HIGH"")"),190.51)</f>
        <v>190.51</v>
      </c>
      <c r="E541" s="11">
        <f ca="1">IFERROR(__xludf.DUMMYFUNCTION("GOOGLEFINANCE(A541,""LOW"")"),184.93)</f>
        <v>184.93</v>
      </c>
      <c r="F541" s="12" t="str">
        <f t="shared" ca="1" si="21"/>
        <v/>
      </c>
      <c r="G541" s="13">
        <f ca="1">IFERROR(__xludf.DUMMYFUNCTION("GOOGLEFINANCE(A541,""CLOSEYEST"")"),185.09)</f>
        <v>185.09</v>
      </c>
      <c r="H541" s="14" t="str">
        <f t="shared" ca="1" si="27"/>
        <v/>
      </c>
      <c r="I541" s="15">
        <f t="shared" ca="1" si="22"/>
        <v>186.84333333333333</v>
      </c>
      <c r="J541" s="16">
        <f t="shared" ca="1" si="23"/>
        <v>188.75666666666666</v>
      </c>
      <c r="K541" s="16"/>
      <c r="L541" s="16">
        <f t="shared" ca="1" si="24"/>
        <v>183.17666666666668</v>
      </c>
      <c r="M541" s="16">
        <f t="shared" ca="1" si="25"/>
        <v>192.42333333333332</v>
      </c>
      <c r="N541" s="16">
        <f t="shared" ca="1" si="26"/>
        <v>181.26333333333335</v>
      </c>
    </row>
    <row r="542" spans="1:14" ht="24.75" customHeight="1" x14ac:dyDescent="0.8">
      <c r="A542" s="18" t="s">
        <v>505</v>
      </c>
      <c r="B542" s="10">
        <f ca="1">IFERROR(__xludf.DUMMYFUNCTION("GOOGLEFINANCE(A542,""PRICE"")"),160)</f>
        <v>160</v>
      </c>
      <c r="C542" s="11">
        <f ca="1">IFERROR(__xludf.DUMMYFUNCTION("GOOGLEFINANCE(A542,""PRICEOPEN"")"),159)</f>
        <v>159</v>
      </c>
      <c r="D542" s="11">
        <f ca="1">IFERROR(__xludf.DUMMYFUNCTION("GOOGLEFINANCE(A542,""HIGH"")"),162.68)</f>
        <v>162.68</v>
      </c>
      <c r="E542" s="11">
        <f ca="1">IFERROR(__xludf.DUMMYFUNCTION("GOOGLEFINANCE(A542,""LOW"")"),158.99)</f>
        <v>158.99</v>
      </c>
      <c r="F542" s="12" t="str">
        <f t="shared" ca="1" si="21"/>
        <v/>
      </c>
      <c r="G542" s="13">
        <f ca="1">IFERROR(__xludf.DUMMYFUNCTION("GOOGLEFINANCE(A542,""CLOSEYEST"")"),158.62)</f>
        <v>158.62</v>
      </c>
      <c r="H542" s="14" t="str">
        <f t="shared" ca="1" si="27"/>
        <v/>
      </c>
      <c r="I542" s="15">
        <f t="shared" ca="1" si="22"/>
        <v>160.09666666666666</v>
      </c>
      <c r="J542" s="16">
        <f t="shared" ca="1" si="23"/>
        <v>161.20333333333332</v>
      </c>
      <c r="K542" s="16"/>
      <c r="L542" s="16">
        <f t="shared" ca="1" si="24"/>
        <v>157.51333333333332</v>
      </c>
      <c r="M542" s="16">
        <f t="shared" ca="1" si="25"/>
        <v>163.78666666666666</v>
      </c>
      <c r="N542" s="16">
        <f t="shared" ca="1" si="26"/>
        <v>156.40666666666667</v>
      </c>
    </row>
    <row r="543" spans="1:14" ht="24.75" customHeight="1" x14ac:dyDescent="0.8">
      <c r="A543" s="18" t="s">
        <v>506</v>
      </c>
      <c r="B543" s="10">
        <f ca="1">IFERROR(__xludf.DUMMYFUNCTION("GOOGLEFINANCE(A543,""PRICE"")"),864)</f>
        <v>864</v>
      </c>
      <c r="C543" s="11">
        <f ca="1">IFERROR(__xludf.DUMMYFUNCTION("GOOGLEFINANCE(A543,""PRICEOPEN"")"),852.7)</f>
        <v>852.7</v>
      </c>
      <c r="D543" s="11">
        <f ca="1">IFERROR(__xludf.DUMMYFUNCTION("GOOGLEFINANCE(A543,""HIGH"")"),871.55)</f>
        <v>871.55</v>
      </c>
      <c r="E543" s="11">
        <f ca="1">IFERROR(__xludf.DUMMYFUNCTION("GOOGLEFINANCE(A543,""LOW"")"),852.7)</f>
        <v>852.7</v>
      </c>
      <c r="F543" s="12" t="str">
        <f t="shared" ca="1" si="21"/>
        <v>BUY</v>
      </c>
      <c r="G543" s="13">
        <f ca="1">IFERROR(__xludf.DUMMYFUNCTION("GOOGLEFINANCE(A543,""CLOSEYEST"")"),855.35)</f>
        <v>855.35</v>
      </c>
      <c r="H543" s="14" t="str">
        <f t="shared" ca="1" si="27"/>
        <v/>
      </c>
      <c r="I543" s="15">
        <f t="shared" ca="1" si="22"/>
        <v>859.86666666666667</v>
      </c>
      <c r="J543" s="16">
        <f t="shared" ca="1" si="23"/>
        <v>867.0333333333333</v>
      </c>
      <c r="K543" s="16"/>
      <c r="L543" s="16">
        <f t="shared" ca="1" si="24"/>
        <v>848.18333333333339</v>
      </c>
      <c r="M543" s="16">
        <f t="shared" ca="1" si="25"/>
        <v>878.71666666666658</v>
      </c>
      <c r="N543" s="16">
        <f t="shared" ca="1" si="26"/>
        <v>841.01666666666677</v>
      </c>
    </row>
    <row r="544" spans="1:14" ht="24.75" customHeight="1" x14ac:dyDescent="0.8">
      <c r="A544" s="18" t="s">
        <v>507</v>
      </c>
      <c r="B544" s="10">
        <f ca="1">IFERROR(__xludf.DUMMYFUNCTION("GOOGLEFINANCE(A544,""PRICE"")"),3501)</f>
        <v>3501</v>
      </c>
      <c r="C544" s="11">
        <f ca="1">IFERROR(__xludf.DUMMYFUNCTION("GOOGLEFINANCE(A544,""PRICEOPEN"")"),3479.1)</f>
        <v>3479.1</v>
      </c>
      <c r="D544" s="11">
        <f ca="1">IFERROR(__xludf.DUMMYFUNCTION("GOOGLEFINANCE(A544,""HIGH"")"),3519.7)</f>
        <v>3519.7</v>
      </c>
      <c r="E544" s="11">
        <f ca="1">IFERROR(__xludf.DUMMYFUNCTION("GOOGLEFINANCE(A544,""LOW"")"),3467.3)</f>
        <v>3467.3</v>
      </c>
      <c r="F544" s="12" t="str">
        <f t="shared" ca="1" si="21"/>
        <v/>
      </c>
      <c r="G544" s="13">
        <f ca="1">IFERROR(__xludf.DUMMYFUNCTION("GOOGLEFINANCE(A544,""CLOSEYEST"")"),3488.4)</f>
        <v>3488.4</v>
      </c>
      <c r="H544" s="14" t="str">
        <f t="shared" ca="1" si="27"/>
        <v/>
      </c>
      <c r="I544" s="15">
        <f t="shared" ca="1" si="22"/>
        <v>3491.7999999999997</v>
      </c>
      <c r="J544" s="16">
        <f t="shared" ca="1" si="23"/>
        <v>3516.2999999999993</v>
      </c>
      <c r="K544" s="16"/>
      <c r="L544" s="16">
        <f t="shared" ca="1" si="24"/>
        <v>3463.8999999999996</v>
      </c>
      <c r="M544" s="16">
        <f t="shared" ca="1" si="25"/>
        <v>3544.1999999999994</v>
      </c>
      <c r="N544" s="16">
        <f t="shared" ca="1" si="26"/>
        <v>3439.4</v>
      </c>
    </row>
    <row r="545" spans="1:14" ht="24.75" customHeight="1" x14ac:dyDescent="0.8">
      <c r="A545" s="18" t="s">
        <v>508</v>
      </c>
      <c r="B545" s="10" t="str">
        <f ca="1">IFERROR(__xludf.DUMMYFUNCTION("GOOGLEFINANCE(A545,""PRICE"")"),"#N/A")</f>
        <v>#N/A</v>
      </c>
      <c r="C545" s="11" t="str">
        <f ca="1">IFERROR(__xludf.DUMMYFUNCTION("GOOGLEFINANCE(A545,""PRICEOPEN"")"),"#N/A")</f>
        <v>#N/A</v>
      </c>
      <c r="D545" s="11" t="str">
        <f ca="1">IFERROR(__xludf.DUMMYFUNCTION("GOOGLEFINANCE(A545,""HIGH"")"),"#N/A")</f>
        <v>#N/A</v>
      </c>
      <c r="E545" s="11" t="str">
        <f ca="1">IFERROR(__xludf.DUMMYFUNCTION("GOOGLEFINANCE(A545,""LOW"")"),"#N/A")</f>
        <v>#N/A</v>
      </c>
      <c r="F545" s="12" t="str">
        <f t="shared" ca="1" si="21"/>
        <v>SELL</v>
      </c>
      <c r="G545" s="13" t="str">
        <f ca="1">IFERROR(__xludf.DUMMYFUNCTION("GOOGLEFINANCE(A545,""CLOSEYEST"")"),"#N/A")</f>
        <v>#N/A</v>
      </c>
      <c r="H545" s="14" t="e">
        <f t="shared" ca="1" si="27"/>
        <v>#VALUE!</v>
      </c>
      <c r="I545" s="15" t="e">
        <f t="shared" ca="1" si="22"/>
        <v>#VALUE!</v>
      </c>
      <c r="J545" s="16" t="e">
        <f t="shared" ca="1" si="23"/>
        <v>#VALUE!</v>
      </c>
      <c r="K545" s="16"/>
      <c r="L545" s="16" t="e">
        <f t="shared" ca="1" si="24"/>
        <v>#VALUE!</v>
      </c>
      <c r="M545" s="16" t="e">
        <f t="shared" ca="1" si="25"/>
        <v>#VALUE!</v>
      </c>
      <c r="N545" s="16" t="e">
        <f t="shared" ca="1" si="26"/>
        <v>#VALUE!</v>
      </c>
    </row>
    <row r="546" spans="1:14" ht="24.75" customHeight="1" x14ac:dyDescent="0.8">
      <c r="A546" s="18" t="s">
        <v>509</v>
      </c>
      <c r="B546" s="10">
        <f ca="1">IFERROR(__xludf.DUMMYFUNCTION("GOOGLEFINANCE(A546,""PRICE"")"),1747)</f>
        <v>1747</v>
      </c>
      <c r="C546" s="11">
        <f ca="1">IFERROR(__xludf.DUMMYFUNCTION("GOOGLEFINANCE(A546,""PRICEOPEN"")"),1697)</f>
        <v>1697</v>
      </c>
      <c r="D546" s="11">
        <f ca="1">IFERROR(__xludf.DUMMYFUNCTION("GOOGLEFINANCE(A546,""HIGH"")"),1747)</f>
        <v>1747</v>
      </c>
      <c r="E546" s="11">
        <f ca="1">IFERROR(__xludf.DUMMYFUNCTION("GOOGLEFINANCE(A546,""LOW"")"),1689.1)</f>
        <v>1689.1</v>
      </c>
      <c r="F546" s="12" t="str">
        <f t="shared" ca="1" si="21"/>
        <v/>
      </c>
      <c r="G546" s="13">
        <f ca="1">IFERROR(__xludf.DUMMYFUNCTION("GOOGLEFINANCE(A546,""CLOSEYEST"")"),1700.5)</f>
        <v>1700.5</v>
      </c>
      <c r="H546" s="14" t="str">
        <f t="shared" ca="1" si="27"/>
        <v/>
      </c>
      <c r="I546" s="15">
        <f t="shared" ca="1" si="22"/>
        <v>1712.2</v>
      </c>
      <c r="J546" s="16">
        <f t="shared" ca="1" si="23"/>
        <v>1735.3000000000002</v>
      </c>
      <c r="K546" s="16"/>
      <c r="L546" s="16">
        <f t="shared" ca="1" si="24"/>
        <v>1677.4</v>
      </c>
      <c r="M546" s="16">
        <f t="shared" ca="1" si="25"/>
        <v>1770.1000000000001</v>
      </c>
      <c r="N546" s="16">
        <f t="shared" ca="1" si="26"/>
        <v>1654.3</v>
      </c>
    </row>
    <row r="547" spans="1:14" ht="24.75" customHeight="1" x14ac:dyDescent="0.8">
      <c r="A547" s="18" t="s">
        <v>510</v>
      </c>
      <c r="B547" s="10">
        <f ca="1">IFERROR(__xludf.DUMMYFUNCTION("GOOGLEFINANCE(A547,""PRICE"")"),1455)</f>
        <v>1455</v>
      </c>
      <c r="C547" s="11">
        <f ca="1">IFERROR(__xludf.DUMMYFUNCTION("GOOGLEFINANCE(A547,""PRICEOPEN"")"),1506.2)</f>
        <v>1506.2</v>
      </c>
      <c r="D547" s="11">
        <f ca="1">IFERROR(__xludf.DUMMYFUNCTION("GOOGLEFINANCE(A547,""HIGH"")"),1508.6)</f>
        <v>1508.6</v>
      </c>
      <c r="E547" s="11">
        <f ca="1">IFERROR(__xludf.DUMMYFUNCTION("GOOGLEFINANCE(A547,""LOW"")"),1450.5)</f>
        <v>1450.5</v>
      </c>
      <c r="F547" s="12" t="str">
        <f t="shared" ca="1" si="21"/>
        <v/>
      </c>
      <c r="G547" s="13">
        <f ca="1">IFERROR(__xludf.DUMMYFUNCTION("GOOGLEFINANCE(A547,""CLOSEYEST"")"),1492.8)</f>
        <v>1492.8</v>
      </c>
      <c r="H547" s="14" t="str">
        <f t="shared" ca="1" si="27"/>
        <v/>
      </c>
      <c r="I547" s="15">
        <f t="shared" ca="1" si="22"/>
        <v>1483.9666666666665</v>
      </c>
      <c r="J547" s="16">
        <f t="shared" ca="1" si="23"/>
        <v>1517.4333333333329</v>
      </c>
      <c r="K547" s="16"/>
      <c r="L547" s="16">
        <f t="shared" ca="1" si="24"/>
        <v>1459.333333333333</v>
      </c>
      <c r="M547" s="16">
        <f t="shared" ca="1" si="25"/>
        <v>1542.0666666666664</v>
      </c>
      <c r="N547" s="16">
        <f t="shared" ca="1" si="26"/>
        <v>1425.8666666666666</v>
      </c>
    </row>
    <row r="548" spans="1:14" ht="24.75" customHeight="1" x14ac:dyDescent="0.8">
      <c r="A548" s="18" t="s">
        <v>511</v>
      </c>
      <c r="B548" s="10">
        <f ca="1">IFERROR(__xludf.DUMMYFUNCTION("GOOGLEFINANCE(A548,""PRICE"")"),1500)</f>
        <v>1500</v>
      </c>
      <c r="C548" s="11">
        <f ca="1">IFERROR(__xludf.DUMMYFUNCTION("GOOGLEFINANCE(A548,""PRICEOPEN"")"),1520)</f>
        <v>1520</v>
      </c>
      <c r="D548" s="11">
        <f ca="1">IFERROR(__xludf.DUMMYFUNCTION("GOOGLEFINANCE(A548,""HIGH"")"),1522.2)</f>
        <v>1522.2</v>
      </c>
      <c r="E548" s="11">
        <f ca="1">IFERROR(__xludf.DUMMYFUNCTION("GOOGLEFINANCE(A548,""LOW"")"),1499.3)</f>
        <v>1499.3</v>
      </c>
      <c r="F548" s="12" t="str">
        <f t="shared" ca="1" si="21"/>
        <v/>
      </c>
      <c r="G548" s="13">
        <f ca="1">IFERROR(__xludf.DUMMYFUNCTION("GOOGLEFINANCE(A548,""CLOSEYEST"")"),1511.6)</f>
        <v>1511.6</v>
      </c>
      <c r="H548" s="14" t="str">
        <f t="shared" ca="1" si="27"/>
        <v/>
      </c>
      <c r="I548" s="15">
        <f t="shared" ca="1" si="22"/>
        <v>1511.0333333333335</v>
      </c>
      <c r="J548" s="16">
        <f t="shared" ca="1" si="23"/>
        <v>1522.7666666666671</v>
      </c>
      <c r="K548" s="16"/>
      <c r="L548" s="16">
        <f t="shared" ca="1" si="24"/>
        <v>1499.866666666667</v>
      </c>
      <c r="M548" s="16">
        <f t="shared" ca="1" si="25"/>
        <v>1533.9333333333336</v>
      </c>
      <c r="N548" s="16">
        <f t="shared" ca="1" si="26"/>
        <v>1488.1333333333334</v>
      </c>
    </row>
    <row r="549" spans="1:14" ht="24.75" customHeight="1" x14ac:dyDescent="0.8">
      <c r="A549" s="18" t="s">
        <v>512</v>
      </c>
      <c r="B549" s="10">
        <f ca="1">IFERROR(__xludf.DUMMYFUNCTION("GOOGLEFINANCE(A549,""PRICE"")"),15830)</f>
        <v>15830</v>
      </c>
      <c r="C549" s="11">
        <f ca="1">IFERROR(__xludf.DUMMYFUNCTION("GOOGLEFINANCE(A549,""PRICEOPEN"")"),15494)</f>
        <v>15494</v>
      </c>
      <c r="D549" s="11">
        <f ca="1">IFERROR(__xludf.DUMMYFUNCTION("GOOGLEFINANCE(A549,""HIGH"")"),16180)</f>
        <v>16180</v>
      </c>
      <c r="E549" s="11">
        <f ca="1">IFERROR(__xludf.DUMMYFUNCTION("GOOGLEFINANCE(A549,""LOW"")"),15494)</f>
        <v>15494</v>
      </c>
      <c r="F549" s="12" t="str">
        <f t="shared" ca="1" si="21"/>
        <v>BUY</v>
      </c>
      <c r="G549" s="13">
        <f ca="1">IFERROR(__xludf.DUMMYFUNCTION("GOOGLEFINANCE(A549,""CLOSEYEST"")"),15494)</f>
        <v>15494</v>
      </c>
      <c r="H549" s="14" t="str">
        <f t="shared" ca="1" si="27"/>
        <v/>
      </c>
      <c r="I549" s="15">
        <f t="shared" ca="1" si="22"/>
        <v>15722.666666666666</v>
      </c>
      <c r="J549" s="16">
        <f t="shared" ca="1" si="23"/>
        <v>15951.333333333332</v>
      </c>
      <c r="K549" s="16"/>
      <c r="L549" s="16">
        <f t="shared" ca="1" si="24"/>
        <v>15265.333333333332</v>
      </c>
      <c r="M549" s="16">
        <f t="shared" ca="1" si="25"/>
        <v>16408.666666666664</v>
      </c>
      <c r="N549" s="16">
        <f t="shared" ca="1" si="26"/>
        <v>15036.666666666666</v>
      </c>
    </row>
    <row r="550" spans="1:14" ht="24.75" customHeight="1" x14ac:dyDescent="0.8">
      <c r="A550" s="18" t="s">
        <v>513</v>
      </c>
      <c r="B550" s="10">
        <f ca="1">IFERROR(__xludf.DUMMYFUNCTION("GOOGLEFINANCE(A550,""PRICE"")"),148)</f>
        <v>148</v>
      </c>
      <c r="C550" s="11">
        <f ca="1">IFERROR(__xludf.DUMMYFUNCTION("GOOGLEFINANCE(A550,""PRICEOPEN"")"),146)</f>
        <v>146</v>
      </c>
      <c r="D550" s="11">
        <f ca="1">IFERROR(__xludf.DUMMYFUNCTION("GOOGLEFINANCE(A550,""HIGH"")"),149.2)</f>
        <v>149.19999999999999</v>
      </c>
      <c r="E550" s="11">
        <f ca="1">IFERROR(__xludf.DUMMYFUNCTION("GOOGLEFINANCE(A550,""LOW"")"),146)</f>
        <v>146</v>
      </c>
      <c r="F550" s="12" t="str">
        <f t="shared" ca="1" si="21"/>
        <v>BUY</v>
      </c>
      <c r="G550" s="13">
        <f ca="1">IFERROR(__xludf.DUMMYFUNCTION("GOOGLEFINANCE(A550,""CLOSEYEST"")"),147.4)</f>
        <v>147.4</v>
      </c>
      <c r="H550" s="14" t="str">
        <f t="shared" ca="1" si="27"/>
        <v/>
      </c>
      <c r="I550" s="15">
        <f t="shared" ca="1" si="22"/>
        <v>147.53333333333333</v>
      </c>
      <c r="J550" s="16">
        <f t="shared" ca="1" si="23"/>
        <v>149.06666666666666</v>
      </c>
      <c r="K550" s="16"/>
      <c r="L550" s="16">
        <f t="shared" ca="1" si="24"/>
        <v>145.86666666666667</v>
      </c>
      <c r="M550" s="16">
        <f t="shared" ca="1" si="25"/>
        <v>150.73333333333332</v>
      </c>
      <c r="N550" s="16">
        <f t="shared" ca="1" si="26"/>
        <v>144.33333333333334</v>
      </c>
    </row>
    <row r="551" spans="1:14" ht="24.75" customHeight="1" x14ac:dyDescent="0.8">
      <c r="A551" s="18" t="s">
        <v>514</v>
      </c>
      <c r="B551" s="10">
        <f ca="1">IFERROR(__xludf.DUMMYFUNCTION("GOOGLEFINANCE(A551,""PRICE"")"),1055.5)</f>
        <v>1055.5</v>
      </c>
      <c r="C551" s="11">
        <f ca="1">IFERROR(__xludf.DUMMYFUNCTION("GOOGLEFINANCE(A551,""PRICEOPEN"")"),1003.4)</f>
        <v>1003.4</v>
      </c>
      <c r="D551" s="11">
        <f ca="1">IFERROR(__xludf.DUMMYFUNCTION("GOOGLEFINANCE(A551,""HIGH"")"),1069.95)</f>
        <v>1069.95</v>
      </c>
      <c r="E551" s="11">
        <f ca="1">IFERROR(__xludf.DUMMYFUNCTION("GOOGLEFINANCE(A551,""LOW"")"),1000.3)</f>
        <v>1000.3</v>
      </c>
      <c r="F551" s="12" t="str">
        <f t="shared" ca="1" si="21"/>
        <v/>
      </c>
      <c r="G551" s="13">
        <f ca="1">IFERROR(__xludf.DUMMYFUNCTION("GOOGLEFINANCE(A551,""CLOSEYEST"")"),994.6)</f>
        <v>994.6</v>
      </c>
      <c r="H551" s="14" t="str">
        <f t="shared" ca="1" si="27"/>
        <v/>
      </c>
      <c r="I551" s="15">
        <f t="shared" ca="1" si="22"/>
        <v>1021.6166666666667</v>
      </c>
      <c r="J551" s="16">
        <f t="shared" ca="1" si="23"/>
        <v>1042.9333333333334</v>
      </c>
      <c r="K551" s="16"/>
      <c r="L551" s="16">
        <f t="shared" ca="1" si="24"/>
        <v>973.2833333333333</v>
      </c>
      <c r="M551" s="16">
        <f t="shared" ca="1" si="25"/>
        <v>1091.2666666666669</v>
      </c>
      <c r="N551" s="16">
        <f t="shared" ca="1" si="26"/>
        <v>951.96666666666658</v>
      </c>
    </row>
    <row r="552" spans="1:14" ht="24.75" customHeight="1" x14ac:dyDescent="0.8">
      <c r="A552" s="18" t="s">
        <v>515</v>
      </c>
      <c r="B552" s="10">
        <f ca="1">IFERROR(__xludf.DUMMYFUNCTION("GOOGLEFINANCE(A552,""PRICE"")"),16800)</f>
        <v>16800</v>
      </c>
      <c r="C552" s="11">
        <f ca="1">IFERROR(__xludf.DUMMYFUNCTION("GOOGLEFINANCE(A552,""PRICEOPEN"")"),16900)</f>
        <v>16900</v>
      </c>
      <c r="D552" s="11">
        <f ca="1">IFERROR(__xludf.DUMMYFUNCTION("GOOGLEFINANCE(A552,""HIGH"")"),17109)</f>
        <v>17109</v>
      </c>
      <c r="E552" s="11">
        <f ca="1">IFERROR(__xludf.DUMMYFUNCTION("GOOGLEFINANCE(A552,""LOW"")"),16530)</f>
        <v>16530</v>
      </c>
      <c r="F552" s="12" t="str">
        <f t="shared" ca="1" si="21"/>
        <v/>
      </c>
      <c r="G552" s="13">
        <f ca="1">IFERROR(__xludf.DUMMYFUNCTION("GOOGLEFINANCE(A552,""CLOSEYEST"")"),16899)</f>
        <v>16899</v>
      </c>
      <c r="H552" s="14" t="str">
        <f t="shared" ca="1" si="27"/>
        <v/>
      </c>
      <c r="I552" s="15">
        <f t="shared" ca="1" si="22"/>
        <v>16846</v>
      </c>
      <c r="J552" s="16">
        <f t="shared" ca="1" si="23"/>
        <v>17162</v>
      </c>
      <c r="K552" s="16"/>
      <c r="L552" s="16">
        <f t="shared" ca="1" si="24"/>
        <v>16583</v>
      </c>
      <c r="M552" s="16">
        <f t="shared" ca="1" si="25"/>
        <v>17425</v>
      </c>
      <c r="N552" s="16">
        <f t="shared" ca="1" si="26"/>
        <v>16267</v>
      </c>
    </row>
    <row r="553" spans="1:14" ht="24.75" customHeight="1" x14ac:dyDescent="0.8">
      <c r="A553" s="18" t="s">
        <v>516</v>
      </c>
      <c r="B553" s="10">
        <f ca="1">IFERROR(__xludf.DUMMYFUNCTION("GOOGLEFINANCE(A553,""PRICE"")"),588.65)</f>
        <v>588.65</v>
      </c>
      <c r="C553" s="11">
        <f ca="1">IFERROR(__xludf.DUMMYFUNCTION("GOOGLEFINANCE(A553,""PRICEOPEN"")"),582)</f>
        <v>582</v>
      </c>
      <c r="D553" s="11">
        <f ca="1">IFERROR(__xludf.DUMMYFUNCTION("GOOGLEFINANCE(A553,""HIGH"")"),594)</f>
        <v>594</v>
      </c>
      <c r="E553" s="11">
        <f ca="1">IFERROR(__xludf.DUMMYFUNCTION("GOOGLEFINANCE(A553,""LOW"")"),577.25)</f>
        <v>577.25</v>
      </c>
      <c r="F553" s="12" t="str">
        <f t="shared" ca="1" si="21"/>
        <v/>
      </c>
      <c r="G553" s="13">
        <f ca="1">IFERROR(__xludf.DUMMYFUNCTION("GOOGLEFINANCE(A553,""CLOSEYEST"")"),579.8)</f>
        <v>579.79999999999995</v>
      </c>
      <c r="H553" s="14" t="str">
        <f t="shared" ca="1" si="27"/>
        <v/>
      </c>
      <c r="I553" s="15">
        <f t="shared" ca="1" si="22"/>
        <v>583.68333333333328</v>
      </c>
      <c r="J553" s="16">
        <f t="shared" ca="1" si="23"/>
        <v>590.11666666666656</v>
      </c>
      <c r="K553" s="16"/>
      <c r="L553" s="16">
        <f t="shared" ca="1" si="24"/>
        <v>573.36666666666656</v>
      </c>
      <c r="M553" s="16">
        <f t="shared" ca="1" si="25"/>
        <v>600.43333333333328</v>
      </c>
      <c r="N553" s="16">
        <f t="shared" ca="1" si="26"/>
        <v>566.93333333333328</v>
      </c>
    </row>
    <row r="554" spans="1:14" ht="24.75" customHeight="1" x14ac:dyDescent="0.8">
      <c r="A554" s="18" t="s">
        <v>517</v>
      </c>
      <c r="B554" s="10">
        <f ca="1">IFERROR(__xludf.DUMMYFUNCTION("GOOGLEFINANCE(A554,""PRICE"")"),572)</f>
        <v>572</v>
      </c>
      <c r="C554" s="11">
        <f ca="1">IFERROR(__xludf.DUMMYFUNCTION("GOOGLEFINANCE(A554,""PRICEOPEN"")"),559.55)</f>
        <v>559.54999999999995</v>
      </c>
      <c r="D554" s="11">
        <f ca="1">IFERROR(__xludf.DUMMYFUNCTION("GOOGLEFINANCE(A554,""HIGH"")"),573.2)</f>
        <v>573.20000000000005</v>
      </c>
      <c r="E554" s="11">
        <f ca="1">IFERROR(__xludf.DUMMYFUNCTION("GOOGLEFINANCE(A554,""LOW"")"),556.75)</f>
        <v>556.75</v>
      </c>
      <c r="F554" s="12" t="str">
        <f t="shared" ca="1" si="21"/>
        <v/>
      </c>
      <c r="G554" s="13">
        <f ca="1">IFERROR(__xludf.DUMMYFUNCTION("GOOGLEFINANCE(A554,""CLOSEYEST"")"),557.1)</f>
        <v>557.1</v>
      </c>
      <c r="H554" s="14" t="str">
        <f t="shared" ca="1" si="27"/>
        <v/>
      </c>
      <c r="I554" s="15">
        <f t="shared" ca="1" si="22"/>
        <v>562.35</v>
      </c>
      <c r="J554" s="16">
        <f t="shared" ca="1" si="23"/>
        <v>567.95000000000005</v>
      </c>
      <c r="K554" s="16"/>
      <c r="L554" s="16">
        <f t="shared" ca="1" si="24"/>
        <v>551.5</v>
      </c>
      <c r="M554" s="16">
        <f t="shared" ca="1" si="25"/>
        <v>578.80000000000007</v>
      </c>
      <c r="N554" s="16">
        <f t="shared" ca="1" si="26"/>
        <v>545.9</v>
      </c>
    </row>
    <row r="555" spans="1:14" ht="24.75" customHeight="1" x14ac:dyDescent="0.8">
      <c r="A555" s="18" t="s">
        <v>518</v>
      </c>
      <c r="B555" s="10">
        <f ca="1">IFERROR(__xludf.DUMMYFUNCTION("GOOGLEFINANCE(A555,""PRICE"")"),252)</f>
        <v>252</v>
      </c>
      <c r="C555" s="11">
        <f ca="1">IFERROR(__xludf.DUMMYFUNCTION("GOOGLEFINANCE(A555,""PRICEOPEN"")"),251.02)</f>
        <v>251.02</v>
      </c>
      <c r="D555" s="11">
        <f ca="1">IFERROR(__xludf.DUMMYFUNCTION("GOOGLEFINANCE(A555,""HIGH"")"),259.25)</f>
        <v>259.25</v>
      </c>
      <c r="E555" s="11">
        <f ca="1">IFERROR(__xludf.DUMMYFUNCTION("GOOGLEFINANCE(A555,""LOW"")"),248.63)</f>
        <v>248.63</v>
      </c>
      <c r="F555" s="12" t="str">
        <f t="shared" ca="1" si="21"/>
        <v/>
      </c>
      <c r="G555" s="13">
        <f ca="1">IFERROR(__xludf.DUMMYFUNCTION("GOOGLEFINANCE(A555,""CLOSEYEST"")"),251.02)</f>
        <v>251.02</v>
      </c>
      <c r="H555" s="14" t="str">
        <f t="shared" ca="1" si="27"/>
        <v/>
      </c>
      <c r="I555" s="15">
        <f t="shared" ca="1" si="22"/>
        <v>252.96666666666667</v>
      </c>
      <c r="J555" s="16">
        <f t="shared" ca="1" si="23"/>
        <v>257.30333333333334</v>
      </c>
      <c r="K555" s="16"/>
      <c r="L555" s="16">
        <f t="shared" ca="1" si="24"/>
        <v>246.68333333333334</v>
      </c>
      <c r="M555" s="16">
        <f t="shared" ca="1" si="25"/>
        <v>263.5866666666667</v>
      </c>
      <c r="N555" s="16">
        <f t="shared" ca="1" si="26"/>
        <v>242.34666666666666</v>
      </c>
    </row>
    <row r="556" spans="1:14" ht="24.75" customHeight="1" x14ac:dyDescent="0.8">
      <c r="A556" s="18" t="s">
        <v>519</v>
      </c>
      <c r="B556" s="10">
        <f ca="1">IFERROR(__xludf.DUMMYFUNCTION("GOOGLEFINANCE(A556,""PRICE"")"),249.85)</f>
        <v>249.85</v>
      </c>
      <c r="C556" s="11">
        <f ca="1">IFERROR(__xludf.DUMMYFUNCTION("GOOGLEFINANCE(A556,""PRICEOPEN"")"),239.95)</f>
        <v>239.95</v>
      </c>
      <c r="D556" s="11">
        <f ca="1">IFERROR(__xludf.DUMMYFUNCTION("GOOGLEFINANCE(A556,""HIGH"")"),249.85)</f>
        <v>249.85</v>
      </c>
      <c r="E556" s="11">
        <f ca="1">IFERROR(__xludf.DUMMYFUNCTION("GOOGLEFINANCE(A556,""LOW"")"),239.95)</f>
        <v>239.95</v>
      </c>
      <c r="F556" s="12" t="str">
        <f t="shared" ca="1" si="21"/>
        <v>BUY</v>
      </c>
      <c r="G556" s="13">
        <f ca="1">IFERROR(__xludf.DUMMYFUNCTION("GOOGLEFINANCE(A556,""CLOSEYEST"")"),242.36)</f>
        <v>242.36</v>
      </c>
      <c r="H556" s="14" t="str">
        <f t="shared" ca="1" si="27"/>
        <v/>
      </c>
      <c r="I556" s="15">
        <f t="shared" ca="1" si="22"/>
        <v>244.05333333333331</v>
      </c>
      <c r="J556" s="16">
        <f t="shared" ca="1" si="23"/>
        <v>248.15666666666664</v>
      </c>
      <c r="K556" s="16"/>
      <c r="L556" s="16">
        <f t="shared" ca="1" si="24"/>
        <v>238.25666666666663</v>
      </c>
      <c r="M556" s="16">
        <f t="shared" ca="1" si="25"/>
        <v>253.95333333333332</v>
      </c>
      <c r="N556" s="16">
        <f t="shared" ca="1" si="26"/>
        <v>234.15333333333331</v>
      </c>
    </row>
    <row r="557" spans="1:14" ht="24.75" customHeight="1" x14ac:dyDescent="0.8">
      <c r="A557" s="18" t="s">
        <v>520</v>
      </c>
      <c r="B557" s="10">
        <f ca="1">IFERROR(__xludf.DUMMYFUNCTION("GOOGLEFINANCE(A557,""PRICE"")"),150.45)</f>
        <v>150.44999999999999</v>
      </c>
      <c r="C557" s="11">
        <f ca="1">IFERROR(__xludf.DUMMYFUNCTION("GOOGLEFINANCE(A557,""PRICEOPEN"")"),148.31)</f>
        <v>148.31</v>
      </c>
      <c r="D557" s="11">
        <f ca="1">IFERROR(__xludf.DUMMYFUNCTION("GOOGLEFINANCE(A557,""HIGH"")"),150.86)</f>
        <v>150.86000000000001</v>
      </c>
      <c r="E557" s="11">
        <f ca="1">IFERROR(__xludf.DUMMYFUNCTION("GOOGLEFINANCE(A557,""LOW"")"),147.97)</f>
        <v>147.97</v>
      </c>
      <c r="F557" s="12" t="str">
        <f t="shared" ca="1" si="21"/>
        <v/>
      </c>
      <c r="G557" s="13">
        <f ca="1">IFERROR(__xludf.DUMMYFUNCTION("GOOGLEFINANCE(A557,""CLOSEYEST"")"),148.89)</f>
        <v>148.88999999999999</v>
      </c>
      <c r="H557" s="14" t="str">
        <f t="shared" ca="1" si="27"/>
        <v/>
      </c>
      <c r="I557" s="15">
        <f t="shared" ca="1" si="22"/>
        <v>149.24</v>
      </c>
      <c r="J557" s="16">
        <f t="shared" ca="1" si="23"/>
        <v>150.51000000000002</v>
      </c>
      <c r="K557" s="16"/>
      <c r="L557" s="16">
        <f t="shared" ca="1" si="24"/>
        <v>147.62</v>
      </c>
      <c r="M557" s="16">
        <f t="shared" ca="1" si="25"/>
        <v>152.13000000000002</v>
      </c>
      <c r="N557" s="16">
        <f t="shared" ca="1" si="26"/>
        <v>146.35</v>
      </c>
    </row>
    <row r="558" spans="1:14" ht="24.75" customHeight="1" x14ac:dyDescent="0.8">
      <c r="A558" s="18" t="s">
        <v>521</v>
      </c>
      <c r="B558" s="10">
        <f ca="1">IFERROR(__xludf.DUMMYFUNCTION("GOOGLEFINANCE(A558,""PRICE"")"),1863)</f>
        <v>1863</v>
      </c>
      <c r="C558" s="11">
        <f ca="1">IFERROR(__xludf.DUMMYFUNCTION("GOOGLEFINANCE(A558,""PRICEOPEN"")"),1861.6)</f>
        <v>1861.6</v>
      </c>
      <c r="D558" s="11">
        <f ca="1">IFERROR(__xludf.DUMMYFUNCTION("GOOGLEFINANCE(A558,""HIGH"")"),1890)</f>
        <v>1890</v>
      </c>
      <c r="E558" s="11">
        <f ca="1">IFERROR(__xludf.DUMMYFUNCTION("GOOGLEFINANCE(A558,""LOW"")"),1832)</f>
        <v>1832</v>
      </c>
      <c r="F558" s="12" t="str">
        <f t="shared" ca="1" si="21"/>
        <v/>
      </c>
      <c r="G558" s="13">
        <f ca="1">IFERROR(__xludf.DUMMYFUNCTION("GOOGLEFINANCE(A558,""CLOSEYEST"")"),1861.6)</f>
        <v>1861.6</v>
      </c>
      <c r="H558" s="14" t="str">
        <f t="shared" ca="1" si="27"/>
        <v/>
      </c>
      <c r="I558" s="15">
        <f t="shared" ca="1" si="22"/>
        <v>1861.2</v>
      </c>
      <c r="J558" s="16">
        <f t="shared" ca="1" si="23"/>
        <v>1890.4</v>
      </c>
      <c r="K558" s="16"/>
      <c r="L558" s="16">
        <f t="shared" ca="1" si="24"/>
        <v>1832.4</v>
      </c>
      <c r="M558" s="16">
        <f t="shared" ca="1" si="25"/>
        <v>1919.2</v>
      </c>
      <c r="N558" s="16">
        <f t="shared" ca="1" si="26"/>
        <v>1803.2</v>
      </c>
    </row>
    <row r="559" spans="1:14" ht="24.75" customHeight="1" x14ac:dyDescent="0.8">
      <c r="A559" s="18" t="s">
        <v>522</v>
      </c>
      <c r="B559" s="10" t="str">
        <f ca="1">IFERROR(__xludf.DUMMYFUNCTION("GOOGLEFINANCE(A559,""PRICE"")"),"#N/A")</f>
        <v>#N/A</v>
      </c>
      <c r="C559" s="11" t="str">
        <f ca="1">IFERROR(__xludf.DUMMYFUNCTION("GOOGLEFINANCE(A559,""PRICEOPEN"")"),"#N/A")</f>
        <v>#N/A</v>
      </c>
      <c r="D559" s="11" t="str">
        <f ca="1">IFERROR(__xludf.DUMMYFUNCTION("GOOGLEFINANCE(A559,""HIGH"")"),"#N/A")</f>
        <v>#N/A</v>
      </c>
      <c r="E559" s="11" t="str">
        <f ca="1">IFERROR(__xludf.DUMMYFUNCTION("GOOGLEFINANCE(A559,""LOW"")"),"#N/A")</f>
        <v>#N/A</v>
      </c>
      <c r="F559" s="12" t="str">
        <f t="shared" ca="1" si="21"/>
        <v>SELL</v>
      </c>
      <c r="G559" s="13" t="str">
        <f ca="1">IFERROR(__xludf.DUMMYFUNCTION("GOOGLEFINANCE(A559,""CLOSEYEST"")"),"#N/A")</f>
        <v>#N/A</v>
      </c>
      <c r="H559" s="14" t="e">
        <f t="shared" ca="1" si="27"/>
        <v>#VALUE!</v>
      </c>
      <c r="I559" s="15" t="e">
        <f t="shared" ca="1" si="22"/>
        <v>#VALUE!</v>
      </c>
      <c r="J559" s="16" t="e">
        <f t="shared" ca="1" si="23"/>
        <v>#VALUE!</v>
      </c>
      <c r="K559" s="16"/>
      <c r="L559" s="16" t="e">
        <f t="shared" ca="1" si="24"/>
        <v>#VALUE!</v>
      </c>
      <c r="M559" s="16" t="e">
        <f t="shared" ca="1" si="25"/>
        <v>#VALUE!</v>
      </c>
      <c r="N559" s="16" t="e">
        <f t="shared" ca="1" si="26"/>
        <v>#VALUE!</v>
      </c>
    </row>
    <row r="560" spans="1:14" ht="24.75" customHeight="1" x14ac:dyDescent="0.8">
      <c r="A560" s="18" t="s">
        <v>523</v>
      </c>
      <c r="B560" s="10">
        <f ca="1">IFERROR(__xludf.DUMMYFUNCTION("GOOGLEFINANCE(A560,""PRICE"")"),63.3)</f>
        <v>63.3</v>
      </c>
      <c r="C560" s="11">
        <f ca="1">IFERROR(__xludf.DUMMYFUNCTION("GOOGLEFINANCE(A560,""PRICEOPEN"")"),63.44)</f>
        <v>63.44</v>
      </c>
      <c r="D560" s="11">
        <f ca="1">IFERROR(__xludf.DUMMYFUNCTION("GOOGLEFINANCE(A560,""HIGH"")"),63.44)</f>
        <v>63.44</v>
      </c>
      <c r="E560" s="11">
        <f ca="1">IFERROR(__xludf.DUMMYFUNCTION("GOOGLEFINANCE(A560,""LOW"")"),63.3)</f>
        <v>63.3</v>
      </c>
      <c r="F560" s="12" t="str">
        <f t="shared" ca="1" si="21"/>
        <v>SELL</v>
      </c>
      <c r="G560" s="13">
        <f ca="1">IFERROR(__xludf.DUMMYFUNCTION("GOOGLEFINANCE(A560,""CLOSEYEST"")"),62.6)</f>
        <v>62.6</v>
      </c>
      <c r="H560" s="14" t="str">
        <f t="shared" ca="1" si="27"/>
        <v>GAP UP</v>
      </c>
      <c r="I560" s="15">
        <f t="shared" ca="1" si="22"/>
        <v>63.113333333333337</v>
      </c>
      <c r="J560" s="16">
        <f t="shared" ca="1" si="23"/>
        <v>62.926666666666677</v>
      </c>
      <c r="K560" s="16"/>
      <c r="L560" s="16">
        <f t="shared" ca="1" si="24"/>
        <v>62.786666666666676</v>
      </c>
      <c r="M560" s="16">
        <f t="shared" ca="1" si="25"/>
        <v>63.253333333333337</v>
      </c>
      <c r="N560" s="16">
        <f t="shared" ca="1" si="26"/>
        <v>62.973333333333336</v>
      </c>
    </row>
    <row r="561" spans="1:14" ht="24.75" customHeight="1" x14ac:dyDescent="0.8">
      <c r="A561" s="18" t="s">
        <v>524</v>
      </c>
      <c r="B561" s="10">
        <f ca="1">IFERROR(__xludf.DUMMYFUNCTION("GOOGLEFINANCE(A561,""PRICE"")"),200.1)</f>
        <v>200.1</v>
      </c>
      <c r="C561" s="11">
        <f ca="1">IFERROR(__xludf.DUMMYFUNCTION("GOOGLEFINANCE(A561,""PRICEOPEN"")"),194.9)</f>
        <v>194.9</v>
      </c>
      <c r="D561" s="11">
        <f ca="1">IFERROR(__xludf.DUMMYFUNCTION("GOOGLEFINANCE(A561,""HIGH"")"),203.38)</f>
        <v>203.38</v>
      </c>
      <c r="E561" s="11">
        <f ca="1">IFERROR(__xludf.DUMMYFUNCTION("GOOGLEFINANCE(A561,""LOW"")"),193.84)</f>
        <v>193.84</v>
      </c>
      <c r="F561" s="12" t="str">
        <f t="shared" ca="1" si="21"/>
        <v/>
      </c>
      <c r="G561" s="13">
        <f ca="1">IFERROR(__xludf.DUMMYFUNCTION("GOOGLEFINANCE(A561,""CLOSEYEST"")"),194.9)</f>
        <v>194.9</v>
      </c>
      <c r="H561" s="14" t="str">
        <f t="shared" ca="1" si="27"/>
        <v/>
      </c>
      <c r="I561" s="15">
        <f t="shared" ca="1" si="22"/>
        <v>197.37333333333333</v>
      </c>
      <c r="J561" s="16">
        <f t="shared" ca="1" si="23"/>
        <v>200.90666666666667</v>
      </c>
      <c r="K561" s="16"/>
      <c r="L561" s="16">
        <f t="shared" ca="1" si="24"/>
        <v>191.36666666666667</v>
      </c>
      <c r="M561" s="16">
        <f t="shared" ca="1" si="25"/>
        <v>206.91333333333333</v>
      </c>
      <c r="N561" s="16">
        <f t="shared" ca="1" si="26"/>
        <v>187.83333333333334</v>
      </c>
    </row>
    <row r="562" spans="1:14" ht="24.75" customHeight="1" x14ac:dyDescent="0.8">
      <c r="A562" s="18" t="s">
        <v>525</v>
      </c>
      <c r="B562" s="10">
        <f ca="1">IFERROR(__xludf.DUMMYFUNCTION("GOOGLEFINANCE(A562,""PRICE"")"),891)</f>
        <v>891</v>
      </c>
      <c r="C562" s="11">
        <f ca="1">IFERROR(__xludf.DUMMYFUNCTION("GOOGLEFINANCE(A562,""PRICEOPEN"")"),900.8)</f>
        <v>900.8</v>
      </c>
      <c r="D562" s="11">
        <f ca="1">IFERROR(__xludf.DUMMYFUNCTION("GOOGLEFINANCE(A562,""HIGH"")"),903.65)</f>
        <v>903.65</v>
      </c>
      <c r="E562" s="11">
        <f ca="1">IFERROR(__xludf.DUMMYFUNCTION("GOOGLEFINANCE(A562,""LOW"")"),888.15)</f>
        <v>888.15</v>
      </c>
      <c r="F562" s="12" t="str">
        <f t="shared" ca="1" si="21"/>
        <v/>
      </c>
      <c r="G562" s="13">
        <f ca="1">IFERROR(__xludf.DUMMYFUNCTION("GOOGLEFINANCE(A562,""CLOSEYEST"")"),899.8)</f>
        <v>899.8</v>
      </c>
      <c r="H562" s="14" t="str">
        <f t="shared" ca="1" si="27"/>
        <v/>
      </c>
      <c r="I562" s="15">
        <f t="shared" ca="1" si="22"/>
        <v>897.19999999999993</v>
      </c>
      <c r="J562" s="16">
        <f t="shared" ca="1" si="23"/>
        <v>906.24999999999989</v>
      </c>
      <c r="K562" s="16"/>
      <c r="L562" s="16">
        <f t="shared" ca="1" si="24"/>
        <v>890.74999999999989</v>
      </c>
      <c r="M562" s="16">
        <f t="shared" ca="1" si="25"/>
        <v>912.69999999999993</v>
      </c>
      <c r="N562" s="16">
        <f t="shared" ca="1" si="26"/>
        <v>881.69999999999993</v>
      </c>
    </row>
    <row r="563" spans="1:14" ht="24.75" customHeight="1" x14ac:dyDescent="0.8">
      <c r="A563" s="18" t="s">
        <v>526</v>
      </c>
      <c r="B563" s="10">
        <f ca="1">IFERROR(__xludf.DUMMYFUNCTION("GOOGLEFINANCE(A563,""PRICE"")"),384)</f>
        <v>384</v>
      </c>
      <c r="C563" s="11">
        <f ca="1">IFERROR(__xludf.DUMMYFUNCTION("GOOGLEFINANCE(A563,""PRICEOPEN"")"),391.5)</f>
        <v>391.5</v>
      </c>
      <c r="D563" s="11">
        <f ca="1">IFERROR(__xludf.DUMMYFUNCTION("GOOGLEFINANCE(A563,""HIGH"")"),394.65)</f>
        <v>394.65</v>
      </c>
      <c r="E563" s="11">
        <f ca="1">IFERROR(__xludf.DUMMYFUNCTION("GOOGLEFINANCE(A563,""LOW"")"),378.45)</f>
        <v>378.45</v>
      </c>
      <c r="F563" s="12" t="str">
        <f t="shared" ca="1" si="21"/>
        <v/>
      </c>
      <c r="G563" s="13">
        <f ca="1">IFERROR(__xludf.DUMMYFUNCTION("GOOGLEFINANCE(A563,""CLOSEYEST"")"),380.6)</f>
        <v>380.6</v>
      </c>
      <c r="H563" s="14" t="str">
        <f t="shared" ca="1" si="27"/>
        <v>GAP UP</v>
      </c>
      <c r="I563" s="15">
        <f t="shared" ca="1" si="22"/>
        <v>384.56666666666661</v>
      </c>
      <c r="J563" s="16">
        <f t="shared" ca="1" si="23"/>
        <v>390.68333333333322</v>
      </c>
      <c r="K563" s="16"/>
      <c r="L563" s="16">
        <f t="shared" ca="1" si="24"/>
        <v>374.48333333333323</v>
      </c>
      <c r="M563" s="16">
        <f t="shared" ca="1" si="25"/>
        <v>400.76666666666659</v>
      </c>
      <c r="N563" s="16">
        <f t="shared" ca="1" si="26"/>
        <v>368.36666666666662</v>
      </c>
    </row>
    <row r="564" spans="1:14" ht="24.75" customHeight="1" x14ac:dyDescent="0.8">
      <c r="A564" s="18" t="s">
        <v>527</v>
      </c>
      <c r="B564" s="10">
        <f ca="1">IFERROR(__xludf.DUMMYFUNCTION("GOOGLEFINANCE(A564,""PRICE"")"),101.7)</f>
        <v>101.7</v>
      </c>
      <c r="C564" s="11">
        <f ca="1">IFERROR(__xludf.DUMMYFUNCTION("GOOGLEFINANCE(A564,""PRICEOPEN"")"),100.92)</f>
        <v>100.92</v>
      </c>
      <c r="D564" s="11">
        <f ca="1">IFERROR(__xludf.DUMMYFUNCTION("GOOGLEFINANCE(A564,""HIGH"")"),101.9)</f>
        <v>101.9</v>
      </c>
      <c r="E564" s="11">
        <f ca="1">IFERROR(__xludf.DUMMYFUNCTION("GOOGLEFINANCE(A564,""LOW"")"),100.61)</f>
        <v>100.61</v>
      </c>
      <c r="F564" s="12" t="str">
        <f t="shared" ca="1" si="21"/>
        <v/>
      </c>
      <c r="G564" s="13">
        <f ca="1">IFERROR(__xludf.DUMMYFUNCTION("GOOGLEFINANCE(A564,""CLOSEYEST"")"),100.92)</f>
        <v>100.92</v>
      </c>
      <c r="H564" s="14" t="str">
        <f t="shared" ca="1" si="27"/>
        <v/>
      </c>
      <c r="I564" s="15">
        <f t="shared" ca="1" si="22"/>
        <v>101.14333333333333</v>
      </c>
      <c r="J564" s="16">
        <f t="shared" ca="1" si="23"/>
        <v>101.67666666666666</v>
      </c>
      <c r="K564" s="16"/>
      <c r="L564" s="16">
        <f t="shared" ca="1" si="24"/>
        <v>100.38666666666666</v>
      </c>
      <c r="M564" s="16">
        <f t="shared" ca="1" si="25"/>
        <v>102.43333333333334</v>
      </c>
      <c r="N564" s="16">
        <f t="shared" ca="1" si="26"/>
        <v>99.853333333333325</v>
      </c>
    </row>
    <row r="565" spans="1:14" ht="24.75" customHeight="1" x14ac:dyDescent="0.8">
      <c r="A565" s="18" t="s">
        <v>528</v>
      </c>
      <c r="B565" s="10">
        <f ca="1">IFERROR(__xludf.DUMMYFUNCTION("GOOGLEFINANCE(A565,""PRICE"")"),940)</f>
        <v>940</v>
      </c>
      <c r="C565" s="11">
        <f ca="1">IFERROR(__xludf.DUMMYFUNCTION("GOOGLEFINANCE(A565,""PRICEOPEN"")"),925)</f>
        <v>925</v>
      </c>
      <c r="D565" s="11">
        <f ca="1">IFERROR(__xludf.DUMMYFUNCTION("GOOGLEFINANCE(A565,""HIGH"")"),940)</f>
        <v>940</v>
      </c>
      <c r="E565" s="11">
        <f ca="1">IFERROR(__xludf.DUMMYFUNCTION("GOOGLEFINANCE(A565,""LOW"")"),920)</f>
        <v>920</v>
      </c>
      <c r="F565" s="12" t="str">
        <f t="shared" ca="1" si="21"/>
        <v/>
      </c>
      <c r="G565" s="13">
        <f ca="1">IFERROR(__xludf.DUMMYFUNCTION("GOOGLEFINANCE(A565,""CLOSEYEST"")"),920)</f>
        <v>920</v>
      </c>
      <c r="H565" s="14" t="str">
        <f t="shared" ca="1" si="27"/>
        <v/>
      </c>
      <c r="I565" s="15">
        <f t="shared" ca="1" si="22"/>
        <v>926.66666666666663</v>
      </c>
      <c r="J565" s="16">
        <f t="shared" ca="1" si="23"/>
        <v>933.33333333333326</v>
      </c>
      <c r="K565" s="16"/>
      <c r="L565" s="16">
        <f t="shared" ca="1" si="24"/>
        <v>913.33333333333326</v>
      </c>
      <c r="M565" s="16">
        <f t="shared" ca="1" si="25"/>
        <v>946.66666666666663</v>
      </c>
      <c r="N565" s="16">
        <f t="shared" ca="1" si="26"/>
        <v>906.66666666666663</v>
      </c>
    </row>
    <row r="566" spans="1:14" ht="24.75" customHeight="1" x14ac:dyDescent="0.8">
      <c r="A566" s="18" t="s">
        <v>529</v>
      </c>
      <c r="B566" s="10">
        <f ca="1">IFERROR(__xludf.DUMMYFUNCTION("GOOGLEFINANCE(A566,""PRICE"")"),174.3)</f>
        <v>174.3</v>
      </c>
      <c r="C566" s="11">
        <f ca="1">IFERROR(__xludf.DUMMYFUNCTION("GOOGLEFINANCE(A566,""PRICEOPEN"")"),173.99)</f>
        <v>173.99</v>
      </c>
      <c r="D566" s="11">
        <f ca="1">IFERROR(__xludf.DUMMYFUNCTION("GOOGLEFINANCE(A566,""HIGH"")"),175.44)</f>
        <v>175.44</v>
      </c>
      <c r="E566" s="11">
        <f ca="1">IFERROR(__xludf.DUMMYFUNCTION("GOOGLEFINANCE(A566,""LOW"")"),172.15)</f>
        <v>172.15</v>
      </c>
      <c r="F566" s="12" t="str">
        <f t="shared" ca="1" si="21"/>
        <v/>
      </c>
      <c r="G566" s="13">
        <f ca="1">IFERROR(__xludf.DUMMYFUNCTION("GOOGLEFINANCE(A566,""CLOSEYEST"")"),173.62)</f>
        <v>173.62</v>
      </c>
      <c r="H566" s="14" t="str">
        <f t="shared" ca="1" si="27"/>
        <v/>
      </c>
      <c r="I566" s="15">
        <f t="shared" ca="1" si="22"/>
        <v>173.73666666666668</v>
      </c>
      <c r="J566" s="16">
        <f t="shared" ca="1" si="23"/>
        <v>175.32333333333335</v>
      </c>
      <c r="K566" s="16"/>
      <c r="L566" s="16">
        <f t="shared" ca="1" si="24"/>
        <v>172.03333333333336</v>
      </c>
      <c r="M566" s="16">
        <f t="shared" ca="1" si="25"/>
        <v>177.02666666666667</v>
      </c>
      <c r="N566" s="16">
        <f t="shared" ca="1" si="26"/>
        <v>170.44666666666669</v>
      </c>
    </row>
    <row r="567" spans="1:14" ht="24.75" customHeight="1" x14ac:dyDescent="0.8">
      <c r="A567" s="18" t="s">
        <v>530</v>
      </c>
      <c r="B567" s="10" t="str">
        <f ca="1">IFERROR(__xludf.DUMMYFUNCTION("GOOGLEFINANCE(A567,""PRICE"")"),"#N/A")</f>
        <v>#N/A</v>
      </c>
      <c r="C567" s="11" t="str">
        <f ca="1">IFERROR(__xludf.DUMMYFUNCTION("GOOGLEFINANCE(A567,""PRICEOPEN"")"),"#N/A")</f>
        <v>#N/A</v>
      </c>
      <c r="D567" s="11" t="str">
        <f ca="1">IFERROR(__xludf.DUMMYFUNCTION("GOOGLEFINANCE(A567,""HIGH"")"),"#N/A")</f>
        <v>#N/A</v>
      </c>
      <c r="E567" s="11" t="str">
        <f ca="1">IFERROR(__xludf.DUMMYFUNCTION("GOOGLEFINANCE(A567,""LOW"")"),"#N/A")</f>
        <v>#N/A</v>
      </c>
      <c r="F567" s="12" t="str">
        <f t="shared" ca="1" si="21"/>
        <v>SELL</v>
      </c>
      <c r="G567" s="13" t="str">
        <f ca="1">IFERROR(__xludf.DUMMYFUNCTION("GOOGLEFINANCE(A567,""CLOSEYEST"")"),"#N/A")</f>
        <v>#N/A</v>
      </c>
      <c r="H567" s="14" t="e">
        <f t="shared" ca="1" si="27"/>
        <v>#VALUE!</v>
      </c>
      <c r="I567" s="15" t="e">
        <f t="shared" ca="1" si="22"/>
        <v>#VALUE!</v>
      </c>
      <c r="J567" s="16" t="e">
        <f t="shared" ca="1" si="23"/>
        <v>#VALUE!</v>
      </c>
      <c r="K567" s="16"/>
      <c r="L567" s="16" t="e">
        <f t="shared" ca="1" si="24"/>
        <v>#VALUE!</v>
      </c>
      <c r="M567" s="16" t="e">
        <f t="shared" ca="1" si="25"/>
        <v>#VALUE!</v>
      </c>
      <c r="N567" s="16" t="e">
        <f t="shared" ca="1" si="26"/>
        <v>#VALUE!</v>
      </c>
    </row>
    <row r="568" spans="1:14" ht="24.75" customHeight="1" x14ac:dyDescent="0.8">
      <c r="A568" s="18" t="s">
        <v>531</v>
      </c>
      <c r="B568" s="10">
        <f ca="1">IFERROR(__xludf.DUMMYFUNCTION("GOOGLEFINANCE(A568,""PRICE"")"),352.5)</f>
        <v>352.5</v>
      </c>
      <c r="C568" s="11">
        <f ca="1">IFERROR(__xludf.DUMMYFUNCTION("GOOGLEFINANCE(A568,""PRICEOPEN"")"),349.85)</f>
        <v>349.85</v>
      </c>
      <c r="D568" s="11">
        <f ca="1">IFERROR(__xludf.DUMMYFUNCTION("GOOGLEFINANCE(A568,""HIGH"")"),353.85)</f>
        <v>353.85</v>
      </c>
      <c r="E568" s="11">
        <f ca="1">IFERROR(__xludf.DUMMYFUNCTION("GOOGLEFINANCE(A568,""LOW"")"),348)</f>
        <v>348</v>
      </c>
      <c r="F568" s="12" t="str">
        <f t="shared" ca="1" si="21"/>
        <v/>
      </c>
      <c r="G568" s="13">
        <f ca="1">IFERROR(__xludf.DUMMYFUNCTION("GOOGLEFINANCE(A568,""CLOSEYEST"")"),349.85)</f>
        <v>349.85</v>
      </c>
      <c r="H568" s="14" t="str">
        <f t="shared" ca="1" si="27"/>
        <v/>
      </c>
      <c r="I568" s="15">
        <f t="shared" ca="1" si="22"/>
        <v>350.56666666666666</v>
      </c>
      <c r="J568" s="16">
        <f t="shared" ca="1" si="23"/>
        <v>353.13333333333333</v>
      </c>
      <c r="K568" s="16"/>
      <c r="L568" s="16">
        <f t="shared" ca="1" si="24"/>
        <v>347.2833333333333</v>
      </c>
      <c r="M568" s="16">
        <f t="shared" ca="1" si="25"/>
        <v>356.41666666666669</v>
      </c>
      <c r="N568" s="16">
        <f t="shared" ca="1" si="26"/>
        <v>344.71666666666664</v>
      </c>
    </row>
    <row r="569" spans="1:14" ht="24.75" customHeight="1" x14ac:dyDescent="0.8">
      <c r="A569" s="18" t="s">
        <v>532</v>
      </c>
      <c r="B569" s="10">
        <f ca="1">IFERROR(__xludf.DUMMYFUNCTION("GOOGLEFINANCE(A569,""PRICE"")"),272.5)</f>
        <v>272.5</v>
      </c>
      <c r="C569" s="11">
        <f ca="1">IFERROR(__xludf.DUMMYFUNCTION("GOOGLEFINANCE(A569,""PRICEOPEN"")"),274)</f>
        <v>274</v>
      </c>
      <c r="D569" s="11">
        <f ca="1">IFERROR(__xludf.DUMMYFUNCTION("GOOGLEFINANCE(A569,""HIGH"")"),280.95)</f>
        <v>280.95</v>
      </c>
      <c r="E569" s="11">
        <f ca="1">IFERROR(__xludf.DUMMYFUNCTION("GOOGLEFINANCE(A569,""LOW"")"),270.1)</f>
        <v>270.10000000000002</v>
      </c>
      <c r="F569" s="12" t="str">
        <f t="shared" ca="1" si="21"/>
        <v/>
      </c>
      <c r="G569" s="13">
        <f ca="1">IFERROR(__xludf.DUMMYFUNCTION("GOOGLEFINANCE(A569,""CLOSEYEST"")"),273.85)</f>
        <v>273.85000000000002</v>
      </c>
      <c r="H569" s="14" t="str">
        <f t="shared" ca="1" si="27"/>
        <v/>
      </c>
      <c r="I569" s="15">
        <f t="shared" ca="1" si="22"/>
        <v>274.96666666666664</v>
      </c>
      <c r="J569" s="16">
        <f t="shared" ca="1" si="23"/>
        <v>279.83333333333326</v>
      </c>
      <c r="K569" s="16"/>
      <c r="L569" s="16">
        <f t="shared" ca="1" si="24"/>
        <v>268.98333333333329</v>
      </c>
      <c r="M569" s="16">
        <f t="shared" ca="1" si="25"/>
        <v>285.81666666666661</v>
      </c>
      <c r="N569" s="16">
        <f t="shared" ca="1" si="26"/>
        <v>264.11666666666667</v>
      </c>
    </row>
    <row r="570" spans="1:14" ht="24.75" customHeight="1" x14ac:dyDescent="0.8">
      <c r="A570" s="18" t="s">
        <v>533</v>
      </c>
      <c r="B570" s="10">
        <f ca="1">IFERROR(__xludf.DUMMYFUNCTION("GOOGLEFINANCE(A570,""PRICE"")"),8.18)</f>
        <v>8.18</v>
      </c>
      <c r="C570" s="11">
        <f ca="1">IFERROR(__xludf.DUMMYFUNCTION("GOOGLEFINANCE(A570,""PRICEOPEN"")"),8.17)</f>
        <v>8.17</v>
      </c>
      <c r="D570" s="11">
        <f ca="1">IFERROR(__xludf.DUMMYFUNCTION("GOOGLEFINANCE(A570,""HIGH"")"),8.22)</f>
        <v>8.2200000000000006</v>
      </c>
      <c r="E570" s="11">
        <f ca="1">IFERROR(__xludf.DUMMYFUNCTION("GOOGLEFINANCE(A570,""LOW"")"),8.05)</f>
        <v>8.0500000000000007</v>
      </c>
      <c r="F570" s="12" t="str">
        <f t="shared" ca="1" si="21"/>
        <v/>
      </c>
      <c r="G570" s="13">
        <f ca="1">IFERROR(__xludf.DUMMYFUNCTION("GOOGLEFINANCE(A570,""CLOSEYEST"")"),8.13)</f>
        <v>8.1300000000000008</v>
      </c>
      <c r="H570" s="14" t="str">
        <f t="shared" ca="1" si="27"/>
        <v/>
      </c>
      <c r="I570" s="15">
        <f t="shared" ca="1" si="22"/>
        <v>8.1333333333333346</v>
      </c>
      <c r="J570" s="16">
        <f t="shared" ca="1" si="23"/>
        <v>8.2166666666666686</v>
      </c>
      <c r="K570" s="16"/>
      <c r="L570" s="16">
        <f t="shared" ca="1" si="24"/>
        <v>8.0466666666666686</v>
      </c>
      <c r="M570" s="16">
        <f t="shared" ca="1" si="25"/>
        <v>8.3033333333333346</v>
      </c>
      <c r="N570" s="16">
        <f t="shared" ca="1" si="26"/>
        <v>7.9633333333333347</v>
      </c>
    </row>
    <row r="571" spans="1:14" ht="24.75" customHeight="1" x14ac:dyDescent="0.8">
      <c r="A571" s="18" t="s">
        <v>534</v>
      </c>
      <c r="B571" s="10">
        <f ca="1">IFERROR(__xludf.DUMMYFUNCTION("GOOGLEFINANCE(A571,""PRICE"")"),539)</f>
        <v>539</v>
      </c>
      <c r="C571" s="11">
        <f ca="1">IFERROR(__xludf.DUMMYFUNCTION("GOOGLEFINANCE(A571,""PRICEOPEN"")"),536.8)</f>
        <v>536.79999999999995</v>
      </c>
      <c r="D571" s="11">
        <f ca="1">IFERROR(__xludf.DUMMYFUNCTION("GOOGLEFINANCE(A571,""HIGH"")"),539)</f>
        <v>539</v>
      </c>
      <c r="E571" s="11">
        <f ca="1">IFERROR(__xludf.DUMMYFUNCTION("GOOGLEFINANCE(A571,""LOW"")"),528)</f>
        <v>528</v>
      </c>
      <c r="F571" s="12" t="str">
        <f t="shared" ca="1" si="21"/>
        <v/>
      </c>
      <c r="G571" s="13">
        <f ca="1">IFERROR(__xludf.DUMMYFUNCTION("GOOGLEFINANCE(A571,""CLOSEYEST"")"),536.8)</f>
        <v>536.79999999999995</v>
      </c>
      <c r="H571" s="14" t="str">
        <f t="shared" ca="1" si="27"/>
        <v/>
      </c>
      <c r="I571" s="15">
        <f t="shared" ca="1" si="22"/>
        <v>534.6</v>
      </c>
      <c r="J571" s="16">
        <f t="shared" ca="1" si="23"/>
        <v>541.20000000000005</v>
      </c>
      <c r="K571" s="16"/>
      <c r="L571" s="16">
        <f t="shared" ca="1" si="24"/>
        <v>530.20000000000005</v>
      </c>
      <c r="M571" s="16">
        <f t="shared" ca="1" si="25"/>
        <v>545.6</v>
      </c>
      <c r="N571" s="16">
        <f t="shared" ca="1" si="26"/>
        <v>523.6</v>
      </c>
    </row>
    <row r="572" spans="1:14" ht="24.75" customHeight="1" x14ac:dyDescent="0.8">
      <c r="A572" s="18" t="s">
        <v>535</v>
      </c>
      <c r="B572" s="10">
        <f ca="1">IFERROR(__xludf.DUMMYFUNCTION("GOOGLEFINANCE(A572,""PRICE"")"),11.7)</f>
        <v>11.7</v>
      </c>
      <c r="C572" s="11">
        <f ca="1">IFERROR(__xludf.DUMMYFUNCTION("GOOGLEFINANCE(A572,""PRICEOPEN"")"),11.55)</f>
        <v>11.55</v>
      </c>
      <c r="D572" s="11">
        <f ca="1">IFERROR(__xludf.DUMMYFUNCTION("GOOGLEFINANCE(A572,""HIGH"")"),11.7)</f>
        <v>11.7</v>
      </c>
      <c r="E572" s="11">
        <f ca="1">IFERROR(__xludf.DUMMYFUNCTION("GOOGLEFINANCE(A572,""LOW"")"),11.47)</f>
        <v>11.47</v>
      </c>
      <c r="F572" s="12" t="str">
        <f t="shared" ca="1" si="21"/>
        <v/>
      </c>
      <c r="G572" s="13">
        <f ca="1">IFERROR(__xludf.DUMMYFUNCTION("GOOGLEFINANCE(A572,""CLOSEYEST"")"),11.53)</f>
        <v>11.53</v>
      </c>
      <c r="H572" s="14" t="str">
        <f t="shared" ca="1" si="27"/>
        <v/>
      </c>
      <c r="I572" s="15">
        <f t="shared" ca="1" si="22"/>
        <v>11.566666666666668</v>
      </c>
      <c r="J572" s="16">
        <f t="shared" ca="1" si="23"/>
        <v>11.663333333333336</v>
      </c>
      <c r="K572" s="16"/>
      <c r="L572" s="16">
        <f t="shared" ca="1" si="24"/>
        <v>11.433333333333337</v>
      </c>
      <c r="M572" s="16">
        <f t="shared" ca="1" si="25"/>
        <v>11.796666666666667</v>
      </c>
      <c r="N572" s="16">
        <f t="shared" ca="1" si="26"/>
        <v>11.33666666666667</v>
      </c>
    </row>
    <row r="573" spans="1:14" ht="24.75" customHeight="1" x14ac:dyDescent="0.8">
      <c r="A573" s="18" t="s">
        <v>536</v>
      </c>
      <c r="B573" s="10">
        <f ca="1">IFERROR(__xludf.DUMMYFUNCTION("GOOGLEFINANCE(A573,""PRICE"")"),1070)</f>
        <v>1070</v>
      </c>
      <c r="C573" s="11">
        <f ca="1">IFERROR(__xludf.DUMMYFUNCTION("GOOGLEFINANCE(A573,""PRICEOPEN"")"),1063)</f>
        <v>1063</v>
      </c>
      <c r="D573" s="11">
        <f ca="1">IFERROR(__xludf.DUMMYFUNCTION("GOOGLEFINANCE(A573,""HIGH"")"),1071.8)</f>
        <v>1071.8</v>
      </c>
      <c r="E573" s="11">
        <f ca="1">IFERROR(__xludf.DUMMYFUNCTION("GOOGLEFINANCE(A573,""LOW"")"),1056.2)</f>
        <v>1056.2</v>
      </c>
      <c r="F573" s="12" t="str">
        <f t="shared" ca="1" si="21"/>
        <v/>
      </c>
      <c r="G573" s="13">
        <f ca="1">IFERROR(__xludf.DUMMYFUNCTION("GOOGLEFINANCE(A573,""CLOSEYEST"")"),1063.7)</f>
        <v>1063.7</v>
      </c>
      <c r="H573" s="14" t="str">
        <f t="shared" ca="1" si="27"/>
        <v/>
      </c>
      <c r="I573" s="15">
        <f t="shared" ca="1" si="22"/>
        <v>1063.8999999999999</v>
      </c>
      <c r="J573" s="16">
        <f t="shared" ca="1" si="23"/>
        <v>1071.5999999999997</v>
      </c>
      <c r="K573" s="16"/>
      <c r="L573" s="16">
        <f t="shared" ca="1" si="24"/>
        <v>1055.9999999999998</v>
      </c>
      <c r="M573" s="16">
        <f t="shared" ca="1" si="25"/>
        <v>1079.4999999999998</v>
      </c>
      <c r="N573" s="16">
        <f t="shared" ca="1" si="26"/>
        <v>1048.3</v>
      </c>
    </row>
    <row r="574" spans="1:14" ht="24.75" customHeight="1" x14ac:dyDescent="0.8">
      <c r="A574" s="18" t="s">
        <v>537</v>
      </c>
      <c r="B574" s="10">
        <f ca="1">IFERROR(__xludf.DUMMYFUNCTION("GOOGLEFINANCE(A574,""PRICE"")"),251.8)</f>
        <v>251.8</v>
      </c>
      <c r="C574" s="11">
        <f ca="1">IFERROR(__xludf.DUMMYFUNCTION("GOOGLEFINANCE(A574,""PRICEOPEN"")"),250.45)</f>
        <v>250.45</v>
      </c>
      <c r="D574" s="11">
        <f ca="1">IFERROR(__xludf.DUMMYFUNCTION("GOOGLEFINANCE(A574,""HIGH"")"),252.9)</f>
        <v>252.9</v>
      </c>
      <c r="E574" s="11">
        <f ca="1">IFERROR(__xludf.DUMMYFUNCTION("GOOGLEFINANCE(A574,""LOW"")"),248.75)</f>
        <v>248.75</v>
      </c>
      <c r="F574" s="12" t="str">
        <f t="shared" ca="1" si="21"/>
        <v/>
      </c>
      <c r="G574" s="13">
        <f ca="1">IFERROR(__xludf.DUMMYFUNCTION("GOOGLEFINANCE(A574,""CLOSEYEST"")"),250.45)</f>
        <v>250.45</v>
      </c>
      <c r="H574" s="14" t="str">
        <f t="shared" ca="1" si="27"/>
        <v/>
      </c>
      <c r="I574" s="15">
        <f t="shared" ca="1" si="22"/>
        <v>250.69999999999996</v>
      </c>
      <c r="J574" s="16">
        <f t="shared" ca="1" si="23"/>
        <v>252.64999999999992</v>
      </c>
      <c r="K574" s="16"/>
      <c r="L574" s="16">
        <f t="shared" ca="1" si="24"/>
        <v>248.49999999999991</v>
      </c>
      <c r="M574" s="16">
        <f t="shared" ca="1" si="25"/>
        <v>254.84999999999997</v>
      </c>
      <c r="N574" s="16">
        <f t="shared" ca="1" si="26"/>
        <v>246.54999999999995</v>
      </c>
    </row>
    <row r="575" spans="1:14" ht="24.75" customHeight="1" x14ac:dyDescent="0.8">
      <c r="A575" s="18" t="s">
        <v>538</v>
      </c>
      <c r="B575" s="10">
        <f ca="1">IFERROR(__xludf.DUMMYFUNCTION("GOOGLEFINANCE(A575,""PRICE"")"),586.8)</f>
        <v>586.79999999999995</v>
      </c>
      <c r="C575" s="11">
        <f ca="1">IFERROR(__xludf.DUMMYFUNCTION("GOOGLEFINANCE(A575,""PRICEOPEN"")"),594)</f>
        <v>594</v>
      </c>
      <c r="D575" s="11">
        <f ca="1">IFERROR(__xludf.DUMMYFUNCTION("GOOGLEFINANCE(A575,""HIGH"")"),595)</f>
        <v>595</v>
      </c>
      <c r="E575" s="11">
        <f ca="1">IFERROR(__xludf.DUMMYFUNCTION("GOOGLEFINANCE(A575,""LOW"")"),579.5)</f>
        <v>579.5</v>
      </c>
      <c r="F575" s="12" t="str">
        <f t="shared" ca="1" si="21"/>
        <v/>
      </c>
      <c r="G575" s="13">
        <f ca="1">IFERROR(__xludf.DUMMYFUNCTION("GOOGLEFINANCE(A575,""CLOSEYEST"")"),582.55)</f>
        <v>582.54999999999995</v>
      </c>
      <c r="H575" s="14" t="str">
        <f t="shared" ca="1" si="27"/>
        <v>GAP UP</v>
      </c>
      <c r="I575" s="15">
        <f t="shared" ca="1" si="22"/>
        <v>585.68333333333328</v>
      </c>
      <c r="J575" s="16">
        <f t="shared" ca="1" si="23"/>
        <v>591.86666666666656</v>
      </c>
      <c r="K575" s="16"/>
      <c r="L575" s="16">
        <f t="shared" ca="1" si="24"/>
        <v>576.36666666666656</v>
      </c>
      <c r="M575" s="16">
        <f t="shared" ca="1" si="25"/>
        <v>601.18333333333328</v>
      </c>
      <c r="N575" s="16">
        <f t="shared" ca="1" si="26"/>
        <v>570.18333333333328</v>
      </c>
    </row>
    <row r="576" spans="1:14" ht="24.75" customHeight="1" x14ac:dyDescent="0.8">
      <c r="A576" s="18" t="s">
        <v>539</v>
      </c>
      <c r="B576" s="10">
        <f ca="1">IFERROR(__xludf.DUMMYFUNCTION("GOOGLEFINANCE(A576,""PRICE"")"),180.5)</f>
        <v>180.5</v>
      </c>
      <c r="C576" s="11">
        <f ca="1">IFERROR(__xludf.DUMMYFUNCTION("GOOGLEFINANCE(A576,""PRICEOPEN"")"),174)</f>
        <v>174</v>
      </c>
      <c r="D576" s="11">
        <f ca="1">IFERROR(__xludf.DUMMYFUNCTION("GOOGLEFINANCE(A576,""HIGH"")"),181.39)</f>
        <v>181.39</v>
      </c>
      <c r="E576" s="11">
        <f ca="1">IFERROR(__xludf.DUMMYFUNCTION("GOOGLEFINANCE(A576,""LOW"")"),174)</f>
        <v>174</v>
      </c>
      <c r="F576" s="12" t="str">
        <f t="shared" ca="1" si="21"/>
        <v>BUY</v>
      </c>
      <c r="G576" s="13">
        <f ca="1">IFERROR(__xludf.DUMMYFUNCTION("GOOGLEFINANCE(A576,""CLOSEYEST"")"),173.97)</f>
        <v>173.97</v>
      </c>
      <c r="H576" s="14" t="str">
        <f t="shared" ca="1" si="27"/>
        <v/>
      </c>
      <c r="I576" s="15">
        <f t="shared" ca="1" si="22"/>
        <v>176.45333333333335</v>
      </c>
      <c r="J576" s="16">
        <f t="shared" ca="1" si="23"/>
        <v>178.90666666666669</v>
      </c>
      <c r="K576" s="16"/>
      <c r="L576" s="16">
        <f t="shared" ca="1" si="24"/>
        <v>171.51666666666671</v>
      </c>
      <c r="M576" s="16">
        <f t="shared" ca="1" si="25"/>
        <v>183.84333333333333</v>
      </c>
      <c r="N576" s="16">
        <f t="shared" ca="1" si="26"/>
        <v>169.06333333333336</v>
      </c>
    </row>
    <row r="577" spans="1:14" ht="24.75" customHeight="1" x14ac:dyDescent="0.8">
      <c r="A577" s="18" t="s">
        <v>540</v>
      </c>
      <c r="B577" s="10" t="str">
        <f ca="1">IFERROR(__xludf.DUMMYFUNCTION("GOOGLEFINANCE(A577,""PRICE"")"),"#N/A")</f>
        <v>#N/A</v>
      </c>
      <c r="C577" s="11" t="str">
        <f ca="1">IFERROR(__xludf.DUMMYFUNCTION("GOOGLEFINANCE(A577,""PRICEOPEN"")"),"#N/A")</f>
        <v>#N/A</v>
      </c>
      <c r="D577" s="11" t="str">
        <f ca="1">IFERROR(__xludf.DUMMYFUNCTION("GOOGLEFINANCE(A577,""HIGH"")"),"#N/A")</f>
        <v>#N/A</v>
      </c>
      <c r="E577" s="11" t="str">
        <f ca="1">IFERROR(__xludf.DUMMYFUNCTION("GOOGLEFINANCE(A577,""LOW"")"),"#N/A")</f>
        <v>#N/A</v>
      </c>
      <c r="F577" s="12" t="str">
        <f t="shared" ca="1" si="21"/>
        <v>SELL</v>
      </c>
      <c r="G577" s="13" t="str">
        <f ca="1">IFERROR(__xludf.DUMMYFUNCTION("GOOGLEFINANCE(A577,""CLOSEYEST"")"),"#N/A")</f>
        <v>#N/A</v>
      </c>
      <c r="H577" s="14" t="e">
        <f t="shared" ca="1" si="27"/>
        <v>#VALUE!</v>
      </c>
      <c r="I577" s="15" t="e">
        <f t="shared" ca="1" si="22"/>
        <v>#VALUE!</v>
      </c>
      <c r="J577" s="16" t="e">
        <f t="shared" ca="1" si="23"/>
        <v>#VALUE!</v>
      </c>
      <c r="K577" s="16"/>
      <c r="L577" s="16" t="e">
        <f t="shared" ca="1" si="24"/>
        <v>#VALUE!</v>
      </c>
      <c r="M577" s="16" t="e">
        <f t="shared" ca="1" si="25"/>
        <v>#VALUE!</v>
      </c>
      <c r="N577" s="16" t="e">
        <f t="shared" ca="1" si="26"/>
        <v>#VALUE!</v>
      </c>
    </row>
    <row r="578" spans="1:14" ht="24.75" customHeight="1" x14ac:dyDescent="0.8">
      <c r="A578" s="18" t="s">
        <v>541</v>
      </c>
      <c r="B578" s="10" t="str">
        <f ca="1">IFERROR(__xludf.DUMMYFUNCTION("GOOGLEFINANCE(A578,""PRICE"")"),"#N/A")</f>
        <v>#N/A</v>
      </c>
      <c r="C578" s="11" t="str">
        <f ca="1">IFERROR(__xludf.DUMMYFUNCTION("GOOGLEFINANCE(A578,""PRICEOPEN"")"),"#N/A")</f>
        <v>#N/A</v>
      </c>
      <c r="D578" s="11" t="str">
        <f ca="1">IFERROR(__xludf.DUMMYFUNCTION("GOOGLEFINANCE(A578,""HIGH"")"),"#N/A")</f>
        <v>#N/A</v>
      </c>
      <c r="E578" s="11" t="str">
        <f ca="1">IFERROR(__xludf.DUMMYFUNCTION("GOOGLEFINANCE(A578,""LOW"")"),"#N/A")</f>
        <v>#N/A</v>
      </c>
      <c r="F578" s="12" t="str">
        <f t="shared" ca="1" si="21"/>
        <v>SELL</v>
      </c>
      <c r="G578" s="13" t="str">
        <f ca="1">IFERROR(__xludf.DUMMYFUNCTION("GOOGLEFINANCE(A578,""CLOSEYEST"")"),"#N/A")</f>
        <v>#N/A</v>
      </c>
      <c r="H578" s="14" t="e">
        <f t="shared" ca="1" si="27"/>
        <v>#VALUE!</v>
      </c>
      <c r="I578" s="15" t="e">
        <f t="shared" ca="1" si="22"/>
        <v>#VALUE!</v>
      </c>
      <c r="J578" s="16" t="e">
        <f t="shared" ca="1" si="23"/>
        <v>#VALUE!</v>
      </c>
      <c r="K578" s="16"/>
      <c r="L578" s="16" t="e">
        <f t="shared" ca="1" si="24"/>
        <v>#VALUE!</v>
      </c>
      <c r="M578" s="16" t="e">
        <f t="shared" ca="1" si="25"/>
        <v>#VALUE!</v>
      </c>
      <c r="N578" s="16" t="e">
        <f t="shared" ca="1" si="26"/>
        <v>#VALUE!</v>
      </c>
    </row>
    <row r="579" spans="1:14" ht="24.75" customHeight="1" x14ac:dyDescent="0.8">
      <c r="A579" s="18" t="s">
        <v>542</v>
      </c>
      <c r="B579" s="10" t="str">
        <f ca="1">IFERROR(__xludf.DUMMYFUNCTION("GOOGLEFINANCE(A579,""PRICE"")"),"#N/A")</f>
        <v>#N/A</v>
      </c>
      <c r="C579" s="11" t="str">
        <f ca="1">IFERROR(__xludf.DUMMYFUNCTION("GOOGLEFINANCE(A579,""PRICEOPEN"")"),"#N/A")</f>
        <v>#N/A</v>
      </c>
      <c r="D579" s="11" t="str">
        <f ca="1">IFERROR(__xludf.DUMMYFUNCTION("GOOGLEFINANCE(A579,""HIGH"")"),"#N/A")</f>
        <v>#N/A</v>
      </c>
      <c r="E579" s="11" t="str">
        <f ca="1">IFERROR(__xludf.DUMMYFUNCTION("GOOGLEFINANCE(A579,""LOW"")"),"#N/A")</f>
        <v>#N/A</v>
      </c>
      <c r="F579" s="12" t="str">
        <f t="shared" ca="1" si="21"/>
        <v>SELL</v>
      </c>
      <c r="G579" s="13" t="str">
        <f ca="1">IFERROR(__xludf.DUMMYFUNCTION("GOOGLEFINANCE(A579,""CLOSEYEST"")"),"#N/A")</f>
        <v>#N/A</v>
      </c>
      <c r="H579" s="14" t="e">
        <f t="shared" ca="1" si="27"/>
        <v>#VALUE!</v>
      </c>
      <c r="I579" s="15" t="e">
        <f t="shared" ca="1" si="22"/>
        <v>#VALUE!</v>
      </c>
      <c r="J579" s="16" t="e">
        <f t="shared" ca="1" si="23"/>
        <v>#VALUE!</v>
      </c>
      <c r="K579" s="16"/>
      <c r="L579" s="16" t="e">
        <f t="shared" ca="1" si="24"/>
        <v>#VALUE!</v>
      </c>
      <c r="M579" s="16" t="e">
        <f t="shared" ca="1" si="25"/>
        <v>#VALUE!</v>
      </c>
      <c r="N579" s="16" t="e">
        <f t="shared" ca="1" si="26"/>
        <v>#VALUE!</v>
      </c>
    </row>
    <row r="580" spans="1:14" ht="24.75" customHeight="1" x14ac:dyDescent="0.8">
      <c r="A580" s="18" t="s">
        <v>543</v>
      </c>
      <c r="B580" s="10">
        <f ca="1">IFERROR(__xludf.DUMMYFUNCTION("GOOGLEFINANCE(A580,""PRICE"")"),381.9)</f>
        <v>381.9</v>
      </c>
      <c r="C580" s="11">
        <f ca="1">IFERROR(__xludf.DUMMYFUNCTION("GOOGLEFINANCE(A580,""PRICEOPEN"")"),375.45)</f>
        <v>375.45</v>
      </c>
      <c r="D580" s="11">
        <f ca="1">IFERROR(__xludf.DUMMYFUNCTION("GOOGLEFINANCE(A580,""HIGH"")"),385.75)</f>
        <v>385.75</v>
      </c>
      <c r="E580" s="11">
        <f ca="1">IFERROR(__xludf.DUMMYFUNCTION("GOOGLEFINANCE(A580,""LOW"")"),373)</f>
        <v>373</v>
      </c>
      <c r="F580" s="12" t="str">
        <f t="shared" ca="1" si="21"/>
        <v/>
      </c>
      <c r="G580" s="13">
        <f ca="1">IFERROR(__xludf.DUMMYFUNCTION("GOOGLEFINANCE(A580,""CLOSEYEST"")"),372.15)</f>
        <v>372.15</v>
      </c>
      <c r="H580" s="14" t="str">
        <f t="shared" ca="1" si="27"/>
        <v/>
      </c>
      <c r="I580" s="15">
        <f t="shared" ca="1" si="22"/>
        <v>376.9666666666667</v>
      </c>
      <c r="J580" s="16">
        <f t="shared" ca="1" si="23"/>
        <v>380.93333333333339</v>
      </c>
      <c r="K580" s="16"/>
      <c r="L580" s="16">
        <f t="shared" ca="1" si="24"/>
        <v>368.18333333333339</v>
      </c>
      <c r="M580" s="16">
        <f t="shared" ca="1" si="25"/>
        <v>389.7166666666667</v>
      </c>
      <c r="N580" s="16">
        <f t="shared" ca="1" si="26"/>
        <v>364.2166666666667</v>
      </c>
    </row>
    <row r="581" spans="1:14" ht="24.75" customHeight="1" x14ac:dyDescent="0.8">
      <c r="A581" s="18" t="s">
        <v>544</v>
      </c>
      <c r="B581" s="10" t="str">
        <f ca="1">IFERROR(__xludf.DUMMYFUNCTION("GOOGLEFINANCE(A581,""PRICE"")"),"#N/A")</f>
        <v>#N/A</v>
      </c>
      <c r="C581" s="11" t="str">
        <f ca="1">IFERROR(__xludf.DUMMYFUNCTION("GOOGLEFINANCE(A581,""PRICEOPEN"")"),"#N/A")</f>
        <v>#N/A</v>
      </c>
      <c r="D581" s="11" t="str">
        <f ca="1">IFERROR(__xludf.DUMMYFUNCTION("GOOGLEFINANCE(A581,""HIGH"")"),"#N/A")</f>
        <v>#N/A</v>
      </c>
      <c r="E581" s="11" t="str">
        <f ca="1">IFERROR(__xludf.DUMMYFUNCTION("GOOGLEFINANCE(A581,""LOW"")"),"#N/A")</f>
        <v>#N/A</v>
      </c>
      <c r="F581" s="12" t="str">
        <f t="shared" ca="1" si="21"/>
        <v>SELL</v>
      </c>
      <c r="G581" s="13" t="str">
        <f ca="1">IFERROR(__xludf.DUMMYFUNCTION("GOOGLEFINANCE(A581,""CLOSEYEST"")"),"#N/A")</f>
        <v>#N/A</v>
      </c>
      <c r="H581" s="14" t="e">
        <f t="shared" ca="1" si="27"/>
        <v>#VALUE!</v>
      </c>
      <c r="I581" s="15" t="e">
        <f t="shared" ca="1" si="22"/>
        <v>#VALUE!</v>
      </c>
      <c r="J581" s="16" t="e">
        <f t="shared" ca="1" si="23"/>
        <v>#VALUE!</v>
      </c>
      <c r="K581" s="16"/>
      <c r="L581" s="16" t="e">
        <f t="shared" ca="1" si="24"/>
        <v>#VALUE!</v>
      </c>
      <c r="M581" s="16" t="e">
        <f t="shared" ca="1" si="25"/>
        <v>#VALUE!</v>
      </c>
      <c r="N581" s="16" t="e">
        <f t="shared" ca="1" si="26"/>
        <v>#VALUE!</v>
      </c>
    </row>
    <row r="582" spans="1:14" ht="24.75" customHeight="1" x14ac:dyDescent="0.8">
      <c r="A582" s="18" t="s">
        <v>545</v>
      </c>
      <c r="B582" s="10">
        <f ca="1">IFERROR(__xludf.DUMMYFUNCTION("GOOGLEFINANCE(A582,""PRICE"")"),368)</f>
        <v>368</v>
      </c>
      <c r="C582" s="11">
        <f ca="1">IFERROR(__xludf.DUMMYFUNCTION("GOOGLEFINANCE(A582,""PRICEOPEN"")"),363.8)</f>
        <v>363.8</v>
      </c>
      <c r="D582" s="11">
        <f ca="1">IFERROR(__xludf.DUMMYFUNCTION("GOOGLEFINANCE(A582,""HIGH"")"),375)</f>
        <v>375</v>
      </c>
      <c r="E582" s="11">
        <f ca="1">IFERROR(__xludf.DUMMYFUNCTION("GOOGLEFINANCE(A582,""LOW"")"),360.7)</f>
        <v>360.7</v>
      </c>
      <c r="F582" s="12" t="str">
        <f t="shared" ca="1" si="21"/>
        <v/>
      </c>
      <c r="G582" s="13">
        <f ca="1">IFERROR(__xludf.DUMMYFUNCTION("GOOGLEFINANCE(A582,""CLOSEYEST"")"),361.1)</f>
        <v>361.1</v>
      </c>
      <c r="H582" s="14" t="str">
        <f t="shared" ca="1" si="27"/>
        <v/>
      </c>
      <c r="I582" s="15">
        <f t="shared" ca="1" si="22"/>
        <v>365.60000000000008</v>
      </c>
      <c r="J582" s="16">
        <f t="shared" ca="1" si="23"/>
        <v>370.50000000000017</v>
      </c>
      <c r="K582" s="16"/>
      <c r="L582" s="16">
        <f t="shared" ca="1" si="24"/>
        <v>356.20000000000016</v>
      </c>
      <c r="M582" s="16">
        <f t="shared" ca="1" si="25"/>
        <v>379.90000000000009</v>
      </c>
      <c r="N582" s="16">
        <f t="shared" ca="1" si="26"/>
        <v>351.30000000000007</v>
      </c>
    </row>
    <row r="583" spans="1:14" ht="24.75" customHeight="1" x14ac:dyDescent="0.8">
      <c r="A583" s="18" t="s">
        <v>546</v>
      </c>
      <c r="B583" s="10" t="str">
        <f ca="1">IFERROR(__xludf.DUMMYFUNCTION("GOOGLEFINANCE(A583,""PRICE"")"),"#N/A")</f>
        <v>#N/A</v>
      </c>
      <c r="C583" s="11" t="str">
        <f ca="1">IFERROR(__xludf.DUMMYFUNCTION("GOOGLEFINANCE(A583,""PRICEOPEN"")"),"#N/A")</f>
        <v>#N/A</v>
      </c>
      <c r="D583" s="11" t="str">
        <f ca="1">IFERROR(__xludf.DUMMYFUNCTION("GOOGLEFINANCE(A583,""HIGH"")"),"#N/A")</f>
        <v>#N/A</v>
      </c>
      <c r="E583" s="11" t="str">
        <f ca="1">IFERROR(__xludf.DUMMYFUNCTION("GOOGLEFINANCE(A583,""LOW"")"),"#N/A")</f>
        <v>#N/A</v>
      </c>
      <c r="F583" s="12" t="str">
        <f t="shared" ca="1" si="21"/>
        <v>SELL</v>
      </c>
      <c r="G583" s="13" t="str">
        <f ca="1">IFERROR(__xludf.DUMMYFUNCTION("GOOGLEFINANCE(A583,""CLOSEYEST"")"),"#N/A")</f>
        <v>#N/A</v>
      </c>
      <c r="H583" s="14" t="e">
        <f t="shared" ca="1" si="27"/>
        <v>#VALUE!</v>
      </c>
      <c r="I583" s="15" t="e">
        <f t="shared" ca="1" si="22"/>
        <v>#VALUE!</v>
      </c>
      <c r="J583" s="16" t="e">
        <f t="shared" ca="1" si="23"/>
        <v>#VALUE!</v>
      </c>
      <c r="K583" s="16"/>
      <c r="L583" s="16" t="e">
        <f t="shared" ca="1" si="24"/>
        <v>#VALUE!</v>
      </c>
      <c r="M583" s="16" t="e">
        <f t="shared" ca="1" si="25"/>
        <v>#VALUE!</v>
      </c>
      <c r="N583" s="16" t="e">
        <f t="shared" ca="1" si="26"/>
        <v>#VALUE!</v>
      </c>
    </row>
    <row r="584" spans="1:14" ht="24.75" customHeight="1" x14ac:dyDescent="0.8">
      <c r="A584" s="18" t="s">
        <v>547</v>
      </c>
      <c r="B584" s="10">
        <f ca="1">IFERROR(__xludf.DUMMYFUNCTION("GOOGLEFINANCE(A584,""PRICE"")"),389.5)</f>
        <v>389.5</v>
      </c>
      <c r="C584" s="11">
        <f ca="1">IFERROR(__xludf.DUMMYFUNCTION("GOOGLEFINANCE(A584,""PRICEOPEN"")"),368.45)</f>
        <v>368.45</v>
      </c>
      <c r="D584" s="11">
        <f ca="1">IFERROR(__xludf.DUMMYFUNCTION("GOOGLEFINANCE(A584,""HIGH"")"),395.7)</f>
        <v>395.7</v>
      </c>
      <c r="E584" s="11">
        <f ca="1">IFERROR(__xludf.DUMMYFUNCTION("GOOGLEFINANCE(A584,""LOW"")"),365.8)</f>
        <v>365.8</v>
      </c>
      <c r="F584" s="12" t="str">
        <f t="shared" ca="1" si="21"/>
        <v/>
      </c>
      <c r="G584" s="13">
        <f ca="1">IFERROR(__xludf.DUMMYFUNCTION("GOOGLEFINANCE(A584,""CLOSEYEST"")"),368.4)</f>
        <v>368.4</v>
      </c>
      <c r="H584" s="14" t="str">
        <f t="shared" ca="1" si="27"/>
        <v/>
      </c>
      <c r="I584" s="15">
        <f t="shared" ca="1" si="22"/>
        <v>376.63333333333338</v>
      </c>
      <c r="J584" s="16">
        <f t="shared" ca="1" si="23"/>
        <v>387.46666666666675</v>
      </c>
      <c r="K584" s="16"/>
      <c r="L584" s="16">
        <f t="shared" ca="1" si="24"/>
        <v>357.56666666666678</v>
      </c>
      <c r="M584" s="16">
        <f t="shared" ca="1" si="25"/>
        <v>406.53333333333336</v>
      </c>
      <c r="N584" s="16">
        <f t="shared" ca="1" si="26"/>
        <v>346.73333333333341</v>
      </c>
    </row>
    <row r="585" spans="1:14" ht="24.75" customHeight="1" x14ac:dyDescent="0.8">
      <c r="A585" s="18" t="s">
        <v>548</v>
      </c>
      <c r="B585" s="10" t="str">
        <f ca="1">IFERROR(__xludf.DUMMYFUNCTION("GOOGLEFINANCE(A585,""PRICE"")"),"#N/A")</f>
        <v>#N/A</v>
      </c>
      <c r="C585" s="11" t="str">
        <f ca="1">IFERROR(__xludf.DUMMYFUNCTION("GOOGLEFINANCE(A585,""PRICEOPEN"")"),"#N/A")</f>
        <v>#N/A</v>
      </c>
      <c r="D585" s="11" t="str">
        <f ca="1">IFERROR(__xludf.DUMMYFUNCTION("GOOGLEFINANCE(A585,""HIGH"")"),"#N/A")</f>
        <v>#N/A</v>
      </c>
      <c r="E585" s="11" t="str">
        <f ca="1">IFERROR(__xludf.DUMMYFUNCTION("GOOGLEFINANCE(A585,""LOW"")"),"#N/A")</f>
        <v>#N/A</v>
      </c>
      <c r="F585" s="12" t="str">
        <f t="shared" ca="1" si="21"/>
        <v>SELL</v>
      </c>
      <c r="G585" s="13" t="str">
        <f ca="1">IFERROR(__xludf.DUMMYFUNCTION("GOOGLEFINANCE(A585,""CLOSEYEST"")"),"#N/A")</f>
        <v>#N/A</v>
      </c>
      <c r="H585" s="14" t="e">
        <f t="shared" ca="1" si="27"/>
        <v>#VALUE!</v>
      </c>
      <c r="I585" s="15" t="e">
        <f t="shared" ca="1" si="22"/>
        <v>#VALUE!</v>
      </c>
      <c r="J585" s="16" t="e">
        <f t="shared" ca="1" si="23"/>
        <v>#VALUE!</v>
      </c>
      <c r="K585" s="16"/>
      <c r="L585" s="16" t="e">
        <f t="shared" ca="1" si="24"/>
        <v>#VALUE!</v>
      </c>
      <c r="M585" s="16" t="e">
        <f t="shared" ca="1" si="25"/>
        <v>#VALUE!</v>
      </c>
      <c r="N585" s="16" t="e">
        <f t="shared" ca="1" si="26"/>
        <v>#VALUE!</v>
      </c>
    </row>
    <row r="586" spans="1:14" ht="24.75" customHeight="1" x14ac:dyDescent="0.8">
      <c r="A586" s="18" t="s">
        <v>549</v>
      </c>
      <c r="B586" s="10">
        <f ca="1">IFERROR(__xludf.DUMMYFUNCTION("GOOGLEFINANCE(A586,""PRICE"")"),1300.7)</f>
        <v>1300.7</v>
      </c>
      <c r="C586" s="11">
        <f ca="1">IFERROR(__xludf.DUMMYFUNCTION("GOOGLEFINANCE(A586,""PRICEOPEN"")"),1324.9)</f>
        <v>1324.9</v>
      </c>
      <c r="D586" s="11">
        <f ca="1">IFERROR(__xludf.DUMMYFUNCTION("GOOGLEFINANCE(A586,""HIGH"")"),1324.9)</f>
        <v>1324.9</v>
      </c>
      <c r="E586" s="11">
        <f ca="1">IFERROR(__xludf.DUMMYFUNCTION("GOOGLEFINANCE(A586,""LOW"")"),1283)</f>
        <v>1283</v>
      </c>
      <c r="F586" s="12" t="str">
        <f t="shared" ca="1" si="21"/>
        <v>SELL</v>
      </c>
      <c r="G586" s="13">
        <f ca="1">IFERROR(__xludf.DUMMYFUNCTION("GOOGLEFINANCE(A586,""CLOSEYEST"")"),1314.4)</f>
        <v>1314.4</v>
      </c>
      <c r="H586" s="14" t="str">
        <f t="shared" ca="1" si="27"/>
        <v/>
      </c>
      <c r="I586" s="15">
        <f t="shared" ca="1" si="22"/>
        <v>1307.4333333333334</v>
      </c>
      <c r="J586" s="16">
        <f t="shared" ca="1" si="23"/>
        <v>1331.8666666666668</v>
      </c>
      <c r="K586" s="16"/>
      <c r="L586" s="16">
        <f t="shared" ca="1" si="24"/>
        <v>1289.9666666666667</v>
      </c>
      <c r="M586" s="16">
        <f t="shared" ca="1" si="25"/>
        <v>1349.3333333333335</v>
      </c>
      <c r="N586" s="16">
        <f t="shared" ca="1" si="26"/>
        <v>1265.5333333333333</v>
      </c>
    </row>
    <row r="587" spans="1:14" ht="24.75" customHeight="1" x14ac:dyDescent="0.8">
      <c r="A587" s="18" t="s">
        <v>550</v>
      </c>
      <c r="B587" s="10">
        <f ca="1">IFERROR(__xludf.DUMMYFUNCTION("GOOGLEFINANCE(A587,""PRICE"")"),252.4)</f>
        <v>252.4</v>
      </c>
      <c r="C587" s="11">
        <f ca="1">IFERROR(__xludf.DUMMYFUNCTION("GOOGLEFINANCE(A587,""PRICEOPEN"")"),252.2)</f>
        <v>252.2</v>
      </c>
      <c r="D587" s="11">
        <f ca="1">IFERROR(__xludf.DUMMYFUNCTION("GOOGLEFINANCE(A587,""HIGH"")"),255.65)</f>
        <v>255.65</v>
      </c>
      <c r="E587" s="11">
        <f ca="1">IFERROR(__xludf.DUMMYFUNCTION("GOOGLEFINANCE(A587,""LOW"")"),250.05)</f>
        <v>250.05</v>
      </c>
      <c r="F587" s="12" t="str">
        <f t="shared" ca="1" si="21"/>
        <v/>
      </c>
      <c r="G587" s="13">
        <f ca="1">IFERROR(__xludf.DUMMYFUNCTION("GOOGLEFINANCE(A587,""CLOSEYEST"")"),252.8)</f>
        <v>252.8</v>
      </c>
      <c r="H587" s="14" t="str">
        <f t="shared" ca="1" si="27"/>
        <v/>
      </c>
      <c r="I587" s="15">
        <f t="shared" ca="1" si="22"/>
        <v>252.83333333333334</v>
      </c>
      <c r="J587" s="16">
        <f t="shared" ca="1" si="23"/>
        <v>255.61666666666667</v>
      </c>
      <c r="K587" s="16"/>
      <c r="L587" s="16">
        <f t="shared" ca="1" si="24"/>
        <v>250.01666666666668</v>
      </c>
      <c r="M587" s="16">
        <f t="shared" ca="1" si="25"/>
        <v>258.43333333333334</v>
      </c>
      <c r="N587" s="16">
        <f t="shared" ca="1" si="26"/>
        <v>247.23333333333335</v>
      </c>
    </row>
    <row r="588" spans="1:14" ht="24.75" customHeight="1" x14ac:dyDescent="0.8">
      <c r="A588" s="18" t="s">
        <v>551</v>
      </c>
      <c r="B588" s="10">
        <f ca="1">IFERROR(__xludf.DUMMYFUNCTION("GOOGLEFINANCE(A588,""PRICE"")"),0.2)</f>
        <v>0.2</v>
      </c>
      <c r="C588" s="11" t="str">
        <f ca="1">IFERROR(__xludf.DUMMYFUNCTION("GOOGLEFINANCE(A588,""PRICEOPEN"")"),"#N/A")</f>
        <v>#N/A</v>
      </c>
      <c r="D588" s="11" t="str">
        <f ca="1">IFERROR(__xludf.DUMMYFUNCTION("GOOGLEFINANCE(A588,""HIGH"")"),"#N/A")</f>
        <v>#N/A</v>
      </c>
      <c r="E588" s="11" t="str">
        <f ca="1">IFERROR(__xludf.DUMMYFUNCTION("GOOGLEFINANCE(A588,""LOW"")"),"#N/A")</f>
        <v>#N/A</v>
      </c>
      <c r="F588" s="12" t="str">
        <f t="shared" ca="1" si="21"/>
        <v>SELL</v>
      </c>
      <c r="G588" s="13">
        <f ca="1">IFERROR(__xludf.DUMMYFUNCTION("GOOGLEFINANCE(A588,""CLOSEYEST"")"),0.2)</f>
        <v>0.2</v>
      </c>
      <c r="H588" s="14" t="str">
        <f t="shared" ca="1" si="27"/>
        <v>GAP UP</v>
      </c>
      <c r="I588" s="15" t="e">
        <f t="shared" ca="1" si="22"/>
        <v>#VALUE!</v>
      </c>
      <c r="J588" s="16" t="e">
        <f t="shared" ca="1" si="23"/>
        <v>#VALUE!</v>
      </c>
      <c r="K588" s="16"/>
      <c r="L588" s="16" t="e">
        <f t="shared" ca="1" si="24"/>
        <v>#VALUE!</v>
      </c>
      <c r="M588" s="16" t="e">
        <f t="shared" ca="1" si="25"/>
        <v>#VALUE!</v>
      </c>
      <c r="N588" s="16" t="e">
        <f t="shared" ca="1" si="26"/>
        <v>#VALUE!</v>
      </c>
    </row>
    <row r="589" spans="1:14" ht="24.75" customHeight="1" x14ac:dyDescent="0.8">
      <c r="A589" s="18" t="s">
        <v>552</v>
      </c>
      <c r="B589" s="10">
        <f ca="1">IFERROR(__xludf.DUMMYFUNCTION("GOOGLEFINANCE(A589,""PRICE"")"),4160)</f>
        <v>4160</v>
      </c>
      <c r="C589" s="11">
        <f ca="1">IFERROR(__xludf.DUMMYFUNCTION("GOOGLEFINANCE(A589,""PRICEOPEN"")"),4127.4)</f>
        <v>4127.3999999999996</v>
      </c>
      <c r="D589" s="11">
        <f ca="1">IFERROR(__xludf.DUMMYFUNCTION("GOOGLEFINANCE(A589,""HIGH"")"),4162.4)</f>
        <v>4162.3999999999996</v>
      </c>
      <c r="E589" s="11">
        <f ca="1">IFERROR(__xludf.DUMMYFUNCTION("GOOGLEFINANCE(A589,""LOW"")"),4063.6)</f>
        <v>4063.6</v>
      </c>
      <c r="F589" s="12" t="str">
        <f t="shared" ca="1" si="21"/>
        <v/>
      </c>
      <c r="G589" s="13">
        <f ca="1">IFERROR(__xludf.DUMMYFUNCTION("GOOGLEFINANCE(A589,""CLOSEYEST"")"),4127.4)</f>
        <v>4127.3999999999996</v>
      </c>
      <c r="H589" s="14" t="str">
        <f t="shared" ca="1" si="27"/>
        <v/>
      </c>
      <c r="I589" s="15">
        <f t="shared" ca="1" si="22"/>
        <v>4117.8</v>
      </c>
      <c r="J589" s="16">
        <f t="shared" ca="1" si="23"/>
        <v>4172</v>
      </c>
      <c r="K589" s="16"/>
      <c r="L589" s="16">
        <f t="shared" ca="1" si="24"/>
        <v>4073.2000000000007</v>
      </c>
      <c r="M589" s="16">
        <f t="shared" ca="1" si="25"/>
        <v>4216.5999999999995</v>
      </c>
      <c r="N589" s="16">
        <f t="shared" ca="1" si="26"/>
        <v>4019.0000000000009</v>
      </c>
    </row>
    <row r="590" spans="1:14" ht="24.75" customHeight="1" x14ac:dyDescent="0.8">
      <c r="A590" s="18" t="s">
        <v>553</v>
      </c>
      <c r="B590" s="10">
        <f ca="1">IFERROR(__xludf.DUMMYFUNCTION("GOOGLEFINANCE(A590,""PRICE"")"),353)</f>
        <v>353</v>
      </c>
      <c r="C590" s="11">
        <f ca="1">IFERROR(__xludf.DUMMYFUNCTION("GOOGLEFINANCE(A590,""PRICEOPEN"")"),349.1)</f>
        <v>349.1</v>
      </c>
      <c r="D590" s="11">
        <f ca="1">IFERROR(__xludf.DUMMYFUNCTION("GOOGLEFINANCE(A590,""HIGH"")"),353.7)</f>
        <v>353.7</v>
      </c>
      <c r="E590" s="11">
        <f ca="1">IFERROR(__xludf.DUMMYFUNCTION("GOOGLEFINANCE(A590,""LOW"")"),346.75)</f>
        <v>346.75</v>
      </c>
      <c r="F590" s="12" t="str">
        <f t="shared" ca="1" si="21"/>
        <v/>
      </c>
      <c r="G590" s="13">
        <f ca="1">IFERROR(__xludf.DUMMYFUNCTION("GOOGLEFINANCE(A590,""CLOSEYEST"")"),348.35)</f>
        <v>348.35</v>
      </c>
      <c r="H590" s="14" t="str">
        <f t="shared" ca="1" si="27"/>
        <v/>
      </c>
      <c r="I590" s="15">
        <f t="shared" ca="1" si="22"/>
        <v>349.60000000000008</v>
      </c>
      <c r="J590" s="16">
        <f t="shared" ca="1" si="23"/>
        <v>352.45000000000016</v>
      </c>
      <c r="K590" s="16"/>
      <c r="L590" s="16">
        <f t="shared" ca="1" si="24"/>
        <v>345.50000000000017</v>
      </c>
      <c r="M590" s="16">
        <f t="shared" ca="1" si="25"/>
        <v>356.55000000000007</v>
      </c>
      <c r="N590" s="16">
        <f t="shared" ca="1" si="26"/>
        <v>342.65000000000009</v>
      </c>
    </row>
    <row r="591" spans="1:14" ht="24.75" customHeight="1" x14ac:dyDescent="0.8">
      <c r="A591" s="18" t="s">
        <v>554</v>
      </c>
      <c r="B591" s="10">
        <f ca="1">IFERROR(__xludf.DUMMYFUNCTION("GOOGLEFINANCE(A591,""PRICE"")"),14.25)</f>
        <v>14.25</v>
      </c>
      <c r="C591" s="11">
        <f ca="1">IFERROR(__xludf.DUMMYFUNCTION("GOOGLEFINANCE(A591,""PRICEOPEN"")"),14.04)</f>
        <v>14.04</v>
      </c>
      <c r="D591" s="11">
        <f ca="1">IFERROR(__xludf.DUMMYFUNCTION("GOOGLEFINANCE(A591,""HIGH"")"),14.3)</f>
        <v>14.3</v>
      </c>
      <c r="E591" s="11">
        <f ca="1">IFERROR(__xludf.DUMMYFUNCTION("GOOGLEFINANCE(A591,""LOW"")"),14.02)</f>
        <v>14.02</v>
      </c>
      <c r="F591" s="12" t="str">
        <f t="shared" ca="1" si="21"/>
        <v/>
      </c>
      <c r="G591" s="13">
        <f ca="1">IFERROR(__xludf.DUMMYFUNCTION("GOOGLEFINANCE(A591,""CLOSEYEST"")"),14.03)</f>
        <v>14.03</v>
      </c>
      <c r="H591" s="14" t="str">
        <f t="shared" ca="1" si="27"/>
        <v/>
      </c>
      <c r="I591" s="15">
        <f t="shared" ca="1" si="22"/>
        <v>14.116666666666667</v>
      </c>
      <c r="J591" s="16">
        <f t="shared" ca="1" si="23"/>
        <v>14.213333333333335</v>
      </c>
      <c r="K591" s="16"/>
      <c r="L591" s="16">
        <f t="shared" ca="1" si="24"/>
        <v>13.933333333333334</v>
      </c>
      <c r="M591" s="16">
        <f t="shared" ca="1" si="25"/>
        <v>14.396666666666668</v>
      </c>
      <c r="N591" s="16">
        <f t="shared" ca="1" si="26"/>
        <v>13.836666666666666</v>
      </c>
    </row>
    <row r="592" spans="1:14" ht="24.75" customHeight="1" x14ac:dyDescent="0.8">
      <c r="A592" s="18" t="s">
        <v>555</v>
      </c>
      <c r="B592" s="10">
        <f ca="1">IFERROR(__xludf.DUMMYFUNCTION("GOOGLEFINANCE(A592,""PRICE"")"),1335)</f>
        <v>1335</v>
      </c>
      <c r="C592" s="11">
        <f ca="1">IFERROR(__xludf.DUMMYFUNCTION("GOOGLEFINANCE(A592,""PRICEOPEN"")"),1347)</f>
        <v>1347</v>
      </c>
      <c r="D592" s="11">
        <f ca="1">IFERROR(__xludf.DUMMYFUNCTION("GOOGLEFINANCE(A592,""HIGH"")"),1356.6)</f>
        <v>1356.6</v>
      </c>
      <c r="E592" s="11">
        <f ca="1">IFERROR(__xludf.DUMMYFUNCTION("GOOGLEFINANCE(A592,""LOW"")"),1322)</f>
        <v>1322</v>
      </c>
      <c r="F592" s="12" t="str">
        <f t="shared" ca="1" si="21"/>
        <v/>
      </c>
      <c r="G592" s="13">
        <f ca="1">IFERROR(__xludf.DUMMYFUNCTION("GOOGLEFINANCE(A592,""CLOSEYEST"")"),1345.9)</f>
        <v>1345.9</v>
      </c>
      <c r="H592" s="14" t="str">
        <f t="shared" ca="1" si="27"/>
        <v/>
      </c>
      <c r="I592" s="15">
        <f t="shared" ca="1" si="22"/>
        <v>1341.5</v>
      </c>
      <c r="J592" s="16">
        <f t="shared" ca="1" si="23"/>
        <v>1361</v>
      </c>
      <c r="K592" s="16"/>
      <c r="L592" s="16">
        <f t="shared" ca="1" si="24"/>
        <v>1326.4</v>
      </c>
      <c r="M592" s="16">
        <f t="shared" ca="1" si="25"/>
        <v>1376.1</v>
      </c>
      <c r="N592" s="16">
        <f t="shared" ca="1" si="26"/>
        <v>1306.9000000000001</v>
      </c>
    </row>
    <row r="593" spans="1:14" ht="24.75" customHeight="1" x14ac:dyDescent="0.8">
      <c r="A593" s="18" t="s">
        <v>556</v>
      </c>
      <c r="B593" s="10">
        <f ca="1">IFERROR(__xludf.DUMMYFUNCTION("GOOGLEFINANCE(A593,""PRICE"")"),201.1)</f>
        <v>201.1</v>
      </c>
      <c r="C593" s="11">
        <f ca="1">IFERROR(__xludf.DUMMYFUNCTION("GOOGLEFINANCE(A593,""PRICEOPEN"")"),201.66)</f>
        <v>201.66</v>
      </c>
      <c r="D593" s="11">
        <f ca="1">IFERROR(__xludf.DUMMYFUNCTION("GOOGLEFINANCE(A593,""HIGH"")"),202.79)</f>
        <v>202.79</v>
      </c>
      <c r="E593" s="11">
        <f ca="1">IFERROR(__xludf.DUMMYFUNCTION("GOOGLEFINANCE(A593,""LOW"")"),199.01)</f>
        <v>199.01</v>
      </c>
      <c r="F593" s="12" t="str">
        <f t="shared" ca="1" si="21"/>
        <v/>
      </c>
      <c r="G593" s="13">
        <f ca="1">IFERROR(__xludf.DUMMYFUNCTION("GOOGLEFINANCE(A593,""CLOSEYEST"")"),201.66)</f>
        <v>201.66</v>
      </c>
      <c r="H593" s="14" t="str">
        <f t="shared" ca="1" si="27"/>
        <v/>
      </c>
      <c r="I593" s="15">
        <f t="shared" ca="1" si="22"/>
        <v>201.15333333333331</v>
      </c>
      <c r="J593" s="16">
        <f t="shared" ca="1" si="23"/>
        <v>203.29666666666662</v>
      </c>
      <c r="K593" s="16"/>
      <c r="L593" s="16">
        <f t="shared" ca="1" si="24"/>
        <v>199.51666666666662</v>
      </c>
      <c r="M593" s="16">
        <f t="shared" ca="1" si="25"/>
        <v>204.93333333333331</v>
      </c>
      <c r="N593" s="16">
        <f t="shared" ca="1" si="26"/>
        <v>197.37333333333331</v>
      </c>
    </row>
    <row r="594" spans="1:14" ht="24.75" customHeight="1" x14ac:dyDescent="0.8">
      <c r="A594" s="18" t="s">
        <v>557</v>
      </c>
      <c r="B594" s="10">
        <f ca="1">IFERROR(__xludf.DUMMYFUNCTION("GOOGLEFINANCE(A594,""PRICE"")"),107)</f>
        <v>107</v>
      </c>
      <c r="C594" s="11">
        <f ca="1">IFERROR(__xludf.DUMMYFUNCTION("GOOGLEFINANCE(A594,""PRICEOPEN"")"),106.62)</f>
        <v>106.62</v>
      </c>
      <c r="D594" s="11">
        <f ca="1">IFERROR(__xludf.DUMMYFUNCTION("GOOGLEFINANCE(A594,""HIGH"")"),107.12)</f>
        <v>107.12</v>
      </c>
      <c r="E594" s="11">
        <f ca="1">IFERROR(__xludf.DUMMYFUNCTION("GOOGLEFINANCE(A594,""LOW"")"),105.35)</f>
        <v>105.35</v>
      </c>
      <c r="F594" s="12" t="str">
        <f t="shared" ca="1" si="21"/>
        <v/>
      </c>
      <c r="G594" s="13">
        <f ca="1">IFERROR(__xludf.DUMMYFUNCTION("GOOGLEFINANCE(A594,""CLOSEYEST"")"),106.63)</f>
        <v>106.63</v>
      </c>
      <c r="H594" s="14" t="str">
        <f t="shared" ca="1" si="27"/>
        <v/>
      </c>
      <c r="I594" s="15">
        <f t="shared" ca="1" si="22"/>
        <v>106.36666666666667</v>
      </c>
      <c r="J594" s="16">
        <f t="shared" ca="1" si="23"/>
        <v>107.38333333333335</v>
      </c>
      <c r="K594" s="16"/>
      <c r="L594" s="16">
        <f t="shared" ca="1" si="24"/>
        <v>105.61333333333334</v>
      </c>
      <c r="M594" s="16">
        <f t="shared" ca="1" si="25"/>
        <v>108.13666666666668</v>
      </c>
      <c r="N594" s="16">
        <f t="shared" ca="1" si="26"/>
        <v>104.59666666666666</v>
      </c>
    </row>
    <row r="595" spans="1:14" ht="24.75" customHeight="1" x14ac:dyDescent="0.8">
      <c r="A595" s="18" t="s">
        <v>558</v>
      </c>
      <c r="B595" s="10">
        <f ca="1">IFERROR(__xludf.DUMMYFUNCTION("GOOGLEFINANCE(A595,""PRICE"")"),207.1)</f>
        <v>207.1</v>
      </c>
      <c r="C595" s="11">
        <f ca="1">IFERROR(__xludf.DUMMYFUNCTION("GOOGLEFINANCE(A595,""PRICEOPEN"")"),205.34)</f>
        <v>205.34</v>
      </c>
      <c r="D595" s="11">
        <f ca="1">IFERROR(__xludf.DUMMYFUNCTION("GOOGLEFINANCE(A595,""HIGH"")"),209.9)</f>
        <v>209.9</v>
      </c>
      <c r="E595" s="11">
        <f ca="1">IFERROR(__xludf.DUMMYFUNCTION("GOOGLEFINANCE(A595,""LOW"")"),203.51)</f>
        <v>203.51</v>
      </c>
      <c r="F595" s="12" t="str">
        <f t="shared" ca="1" si="21"/>
        <v/>
      </c>
      <c r="G595" s="13">
        <f ca="1">IFERROR(__xludf.DUMMYFUNCTION("GOOGLEFINANCE(A595,""CLOSEYEST"")"),205.34)</f>
        <v>205.34</v>
      </c>
      <c r="H595" s="14" t="str">
        <f t="shared" ca="1" si="27"/>
        <v/>
      </c>
      <c r="I595" s="15">
        <f t="shared" ca="1" si="22"/>
        <v>206.25</v>
      </c>
      <c r="J595" s="16">
        <f t="shared" ca="1" si="23"/>
        <v>208.99</v>
      </c>
      <c r="K595" s="16"/>
      <c r="L595" s="16">
        <f t="shared" ca="1" si="24"/>
        <v>202.6</v>
      </c>
      <c r="M595" s="16">
        <f t="shared" ca="1" si="25"/>
        <v>212.64000000000001</v>
      </c>
      <c r="N595" s="16">
        <f t="shared" ca="1" si="26"/>
        <v>199.85999999999999</v>
      </c>
    </row>
    <row r="596" spans="1:14" ht="24.75" customHeight="1" x14ac:dyDescent="0.8">
      <c r="A596" s="18" t="s">
        <v>559</v>
      </c>
      <c r="B596" s="10">
        <f ca="1">IFERROR(__xludf.DUMMYFUNCTION("GOOGLEFINANCE(A596,""PRICE"")"),1400.1)</f>
        <v>1400.1</v>
      </c>
      <c r="C596" s="11">
        <f ca="1">IFERROR(__xludf.DUMMYFUNCTION("GOOGLEFINANCE(A596,""PRICEOPEN"")"),1408.9)</f>
        <v>1408.9</v>
      </c>
      <c r="D596" s="11">
        <f ca="1">IFERROR(__xludf.DUMMYFUNCTION("GOOGLEFINANCE(A596,""HIGH"")"),1409.3)</f>
        <v>1409.3</v>
      </c>
      <c r="E596" s="11">
        <f ca="1">IFERROR(__xludf.DUMMYFUNCTION("GOOGLEFINANCE(A596,""LOW"")"),1391.9)</f>
        <v>1391.9</v>
      </c>
      <c r="F596" s="12" t="str">
        <f t="shared" ca="1" si="21"/>
        <v/>
      </c>
      <c r="G596" s="13">
        <f ca="1">IFERROR(__xludf.DUMMYFUNCTION("GOOGLEFINANCE(A596,""CLOSEYEST"")"),1402.3)</f>
        <v>1402.3</v>
      </c>
      <c r="H596" s="14" t="str">
        <f t="shared" ca="1" si="27"/>
        <v/>
      </c>
      <c r="I596" s="15">
        <f t="shared" ca="1" si="22"/>
        <v>1401.1666666666667</v>
      </c>
      <c r="J596" s="16">
        <f t="shared" ca="1" si="23"/>
        <v>1410.4333333333334</v>
      </c>
      <c r="K596" s="16"/>
      <c r="L596" s="16">
        <f t="shared" ca="1" si="24"/>
        <v>1393.0333333333335</v>
      </c>
      <c r="M596" s="16">
        <f t="shared" ca="1" si="25"/>
        <v>1418.5666666666666</v>
      </c>
      <c r="N596" s="16">
        <f t="shared" ca="1" si="26"/>
        <v>1383.7666666666669</v>
      </c>
    </row>
    <row r="597" spans="1:14" ht="24.75" customHeight="1" x14ac:dyDescent="0.8">
      <c r="A597" s="18" t="s">
        <v>560</v>
      </c>
      <c r="B597" s="10">
        <f ca="1">IFERROR(__xludf.DUMMYFUNCTION("GOOGLEFINANCE(A597,""PRICE"")"),2830)</f>
        <v>2830</v>
      </c>
      <c r="C597" s="11">
        <f ca="1">IFERROR(__xludf.DUMMYFUNCTION("GOOGLEFINANCE(A597,""PRICEOPEN"")"),2644.1)</f>
        <v>2644.1</v>
      </c>
      <c r="D597" s="11">
        <f ca="1">IFERROR(__xludf.DUMMYFUNCTION("GOOGLEFINANCE(A597,""HIGH"")"),2873.9)</f>
        <v>2873.9</v>
      </c>
      <c r="E597" s="11">
        <f ca="1">IFERROR(__xludf.DUMMYFUNCTION("GOOGLEFINANCE(A597,""LOW"")"),2632)</f>
        <v>2632</v>
      </c>
      <c r="F597" s="12" t="str">
        <f t="shared" ca="1" si="21"/>
        <v/>
      </c>
      <c r="G597" s="13">
        <f ca="1">IFERROR(__xludf.DUMMYFUNCTION("GOOGLEFINANCE(A597,""CLOSEYEST"")"),2630.9)</f>
        <v>2630.9</v>
      </c>
      <c r="H597" s="14" t="str">
        <f t="shared" ca="1" si="27"/>
        <v/>
      </c>
      <c r="I597" s="15">
        <f t="shared" ca="1" si="22"/>
        <v>2712.2666666666664</v>
      </c>
      <c r="J597" s="16">
        <f t="shared" ca="1" si="23"/>
        <v>2792.5333333333328</v>
      </c>
      <c r="K597" s="16"/>
      <c r="L597" s="16">
        <f t="shared" ca="1" si="24"/>
        <v>2550.6333333333328</v>
      </c>
      <c r="M597" s="16">
        <f t="shared" ca="1" si="25"/>
        <v>2954.1666666666665</v>
      </c>
      <c r="N597" s="16">
        <f t="shared" ca="1" si="26"/>
        <v>2470.3666666666663</v>
      </c>
    </row>
    <row r="598" spans="1:14" ht="24.75" customHeight="1" x14ac:dyDescent="0.8">
      <c r="A598" s="18" t="s">
        <v>561</v>
      </c>
      <c r="B598" s="10">
        <f ca="1">IFERROR(__xludf.DUMMYFUNCTION("GOOGLEFINANCE(A598,""PRICE"")"),291.15)</f>
        <v>291.14999999999998</v>
      </c>
      <c r="C598" s="11">
        <f ca="1">IFERROR(__xludf.DUMMYFUNCTION("GOOGLEFINANCE(A598,""PRICEOPEN"")"),291.6)</f>
        <v>291.60000000000002</v>
      </c>
      <c r="D598" s="11">
        <f ca="1">IFERROR(__xludf.DUMMYFUNCTION("GOOGLEFINANCE(A598,""HIGH"")"),292.35)</f>
        <v>292.35000000000002</v>
      </c>
      <c r="E598" s="11">
        <f ca="1">IFERROR(__xludf.DUMMYFUNCTION("GOOGLEFINANCE(A598,""LOW"")"),289.05)</f>
        <v>289.05</v>
      </c>
      <c r="F598" s="12" t="str">
        <f t="shared" ca="1" si="21"/>
        <v/>
      </c>
      <c r="G598" s="13">
        <f ca="1">IFERROR(__xludf.DUMMYFUNCTION("GOOGLEFINANCE(A598,""CLOSEYEST"")"),290.15)</f>
        <v>290.14999999999998</v>
      </c>
      <c r="H598" s="14" t="str">
        <f t="shared" ca="1" si="27"/>
        <v/>
      </c>
      <c r="I598" s="15">
        <f t="shared" ca="1" si="22"/>
        <v>290.51666666666671</v>
      </c>
      <c r="J598" s="16">
        <f t="shared" ca="1" si="23"/>
        <v>291.98333333333341</v>
      </c>
      <c r="K598" s="16"/>
      <c r="L598" s="16">
        <f t="shared" ca="1" si="24"/>
        <v>288.68333333333339</v>
      </c>
      <c r="M598" s="16">
        <f t="shared" ca="1" si="25"/>
        <v>293.81666666666672</v>
      </c>
      <c r="N598" s="16">
        <f t="shared" ca="1" si="26"/>
        <v>287.2166666666667</v>
      </c>
    </row>
    <row r="599" spans="1:14" ht="24.75" customHeight="1" x14ac:dyDescent="0.8">
      <c r="A599" s="18" t="s">
        <v>562</v>
      </c>
      <c r="B599" s="10">
        <f ca="1">IFERROR(__xludf.DUMMYFUNCTION("GOOGLEFINANCE(A599,""PRICE"")"),173.4)</f>
        <v>173.4</v>
      </c>
      <c r="C599" s="11">
        <f ca="1">IFERROR(__xludf.DUMMYFUNCTION("GOOGLEFINANCE(A599,""PRICEOPEN"")"),168.4)</f>
        <v>168.4</v>
      </c>
      <c r="D599" s="11">
        <f ca="1">IFERROR(__xludf.DUMMYFUNCTION("GOOGLEFINANCE(A599,""HIGH"")"),173.68)</f>
        <v>173.68</v>
      </c>
      <c r="E599" s="11">
        <f ca="1">IFERROR(__xludf.DUMMYFUNCTION("GOOGLEFINANCE(A599,""LOW"")"),167)</f>
        <v>167</v>
      </c>
      <c r="F599" s="12" t="str">
        <f t="shared" ca="1" si="21"/>
        <v/>
      </c>
      <c r="G599" s="13">
        <f ca="1">IFERROR(__xludf.DUMMYFUNCTION("GOOGLEFINANCE(A599,""CLOSEYEST"")"),166.28)</f>
        <v>166.28</v>
      </c>
      <c r="H599" s="14" t="str">
        <f t="shared" ca="1" si="27"/>
        <v>GAP UP</v>
      </c>
      <c r="I599" s="15">
        <f t="shared" ca="1" si="22"/>
        <v>168.98666666666668</v>
      </c>
      <c r="J599" s="16">
        <f t="shared" ca="1" si="23"/>
        <v>170.97333333333336</v>
      </c>
      <c r="K599" s="16"/>
      <c r="L599" s="16">
        <f t="shared" ca="1" si="24"/>
        <v>164.29333333333335</v>
      </c>
      <c r="M599" s="16">
        <f t="shared" ca="1" si="25"/>
        <v>175.66666666666669</v>
      </c>
      <c r="N599" s="16">
        <f t="shared" ca="1" si="26"/>
        <v>162.30666666666667</v>
      </c>
    </row>
    <row r="600" spans="1:14" ht="24.75" customHeight="1" x14ac:dyDescent="0.8">
      <c r="A600" s="18" t="s">
        <v>563</v>
      </c>
      <c r="B600" s="10">
        <f ca="1">IFERROR(__xludf.DUMMYFUNCTION("GOOGLEFINANCE(A600,""PRICE"")"),537.05)</f>
        <v>537.04999999999995</v>
      </c>
      <c r="C600" s="11">
        <f ca="1">IFERROR(__xludf.DUMMYFUNCTION("GOOGLEFINANCE(A600,""PRICEOPEN"")"),532.5)</f>
        <v>532.5</v>
      </c>
      <c r="D600" s="11">
        <f ca="1">IFERROR(__xludf.DUMMYFUNCTION("GOOGLEFINANCE(A600,""HIGH"")"),543.6)</f>
        <v>543.6</v>
      </c>
      <c r="E600" s="11">
        <f ca="1">IFERROR(__xludf.DUMMYFUNCTION("GOOGLEFINANCE(A600,""LOW"")"),524.1)</f>
        <v>524.1</v>
      </c>
      <c r="F600" s="12" t="str">
        <f t="shared" ca="1" si="21"/>
        <v/>
      </c>
      <c r="G600" s="13">
        <f ca="1">IFERROR(__xludf.DUMMYFUNCTION("GOOGLEFINANCE(A600,""CLOSEYEST"")"),530.4)</f>
        <v>530.4</v>
      </c>
      <c r="H600" s="14" t="str">
        <f t="shared" ca="1" si="27"/>
        <v/>
      </c>
      <c r="I600" s="15">
        <f t="shared" ca="1" si="22"/>
        <v>532.69999999999993</v>
      </c>
      <c r="J600" s="16">
        <f t="shared" ca="1" si="23"/>
        <v>541.29999999999984</v>
      </c>
      <c r="K600" s="16"/>
      <c r="L600" s="16">
        <f t="shared" ca="1" si="24"/>
        <v>521.79999999999984</v>
      </c>
      <c r="M600" s="16">
        <f t="shared" ca="1" si="25"/>
        <v>552.19999999999993</v>
      </c>
      <c r="N600" s="16">
        <f t="shared" ca="1" si="26"/>
        <v>513.19999999999993</v>
      </c>
    </row>
    <row r="601" spans="1:14" ht="24.75" customHeight="1" x14ac:dyDescent="0.8">
      <c r="A601" s="18" t="s">
        <v>564</v>
      </c>
      <c r="B601" s="10">
        <f ca="1">IFERROR(__xludf.DUMMYFUNCTION("GOOGLEFINANCE(A601,""PRICE"")"),184.2)</f>
        <v>184.2</v>
      </c>
      <c r="C601" s="11">
        <f ca="1">IFERROR(__xludf.DUMMYFUNCTION("GOOGLEFINANCE(A601,""PRICEOPEN"")"),184.25)</f>
        <v>184.25</v>
      </c>
      <c r="D601" s="11">
        <f ca="1">IFERROR(__xludf.DUMMYFUNCTION("GOOGLEFINANCE(A601,""HIGH"")"),190.69)</f>
        <v>190.69</v>
      </c>
      <c r="E601" s="11">
        <f ca="1">IFERROR(__xludf.DUMMYFUNCTION("GOOGLEFINANCE(A601,""LOW"")"),180.1)</f>
        <v>180.1</v>
      </c>
      <c r="F601" s="12" t="str">
        <f t="shared" ca="1" si="21"/>
        <v/>
      </c>
      <c r="G601" s="13">
        <f ca="1">IFERROR(__xludf.DUMMYFUNCTION("GOOGLEFINANCE(A601,""CLOSEYEST"")"),182.86)</f>
        <v>182.86</v>
      </c>
      <c r="H601" s="14" t="str">
        <f t="shared" ca="1" si="27"/>
        <v/>
      </c>
      <c r="I601" s="15">
        <f t="shared" ca="1" si="22"/>
        <v>184.54999999999998</v>
      </c>
      <c r="J601" s="16">
        <f t="shared" ca="1" si="23"/>
        <v>188.99999999999997</v>
      </c>
      <c r="K601" s="16"/>
      <c r="L601" s="16">
        <f t="shared" ca="1" si="24"/>
        <v>178.40999999999997</v>
      </c>
      <c r="M601" s="16">
        <f t="shared" ca="1" si="25"/>
        <v>195.14</v>
      </c>
      <c r="N601" s="16">
        <f t="shared" ca="1" si="26"/>
        <v>173.95999999999998</v>
      </c>
    </row>
    <row r="602" spans="1:14" ht="24.75" customHeight="1" x14ac:dyDescent="0.8">
      <c r="A602" s="18" t="s">
        <v>565</v>
      </c>
      <c r="B602" s="10">
        <f ca="1">IFERROR(__xludf.DUMMYFUNCTION("GOOGLEFINANCE(A602,""PRICE"")"),464.9)</f>
        <v>464.9</v>
      </c>
      <c r="C602" s="11">
        <f ca="1">IFERROR(__xludf.DUMMYFUNCTION("GOOGLEFINANCE(A602,""PRICEOPEN"")"),460)</f>
        <v>460</v>
      </c>
      <c r="D602" s="11">
        <f ca="1">IFERROR(__xludf.DUMMYFUNCTION("GOOGLEFINANCE(A602,""HIGH"")"),464.9)</f>
        <v>464.9</v>
      </c>
      <c r="E602" s="11">
        <f ca="1">IFERROR(__xludf.DUMMYFUNCTION("GOOGLEFINANCE(A602,""LOW"")"),454.55)</f>
        <v>454.55</v>
      </c>
      <c r="F602" s="12" t="str">
        <f t="shared" ca="1" si="21"/>
        <v/>
      </c>
      <c r="G602" s="13">
        <f ca="1">IFERROR(__xludf.DUMMYFUNCTION("GOOGLEFINANCE(A602,""CLOSEYEST"")"),457.95)</f>
        <v>457.95</v>
      </c>
      <c r="H602" s="14" t="str">
        <f t="shared" ca="1" si="27"/>
        <v/>
      </c>
      <c r="I602" s="15">
        <f t="shared" ca="1" si="22"/>
        <v>459.13333333333338</v>
      </c>
      <c r="J602" s="16">
        <f t="shared" ca="1" si="23"/>
        <v>463.71666666666675</v>
      </c>
      <c r="K602" s="16"/>
      <c r="L602" s="16">
        <f t="shared" ca="1" si="24"/>
        <v>453.36666666666679</v>
      </c>
      <c r="M602" s="16">
        <f t="shared" ca="1" si="25"/>
        <v>469.48333333333335</v>
      </c>
      <c r="N602" s="16">
        <f t="shared" ca="1" si="26"/>
        <v>448.78333333333342</v>
      </c>
    </row>
    <row r="603" spans="1:14" ht="24.75" customHeight="1" x14ac:dyDescent="0.8">
      <c r="A603" s="18" t="s">
        <v>566</v>
      </c>
      <c r="B603" s="10">
        <f ca="1">IFERROR(__xludf.DUMMYFUNCTION("GOOGLEFINANCE(A603,""PRICE"")"),105.3)</f>
        <v>105.3</v>
      </c>
      <c r="C603" s="11">
        <f ca="1">IFERROR(__xludf.DUMMYFUNCTION("GOOGLEFINANCE(A603,""PRICEOPEN"")"),104.31)</f>
        <v>104.31</v>
      </c>
      <c r="D603" s="11">
        <f ca="1">IFERROR(__xludf.DUMMYFUNCTION("GOOGLEFINANCE(A603,""HIGH"")"),105.64)</f>
        <v>105.64</v>
      </c>
      <c r="E603" s="11">
        <f ca="1">IFERROR(__xludf.DUMMYFUNCTION("GOOGLEFINANCE(A603,""LOW"")"),103.75)</f>
        <v>103.75</v>
      </c>
      <c r="F603" s="12" t="str">
        <f t="shared" ca="1" si="21"/>
        <v/>
      </c>
      <c r="G603" s="13">
        <f ca="1">IFERROR(__xludf.DUMMYFUNCTION("GOOGLEFINANCE(A603,""CLOSEYEST"")"),104.15)</f>
        <v>104.15</v>
      </c>
      <c r="H603" s="14" t="str">
        <f t="shared" ca="1" si="27"/>
        <v/>
      </c>
      <c r="I603" s="15">
        <f t="shared" ca="1" si="22"/>
        <v>104.51333333333332</v>
      </c>
      <c r="J603" s="16">
        <f t="shared" ca="1" si="23"/>
        <v>105.27666666666664</v>
      </c>
      <c r="K603" s="16"/>
      <c r="L603" s="16">
        <f t="shared" ca="1" si="24"/>
        <v>103.38666666666664</v>
      </c>
      <c r="M603" s="16">
        <f t="shared" ca="1" si="25"/>
        <v>106.40333333333332</v>
      </c>
      <c r="N603" s="16">
        <f t="shared" ca="1" si="26"/>
        <v>102.62333333333332</v>
      </c>
    </row>
    <row r="604" spans="1:14" ht="24.75" customHeight="1" x14ac:dyDescent="0.8">
      <c r="A604" s="18" t="s">
        <v>567</v>
      </c>
      <c r="B604" s="10">
        <f ca="1">IFERROR(__xludf.DUMMYFUNCTION("GOOGLEFINANCE(A604,""PRICE"")"),387.7)</f>
        <v>387.7</v>
      </c>
      <c r="C604" s="11">
        <f ca="1">IFERROR(__xludf.DUMMYFUNCTION("GOOGLEFINANCE(A604,""PRICEOPEN"")"),385)</f>
        <v>385</v>
      </c>
      <c r="D604" s="11">
        <f ca="1">IFERROR(__xludf.DUMMYFUNCTION("GOOGLEFINANCE(A604,""HIGH"")"),392)</f>
        <v>392</v>
      </c>
      <c r="E604" s="11">
        <f ca="1">IFERROR(__xludf.DUMMYFUNCTION("GOOGLEFINANCE(A604,""LOW"")"),381.85)</f>
        <v>381.85</v>
      </c>
      <c r="F604" s="12" t="str">
        <f t="shared" ca="1" si="21"/>
        <v/>
      </c>
      <c r="G604" s="13">
        <f ca="1">IFERROR(__xludf.DUMMYFUNCTION("GOOGLEFINANCE(A604,""CLOSEYEST"")"),383.75)</f>
        <v>383.75</v>
      </c>
      <c r="H604" s="14" t="str">
        <f t="shared" ca="1" si="27"/>
        <v/>
      </c>
      <c r="I604" s="15">
        <f t="shared" ca="1" si="22"/>
        <v>385.86666666666662</v>
      </c>
      <c r="J604" s="16">
        <f t="shared" ca="1" si="23"/>
        <v>389.88333333333321</v>
      </c>
      <c r="K604" s="16"/>
      <c r="L604" s="16">
        <f t="shared" ca="1" si="24"/>
        <v>379.73333333333323</v>
      </c>
      <c r="M604" s="16">
        <f t="shared" ca="1" si="25"/>
        <v>396.01666666666659</v>
      </c>
      <c r="N604" s="16">
        <f t="shared" ca="1" si="26"/>
        <v>375.71666666666664</v>
      </c>
    </row>
    <row r="605" spans="1:14" ht="24.75" customHeight="1" x14ac:dyDescent="0.8">
      <c r="A605" s="18" t="s">
        <v>568</v>
      </c>
      <c r="B605" s="10">
        <f ca="1">IFERROR(__xludf.DUMMYFUNCTION("GOOGLEFINANCE(A605,""PRICE"")"),955)</f>
        <v>955</v>
      </c>
      <c r="C605" s="11">
        <f ca="1">IFERROR(__xludf.DUMMYFUNCTION("GOOGLEFINANCE(A605,""PRICEOPEN"")"),964.9)</f>
        <v>964.9</v>
      </c>
      <c r="D605" s="11">
        <f ca="1">IFERROR(__xludf.DUMMYFUNCTION("GOOGLEFINANCE(A605,""HIGH"")"),976.45)</f>
        <v>976.45</v>
      </c>
      <c r="E605" s="11">
        <f ca="1">IFERROR(__xludf.DUMMYFUNCTION("GOOGLEFINANCE(A605,""LOW"")"),952.55)</f>
        <v>952.55</v>
      </c>
      <c r="F605" s="12" t="str">
        <f t="shared" ca="1" si="21"/>
        <v/>
      </c>
      <c r="G605" s="13">
        <f ca="1">IFERROR(__xludf.DUMMYFUNCTION("GOOGLEFINANCE(A605,""CLOSEYEST"")"),960.85)</f>
        <v>960.85</v>
      </c>
      <c r="H605" s="14" t="str">
        <f t="shared" ca="1" si="27"/>
        <v/>
      </c>
      <c r="I605" s="15">
        <f t="shared" ca="1" si="22"/>
        <v>963.2833333333333</v>
      </c>
      <c r="J605" s="16">
        <f t="shared" ca="1" si="23"/>
        <v>974.01666666666665</v>
      </c>
      <c r="K605" s="16"/>
      <c r="L605" s="16">
        <f t="shared" ca="1" si="24"/>
        <v>950.11666666666656</v>
      </c>
      <c r="M605" s="16">
        <f t="shared" ca="1" si="25"/>
        <v>987.18333333333339</v>
      </c>
      <c r="N605" s="16">
        <f t="shared" ca="1" si="26"/>
        <v>939.38333333333321</v>
      </c>
    </row>
    <row r="606" spans="1:14" ht="24.75" customHeight="1" x14ac:dyDescent="0.8">
      <c r="A606" s="18" t="s">
        <v>569</v>
      </c>
      <c r="B606" s="10" t="str">
        <f ca="1">IFERROR(__xludf.DUMMYFUNCTION("GOOGLEFINANCE(A606,""PRICE"")"),"#N/A")</f>
        <v>#N/A</v>
      </c>
      <c r="C606" s="11" t="str">
        <f ca="1">IFERROR(__xludf.DUMMYFUNCTION("GOOGLEFINANCE(A606,""PRICEOPEN"")"),"#N/A")</f>
        <v>#N/A</v>
      </c>
      <c r="D606" s="11" t="str">
        <f ca="1">IFERROR(__xludf.DUMMYFUNCTION("GOOGLEFINANCE(A606,""HIGH"")"),"#N/A")</f>
        <v>#N/A</v>
      </c>
      <c r="E606" s="11" t="str">
        <f ca="1">IFERROR(__xludf.DUMMYFUNCTION("GOOGLEFINANCE(A606,""LOW"")"),"#N/A")</f>
        <v>#N/A</v>
      </c>
      <c r="F606" s="12" t="str">
        <f t="shared" ca="1" si="21"/>
        <v>SELL</v>
      </c>
      <c r="G606" s="13" t="str">
        <f ca="1">IFERROR(__xludf.DUMMYFUNCTION("GOOGLEFINANCE(A606,""CLOSEYEST"")"),"#N/A")</f>
        <v>#N/A</v>
      </c>
      <c r="H606" s="14" t="e">
        <f t="shared" ca="1" si="27"/>
        <v>#VALUE!</v>
      </c>
      <c r="I606" s="15" t="e">
        <f t="shared" ca="1" si="22"/>
        <v>#VALUE!</v>
      </c>
      <c r="J606" s="16" t="e">
        <f t="shared" ca="1" si="23"/>
        <v>#VALUE!</v>
      </c>
      <c r="K606" s="16"/>
      <c r="L606" s="16" t="e">
        <f t="shared" ca="1" si="24"/>
        <v>#VALUE!</v>
      </c>
      <c r="M606" s="16" t="e">
        <f t="shared" ca="1" si="25"/>
        <v>#VALUE!</v>
      </c>
      <c r="N606" s="16" t="e">
        <f t="shared" ca="1" si="26"/>
        <v>#VALUE!</v>
      </c>
    </row>
    <row r="607" spans="1:14" ht="24.75" customHeight="1" x14ac:dyDescent="0.8">
      <c r="A607" s="18" t="s">
        <v>570</v>
      </c>
      <c r="B607" s="10">
        <f ca="1">IFERROR(__xludf.DUMMYFUNCTION("GOOGLEFINANCE(A607,""PRICE"")"),209.4)</f>
        <v>209.4</v>
      </c>
      <c r="C607" s="11">
        <f ca="1">IFERROR(__xludf.DUMMYFUNCTION("GOOGLEFINANCE(A607,""PRICEOPEN"")"),211.5)</f>
        <v>211.5</v>
      </c>
      <c r="D607" s="11">
        <f ca="1">IFERROR(__xludf.DUMMYFUNCTION("GOOGLEFINANCE(A607,""HIGH"")"),212.66)</f>
        <v>212.66</v>
      </c>
      <c r="E607" s="11">
        <f ca="1">IFERROR(__xludf.DUMMYFUNCTION("GOOGLEFINANCE(A607,""LOW"")"),208.5)</f>
        <v>208.5</v>
      </c>
      <c r="F607" s="12" t="str">
        <f t="shared" ca="1" si="21"/>
        <v/>
      </c>
      <c r="G607" s="13">
        <f ca="1">IFERROR(__xludf.DUMMYFUNCTION("GOOGLEFINANCE(A607,""CLOSEYEST"")"),210.61)</f>
        <v>210.61</v>
      </c>
      <c r="H607" s="14" t="str">
        <f t="shared" ca="1" si="27"/>
        <v/>
      </c>
      <c r="I607" s="15">
        <f t="shared" ca="1" si="22"/>
        <v>210.59</v>
      </c>
      <c r="J607" s="16">
        <f t="shared" ca="1" si="23"/>
        <v>212.68</v>
      </c>
      <c r="K607" s="16"/>
      <c r="L607" s="16">
        <f t="shared" ca="1" si="24"/>
        <v>208.52</v>
      </c>
      <c r="M607" s="16">
        <f t="shared" ca="1" si="25"/>
        <v>214.75</v>
      </c>
      <c r="N607" s="16">
        <f t="shared" ca="1" si="26"/>
        <v>206.43</v>
      </c>
    </row>
    <row r="608" spans="1:14" ht="24.75" customHeight="1" x14ac:dyDescent="0.8">
      <c r="A608" s="18" t="s">
        <v>571</v>
      </c>
      <c r="B608" s="10">
        <f ca="1">IFERROR(__xludf.DUMMYFUNCTION("GOOGLEFINANCE(A608,""PRICE"")"),413.85)</f>
        <v>413.85</v>
      </c>
      <c r="C608" s="11">
        <f ca="1">IFERROR(__xludf.DUMMYFUNCTION("GOOGLEFINANCE(A608,""PRICEOPEN"")"),410.9)</f>
        <v>410.9</v>
      </c>
      <c r="D608" s="11">
        <f ca="1">IFERROR(__xludf.DUMMYFUNCTION("GOOGLEFINANCE(A608,""HIGH"")"),419.15)</f>
        <v>419.15</v>
      </c>
      <c r="E608" s="11">
        <f ca="1">IFERROR(__xludf.DUMMYFUNCTION("GOOGLEFINANCE(A608,""LOW"")"),409.25)</f>
        <v>409.25</v>
      </c>
      <c r="F608" s="12" t="str">
        <f t="shared" ca="1" si="21"/>
        <v/>
      </c>
      <c r="G608" s="13">
        <f ca="1">IFERROR(__xludf.DUMMYFUNCTION("GOOGLEFINANCE(A608,""CLOSEYEST"")"),410.9)</f>
        <v>410.9</v>
      </c>
      <c r="H608" s="14" t="str">
        <f t="shared" ca="1" si="27"/>
        <v/>
      </c>
      <c r="I608" s="15">
        <f t="shared" ca="1" si="22"/>
        <v>413.09999999999997</v>
      </c>
      <c r="J608" s="16">
        <f t="shared" ca="1" si="23"/>
        <v>416.94999999999993</v>
      </c>
      <c r="K608" s="16"/>
      <c r="L608" s="16">
        <f t="shared" ca="1" si="24"/>
        <v>407.04999999999995</v>
      </c>
      <c r="M608" s="16">
        <f t="shared" ca="1" si="25"/>
        <v>422.99999999999994</v>
      </c>
      <c r="N608" s="16">
        <f t="shared" ca="1" si="26"/>
        <v>403.2</v>
      </c>
    </row>
    <row r="609" spans="1:14" ht="24.75" customHeight="1" x14ac:dyDescent="0.8">
      <c r="A609" s="18" t="s">
        <v>572</v>
      </c>
      <c r="B609" s="10">
        <f ca="1">IFERROR(__xludf.DUMMYFUNCTION("GOOGLEFINANCE(A609,""PRICE"")"),1578.5)</f>
        <v>1578.5</v>
      </c>
      <c r="C609" s="11">
        <f ca="1">IFERROR(__xludf.DUMMYFUNCTION("GOOGLEFINANCE(A609,""PRICEOPEN"")"),1568)</f>
        <v>1568</v>
      </c>
      <c r="D609" s="11">
        <f ca="1">IFERROR(__xludf.DUMMYFUNCTION("GOOGLEFINANCE(A609,""HIGH"")"),1580)</f>
        <v>1580</v>
      </c>
      <c r="E609" s="11">
        <f ca="1">IFERROR(__xludf.DUMMYFUNCTION("GOOGLEFINANCE(A609,""LOW"")"),1565.3)</f>
        <v>1565.3</v>
      </c>
      <c r="F609" s="12" t="str">
        <f t="shared" ca="1" si="21"/>
        <v/>
      </c>
      <c r="G609" s="13">
        <f ca="1">IFERROR(__xludf.DUMMYFUNCTION("GOOGLEFINANCE(A609,""CLOSEYEST"")"),1559.6)</f>
        <v>1559.6</v>
      </c>
      <c r="H609" s="14" t="str">
        <f t="shared" ca="1" si="27"/>
        <v/>
      </c>
      <c r="I609" s="15">
        <f t="shared" ca="1" si="22"/>
        <v>1568.3</v>
      </c>
      <c r="J609" s="16">
        <f t="shared" ca="1" si="23"/>
        <v>1571.3</v>
      </c>
      <c r="K609" s="16"/>
      <c r="L609" s="16">
        <f t="shared" ca="1" si="24"/>
        <v>1556.6</v>
      </c>
      <c r="M609" s="16">
        <f t="shared" ca="1" si="25"/>
        <v>1583</v>
      </c>
      <c r="N609" s="16">
        <f t="shared" ca="1" si="26"/>
        <v>1553.6</v>
      </c>
    </row>
    <row r="610" spans="1:14" ht="24.75" customHeight="1" x14ac:dyDescent="0.8">
      <c r="A610" s="18" t="s">
        <v>573</v>
      </c>
      <c r="B610" s="10">
        <f ca="1">IFERROR(__xludf.DUMMYFUNCTION("GOOGLEFINANCE(A610,""PRICE"")"),602.1)</f>
        <v>602.1</v>
      </c>
      <c r="C610" s="11">
        <f ca="1">IFERROR(__xludf.DUMMYFUNCTION("GOOGLEFINANCE(A610,""PRICEOPEN"")"),607.15)</f>
        <v>607.15</v>
      </c>
      <c r="D610" s="11">
        <f ca="1">IFERROR(__xludf.DUMMYFUNCTION("GOOGLEFINANCE(A610,""HIGH"")"),625)</f>
        <v>625</v>
      </c>
      <c r="E610" s="11">
        <f ca="1">IFERROR(__xludf.DUMMYFUNCTION("GOOGLEFINANCE(A610,""LOW"")"),599.8)</f>
        <v>599.79999999999995</v>
      </c>
      <c r="F610" s="12" t="str">
        <f t="shared" ca="1" si="21"/>
        <v/>
      </c>
      <c r="G610" s="13">
        <f ca="1">IFERROR(__xludf.DUMMYFUNCTION("GOOGLEFINANCE(A610,""CLOSEYEST"")"),607.15)</f>
        <v>607.15</v>
      </c>
      <c r="H610" s="14" t="str">
        <f t="shared" ca="1" si="27"/>
        <v/>
      </c>
      <c r="I610" s="15">
        <f t="shared" ca="1" si="22"/>
        <v>610.65</v>
      </c>
      <c r="J610" s="16">
        <f t="shared" ca="1" si="23"/>
        <v>621.5</v>
      </c>
      <c r="K610" s="16"/>
      <c r="L610" s="16">
        <f t="shared" ca="1" si="24"/>
        <v>596.29999999999995</v>
      </c>
      <c r="M610" s="16">
        <f t="shared" ca="1" si="25"/>
        <v>635.85</v>
      </c>
      <c r="N610" s="16">
        <f t="shared" ca="1" si="26"/>
        <v>585.44999999999993</v>
      </c>
    </row>
    <row r="611" spans="1:14" ht="24.75" customHeight="1" x14ac:dyDescent="0.8">
      <c r="A611" s="18" t="s">
        <v>574</v>
      </c>
      <c r="B611" s="10">
        <f ca="1">IFERROR(__xludf.DUMMYFUNCTION("GOOGLEFINANCE(A611,""PRICE"")"),2489)</f>
        <v>2489</v>
      </c>
      <c r="C611" s="11">
        <f ca="1">IFERROR(__xludf.DUMMYFUNCTION("GOOGLEFINANCE(A611,""PRICEOPEN"")"),2450)</f>
        <v>2450</v>
      </c>
      <c r="D611" s="11">
        <f ca="1">IFERROR(__xludf.DUMMYFUNCTION("GOOGLEFINANCE(A611,""HIGH"")"),2509)</f>
        <v>2509</v>
      </c>
      <c r="E611" s="11">
        <f ca="1">IFERROR(__xludf.DUMMYFUNCTION("GOOGLEFINANCE(A611,""LOW"")"),2432.1)</f>
        <v>2432.1</v>
      </c>
      <c r="F611" s="12" t="str">
        <f t="shared" ca="1" si="21"/>
        <v/>
      </c>
      <c r="G611" s="13">
        <f ca="1">IFERROR(__xludf.DUMMYFUNCTION("GOOGLEFINANCE(A611,""CLOSEYEST"")"),2443.8)</f>
        <v>2443.8000000000002</v>
      </c>
      <c r="H611" s="14" t="str">
        <f t="shared" ca="1" si="27"/>
        <v/>
      </c>
      <c r="I611" s="15">
        <f t="shared" ca="1" si="22"/>
        <v>2461.6333333333337</v>
      </c>
      <c r="J611" s="16">
        <f t="shared" ca="1" si="23"/>
        <v>2491.1666666666674</v>
      </c>
      <c r="K611" s="16"/>
      <c r="L611" s="16">
        <f t="shared" ca="1" si="24"/>
        <v>2414.2666666666673</v>
      </c>
      <c r="M611" s="16">
        <f t="shared" ca="1" si="25"/>
        <v>2538.5333333333338</v>
      </c>
      <c r="N611" s="16">
        <f t="shared" ca="1" si="26"/>
        <v>2384.7333333333336</v>
      </c>
    </row>
    <row r="612" spans="1:14" ht="24.75" customHeight="1" x14ac:dyDescent="0.8">
      <c r="A612" s="18" t="s">
        <v>575</v>
      </c>
      <c r="B612" s="10" t="str">
        <f ca="1">IFERROR(__xludf.DUMMYFUNCTION("GOOGLEFINANCE(A612,""PRICE"")"),"#N/A")</f>
        <v>#N/A</v>
      </c>
      <c r="C612" s="11" t="str">
        <f ca="1">IFERROR(__xludf.DUMMYFUNCTION("GOOGLEFINANCE(A612,""PRICEOPEN"")"),"#N/A")</f>
        <v>#N/A</v>
      </c>
      <c r="D612" s="11" t="str">
        <f ca="1">IFERROR(__xludf.DUMMYFUNCTION("GOOGLEFINANCE(A612,""HIGH"")"),"#N/A")</f>
        <v>#N/A</v>
      </c>
      <c r="E612" s="11" t="str">
        <f ca="1">IFERROR(__xludf.DUMMYFUNCTION("GOOGLEFINANCE(A612,""LOW"")"),"#N/A")</f>
        <v>#N/A</v>
      </c>
      <c r="F612" s="12" t="str">
        <f t="shared" ca="1" si="21"/>
        <v>SELL</v>
      </c>
      <c r="G612" s="13" t="str">
        <f ca="1">IFERROR(__xludf.DUMMYFUNCTION("GOOGLEFINANCE(A612,""CLOSEYEST"")"),"#N/A")</f>
        <v>#N/A</v>
      </c>
      <c r="H612" s="14" t="e">
        <f t="shared" ca="1" si="27"/>
        <v>#VALUE!</v>
      </c>
      <c r="I612" s="15" t="e">
        <f t="shared" ca="1" si="22"/>
        <v>#VALUE!</v>
      </c>
      <c r="J612" s="16" t="e">
        <f t="shared" ca="1" si="23"/>
        <v>#VALUE!</v>
      </c>
      <c r="K612" s="16"/>
      <c r="L612" s="16" t="e">
        <f t="shared" ca="1" si="24"/>
        <v>#VALUE!</v>
      </c>
      <c r="M612" s="16" t="e">
        <f t="shared" ca="1" si="25"/>
        <v>#VALUE!</v>
      </c>
      <c r="N612" s="16" t="e">
        <f t="shared" ca="1" si="26"/>
        <v>#VALUE!</v>
      </c>
    </row>
    <row r="613" spans="1:14" ht="24.75" customHeight="1" x14ac:dyDescent="0.8">
      <c r="A613" s="18" t="s">
        <v>576</v>
      </c>
      <c r="B613" s="10">
        <f ca="1">IFERROR(__xludf.DUMMYFUNCTION("GOOGLEFINANCE(A613,""PRICE"")"),618)</f>
        <v>618</v>
      </c>
      <c r="C613" s="11">
        <f ca="1">IFERROR(__xludf.DUMMYFUNCTION("GOOGLEFINANCE(A613,""PRICEOPEN"")"),605.1)</f>
        <v>605.1</v>
      </c>
      <c r="D613" s="11">
        <f ca="1">IFERROR(__xludf.DUMMYFUNCTION("GOOGLEFINANCE(A613,""HIGH"")"),621)</f>
        <v>621</v>
      </c>
      <c r="E613" s="11">
        <f ca="1">IFERROR(__xludf.DUMMYFUNCTION("GOOGLEFINANCE(A613,""LOW"")"),604)</f>
        <v>604</v>
      </c>
      <c r="F613" s="12" t="str">
        <f t="shared" ca="1" si="21"/>
        <v/>
      </c>
      <c r="G613" s="13">
        <f ca="1">IFERROR(__xludf.DUMMYFUNCTION("GOOGLEFINANCE(A613,""CLOSEYEST"")"),605.35)</f>
        <v>605.35</v>
      </c>
      <c r="H613" s="14" t="str">
        <f t="shared" ca="1" si="27"/>
        <v/>
      </c>
      <c r="I613" s="15">
        <f t="shared" ca="1" si="22"/>
        <v>610.11666666666667</v>
      </c>
      <c r="J613" s="16">
        <f t="shared" ca="1" si="23"/>
        <v>616.23333333333335</v>
      </c>
      <c r="K613" s="16"/>
      <c r="L613" s="16">
        <f t="shared" ca="1" si="24"/>
        <v>599.23333333333335</v>
      </c>
      <c r="M613" s="16">
        <f t="shared" ca="1" si="25"/>
        <v>627.11666666666667</v>
      </c>
      <c r="N613" s="16">
        <f t="shared" ca="1" si="26"/>
        <v>593.11666666666667</v>
      </c>
    </row>
    <row r="614" spans="1:14" ht="24.75" customHeight="1" x14ac:dyDescent="0.8">
      <c r="A614" s="18" t="s">
        <v>577</v>
      </c>
      <c r="B614" s="10">
        <f ca="1">IFERROR(__xludf.DUMMYFUNCTION("GOOGLEFINANCE(A614,""PRICE"")"),599.9)</f>
        <v>599.9</v>
      </c>
      <c r="C614" s="11">
        <f ca="1">IFERROR(__xludf.DUMMYFUNCTION("GOOGLEFINANCE(A614,""PRICEOPEN"")"),597.9)</f>
        <v>597.9</v>
      </c>
      <c r="D614" s="11">
        <f ca="1">IFERROR(__xludf.DUMMYFUNCTION("GOOGLEFINANCE(A614,""HIGH"")"),610.55)</f>
        <v>610.54999999999995</v>
      </c>
      <c r="E614" s="11">
        <f ca="1">IFERROR(__xludf.DUMMYFUNCTION("GOOGLEFINANCE(A614,""LOW"")"),595.7)</f>
        <v>595.70000000000005</v>
      </c>
      <c r="F614" s="12" t="str">
        <f t="shared" ca="1" si="21"/>
        <v/>
      </c>
      <c r="G614" s="13">
        <f ca="1">IFERROR(__xludf.DUMMYFUNCTION("GOOGLEFINANCE(A614,""CLOSEYEST"")"),593.2)</f>
        <v>593.20000000000005</v>
      </c>
      <c r="H614" s="14" t="str">
        <f t="shared" ca="1" si="27"/>
        <v/>
      </c>
      <c r="I614" s="15">
        <f t="shared" ca="1" si="22"/>
        <v>599.81666666666672</v>
      </c>
      <c r="J614" s="16">
        <f t="shared" ca="1" si="23"/>
        <v>603.93333333333339</v>
      </c>
      <c r="K614" s="16"/>
      <c r="L614" s="16">
        <f t="shared" ca="1" si="24"/>
        <v>589.08333333333348</v>
      </c>
      <c r="M614" s="16">
        <f t="shared" ca="1" si="25"/>
        <v>614.66666666666663</v>
      </c>
      <c r="N614" s="16">
        <f t="shared" ca="1" si="26"/>
        <v>584.96666666666681</v>
      </c>
    </row>
    <row r="615" spans="1:14" ht="24.75" customHeight="1" x14ac:dyDescent="0.8">
      <c r="A615" s="18" t="s">
        <v>578</v>
      </c>
      <c r="B615" s="10">
        <f ca="1">IFERROR(__xludf.DUMMYFUNCTION("GOOGLEFINANCE(A615,""PRICE"")"),1505)</f>
        <v>1505</v>
      </c>
      <c r="C615" s="11">
        <f ca="1">IFERROR(__xludf.DUMMYFUNCTION("GOOGLEFINANCE(A615,""PRICEOPEN"")"),1494.9)</f>
        <v>1494.9</v>
      </c>
      <c r="D615" s="11">
        <f ca="1">IFERROR(__xludf.DUMMYFUNCTION("GOOGLEFINANCE(A615,""HIGH"")"),1505)</f>
        <v>1505</v>
      </c>
      <c r="E615" s="11">
        <f ca="1">IFERROR(__xludf.DUMMYFUNCTION("GOOGLEFINANCE(A615,""LOW"")"),1490)</f>
        <v>1490</v>
      </c>
      <c r="F615" s="12" t="str">
        <f t="shared" ca="1" si="21"/>
        <v/>
      </c>
      <c r="G615" s="13">
        <f ca="1">IFERROR(__xludf.DUMMYFUNCTION("GOOGLEFINANCE(A615,""CLOSEYEST"")"),1495.6)</f>
        <v>1495.6</v>
      </c>
      <c r="H615" s="14" t="str">
        <f t="shared" ca="1" si="27"/>
        <v/>
      </c>
      <c r="I615" s="15">
        <f t="shared" ca="1" si="22"/>
        <v>1496.8666666666668</v>
      </c>
      <c r="J615" s="16">
        <f t="shared" ca="1" si="23"/>
        <v>1503.7333333333336</v>
      </c>
      <c r="K615" s="16"/>
      <c r="L615" s="16">
        <f t="shared" ca="1" si="24"/>
        <v>1488.7333333333336</v>
      </c>
      <c r="M615" s="16">
        <f t="shared" ca="1" si="25"/>
        <v>1511.8666666666668</v>
      </c>
      <c r="N615" s="16">
        <f t="shared" ca="1" si="26"/>
        <v>1481.8666666666668</v>
      </c>
    </row>
    <row r="616" spans="1:14" ht="24.75" customHeight="1" x14ac:dyDescent="0.8">
      <c r="A616" s="18" t="s">
        <v>579</v>
      </c>
      <c r="B616" s="10">
        <f ca="1">IFERROR(__xludf.DUMMYFUNCTION("GOOGLEFINANCE(A616,""PRICE"")"),554)</f>
        <v>554</v>
      </c>
      <c r="C616" s="11">
        <f ca="1">IFERROR(__xludf.DUMMYFUNCTION("GOOGLEFINANCE(A616,""PRICEOPEN"")"),554.9)</f>
        <v>554.9</v>
      </c>
      <c r="D616" s="11">
        <f ca="1">IFERROR(__xludf.DUMMYFUNCTION("GOOGLEFINANCE(A616,""HIGH"")"),558.8)</f>
        <v>558.79999999999995</v>
      </c>
      <c r="E616" s="11">
        <f ca="1">IFERROR(__xludf.DUMMYFUNCTION("GOOGLEFINANCE(A616,""LOW"")"),551.5)</f>
        <v>551.5</v>
      </c>
      <c r="F616" s="12" t="str">
        <f t="shared" ca="1" si="21"/>
        <v/>
      </c>
      <c r="G616" s="13">
        <f ca="1">IFERROR(__xludf.DUMMYFUNCTION("GOOGLEFINANCE(A616,""CLOSEYEST"")"),550.6)</f>
        <v>550.6</v>
      </c>
      <c r="H616" s="14" t="str">
        <f t="shared" ca="1" si="27"/>
        <v/>
      </c>
      <c r="I616" s="15">
        <f t="shared" ca="1" si="22"/>
        <v>553.63333333333333</v>
      </c>
      <c r="J616" s="16">
        <f t="shared" ca="1" si="23"/>
        <v>555.76666666666665</v>
      </c>
      <c r="K616" s="16"/>
      <c r="L616" s="16">
        <f t="shared" ca="1" si="24"/>
        <v>548.4666666666667</v>
      </c>
      <c r="M616" s="16">
        <f t="shared" ca="1" si="25"/>
        <v>560.93333333333328</v>
      </c>
      <c r="N616" s="16">
        <f t="shared" ca="1" si="26"/>
        <v>546.33333333333337</v>
      </c>
    </row>
    <row r="617" spans="1:14" ht="24.75" customHeight="1" x14ac:dyDescent="0.8">
      <c r="A617" s="18" t="s">
        <v>580</v>
      </c>
      <c r="B617" s="10">
        <f ca="1">IFERROR(__xludf.DUMMYFUNCTION("GOOGLEFINANCE(A617,""PRICE"")"),212.2)</f>
        <v>212.2</v>
      </c>
      <c r="C617" s="11">
        <f ca="1">IFERROR(__xludf.DUMMYFUNCTION("GOOGLEFINANCE(A617,""PRICEOPEN"")"),213)</f>
        <v>213</v>
      </c>
      <c r="D617" s="11">
        <f ca="1">IFERROR(__xludf.DUMMYFUNCTION("GOOGLEFINANCE(A617,""HIGH"")"),213.96)</f>
        <v>213.96</v>
      </c>
      <c r="E617" s="11">
        <f ca="1">IFERROR(__xludf.DUMMYFUNCTION("GOOGLEFINANCE(A617,""LOW"")"),209.9)</f>
        <v>209.9</v>
      </c>
      <c r="F617" s="12" t="str">
        <f t="shared" ca="1" si="21"/>
        <v/>
      </c>
      <c r="G617" s="13">
        <f ca="1">IFERROR(__xludf.DUMMYFUNCTION("GOOGLEFINANCE(A617,""CLOSEYEST"")"),210.18)</f>
        <v>210.18</v>
      </c>
      <c r="H617" s="14" t="str">
        <f t="shared" ca="1" si="27"/>
        <v>GAP UP</v>
      </c>
      <c r="I617" s="15">
        <f t="shared" ca="1" si="22"/>
        <v>211.34666666666666</v>
      </c>
      <c r="J617" s="16">
        <f t="shared" ca="1" si="23"/>
        <v>212.79333333333332</v>
      </c>
      <c r="K617" s="16"/>
      <c r="L617" s="16">
        <f t="shared" ca="1" si="24"/>
        <v>208.73333333333332</v>
      </c>
      <c r="M617" s="16">
        <f t="shared" ca="1" si="25"/>
        <v>215.40666666666667</v>
      </c>
      <c r="N617" s="16">
        <f t="shared" ca="1" si="26"/>
        <v>207.28666666666666</v>
      </c>
    </row>
    <row r="618" spans="1:14" ht="24.75" customHeight="1" x14ac:dyDescent="0.8">
      <c r="A618" s="18" t="s">
        <v>581</v>
      </c>
      <c r="B618" s="10">
        <f ca="1">IFERROR(__xludf.DUMMYFUNCTION("GOOGLEFINANCE(A618,""PRICE"")"),259.99)</f>
        <v>259.99</v>
      </c>
      <c r="C618" s="11">
        <f ca="1">IFERROR(__xludf.DUMMYFUNCTION("GOOGLEFINANCE(A618,""PRICEOPEN"")"),254.42)</f>
        <v>254.42</v>
      </c>
      <c r="D618" s="11">
        <f ca="1">IFERROR(__xludf.DUMMYFUNCTION("GOOGLEFINANCE(A618,""HIGH"")"),264.96)</f>
        <v>264.95999999999998</v>
      </c>
      <c r="E618" s="11">
        <f ca="1">IFERROR(__xludf.DUMMYFUNCTION("GOOGLEFINANCE(A618,""LOW"")"),248)</f>
        <v>248</v>
      </c>
      <c r="F618" s="12" t="str">
        <f t="shared" ca="1" si="21"/>
        <v/>
      </c>
      <c r="G618" s="13">
        <f ca="1">IFERROR(__xludf.DUMMYFUNCTION("GOOGLEFINANCE(A618,""CLOSEYEST"")"),253.29)</f>
        <v>253.29</v>
      </c>
      <c r="H618" s="14" t="str">
        <f t="shared" ca="1" si="27"/>
        <v/>
      </c>
      <c r="I618" s="15">
        <f t="shared" ca="1" si="22"/>
        <v>255.41666666666666</v>
      </c>
      <c r="J618" s="16">
        <f t="shared" ca="1" si="23"/>
        <v>262.83333333333331</v>
      </c>
      <c r="K618" s="16"/>
      <c r="L618" s="16">
        <f t="shared" ca="1" si="24"/>
        <v>245.87333333333333</v>
      </c>
      <c r="M618" s="16">
        <f t="shared" ca="1" si="25"/>
        <v>272.37666666666667</v>
      </c>
      <c r="N618" s="16">
        <f t="shared" ca="1" si="26"/>
        <v>238.45666666666668</v>
      </c>
    </row>
    <row r="619" spans="1:14" ht="24.75" customHeight="1" x14ac:dyDescent="0.8">
      <c r="A619" s="18" t="s">
        <v>582</v>
      </c>
      <c r="B619" s="10">
        <f ca="1">IFERROR(__xludf.DUMMYFUNCTION("GOOGLEFINANCE(A619,""PRICE"")"),330.25)</f>
        <v>330.25</v>
      </c>
      <c r="C619" s="11">
        <f ca="1">IFERROR(__xludf.DUMMYFUNCTION("GOOGLEFINANCE(A619,""PRICEOPEN"")"),328.6)</f>
        <v>328.6</v>
      </c>
      <c r="D619" s="11">
        <f ca="1">IFERROR(__xludf.DUMMYFUNCTION("GOOGLEFINANCE(A619,""HIGH"")"),334.45)</f>
        <v>334.45</v>
      </c>
      <c r="E619" s="11">
        <f ca="1">IFERROR(__xludf.DUMMYFUNCTION("GOOGLEFINANCE(A619,""LOW"")"),326.65)</f>
        <v>326.64999999999998</v>
      </c>
      <c r="F619" s="12" t="str">
        <f t="shared" ca="1" si="21"/>
        <v/>
      </c>
      <c r="G619" s="13">
        <f ca="1">IFERROR(__xludf.DUMMYFUNCTION("GOOGLEFINANCE(A619,""CLOSEYEST"")"),331.6)</f>
        <v>331.6</v>
      </c>
      <c r="H619" s="14" t="str">
        <f t="shared" ca="1" si="27"/>
        <v/>
      </c>
      <c r="I619" s="15">
        <f t="shared" ca="1" si="22"/>
        <v>330.9</v>
      </c>
      <c r="J619" s="16">
        <f t="shared" ca="1" si="23"/>
        <v>335.15</v>
      </c>
      <c r="K619" s="16"/>
      <c r="L619" s="16">
        <f t="shared" ca="1" si="24"/>
        <v>327.34999999999997</v>
      </c>
      <c r="M619" s="16">
        <f t="shared" ca="1" si="25"/>
        <v>338.7</v>
      </c>
      <c r="N619" s="16">
        <f t="shared" ca="1" si="26"/>
        <v>323.09999999999997</v>
      </c>
    </row>
    <row r="620" spans="1:14" ht="24.75" customHeight="1" x14ac:dyDescent="0.8">
      <c r="A620" s="18" t="s">
        <v>583</v>
      </c>
      <c r="B620" s="10">
        <f ca="1">IFERROR(__xludf.DUMMYFUNCTION("GOOGLEFINANCE(A620,""PRICE"")"),247.99)</f>
        <v>247.99</v>
      </c>
      <c r="C620" s="11">
        <f ca="1">IFERROR(__xludf.DUMMYFUNCTION("GOOGLEFINANCE(A620,""PRICEOPEN"")"),249.99)</f>
        <v>249.99</v>
      </c>
      <c r="D620" s="11">
        <f ca="1">IFERROR(__xludf.DUMMYFUNCTION("GOOGLEFINANCE(A620,""HIGH"")"),251.7)</f>
        <v>251.7</v>
      </c>
      <c r="E620" s="11">
        <f ca="1">IFERROR(__xludf.DUMMYFUNCTION("GOOGLEFINANCE(A620,""LOW"")"),245.52)</f>
        <v>245.52</v>
      </c>
      <c r="F620" s="12" t="str">
        <f t="shared" ca="1" si="21"/>
        <v/>
      </c>
      <c r="G620" s="13">
        <f ca="1">IFERROR(__xludf.DUMMYFUNCTION("GOOGLEFINANCE(A620,""CLOSEYEST"")"),246.64)</f>
        <v>246.64</v>
      </c>
      <c r="H620" s="14" t="str">
        <f t="shared" ca="1" si="27"/>
        <v>GAP UP</v>
      </c>
      <c r="I620" s="15">
        <f t="shared" ca="1" si="22"/>
        <v>247.95333333333335</v>
      </c>
      <c r="J620" s="16">
        <f t="shared" ca="1" si="23"/>
        <v>250.38666666666668</v>
      </c>
      <c r="K620" s="16"/>
      <c r="L620" s="16">
        <f t="shared" ca="1" si="24"/>
        <v>244.20666666666671</v>
      </c>
      <c r="M620" s="16">
        <f t="shared" ca="1" si="25"/>
        <v>254.13333333333333</v>
      </c>
      <c r="N620" s="16">
        <f t="shared" ca="1" si="26"/>
        <v>241.77333333333337</v>
      </c>
    </row>
    <row r="621" spans="1:14" ht="24.75" customHeight="1" x14ac:dyDescent="0.8">
      <c r="A621" s="18" t="s">
        <v>584</v>
      </c>
      <c r="B621" s="10">
        <f ca="1">IFERROR(__xludf.DUMMYFUNCTION("GOOGLEFINANCE(A621,""PRICE"")"),520)</f>
        <v>520</v>
      </c>
      <c r="C621" s="11">
        <f ca="1">IFERROR(__xludf.DUMMYFUNCTION("GOOGLEFINANCE(A621,""PRICEOPEN"")"),520.7)</f>
        <v>520.70000000000005</v>
      </c>
      <c r="D621" s="11">
        <f ca="1">IFERROR(__xludf.DUMMYFUNCTION("GOOGLEFINANCE(A621,""HIGH"")"),525.85)</f>
        <v>525.85</v>
      </c>
      <c r="E621" s="11">
        <f ca="1">IFERROR(__xludf.DUMMYFUNCTION("GOOGLEFINANCE(A621,""LOW"")"),514.8)</f>
        <v>514.79999999999995</v>
      </c>
      <c r="F621" s="12" t="str">
        <f t="shared" ca="1" si="21"/>
        <v/>
      </c>
      <c r="G621" s="13">
        <f ca="1">IFERROR(__xludf.DUMMYFUNCTION("GOOGLEFINANCE(A621,""CLOSEYEST"")"),520.7)</f>
        <v>520.70000000000005</v>
      </c>
      <c r="H621" s="14" t="str">
        <f t="shared" ca="1" si="27"/>
        <v/>
      </c>
      <c r="I621" s="15">
        <f t="shared" ca="1" si="22"/>
        <v>520.45000000000005</v>
      </c>
      <c r="J621" s="16">
        <f t="shared" ca="1" si="23"/>
        <v>526.10000000000014</v>
      </c>
      <c r="K621" s="16"/>
      <c r="L621" s="16">
        <f t="shared" ca="1" si="24"/>
        <v>515.05000000000007</v>
      </c>
      <c r="M621" s="16">
        <f t="shared" ca="1" si="25"/>
        <v>531.50000000000011</v>
      </c>
      <c r="N621" s="16">
        <f t="shared" ca="1" si="26"/>
        <v>509.4</v>
      </c>
    </row>
    <row r="622" spans="1:14" ht="24.75" customHeight="1" x14ac:dyDescent="0.8">
      <c r="A622" s="18" t="s">
        <v>585</v>
      </c>
      <c r="B622" s="10">
        <f ca="1">IFERROR(__xludf.DUMMYFUNCTION("GOOGLEFINANCE(A622,""PRICE"")"),139.4)</f>
        <v>139.4</v>
      </c>
      <c r="C622" s="11">
        <f ca="1">IFERROR(__xludf.DUMMYFUNCTION("GOOGLEFINANCE(A622,""PRICEOPEN"")"),135.49)</f>
        <v>135.49</v>
      </c>
      <c r="D622" s="11">
        <f ca="1">IFERROR(__xludf.DUMMYFUNCTION("GOOGLEFINANCE(A622,""HIGH"")"),139.86)</f>
        <v>139.86000000000001</v>
      </c>
      <c r="E622" s="11">
        <f ca="1">IFERROR(__xludf.DUMMYFUNCTION("GOOGLEFINANCE(A622,""LOW"")"),134)</f>
        <v>134</v>
      </c>
      <c r="F622" s="12" t="str">
        <f t="shared" ca="1" si="21"/>
        <v/>
      </c>
      <c r="G622" s="13">
        <f ca="1">IFERROR(__xludf.DUMMYFUNCTION("GOOGLEFINANCE(A622,""CLOSEYEST"")"),134.75)</f>
        <v>134.75</v>
      </c>
      <c r="H622" s="14" t="str">
        <f t="shared" ca="1" si="27"/>
        <v/>
      </c>
      <c r="I622" s="15">
        <f t="shared" ca="1" si="22"/>
        <v>136.20333333333335</v>
      </c>
      <c r="J622" s="16">
        <f t="shared" ca="1" si="23"/>
        <v>138.40666666666669</v>
      </c>
      <c r="K622" s="16"/>
      <c r="L622" s="16">
        <f t="shared" ca="1" si="24"/>
        <v>132.54666666666668</v>
      </c>
      <c r="M622" s="16">
        <f t="shared" ca="1" si="25"/>
        <v>142.06333333333336</v>
      </c>
      <c r="N622" s="16">
        <f t="shared" ca="1" si="26"/>
        <v>130.34333333333333</v>
      </c>
    </row>
    <row r="623" spans="1:14" ht="24.75" customHeight="1" x14ac:dyDescent="0.8">
      <c r="A623" s="18" t="s">
        <v>586</v>
      </c>
      <c r="B623" s="10">
        <f ca="1">IFERROR(__xludf.DUMMYFUNCTION("GOOGLEFINANCE(A623,""PRICE"")"),8885)</f>
        <v>8885</v>
      </c>
      <c r="C623" s="11">
        <f ca="1">IFERROR(__xludf.DUMMYFUNCTION("GOOGLEFINANCE(A623,""PRICEOPEN"")"),9049.5)</f>
        <v>9049.5</v>
      </c>
      <c r="D623" s="11">
        <f ca="1">IFERROR(__xludf.DUMMYFUNCTION("GOOGLEFINANCE(A623,""HIGH"")"),9049.5)</f>
        <v>9049.5</v>
      </c>
      <c r="E623" s="11">
        <f ca="1">IFERROR(__xludf.DUMMYFUNCTION("GOOGLEFINANCE(A623,""LOW"")"),8790)</f>
        <v>8790</v>
      </c>
      <c r="F623" s="12" t="str">
        <f t="shared" ca="1" si="21"/>
        <v>SELL</v>
      </c>
      <c r="G623" s="13">
        <f ca="1">IFERROR(__xludf.DUMMYFUNCTION("GOOGLEFINANCE(A623,""CLOSEYEST"")"),8905)</f>
        <v>8905</v>
      </c>
      <c r="H623" s="14" t="str">
        <f t="shared" ca="1" si="27"/>
        <v>GAP UP</v>
      </c>
      <c r="I623" s="15">
        <f t="shared" ca="1" si="22"/>
        <v>8914.8333333333339</v>
      </c>
      <c r="J623" s="16">
        <f t="shared" ca="1" si="23"/>
        <v>9039.6666666666679</v>
      </c>
      <c r="K623" s="16"/>
      <c r="L623" s="16">
        <f t="shared" ca="1" si="24"/>
        <v>8780.1666666666679</v>
      </c>
      <c r="M623" s="16">
        <f t="shared" ca="1" si="25"/>
        <v>9174.3333333333339</v>
      </c>
      <c r="N623" s="16">
        <f t="shared" ca="1" si="26"/>
        <v>8655.3333333333339</v>
      </c>
    </row>
    <row r="624" spans="1:14" ht="24.75" customHeight="1" x14ac:dyDescent="0.8">
      <c r="A624" s="18" t="s">
        <v>587</v>
      </c>
      <c r="B624" s="10">
        <f ca="1">IFERROR(__xludf.DUMMYFUNCTION("GOOGLEFINANCE(A624,""PRICE"")"),224.9)</f>
        <v>224.9</v>
      </c>
      <c r="C624" s="11">
        <f ca="1">IFERROR(__xludf.DUMMYFUNCTION("GOOGLEFINANCE(A624,""PRICEOPEN"")"),223.03)</f>
        <v>223.03</v>
      </c>
      <c r="D624" s="11">
        <f ca="1">IFERROR(__xludf.DUMMYFUNCTION("GOOGLEFINANCE(A624,""HIGH"")"),225.53)</f>
        <v>225.53</v>
      </c>
      <c r="E624" s="11">
        <f ca="1">IFERROR(__xludf.DUMMYFUNCTION("GOOGLEFINANCE(A624,""LOW"")"),222.21)</f>
        <v>222.21</v>
      </c>
      <c r="F624" s="12" t="str">
        <f t="shared" ca="1" si="21"/>
        <v/>
      </c>
      <c r="G624" s="13">
        <f ca="1">IFERROR(__xludf.DUMMYFUNCTION("GOOGLEFINANCE(A624,""CLOSEYEST"")"),223.03)</f>
        <v>223.03</v>
      </c>
      <c r="H624" s="14" t="str">
        <f t="shared" ca="1" si="27"/>
        <v/>
      </c>
      <c r="I624" s="15">
        <f t="shared" ca="1" si="22"/>
        <v>223.59</v>
      </c>
      <c r="J624" s="16">
        <f t="shared" ca="1" si="23"/>
        <v>224.97</v>
      </c>
      <c r="K624" s="16"/>
      <c r="L624" s="16">
        <f t="shared" ca="1" si="24"/>
        <v>221.65</v>
      </c>
      <c r="M624" s="16">
        <f t="shared" ca="1" si="25"/>
        <v>226.91</v>
      </c>
      <c r="N624" s="16">
        <f t="shared" ca="1" si="26"/>
        <v>220.27</v>
      </c>
    </row>
    <row r="625" spans="1:14" ht="24.75" customHeight="1" x14ac:dyDescent="0.8">
      <c r="A625" s="18" t="s">
        <v>588</v>
      </c>
      <c r="B625" s="10">
        <f ca="1">IFERROR(__xludf.DUMMYFUNCTION("GOOGLEFINANCE(A625,""PRICE"")"),48.25)</f>
        <v>48.25</v>
      </c>
      <c r="C625" s="11">
        <f ca="1">IFERROR(__xludf.DUMMYFUNCTION("GOOGLEFINANCE(A625,""PRICEOPEN"")"),48.23)</f>
        <v>48.23</v>
      </c>
      <c r="D625" s="11">
        <f ca="1">IFERROR(__xludf.DUMMYFUNCTION("GOOGLEFINANCE(A625,""HIGH"")"),48.6)</f>
        <v>48.6</v>
      </c>
      <c r="E625" s="11">
        <f ca="1">IFERROR(__xludf.DUMMYFUNCTION("GOOGLEFINANCE(A625,""LOW"")"),47.83)</f>
        <v>47.83</v>
      </c>
      <c r="F625" s="12" t="str">
        <f t="shared" ca="1" si="21"/>
        <v/>
      </c>
      <c r="G625" s="13">
        <f ca="1">IFERROR(__xludf.DUMMYFUNCTION("GOOGLEFINANCE(A625,""CLOSEYEST"")"),48.23)</f>
        <v>48.23</v>
      </c>
      <c r="H625" s="14" t="str">
        <f t="shared" ca="1" si="27"/>
        <v/>
      </c>
      <c r="I625" s="15">
        <f t="shared" ca="1" si="22"/>
        <v>48.22</v>
      </c>
      <c r="J625" s="16">
        <f t="shared" ca="1" si="23"/>
        <v>48.61</v>
      </c>
      <c r="K625" s="16"/>
      <c r="L625" s="16">
        <f t="shared" ca="1" si="24"/>
        <v>47.839999999999996</v>
      </c>
      <c r="M625" s="16">
        <f t="shared" ca="1" si="25"/>
        <v>48.99</v>
      </c>
      <c r="N625" s="16">
        <f t="shared" ca="1" si="26"/>
        <v>47.449999999999996</v>
      </c>
    </row>
    <row r="626" spans="1:14" ht="24.75" customHeight="1" x14ac:dyDescent="0.8">
      <c r="A626" s="18" t="s">
        <v>589</v>
      </c>
      <c r="B626" s="10">
        <f ca="1">IFERROR(__xludf.DUMMYFUNCTION("GOOGLEFINANCE(A626,""PRICE"")"),3502)</f>
        <v>3502</v>
      </c>
      <c r="C626" s="11">
        <f ca="1">IFERROR(__xludf.DUMMYFUNCTION("GOOGLEFINANCE(A626,""PRICEOPEN"")"),3700)</f>
        <v>3700</v>
      </c>
      <c r="D626" s="11">
        <f ca="1">IFERROR(__xludf.DUMMYFUNCTION("GOOGLEFINANCE(A626,""HIGH"")"),3700)</f>
        <v>3700</v>
      </c>
      <c r="E626" s="11">
        <f ca="1">IFERROR(__xludf.DUMMYFUNCTION("GOOGLEFINANCE(A626,""LOW"")"),3501)</f>
        <v>3501</v>
      </c>
      <c r="F626" s="12" t="str">
        <f t="shared" ca="1" si="21"/>
        <v>SELL</v>
      </c>
      <c r="G626" s="13">
        <f ca="1">IFERROR(__xludf.DUMMYFUNCTION("GOOGLEFINANCE(A626,""CLOSEYEST"")"),3653.5)</f>
        <v>3653.5</v>
      </c>
      <c r="H626" s="14" t="str">
        <f t="shared" ca="1" si="27"/>
        <v>GAP UP</v>
      </c>
      <c r="I626" s="15">
        <f t="shared" ca="1" si="22"/>
        <v>3618.1666666666665</v>
      </c>
      <c r="J626" s="16">
        <f t="shared" ca="1" si="23"/>
        <v>3735.333333333333</v>
      </c>
      <c r="K626" s="16"/>
      <c r="L626" s="16">
        <f t="shared" ca="1" si="24"/>
        <v>3536.333333333333</v>
      </c>
      <c r="M626" s="16">
        <f t="shared" ca="1" si="25"/>
        <v>3817.1666666666665</v>
      </c>
      <c r="N626" s="16">
        <f t="shared" ca="1" si="26"/>
        <v>3419.1666666666665</v>
      </c>
    </row>
    <row r="627" spans="1:14" ht="24.75" customHeight="1" x14ac:dyDescent="0.8">
      <c r="A627" s="18" t="s">
        <v>590</v>
      </c>
      <c r="B627" s="10">
        <f ca="1">IFERROR(__xludf.DUMMYFUNCTION("GOOGLEFINANCE(A627,""PRICE"")"),8.55)</f>
        <v>8.5500000000000007</v>
      </c>
      <c r="C627" s="11">
        <f ca="1">IFERROR(__xludf.DUMMYFUNCTION("GOOGLEFINANCE(A627,""PRICEOPEN"")"),8.51)</f>
        <v>8.51</v>
      </c>
      <c r="D627" s="11">
        <f ca="1">IFERROR(__xludf.DUMMYFUNCTION("GOOGLEFINANCE(A627,""HIGH"")"),8.55)</f>
        <v>8.5500000000000007</v>
      </c>
      <c r="E627" s="11">
        <f ca="1">IFERROR(__xludf.DUMMYFUNCTION("GOOGLEFINANCE(A627,""LOW"")"),8.51)</f>
        <v>8.51</v>
      </c>
      <c r="F627" s="12" t="str">
        <f t="shared" ca="1" si="21"/>
        <v>BUY</v>
      </c>
      <c r="G627" s="13">
        <f ca="1">IFERROR(__xludf.DUMMYFUNCTION("GOOGLEFINANCE(A627,""CLOSEYEST"")"),8.55)</f>
        <v>8.5500000000000007</v>
      </c>
      <c r="H627" s="14" t="str">
        <f t="shared" ca="1" si="27"/>
        <v/>
      </c>
      <c r="I627" s="15">
        <f t="shared" ca="1" si="22"/>
        <v>8.5366666666666671</v>
      </c>
      <c r="J627" s="16">
        <f t="shared" ca="1" si="23"/>
        <v>8.5633333333333344</v>
      </c>
      <c r="K627" s="16"/>
      <c r="L627" s="16">
        <f t="shared" ca="1" si="24"/>
        <v>8.5233333333333334</v>
      </c>
      <c r="M627" s="16">
        <f t="shared" ca="1" si="25"/>
        <v>8.576666666666668</v>
      </c>
      <c r="N627" s="16">
        <f t="shared" ca="1" si="26"/>
        <v>8.4966666666666661</v>
      </c>
    </row>
    <row r="628" spans="1:14" ht="24.75" customHeight="1" x14ac:dyDescent="0.8">
      <c r="A628" s="18" t="s">
        <v>591</v>
      </c>
      <c r="B628" s="10">
        <f ca="1">IFERROR(__xludf.DUMMYFUNCTION("GOOGLEFINANCE(A628,""PRICE"")"),300)</f>
        <v>300</v>
      </c>
      <c r="C628" s="11">
        <f ca="1">IFERROR(__xludf.DUMMYFUNCTION("GOOGLEFINANCE(A628,""PRICEOPEN"")"),297.15)</f>
        <v>297.14999999999998</v>
      </c>
      <c r="D628" s="11">
        <f ca="1">IFERROR(__xludf.DUMMYFUNCTION("GOOGLEFINANCE(A628,""HIGH"")"),301.3)</f>
        <v>301.3</v>
      </c>
      <c r="E628" s="11">
        <f ca="1">IFERROR(__xludf.DUMMYFUNCTION("GOOGLEFINANCE(A628,""LOW"")"),297.15)</f>
        <v>297.14999999999998</v>
      </c>
      <c r="F628" s="12" t="str">
        <f t="shared" ca="1" si="21"/>
        <v>BUY</v>
      </c>
      <c r="G628" s="13">
        <f ca="1">IFERROR(__xludf.DUMMYFUNCTION("GOOGLEFINANCE(A628,""CLOSEYEST"")"),297.9)</f>
        <v>297.89999999999998</v>
      </c>
      <c r="H628" s="14" t="str">
        <f t="shared" ca="1" si="27"/>
        <v/>
      </c>
      <c r="I628" s="15">
        <f t="shared" ca="1" si="22"/>
        <v>298.78333333333336</v>
      </c>
      <c r="J628" s="16">
        <f t="shared" ca="1" si="23"/>
        <v>300.41666666666674</v>
      </c>
      <c r="K628" s="16"/>
      <c r="L628" s="16">
        <f t="shared" ca="1" si="24"/>
        <v>296.26666666666671</v>
      </c>
      <c r="M628" s="16">
        <f t="shared" ca="1" si="25"/>
        <v>302.93333333333339</v>
      </c>
      <c r="N628" s="16">
        <f t="shared" ca="1" si="26"/>
        <v>294.63333333333333</v>
      </c>
    </row>
    <row r="629" spans="1:14" ht="24.75" customHeight="1" x14ac:dyDescent="0.8">
      <c r="A629" s="18" t="s">
        <v>592</v>
      </c>
      <c r="B629" s="10">
        <f ca="1">IFERROR(__xludf.DUMMYFUNCTION("GOOGLEFINANCE(A629,""PRICE"")"),1300)</f>
        <v>1300</v>
      </c>
      <c r="C629" s="11">
        <f ca="1">IFERROR(__xludf.DUMMYFUNCTION("GOOGLEFINANCE(A629,""PRICEOPEN"")"),1310)</f>
        <v>1310</v>
      </c>
      <c r="D629" s="11">
        <f ca="1">IFERROR(__xludf.DUMMYFUNCTION("GOOGLEFINANCE(A629,""HIGH"")"),1310)</f>
        <v>1310</v>
      </c>
      <c r="E629" s="11">
        <f ca="1">IFERROR(__xludf.DUMMYFUNCTION("GOOGLEFINANCE(A629,""LOW"")"),1294)</f>
        <v>1294</v>
      </c>
      <c r="F629" s="12" t="str">
        <f t="shared" ca="1" si="21"/>
        <v>SELL</v>
      </c>
      <c r="G629" s="13">
        <f ca="1">IFERROR(__xludf.DUMMYFUNCTION("GOOGLEFINANCE(A629,""CLOSEYEST"")"),1298.8)</f>
        <v>1298.8</v>
      </c>
      <c r="H629" s="14" t="str">
        <f t="shared" ca="1" si="27"/>
        <v/>
      </c>
      <c r="I629" s="15">
        <f t="shared" ca="1" si="22"/>
        <v>1300.9333333333334</v>
      </c>
      <c r="J629" s="16">
        <f t="shared" ca="1" si="23"/>
        <v>1307.8666666666668</v>
      </c>
      <c r="K629" s="16"/>
      <c r="L629" s="16">
        <f t="shared" ca="1" si="24"/>
        <v>1291.8666666666668</v>
      </c>
      <c r="M629" s="16">
        <f t="shared" ca="1" si="25"/>
        <v>1316.9333333333334</v>
      </c>
      <c r="N629" s="16">
        <f t="shared" ca="1" si="26"/>
        <v>1284.9333333333334</v>
      </c>
    </row>
    <row r="630" spans="1:14" ht="24.75" customHeight="1" x14ac:dyDescent="0.8">
      <c r="A630" s="18" t="s">
        <v>593</v>
      </c>
      <c r="B630" s="10">
        <f ca="1">IFERROR(__xludf.DUMMYFUNCTION("GOOGLEFINANCE(A630,""PRICE"")"),425.5)</f>
        <v>425.5</v>
      </c>
      <c r="C630" s="11">
        <f ca="1">IFERROR(__xludf.DUMMYFUNCTION("GOOGLEFINANCE(A630,""PRICEOPEN"")"),394.8)</f>
        <v>394.8</v>
      </c>
      <c r="D630" s="11">
        <f ca="1">IFERROR(__xludf.DUMMYFUNCTION("GOOGLEFINANCE(A630,""HIGH"")"),444.8)</f>
        <v>444.8</v>
      </c>
      <c r="E630" s="11">
        <f ca="1">IFERROR(__xludf.DUMMYFUNCTION("GOOGLEFINANCE(A630,""LOW"")"),391.85)</f>
        <v>391.85</v>
      </c>
      <c r="F630" s="12" t="str">
        <f t="shared" ca="1" si="21"/>
        <v/>
      </c>
      <c r="G630" s="13">
        <f ca="1">IFERROR(__xludf.DUMMYFUNCTION("GOOGLEFINANCE(A630,""CLOSEYEST"")"),392.9)</f>
        <v>392.9</v>
      </c>
      <c r="H630" s="14" t="str">
        <f t="shared" ca="1" si="27"/>
        <v/>
      </c>
      <c r="I630" s="15">
        <f t="shared" ca="1" si="22"/>
        <v>409.85000000000008</v>
      </c>
      <c r="J630" s="16">
        <f t="shared" ca="1" si="23"/>
        <v>427.85000000000014</v>
      </c>
      <c r="K630" s="16"/>
      <c r="L630" s="16">
        <f t="shared" ca="1" si="24"/>
        <v>374.90000000000015</v>
      </c>
      <c r="M630" s="16">
        <f t="shared" ca="1" si="25"/>
        <v>462.80000000000007</v>
      </c>
      <c r="N630" s="16">
        <f t="shared" ca="1" si="26"/>
        <v>356.90000000000009</v>
      </c>
    </row>
    <row r="631" spans="1:14" ht="24.75" customHeight="1" x14ac:dyDescent="0.8">
      <c r="A631" s="18" t="s">
        <v>594</v>
      </c>
      <c r="B631" s="10">
        <f ca="1">IFERROR(__xludf.DUMMYFUNCTION("GOOGLEFINANCE(A631,""PRICE"")"),0)</f>
        <v>0</v>
      </c>
      <c r="C631" s="11">
        <f ca="1">IFERROR(__xludf.DUMMYFUNCTION("GOOGLEFINANCE(A631,""PRICEOPEN"")"),0)</f>
        <v>0</v>
      </c>
      <c r="D631" s="11">
        <f ca="1">IFERROR(__xludf.DUMMYFUNCTION("GOOGLEFINANCE(A631,""HIGH"")"),0)</f>
        <v>0</v>
      </c>
      <c r="E631" s="11">
        <f ca="1">IFERROR(__xludf.DUMMYFUNCTION("GOOGLEFINANCE(A631,""LOW"")"),0)</f>
        <v>0</v>
      </c>
      <c r="F631" s="12" t="str">
        <f t="shared" ca="1" si="21"/>
        <v>SELL</v>
      </c>
      <c r="G631" s="13">
        <f ca="1">IFERROR(__xludf.DUMMYFUNCTION("GOOGLEFINANCE(A631,""CLOSEYEST"")"),0)</f>
        <v>0</v>
      </c>
      <c r="H631" s="14" t="str">
        <f t="shared" ca="1" si="27"/>
        <v>GAP UP</v>
      </c>
      <c r="I631" s="15">
        <f t="shared" ca="1" si="22"/>
        <v>0</v>
      </c>
      <c r="J631" s="16">
        <f t="shared" ca="1" si="23"/>
        <v>0</v>
      </c>
      <c r="K631" s="16"/>
      <c r="L631" s="16">
        <f t="shared" ca="1" si="24"/>
        <v>0</v>
      </c>
      <c r="M631" s="16">
        <f t="shared" ca="1" si="25"/>
        <v>0</v>
      </c>
      <c r="N631" s="16">
        <f t="shared" ca="1" si="26"/>
        <v>0</v>
      </c>
    </row>
    <row r="632" spans="1:14" ht="24.75" customHeight="1" x14ac:dyDescent="0.8">
      <c r="A632" s="18" t="s">
        <v>595</v>
      </c>
      <c r="B632" s="10">
        <f ca="1">IFERROR(__xludf.DUMMYFUNCTION("GOOGLEFINANCE(A632,""PRICE"")"),58.41)</f>
        <v>58.41</v>
      </c>
      <c r="C632" s="11">
        <f ca="1">IFERROR(__xludf.DUMMYFUNCTION("GOOGLEFINANCE(A632,""PRICEOPEN"")"),55.2)</f>
        <v>55.2</v>
      </c>
      <c r="D632" s="11">
        <f ca="1">IFERROR(__xludf.DUMMYFUNCTION("GOOGLEFINANCE(A632,""HIGH"")"),58.61)</f>
        <v>58.61</v>
      </c>
      <c r="E632" s="11">
        <f ca="1">IFERROR(__xludf.DUMMYFUNCTION("GOOGLEFINANCE(A632,""LOW"")"),55.05)</f>
        <v>55.05</v>
      </c>
      <c r="F632" s="12" t="str">
        <f t="shared" ca="1" si="21"/>
        <v/>
      </c>
      <c r="G632" s="13">
        <f ca="1">IFERROR(__xludf.DUMMYFUNCTION("GOOGLEFINANCE(A632,""CLOSEYEST"")"),55.34)</f>
        <v>55.34</v>
      </c>
      <c r="H632" s="14" t="str">
        <f t="shared" ca="1" si="27"/>
        <v/>
      </c>
      <c r="I632" s="15">
        <f t="shared" ca="1" si="22"/>
        <v>56.333333333333336</v>
      </c>
      <c r="J632" s="16">
        <f t="shared" ca="1" si="23"/>
        <v>57.616666666666674</v>
      </c>
      <c r="K632" s="16"/>
      <c r="L632" s="16">
        <f t="shared" ca="1" si="24"/>
        <v>54.056666666666672</v>
      </c>
      <c r="M632" s="16">
        <f t="shared" ca="1" si="25"/>
        <v>59.893333333333338</v>
      </c>
      <c r="N632" s="16">
        <f t="shared" ca="1" si="26"/>
        <v>52.773333333333333</v>
      </c>
    </row>
    <row r="633" spans="1:14" ht="24.75" customHeight="1" x14ac:dyDescent="0.8">
      <c r="A633" s="18" t="s">
        <v>596</v>
      </c>
      <c r="B633" s="10">
        <f ca="1">IFERROR(__xludf.DUMMYFUNCTION("GOOGLEFINANCE(A633,""PRICE"")"),366)</f>
        <v>366</v>
      </c>
      <c r="C633" s="11">
        <f ca="1">IFERROR(__xludf.DUMMYFUNCTION("GOOGLEFINANCE(A633,""PRICEOPEN"")"),356.5)</f>
        <v>356.5</v>
      </c>
      <c r="D633" s="11">
        <f ca="1">IFERROR(__xludf.DUMMYFUNCTION("GOOGLEFINANCE(A633,""HIGH"")"),368)</f>
        <v>368</v>
      </c>
      <c r="E633" s="11">
        <f ca="1">IFERROR(__xludf.DUMMYFUNCTION("GOOGLEFINANCE(A633,""LOW"")"),353.8)</f>
        <v>353.8</v>
      </c>
      <c r="F633" s="12" t="str">
        <f t="shared" ca="1" si="21"/>
        <v/>
      </c>
      <c r="G633" s="13">
        <f ca="1">IFERROR(__xludf.DUMMYFUNCTION("GOOGLEFINANCE(A633,""CLOSEYEST"")"),352.7)</f>
        <v>352.7</v>
      </c>
      <c r="H633" s="14" t="str">
        <f t="shared" ca="1" si="27"/>
        <v>GAP UP</v>
      </c>
      <c r="I633" s="15">
        <f t="shared" ca="1" si="22"/>
        <v>358.16666666666669</v>
      </c>
      <c r="J633" s="16">
        <f t="shared" ca="1" si="23"/>
        <v>362.53333333333336</v>
      </c>
      <c r="K633" s="16"/>
      <c r="L633" s="16">
        <f t="shared" ca="1" si="24"/>
        <v>348.33333333333337</v>
      </c>
      <c r="M633" s="16">
        <f t="shared" ca="1" si="25"/>
        <v>372.36666666666667</v>
      </c>
      <c r="N633" s="16">
        <f t="shared" ca="1" si="26"/>
        <v>343.9666666666667</v>
      </c>
    </row>
    <row r="634" spans="1:14" ht="24.75" customHeight="1" x14ac:dyDescent="0.8">
      <c r="A634" s="18" t="s">
        <v>597</v>
      </c>
      <c r="B634" s="10">
        <f ca="1">IFERROR(__xludf.DUMMYFUNCTION("GOOGLEFINANCE(A634,""PRICE"")"),1524.6)</f>
        <v>1524.6</v>
      </c>
      <c r="C634" s="11">
        <f ca="1">IFERROR(__xludf.DUMMYFUNCTION("GOOGLEFINANCE(A634,""PRICEOPEN"")"),1537.5)</f>
        <v>1537.5</v>
      </c>
      <c r="D634" s="11">
        <f ca="1">IFERROR(__xludf.DUMMYFUNCTION("GOOGLEFINANCE(A634,""HIGH"")"),1568.8)</f>
        <v>1568.8</v>
      </c>
      <c r="E634" s="11">
        <f ca="1">IFERROR(__xludf.DUMMYFUNCTION("GOOGLEFINANCE(A634,""LOW"")"),1510.2)</f>
        <v>1510.2</v>
      </c>
      <c r="F634" s="12" t="str">
        <f t="shared" ca="1" si="21"/>
        <v/>
      </c>
      <c r="G634" s="13">
        <f ca="1">IFERROR(__xludf.DUMMYFUNCTION("GOOGLEFINANCE(A634,""CLOSEYEST"")"),1537.5)</f>
        <v>1537.5</v>
      </c>
      <c r="H634" s="14" t="str">
        <f t="shared" ca="1" si="27"/>
        <v/>
      </c>
      <c r="I634" s="15">
        <f t="shared" ca="1" si="22"/>
        <v>1538.8333333333333</v>
      </c>
      <c r="J634" s="16">
        <f t="shared" ca="1" si="23"/>
        <v>1567.4666666666665</v>
      </c>
      <c r="K634" s="16"/>
      <c r="L634" s="16">
        <f t="shared" ca="1" si="24"/>
        <v>1508.8666666666666</v>
      </c>
      <c r="M634" s="16">
        <f t="shared" ca="1" si="25"/>
        <v>1597.4333333333332</v>
      </c>
      <c r="N634" s="16">
        <f t="shared" ca="1" si="26"/>
        <v>1480.2333333333333</v>
      </c>
    </row>
    <row r="635" spans="1:14" ht="24.75" customHeight="1" x14ac:dyDescent="0.8">
      <c r="A635" s="18" t="s">
        <v>598</v>
      </c>
      <c r="B635" s="10">
        <f ca="1">IFERROR(__xludf.DUMMYFUNCTION("GOOGLEFINANCE(A635,""PRICE"")"),269)</f>
        <v>269</v>
      </c>
      <c r="C635" s="11">
        <f ca="1">IFERROR(__xludf.DUMMYFUNCTION("GOOGLEFINANCE(A635,""PRICEOPEN"")"),265.55)</f>
        <v>265.55</v>
      </c>
      <c r="D635" s="11">
        <f ca="1">IFERROR(__xludf.DUMMYFUNCTION("GOOGLEFINANCE(A635,""HIGH"")"),269.25)</f>
        <v>269.25</v>
      </c>
      <c r="E635" s="11">
        <f ca="1">IFERROR(__xludf.DUMMYFUNCTION("GOOGLEFINANCE(A635,""LOW"")"),265)</f>
        <v>265</v>
      </c>
      <c r="F635" s="12" t="str">
        <f t="shared" ca="1" si="21"/>
        <v/>
      </c>
      <c r="G635" s="13">
        <f ca="1">IFERROR(__xludf.DUMMYFUNCTION("GOOGLEFINANCE(A635,""CLOSEYEST"")"),268.55)</f>
        <v>268.55</v>
      </c>
      <c r="H635" s="14" t="str">
        <f t="shared" ca="1" si="27"/>
        <v>GAP DOWN</v>
      </c>
      <c r="I635" s="15">
        <f t="shared" ca="1" si="22"/>
        <v>267.59999999999997</v>
      </c>
      <c r="J635" s="16">
        <f t="shared" ca="1" si="23"/>
        <v>270.19999999999993</v>
      </c>
      <c r="K635" s="16"/>
      <c r="L635" s="16">
        <f t="shared" ca="1" si="24"/>
        <v>265.94999999999993</v>
      </c>
      <c r="M635" s="16">
        <f t="shared" ca="1" si="25"/>
        <v>271.84999999999997</v>
      </c>
      <c r="N635" s="16">
        <f t="shared" ca="1" si="26"/>
        <v>263.34999999999997</v>
      </c>
    </row>
    <row r="636" spans="1:14" ht="24.75" customHeight="1" x14ac:dyDescent="0.8">
      <c r="A636" s="18" t="s">
        <v>599</v>
      </c>
      <c r="B636" s="10">
        <f ca="1">IFERROR(__xludf.DUMMYFUNCTION("GOOGLEFINANCE(A636,""PRICE"")"),399.05)</f>
        <v>399.05</v>
      </c>
      <c r="C636" s="11">
        <f ca="1">IFERROR(__xludf.DUMMYFUNCTION("GOOGLEFINANCE(A636,""PRICEOPEN"")"),383.8)</f>
        <v>383.8</v>
      </c>
      <c r="D636" s="11">
        <f ca="1">IFERROR(__xludf.DUMMYFUNCTION("GOOGLEFINANCE(A636,""HIGH"")"),403.3)</f>
        <v>403.3</v>
      </c>
      <c r="E636" s="11">
        <f ca="1">IFERROR(__xludf.DUMMYFUNCTION("GOOGLEFINANCE(A636,""LOW"")"),382.65)</f>
        <v>382.65</v>
      </c>
      <c r="F636" s="12" t="str">
        <f t="shared" ca="1" si="21"/>
        <v/>
      </c>
      <c r="G636" s="13">
        <f ca="1">IFERROR(__xludf.DUMMYFUNCTION("GOOGLEFINANCE(A636,""CLOSEYEST"")"),382.9)</f>
        <v>382.9</v>
      </c>
      <c r="H636" s="14" t="str">
        <f t="shared" ca="1" si="27"/>
        <v/>
      </c>
      <c r="I636" s="15">
        <f t="shared" ca="1" si="22"/>
        <v>389.61666666666662</v>
      </c>
      <c r="J636" s="16">
        <f t="shared" ca="1" si="23"/>
        <v>396.58333333333326</v>
      </c>
      <c r="K636" s="16"/>
      <c r="L636" s="16">
        <f t="shared" ca="1" si="24"/>
        <v>375.93333333333322</v>
      </c>
      <c r="M636" s="16">
        <f t="shared" ca="1" si="25"/>
        <v>410.26666666666665</v>
      </c>
      <c r="N636" s="16">
        <f t="shared" ca="1" si="26"/>
        <v>368.96666666666658</v>
      </c>
    </row>
    <row r="637" spans="1:14" ht="24.75" customHeight="1" x14ac:dyDescent="0.8">
      <c r="A637" s="18" t="s">
        <v>600</v>
      </c>
      <c r="B637" s="10">
        <f ca="1">IFERROR(__xludf.DUMMYFUNCTION("GOOGLEFINANCE(A637,""PRICE"")"),341.45)</f>
        <v>341.45</v>
      </c>
      <c r="C637" s="11">
        <f ca="1">IFERROR(__xludf.DUMMYFUNCTION("GOOGLEFINANCE(A637,""PRICEOPEN"")"),328.7)</f>
        <v>328.7</v>
      </c>
      <c r="D637" s="11">
        <f ca="1">IFERROR(__xludf.DUMMYFUNCTION("GOOGLEFINANCE(A637,""HIGH"")"),341.7)</f>
        <v>341.7</v>
      </c>
      <c r="E637" s="11">
        <f ca="1">IFERROR(__xludf.DUMMYFUNCTION("GOOGLEFINANCE(A637,""LOW"")"),328.7)</f>
        <v>328.7</v>
      </c>
      <c r="F637" s="12" t="str">
        <f t="shared" ca="1" si="21"/>
        <v>BUY</v>
      </c>
      <c r="G637" s="13">
        <f ca="1">IFERROR(__xludf.DUMMYFUNCTION("GOOGLEFINANCE(A637,""CLOSEYEST"")"),334)</f>
        <v>334</v>
      </c>
      <c r="H637" s="14" t="str">
        <f t="shared" ca="1" si="27"/>
        <v>GAP DOWN</v>
      </c>
      <c r="I637" s="15">
        <f t="shared" ca="1" si="22"/>
        <v>334.8</v>
      </c>
      <c r="J637" s="16">
        <f t="shared" ca="1" si="23"/>
        <v>340.90000000000003</v>
      </c>
      <c r="K637" s="16"/>
      <c r="L637" s="16">
        <f t="shared" ca="1" si="24"/>
        <v>327.90000000000003</v>
      </c>
      <c r="M637" s="16">
        <f t="shared" ca="1" si="25"/>
        <v>347.8</v>
      </c>
      <c r="N637" s="16">
        <f t="shared" ca="1" si="26"/>
        <v>321.8</v>
      </c>
    </row>
    <row r="638" spans="1:14" ht="24.75" customHeight="1" x14ac:dyDescent="0.8">
      <c r="A638" s="18" t="s">
        <v>601</v>
      </c>
      <c r="B638" s="10">
        <f ca="1">IFERROR(__xludf.DUMMYFUNCTION("GOOGLEFINANCE(A638,""PRICE"")"),0.73)</f>
        <v>0.73</v>
      </c>
      <c r="C638" s="11">
        <f ca="1">IFERROR(__xludf.DUMMYFUNCTION("GOOGLEFINANCE(A638,""PRICEOPEN"")"),0.73)</f>
        <v>0.73</v>
      </c>
      <c r="D638" s="11">
        <f ca="1">IFERROR(__xludf.DUMMYFUNCTION("GOOGLEFINANCE(A638,""HIGH"")"),0.73)</f>
        <v>0.73</v>
      </c>
      <c r="E638" s="11">
        <f ca="1">IFERROR(__xludf.DUMMYFUNCTION("GOOGLEFINANCE(A638,""LOW"")"),0.73)</f>
        <v>0.73</v>
      </c>
      <c r="F638" s="12" t="str">
        <f t="shared" ca="1" si="21"/>
        <v>SELL</v>
      </c>
      <c r="G638" s="13">
        <f ca="1">IFERROR(__xludf.DUMMYFUNCTION("GOOGLEFINANCE(A638,""CLOSEYEST"")"),0.73)</f>
        <v>0.73</v>
      </c>
      <c r="H638" s="14" t="str">
        <f t="shared" ca="1" si="27"/>
        <v/>
      </c>
      <c r="I638" s="15">
        <f t="shared" ca="1" si="22"/>
        <v>0.73</v>
      </c>
      <c r="J638" s="16">
        <f t="shared" ca="1" si="23"/>
        <v>0.73</v>
      </c>
      <c r="K638" s="16"/>
      <c r="L638" s="16">
        <f t="shared" ca="1" si="24"/>
        <v>0.73</v>
      </c>
      <c r="M638" s="16">
        <f t="shared" ca="1" si="25"/>
        <v>0.73</v>
      </c>
      <c r="N638" s="16">
        <f t="shared" ca="1" si="26"/>
        <v>0.73</v>
      </c>
    </row>
    <row r="639" spans="1:14" ht="24.75" customHeight="1" x14ac:dyDescent="0.8">
      <c r="A639" s="18" t="s">
        <v>602</v>
      </c>
      <c r="B639" s="10">
        <f ca="1">IFERROR(__xludf.DUMMYFUNCTION("GOOGLEFINANCE(A639,""PRICE"")"),373.5)</f>
        <v>373.5</v>
      </c>
      <c r="C639" s="11">
        <f ca="1">IFERROR(__xludf.DUMMYFUNCTION("GOOGLEFINANCE(A639,""PRICEOPEN"")"),366.2)</f>
        <v>366.2</v>
      </c>
      <c r="D639" s="11">
        <f ca="1">IFERROR(__xludf.DUMMYFUNCTION("GOOGLEFINANCE(A639,""HIGH"")"),375.6)</f>
        <v>375.6</v>
      </c>
      <c r="E639" s="11">
        <f ca="1">IFERROR(__xludf.DUMMYFUNCTION("GOOGLEFINANCE(A639,""LOW"")"),363.7)</f>
        <v>363.7</v>
      </c>
      <c r="F639" s="12" t="str">
        <f t="shared" ca="1" si="21"/>
        <v/>
      </c>
      <c r="G639" s="13">
        <f ca="1">IFERROR(__xludf.DUMMYFUNCTION("GOOGLEFINANCE(A639,""CLOSEYEST"")"),366.45)</f>
        <v>366.45</v>
      </c>
      <c r="H639" s="14" t="str">
        <f t="shared" ca="1" si="27"/>
        <v/>
      </c>
      <c r="I639" s="15">
        <f t="shared" ca="1" si="22"/>
        <v>368.58333333333331</v>
      </c>
      <c r="J639" s="16">
        <f t="shared" ca="1" si="23"/>
        <v>373.46666666666664</v>
      </c>
      <c r="K639" s="16"/>
      <c r="L639" s="16">
        <f t="shared" ca="1" si="24"/>
        <v>361.56666666666661</v>
      </c>
      <c r="M639" s="16">
        <f t="shared" ca="1" si="25"/>
        <v>380.48333333333335</v>
      </c>
      <c r="N639" s="16">
        <f t="shared" ca="1" si="26"/>
        <v>356.68333333333328</v>
      </c>
    </row>
    <row r="640" spans="1:14" ht="24.75" customHeight="1" x14ac:dyDescent="0.8">
      <c r="A640" s="18" t="s">
        <v>603</v>
      </c>
      <c r="B640" s="10" t="str">
        <f ca="1">IFERROR(__xludf.DUMMYFUNCTION("GOOGLEFINANCE(A640,""PRICE"")"),"#N/A")</f>
        <v>#N/A</v>
      </c>
      <c r="C640" s="11" t="str">
        <f ca="1">IFERROR(__xludf.DUMMYFUNCTION("GOOGLEFINANCE(A640,""PRICEOPEN"")"),"#N/A")</f>
        <v>#N/A</v>
      </c>
      <c r="D640" s="11" t="str">
        <f ca="1">IFERROR(__xludf.DUMMYFUNCTION("GOOGLEFINANCE(A640,""HIGH"")"),"#N/A")</f>
        <v>#N/A</v>
      </c>
      <c r="E640" s="11" t="str">
        <f ca="1">IFERROR(__xludf.DUMMYFUNCTION("GOOGLEFINANCE(A640,""LOW"")"),"#N/A")</f>
        <v>#N/A</v>
      </c>
      <c r="F640" s="12" t="str">
        <f t="shared" ca="1" si="21"/>
        <v>SELL</v>
      </c>
      <c r="G640" s="13" t="str">
        <f ca="1">IFERROR(__xludf.DUMMYFUNCTION("GOOGLEFINANCE(A640,""CLOSEYEST"")"),"#N/A")</f>
        <v>#N/A</v>
      </c>
      <c r="H640" s="14" t="e">
        <f t="shared" ca="1" si="27"/>
        <v>#VALUE!</v>
      </c>
      <c r="I640" s="15" t="e">
        <f t="shared" ca="1" si="22"/>
        <v>#VALUE!</v>
      </c>
      <c r="J640" s="16" t="e">
        <f t="shared" ca="1" si="23"/>
        <v>#VALUE!</v>
      </c>
      <c r="K640" s="16"/>
      <c r="L640" s="16" t="e">
        <f t="shared" ca="1" si="24"/>
        <v>#VALUE!</v>
      </c>
      <c r="M640" s="16" t="e">
        <f t="shared" ca="1" si="25"/>
        <v>#VALUE!</v>
      </c>
      <c r="N640" s="16" t="e">
        <f t="shared" ca="1" si="26"/>
        <v>#VALUE!</v>
      </c>
    </row>
    <row r="641" spans="1:14" ht="24.75" customHeight="1" x14ac:dyDescent="0.8">
      <c r="A641" s="18" t="s">
        <v>604</v>
      </c>
      <c r="B641" s="10">
        <f ca="1">IFERROR(__xludf.DUMMYFUNCTION("GOOGLEFINANCE(A641,""PRICE"")"),5)</f>
        <v>5</v>
      </c>
      <c r="C641" s="11">
        <f ca="1">IFERROR(__xludf.DUMMYFUNCTION("GOOGLEFINANCE(A641,""PRICEOPEN"")"),4.99)</f>
        <v>4.99</v>
      </c>
      <c r="D641" s="11">
        <f ca="1">IFERROR(__xludf.DUMMYFUNCTION("GOOGLEFINANCE(A641,""HIGH"")"),5.01)</f>
        <v>5.01</v>
      </c>
      <c r="E641" s="11">
        <f ca="1">IFERROR(__xludf.DUMMYFUNCTION("GOOGLEFINANCE(A641,""LOW"")"),4.92)</f>
        <v>4.92</v>
      </c>
      <c r="F641" s="12" t="str">
        <f t="shared" ca="1" si="21"/>
        <v/>
      </c>
      <c r="G641" s="13">
        <f ca="1">IFERROR(__xludf.DUMMYFUNCTION("GOOGLEFINANCE(A641,""CLOSEYEST"")"),4.95)</f>
        <v>4.95</v>
      </c>
      <c r="H641" s="14" t="str">
        <f t="shared" ca="1" si="27"/>
        <v/>
      </c>
      <c r="I641" s="15">
        <f t="shared" ca="1" si="22"/>
        <v>4.96</v>
      </c>
      <c r="J641" s="16">
        <f t="shared" ca="1" si="23"/>
        <v>5</v>
      </c>
      <c r="K641" s="16"/>
      <c r="L641" s="16">
        <f t="shared" ca="1" si="24"/>
        <v>4.91</v>
      </c>
      <c r="M641" s="16">
        <f t="shared" ca="1" si="25"/>
        <v>5.05</v>
      </c>
      <c r="N641" s="16">
        <f t="shared" ca="1" si="26"/>
        <v>4.87</v>
      </c>
    </row>
    <row r="642" spans="1:14" ht="24.75" customHeight="1" x14ac:dyDescent="0.8">
      <c r="A642" s="18" t="s">
        <v>605</v>
      </c>
      <c r="B642" s="10" t="str">
        <f ca="1">IFERROR(__xludf.DUMMYFUNCTION("GOOGLEFINANCE(A642,""PRICE"")"),"#N/A")</f>
        <v>#N/A</v>
      </c>
      <c r="C642" s="11" t="str">
        <f ca="1">IFERROR(__xludf.DUMMYFUNCTION("GOOGLEFINANCE(A642,""PRICEOPEN"")"),"#N/A")</f>
        <v>#N/A</v>
      </c>
      <c r="D642" s="11" t="str">
        <f ca="1">IFERROR(__xludf.DUMMYFUNCTION("GOOGLEFINANCE(A642,""HIGH"")"),"#N/A")</f>
        <v>#N/A</v>
      </c>
      <c r="E642" s="11" t="str">
        <f ca="1">IFERROR(__xludf.DUMMYFUNCTION("GOOGLEFINANCE(A642,""LOW"")"),"#N/A")</f>
        <v>#N/A</v>
      </c>
      <c r="F642" s="12" t="str">
        <f t="shared" ca="1" si="21"/>
        <v>SELL</v>
      </c>
      <c r="G642" s="13" t="str">
        <f ca="1">IFERROR(__xludf.DUMMYFUNCTION("GOOGLEFINANCE(A642,""CLOSEYEST"")"),"#N/A")</f>
        <v>#N/A</v>
      </c>
      <c r="H642" s="14" t="e">
        <f t="shared" ca="1" si="27"/>
        <v>#VALUE!</v>
      </c>
      <c r="I642" s="15" t="e">
        <f t="shared" ca="1" si="22"/>
        <v>#VALUE!</v>
      </c>
      <c r="J642" s="16" t="e">
        <f t="shared" ca="1" si="23"/>
        <v>#VALUE!</v>
      </c>
      <c r="K642" s="16"/>
      <c r="L642" s="16" t="e">
        <f t="shared" ca="1" si="24"/>
        <v>#VALUE!</v>
      </c>
      <c r="M642" s="16" t="e">
        <f t="shared" ca="1" si="25"/>
        <v>#VALUE!</v>
      </c>
      <c r="N642" s="16" t="e">
        <f t="shared" ca="1" si="26"/>
        <v>#VALUE!</v>
      </c>
    </row>
    <row r="643" spans="1:14" ht="24.75" customHeight="1" x14ac:dyDescent="0.8">
      <c r="A643" s="18" t="s">
        <v>606</v>
      </c>
      <c r="B643" s="10">
        <f ca="1">IFERROR(__xludf.DUMMYFUNCTION("GOOGLEFINANCE(A643,""PRICE"")"),1339)</f>
        <v>1339</v>
      </c>
      <c r="C643" s="11">
        <f ca="1">IFERROR(__xludf.DUMMYFUNCTION("GOOGLEFINANCE(A643,""PRICEOPEN"")"),1332)</f>
        <v>1332</v>
      </c>
      <c r="D643" s="11">
        <f ca="1">IFERROR(__xludf.DUMMYFUNCTION("GOOGLEFINANCE(A643,""HIGH"")"),1343.7)</f>
        <v>1343.7</v>
      </c>
      <c r="E643" s="11">
        <f ca="1">IFERROR(__xludf.DUMMYFUNCTION("GOOGLEFINANCE(A643,""LOW"")"),1323)</f>
        <v>1323</v>
      </c>
      <c r="F643" s="12" t="str">
        <f t="shared" ca="1" si="21"/>
        <v/>
      </c>
      <c r="G643" s="13">
        <f ca="1">IFERROR(__xludf.DUMMYFUNCTION("GOOGLEFINANCE(A643,""CLOSEYEST"")"),1335.7)</f>
        <v>1335.7</v>
      </c>
      <c r="H643" s="14" t="str">
        <f t="shared" ca="1" si="27"/>
        <v/>
      </c>
      <c r="I643" s="15">
        <f t="shared" ca="1" si="22"/>
        <v>1334.1333333333332</v>
      </c>
      <c r="J643" s="16">
        <f t="shared" ca="1" si="23"/>
        <v>1345.2666666666664</v>
      </c>
      <c r="K643" s="16"/>
      <c r="L643" s="16">
        <f t="shared" ca="1" si="24"/>
        <v>1324.5666666666664</v>
      </c>
      <c r="M643" s="16">
        <f t="shared" ca="1" si="25"/>
        <v>1354.8333333333333</v>
      </c>
      <c r="N643" s="16">
        <f t="shared" ca="1" si="26"/>
        <v>1313.4333333333332</v>
      </c>
    </row>
    <row r="644" spans="1:14" ht="24.75" customHeight="1" x14ac:dyDescent="0.8">
      <c r="A644" s="18" t="s">
        <v>607</v>
      </c>
      <c r="B644" s="10">
        <f ca="1">IFERROR(__xludf.DUMMYFUNCTION("GOOGLEFINANCE(A644,""PRICE"")"),283.1)</f>
        <v>283.10000000000002</v>
      </c>
      <c r="C644" s="11">
        <f ca="1">IFERROR(__xludf.DUMMYFUNCTION("GOOGLEFINANCE(A644,""PRICEOPEN"")"),278.9)</f>
        <v>278.89999999999998</v>
      </c>
      <c r="D644" s="11">
        <f ca="1">IFERROR(__xludf.DUMMYFUNCTION("GOOGLEFINANCE(A644,""HIGH"")"),285.9)</f>
        <v>285.89999999999998</v>
      </c>
      <c r="E644" s="11">
        <f ca="1">IFERROR(__xludf.DUMMYFUNCTION("GOOGLEFINANCE(A644,""LOW"")"),276.3)</f>
        <v>276.3</v>
      </c>
      <c r="F644" s="12" t="str">
        <f t="shared" ca="1" si="21"/>
        <v/>
      </c>
      <c r="G644" s="13">
        <f ca="1">IFERROR(__xludf.DUMMYFUNCTION("GOOGLEFINANCE(A644,""CLOSEYEST"")"),276.4)</f>
        <v>276.39999999999998</v>
      </c>
      <c r="H644" s="14" t="str">
        <f t="shared" ca="1" si="27"/>
        <v/>
      </c>
      <c r="I644" s="15">
        <f t="shared" ca="1" si="22"/>
        <v>279.53333333333336</v>
      </c>
      <c r="J644" s="16">
        <f t="shared" ca="1" si="23"/>
        <v>282.76666666666671</v>
      </c>
      <c r="K644" s="16"/>
      <c r="L644" s="16">
        <f t="shared" ca="1" si="24"/>
        <v>273.16666666666674</v>
      </c>
      <c r="M644" s="16">
        <f t="shared" ca="1" si="25"/>
        <v>289.13333333333333</v>
      </c>
      <c r="N644" s="16">
        <f t="shared" ca="1" si="26"/>
        <v>269.93333333333339</v>
      </c>
    </row>
    <row r="645" spans="1:14" ht="24.75" customHeight="1" x14ac:dyDescent="0.8">
      <c r="A645" s="18" t="s">
        <v>608</v>
      </c>
      <c r="B645" s="10">
        <f ca="1">IFERROR(__xludf.DUMMYFUNCTION("GOOGLEFINANCE(A645,""PRICE"")"),206.5)</f>
        <v>206.5</v>
      </c>
      <c r="C645" s="11">
        <f ca="1">IFERROR(__xludf.DUMMYFUNCTION("GOOGLEFINANCE(A645,""PRICEOPEN"")"),204.6)</f>
        <v>204.6</v>
      </c>
      <c r="D645" s="11">
        <f ca="1">IFERROR(__xludf.DUMMYFUNCTION("GOOGLEFINANCE(A645,""HIGH"")"),206.9)</f>
        <v>206.9</v>
      </c>
      <c r="E645" s="11">
        <f ca="1">IFERROR(__xludf.DUMMYFUNCTION("GOOGLEFINANCE(A645,""LOW"")"),202.76)</f>
        <v>202.76</v>
      </c>
      <c r="F645" s="12" t="str">
        <f t="shared" ca="1" si="21"/>
        <v/>
      </c>
      <c r="G645" s="13">
        <f ca="1">IFERROR(__xludf.DUMMYFUNCTION("GOOGLEFINANCE(A645,""CLOSEYEST"")"),204.48)</f>
        <v>204.48</v>
      </c>
      <c r="H645" s="14" t="str">
        <f t="shared" ca="1" si="27"/>
        <v/>
      </c>
      <c r="I645" s="15">
        <f t="shared" ca="1" si="22"/>
        <v>204.71333333333334</v>
      </c>
      <c r="J645" s="16">
        <f t="shared" ca="1" si="23"/>
        <v>206.66666666666669</v>
      </c>
      <c r="K645" s="16"/>
      <c r="L645" s="16">
        <f t="shared" ca="1" si="24"/>
        <v>202.52666666666667</v>
      </c>
      <c r="M645" s="16">
        <f t="shared" ca="1" si="25"/>
        <v>208.85333333333335</v>
      </c>
      <c r="N645" s="16">
        <f t="shared" ca="1" si="26"/>
        <v>200.57333333333332</v>
      </c>
    </row>
    <row r="646" spans="1:14" ht="24.75" customHeight="1" x14ac:dyDescent="0.8">
      <c r="A646" s="18" t="s">
        <v>609</v>
      </c>
      <c r="B646" s="10">
        <f ca="1">IFERROR(__xludf.DUMMYFUNCTION("GOOGLEFINANCE(A646,""PRICE"")"),6253)</f>
        <v>6253</v>
      </c>
      <c r="C646" s="11">
        <f ca="1">IFERROR(__xludf.DUMMYFUNCTION("GOOGLEFINANCE(A646,""PRICEOPEN"")"),6236)</f>
        <v>6236</v>
      </c>
      <c r="D646" s="11">
        <f ca="1">IFERROR(__xludf.DUMMYFUNCTION("GOOGLEFINANCE(A646,""HIGH"")"),6350)</f>
        <v>6350</v>
      </c>
      <c r="E646" s="11">
        <f ca="1">IFERROR(__xludf.DUMMYFUNCTION("GOOGLEFINANCE(A646,""LOW"")"),6151)</f>
        <v>6151</v>
      </c>
      <c r="F646" s="12" t="str">
        <f t="shared" ca="1" si="21"/>
        <v/>
      </c>
      <c r="G646" s="13">
        <f ca="1">IFERROR(__xludf.DUMMYFUNCTION("GOOGLEFINANCE(A646,""CLOSEYEST"")"),6299.5)</f>
        <v>6299.5</v>
      </c>
      <c r="H646" s="14" t="str">
        <f t="shared" ca="1" si="27"/>
        <v>GAP DOWN</v>
      </c>
      <c r="I646" s="15">
        <f t="shared" ca="1" si="22"/>
        <v>6266.833333333333</v>
      </c>
      <c r="J646" s="16">
        <f t="shared" ca="1" si="23"/>
        <v>6382.6666666666661</v>
      </c>
      <c r="K646" s="16"/>
      <c r="L646" s="16">
        <f t="shared" ca="1" si="24"/>
        <v>6183.6666666666661</v>
      </c>
      <c r="M646" s="16">
        <f t="shared" ca="1" si="25"/>
        <v>6465.833333333333</v>
      </c>
      <c r="N646" s="16">
        <f t="shared" ca="1" si="26"/>
        <v>6067.833333333333</v>
      </c>
    </row>
    <row r="647" spans="1:14" ht="24.75" customHeight="1" x14ac:dyDescent="0.8">
      <c r="A647" s="18" t="s">
        <v>610</v>
      </c>
      <c r="B647" s="10" t="str">
        <f ca="1">IFERROR(__xludf.DUMMYFUNCTION("GOOGLEFINANCE(A647,""PRICE"")"),"#N/A")</f>
        <v>#N/A</v>
      </c>
      <c r="C647" s="11" t="str">
        <f ca="1">IFERROR(__xludf.DUMMYFUNCTION("GOOGLEFINANCE(A647,""PRICEOPEN"")"),"#N/A")</f>
        <v>#N/A</v>
      </c>
      <c r="D647" s="11" t="str">
        <f ca="1">IFERROR(__xludf.DUMMYFUNCTION("GOOGLEFINANCE(A647,""HIGH"")"),"#N/A")</f>
        <v>#N/A</v>
      </c>
      <c r="E647" s="11" t="str">
        <f ca="1">IFERROR(__xludf.DUMMYFUNCTION("GOOGLEFINANCE(A647,""LOW"")"),"#N/A")</f>
        <v>#N/A</v>
      </c>
      <c r="F647" s="12" t="str">
        <f t="shared" ca="1" si="21"/>
        <v>SELL</v>
      </c>
      <c r="G647" s="13" t="str">
        <f ca="1">IFERROR(__xludf.DUMMYFUNCTION("GOOGLEFINANCE(A647,""CLOSEYEST"")"),"#N/A")</f>
        <v>#N/A</v>
      </c>
      <c r="H647" s="14" t="e">
        <f t="shared" ca="1" si="27"/>
        <v>#VALUE!</v>
      </c>
      <c r="I647" s="15" t="e">
        <f t="shared" ca="1" si="22"/>
        <v>#VALUE!</v>
      </c>
      <c r="J647" s="16" t="e">
        <f t="shared" ca="1" si="23"/>
        <v>#VALUE!</v>
      </c>
      <c r="K647" s="16"/>
      <c r="L647" s="16" t="e">
        <f t="shared" ca="1" si="24"/>
        <v>#VALUE!</v>
      </c>
      <c r="M647" s="16" t="e">
        <f t="shared" ca="1" si="25"/>
        <v>#VALUE!</v>
      </c>
      <c r="N647" s="16" t="e">
        <f t="shared" ca="1" si="26"/>
        <v>#VALUE!</v>
      </c>
    </row>
    <row r="648" spans="1:14" ht="24.75" customHeight="1" x14ac:dyDescent="0.8">
      <c r="A648" s="18" t="s">
        <v>611</v>
      </c>
      <c r="B648" s="10">
        <f ca="1">IFERROR(__xludf.DUMMYFUNCTION("GOOGLEFINANCE(A648,""PRICE"")"),302.1)</f>
        <v>302.10000000000002</v>
      </c>
      <c r="C648" s="11">
        <f ca="1">IFERROR(__xludf.DUMMYFUNCTION("GOOGLEFINANCE(A648,""PRICEOPEN"")"),308.5)</f>
        <v>308.5</v>
      </c>
      <c r="D648" s="11">
        <f ca="1">IFERROR(__xludf.DUMMYFUNCTION("GOOGLEFINANCE(A648,""HIGH"")"),308.5)</f>
        <v>308.5</v>
      </c>
      <c r="E648" s="11">
        <f ca="1">IFERROR(__xludf.DUMMYFUNCTION("GOOGLEFINANCE(A648,""LOW"")"),300.5)</f>
        <v>300.5</v>
      </c>
      <c r="F648" s="12" t="str">
        <f t="shared" ca="1" si="21"/>
        <v>SELL</v>
      </c>
      <c r="G648" s="13">
        <f ca="1">IFERROR(__xludf.DUMMYFUNCTION("GOOGLEFINANCE(A648,""CLOSEYEST"")"),306.85)</f>
        <v>306.85000000000002</v>
      </c>
      <c r="H648" s="14" t="str">
        <f t="shared" ca="1" si="27"/>
        <v/>
      </c>
      <c r="I648" s="15">
        <f t="shared" ca="1" si="22"/>
        <v>305.28333333333336</v>
      </c>
      <c r="J648" s="16">
        <f t="shared" ca="1" si="23"/>
        <v>310.06666666666672</v>
      </c>
      <c r="K648" s="16"/>
      <c r="L648" s="16">
        <f t="shared" ca="1" si="24"/>
        <v>302.06666666666672</v>
      </c>
      <c r="M648" s="16">
        <f t="shared" ca="1" si="25"/>
        <v>313.28333333333336</v>
      </c>
      <c r="N648" s="16">
        <f t="shared" ca="1" si="26"/>
        <v>297.28333333333336</v>
      </c>
    </row>
    <row r="649" spans="1:14" ht="24.75" customHeight="1" x14ac:dyDescent="0.8">
      <c r="A649" s="18" t="s">
        <v>612</v>
      </c>
      <c r="B649" s="10">
        <f ca="1">IFERROR(__xludf.DUMMYFUNCTION("GOOGLEFINANCE(A649,""PRICE"")"),372.8)</f>
        <v>372.8</v>
      </c>
      <c r="C649" s="11">
        <f ca="1">IFERROR(__xludf.DUMMYFUNCTION("GOOGLEFINANCE(A649,""PRICEOPEN"")"),373)</f>
        <v>373</v>
      </c>
      <c r="D649" s="11">
        <f ca="1">IFERROR(__xludf.DUMMYFUNCTION("GOOGLEFINANCE(A649,""HIGH"")"),374.45)</f>
        <v>374.45</v>
      </c>
      <c r="E649" s="11">
        <f ca="1">IFERROR(__xludf.DUMMYFUNCTION("GOOGLEFINANCE(A649,""LOW"")"),368.55)</f>
        <v>368.55</v>
      </c>
      <c r="F649" s="12" t="str">
        <f t="shared" ca="1" si="21"/>
        <v/>
      </c>
      <c r="G649" s="13">
        <f ca="1">IFERROR(__xludf.DUMMYFUNCTION("GOOGLEFINANCE(A649,""CLOSEYEST"")"),372.35)</f>
        <v>372.35</v>
      </c>
      <c r="H649" s="14" t="str">
        <f t="shared" ca="1" si="27"/>
        <v/>
      </c>
      <c r="I649" s="15">
        <f t="shared" ca="1" si="22"/>
        <v>371.7833333333333</v>
      </c>
      <c r="J649" s="16">
        <f t="shared" ca="1" si="23"/>
        <v>375.01666666666659</v>
      </c>
      <c r="K649" s="16"/>
      <c r="L649" s="16">
        <f t="shared" ca="1" si="24"/>
        <v>369.11666666666662</v>
      </c>
      <c r="M649" s="16">
        <f t="shared" ca="1" si="25"/>
        <v>377.68333333333328</v>
      </c>
      <c r="N649" s="16">
        <f t="shared" ca="1" si="26"/>
        <v>365.88333333333333</v>
      </c>
    </row>
    <row r="650" spans="1:14" ht="24.75" customHeight="1" x14ac:dyDescent="0.8">
      <c r="A650" s="18" t="s">
        <v>613</v>
      </c>
      <c r="B650" s="10">
        <f ca="1">IFERROR(__xludf.DUMMYFUNCTION("GOOGLEFINANCE(A650,""PRICE"")"),203)</f>
        <v>203</v>
      </c>
      <c r="C650" s="11">
        <f ca="1">IFERROR(__xludf.DUMMYFUNCTION("GOOGLEFINANCE(A650,""PRICEOPEN"")"),203.2)</f>
        <v>203.2</v>
      </c>
      <c r="D650" s="11">
        <f ca="1">IFERROR(__xludf.DUMMYFUNCTION("GOOGLEFINANCE(A650,""HIGH"")"),204.54)</f>
        <v>204.54</v>
      </c>
      <c r="E650" s="11">
        <f ca="1">IFERROR(__xludf.DUMMYFUNCTION("GOOGLEFINANCE(A650,""LOW"")"),202.57)</f>
        <v>202.57</v>
      </c>
      <c r="F650" s="12" t="str">
        <f t="shared" ca="1" si="21"/>
        <v/>
      </c>
      <c r="G650" s="13">
        <f ca="1">IFERROR(__xludf.DUMMYFUNCTION("GOOGLEFINANCE(A650,""CLOSEYEST"")"),203.02)</f>
        <v>203.02</v>
      </c>
      <c r="H650" s="14" t="str">
        <f t="shared" ca="1" si="27"/>
        <v/>
      </c>
      <c r="I650" s="15">
        <f t="shared" ca="1" si="22"/>
        <v>203.37666666666667</v>
      </c>
      <c r="J650" s="16">
        <f t="shared" ca="1" si="23"/>
        <v>204.18333333333334</v>
      </c>
      <c r="K650" s="16"/>
      <c r="L650" s="16">
        <f t="shared" ca="1" si="24"/>
        <v>202.21333333333334</v>
      </c>
      <c r="M650" s="16">
        <f t="shared" ca="1" si="25"/>
        <v>205.34666666666666</v>
      </c>
      <c r="N650" s="16">
        <f t="shared" ca="1" si="26"/>
        <v>201.40666666666667</v>
      </c>
    </row>
    <row r="651" spans="1:14" ht="24.75" customHeight="1" x14ac:dyDescent="0.8">
      <c r="A651" s="18" t="s">
        <v>614</v>
      </c>
      <c r="B651" s="10">
        <f ca="1">IFERROR(__xludf.DUMMYFUNCTION("GOOGLEFINANCE(A651,""PRICE"")"),34.15)</f>
        <v>34.15</v>
      </c>
      <c r="C651" s="11">
        <f ca="1">IFERROR(__xludf.DUMMYFUNCTION("GOOGLEFINANCE(A651,""PRICEOPEN"")"),34.11)</f>
        <v>34.11</v>
      </c>
      <c r="D651" s="11">
        <f ca="1">IFERROR(__xludf.DUMMYFUNCTION("GOOGLEFINANCE(A651,""HIGH"")"),34.24)</f>
        <v>34.24</v>
      </c>
      <c r="E651" s="11">
        <f ca="1">IFERROR(__xludf.DUMMYFUNCTION("GOOGLEFINANCE(A651,""LOW"")"),34.11)</f>
        <v>34.11</v>
      </c>
      <c r="F651" s="12" t="str">
        <f t="shared" ca="1" si="21"/>
        <v>BUY</v>
      </c>
      <c r="G651" s="13">
        <f ca="1">IFERROR(__xludf.DUMMYFUNCTION("GOOGLEFINANCE(A651,""CLOSEYEST"")"),34.11)</f>
        <v>34.11</v>
      </c>
      <c r="H651" s="14" t="str">
        <f t="shared" ca="1" si="27"/>
        <v/>
      </c>
      <c r="I651" s="15">
        <f t="shared" ca="1" si="22"/>
        <v>34.153333333333329</v>
      </c>
      <c r="J651" s="16">
        <f t="shared" ca="1" si="23"/>
        <v>34.196666666666658</v>
      </c>
      <c r="K651" s="16"/>
      <c r="L651" s="16">
        <f t="shared" ca="1" si="24"/>
        <v>34.066666666666656</v>
      </c>
      <c r="M651" s="16">
        <f t="shared" ca="1" si="25"/>
        <v>34.283333333333331</v>
      </c>
      <c r="N651" s="16">
        <f t="shared" ca="1" si="26"/>
        <v>34.023333333333326</v>
      </c>
    </row>
    <row r="652" spans="1:14" ht="24.75" customHeight="1" x14ac:dyDescent="0.8">
      <c r="A652" s="18" t="s">
        <v>615</v>
      </c>
      <c r="B652" s="10">
        <f ca="1">IFERROR(__xludf.DUMMYFUNCTION("GOOGLEFINANCE(A652,""PRICE"")"),795)</f>
        <v>795</v>
      </c>
      <c r="C652" s="11">
        <f ca="1">IFERROR(__xludf.DUMMYFUNCTION("GOOGLEFINANCE(A652,""PRICEOPEN"")"),809.1)</f>
        <v>809.1</v>
      </c>
      <c r="D652" s="11">
        <f ca="1">IFERROR(__xludf.DUMMYFUNCTION("GOOGLEFINANCE(A652,""HIGH"")"),815.9)</f>
        <v>815.9</v>
      </c>
      <c r="E652" s="11">
        <f ca="1">IFERROR(__xludf.DUMMYFUNCTION("GOOGLEFINANCE(A652,""LOW"")"),790)</f>
        <v>790</v>
      </c>
      <c r="F652" s="12" t="str">
        <f t="shared" ca="1" si="21"/>
        <v/>
      </c>
      <c r="G652" s="13">
        <f ca="1">IFERROR(__xludf.DUMMYFUNCTION("GOOGLEFINANCE(A652,""CLOSEYEST"")"),802.45)</f>
        <v>802.45</v>
      </c>
      <c r="H652" s="14" t="str">
        <f t="shared" ca="1" si="27"/>
        <v/>
      </c>
      <c r="I652" s="15">
        <f t="shared" ca="1" si="22"/>
        <v>802.78333333333342</v>
      </c>
      <c r="J652" s="16">
        <f t="shared" ca="1" si="23"/>
        <v>815.56666666666683</v>
      </c>
      <c r="K652" s="16"/>
      <c r="L652" s="16">
        <f t="shared" ca="1" si="24"/>
        <v>789.66666666666686</v>
      </c>
      <c r="M652" s="16">
        <f t="shared" ca="1" si="25"/>
        <v>828.68333333333339</v>
      </c>
      <c r="N652" s="16">
        <f t="shared" ca="1" si="26"/>
        <v>776.88333333333344</v>
      </c>
    </row>
    <row r="653" spans="1:14" ht="24.75" customHeight="1" x14ac:dyDescent="0.8">
      <c r="A653" s="18" t="s">
        <v>616</v>
      </c>
      <c r="B653" s="10">
        <f ca="1">IFERROR(__xludf.DUMMYFUNCTION("GOOGLEFINANCE(A653,""PRICE"")"),108.15)</f>
        <v>108.15</v>
      </c>
      <c r="C653" s="11">
        <f ca="1">IFERROR(__xludf.DUMMYFUNCTION("GOOGLEFINANCE(A653,""PRICEOPEN"")"),108.8)</f>
        <v>108.8</v>
      </c>
      <c r="D653" s="11">
        <f ca="1">IFERROR(__xludf.DUMMYFUNCTION("GOOGLEFINANCE(A653,""HIGH"")"),109.39)</f>
        <v>109.39</v>
      </c>
      <c r="E653" s="11">
        <f ca="1">IFERROR(__xludf.DUMMYFUNCTION("GOOGLEFINANCE(A653,""LOW"")"),107.5)</f>
        <v>107.5</v>
      </c>
      <c r="F653" s="12" t="str">
        <f t="shared" ca="1" si="21"/>
        <v/>
      </c>
      <c r="G653" s="13">
        <f ca="1">IFERROR(__xludf.DUMMYFUNCTION("GOOGLEFINANCE(A653,""CLOSEYEST"")"),107.99)</f>
        <v>107.99</v>
      </c>
      <c r="H653" s="14" t="str">
        <f t="shared" ca="1" si="27"/>
        <v/>
      </c>
      <c r="I653" s="15">
        <f t="shared" ca="1" si="22"/>
        <v>108.29333333333334</v>
      </c>
      <c r="J653" s="16">
        <f t="shared" ca="1" si="23"/>
        <v>109.08666666666667</v>
      </c>
      <c r="K653" s="16"/>
      <c r="L653" s="16">
        <f t="shared" ca="1" si="24"/>
        <v>107.19666666666667</v>
      </c>
      <c r="M653" s="16">
        <f t="shared" ca="1" si="25"/>
        <v>110.18333333333334</v>
      </c>
      <c r="N653" s="16">
        <f t="shared" ca="1" si="26"/>
        <v>106.40333333333334</v>
      </c>
    </row>
    <row r="654" spans="1:14" ht="24.75" customHeight="1" x14ac:dyDescent="0.8">
      <c r="A654" s="18" t="s">
        <v>617</v>
      </c>
      <c r="B654" s="10">
        <f ca="1">IFERROR(__xludf.DUMMYFUNCTION("GOOGLEFINANCE(A654,""PRICE"")"),844.9)</f>
        <v>844.9</v>
      </c>
      <c r="C654" s="11">
        <f ca="1">IFERROR(__xludf.DUMMYFUNCTION("GOOGLEFINANCE(A654,""PRICEOPEN"")"),819.95)</f>
        <v>819.95</v>
      </c>
      <c r="D654" s="11">
        <f ca="1">IFERROR(__xludf.DUMMYFUNCTION("GOOGLEFINANCE(A654,""HIGH"")"),856)</f>
        <v>856</v>
      </c>
      <c r="E654" s="11">
        <f ca="1">IFERROR(__xludf.DUMMYFUNCTION("GOOGLEFINANCE(A654,""LOW"")"),816.7)</f>
        <v>816.7</v>
      </c>
      <c r="F654" s="12" t="str">
        <f t="shared" ca="1" si="21"/>
        <v/>
      </c>
      <c r="G654" s="13">
        <f ca="1">IFERROR(__xludf.DUMMYFUNCTION("GOOGLEFINANCE(A654,""CLOSEYEST"")"),815.8)</f>
        <v>815.8</v>
      </c>
      <c r="H654" s="14" t="str">
        <f t="shared" ca="1" si="27"/>
        <v/>
      </c>
      <c r="I654" s="15">
        <f t="shared" ca="1" si="22"/>
        <v>829.5</v>
      </c>
      <c r="J654" s="16">
        <f t="shared" ca="1" si="23"/>
        <v>842.3</v>
      </c>
      <c r="K654" s="16"/>
      <c r="L654" s="16">
        <f t="shared" ca="1" si="24"/>
        <v>803</v>
      </c>
      <c r="M654" s="16">
        <f t="shared" ca="1" si="25"/>
        <v>868.8</v>
      </c>
      <c r="N654" s="16">
        <f t="shared" ca="1" si="26"/>
        <v>790.2</v>
      </c>
    </row>
    <row r="655" spans="1:14" ht="24.75" customHeight="1" x14ac:dyDescent="0.8">
      <c r="A655" s="18" t="s">
        <v>618</v>
      </c>
      <c r="B655" s="10">
        <f ca="1">IFERROR(__xludf.DUMMYFUNCTION("GOOGLEFINANCE(A655,""PRICE"")"),252.34)</f>
        <v>252.34</v>
      </c>
      <c r="C655" s="11">
        <f ca="1">IFERROR(__xludf.DUMMYFUNCTION("GOOGLEFINANCE(A655,""PRICEOPEN"")"),258.1)</f>
        <v>258.10000000000002</v>
      </c>
      <c r="D655" s="11">
        <f ca="1">IFERROR(__xludf.DUMMYFUNCTION("GOOGLEFINANCE(A655,""HIGH"")"),258.1)</f>
        <v>258.10000000000002</v>
      </c>
      <c r="E655" s="11">
        <f ca="1">IFERROR(__xludf.DUMMYFUNCTION("GOOGLEFINANCE(A655,""LOW"")"),250)</f>
        <v>250</v>
      </c>
      <c r="F655" s="12" t="str">
        <f t="shared" ca="1" si="21"/>
        <v>SELL</v>
      </c>
      <c r="G655" s="13">
        <f ca="1">IFERROR(__xludf.DUMMYFUNCTION("GOOGLEFINANCE(A655,""CLOSEYEST"")"),254.8)</f>
        <v>254.8</v>
      </c>
      <c r="H655" s="14" t="str">
        <f t="shared" ca="1" si="27"/>
        <v>GAP UP</v>
      </c>
      <c r="I655" s="15">
        <f t="shared" ca="1" si="22"/>
        <v>254.30000000000004</v>
      </c>
      <c r="J655" s="16">
        <f t="shared" ca="1" si="23"/>
        <v>258.60000000000008</v>
      </c>
      <c r="K655" s="16"/>
      <c r="L655" s="16">
        <f t="shared" ca="1" si="24"/>
        <v>250.50000000000006</v>
      </c>
      <c r="M655" s="16">
        <f t="shared" ca="1" si="25"/>
        <v>262.40000000000009</v>
      </c>
      <c r="N655" s="16">
        <f t="shared" ca="1" si="26"/>
        <v>246.20000000000002</v>
      </c>
    </row>
    <row r="656" spans="1:14" ht="24.75" customHeight="1" x14ac:dyDescent="0.8">
      <c r="A656" s="18" t="s">
        <v>619</v>
      </c>
      <c r="B656" s="10">
        <f ca="1">IFERROR(__xludf.DUMMYFUNCTION("GOOGLEFINANCE(A656,""PRICE"")"),678)</f>
        <v>678</v>
      </c>
      <c r="C656" s="11">
        <f ca="1">IFERROR(__xludf.DUMMYFUNCTION("GOOGLEFINANCE(A656,""PRICEOPEN"")"),666.2)</f>
        <v>666.2</v>
      </c>
      <c r="D656" s="11">
        <f ca="1">IFERROR(__xludf.DUMMYFUNCTION("GOOGLEFINANCE(A656,""HIGH"")"),680.35)</f>
        <v>680.35</v>
      </c>
      <c r="E656" s="11">
        <f ca="1">IFERROR(__xludf.DUMMYFUNCTION("GOOGLEFINANCE(A656,""LOW"")"),662.3)</f>
        <v>662.3</v>
      </c>
      <c r="F656" s="12" t="str">
        <f t="shared" ca="1" si="21"/>
        <v/>
      </c>
      <c r="G656" s="13">
        <f ca="1">IFERROR(__xludf.DUMMYFUNCTION("GOOGLEFINANCE(A656,""CLOSEYEST"")"),660.9)</f>
        <v>660.9</v>
      </c>
      <c r="H656" s="14" t="str">
        <f t="shared" ca="1" si="27"/>
        <v/>
      </c>
      <c r="I656" s="15">
        <f t="shared" ca="1" si="22"/>
        <v>667.85</v>
      </c>
      <c r="J656" s="16">
        <f t="shared" ca="1" si="23"/>
        <v>673.40000000000009</v>
      </c>
      <c r="K656" s="16"/>
      <c r="L656" s="16">
        <f t="shared" ca="1" si="24"/>
        <v>655.35</v>
      </c>
      <c r="M656" s="16">
        <f t="shared" ca="1" si="25"/>
        <v>685.90000000000009</v>
      </c>
      <c r="N656" s="16">
        <f t="shared" ca="1" si="26"/>
        <v>649.79999999999995</v>
      </c>
    </row>
    <row r="657" spans="1:14" ht="24.75" customHeight="1" x14ac:dyDescent="0.8">
      <c r="A657" s="18" t="s">
        <v>620</v>
      </c>
      <c r="B657" s="10">
        <f ca="1">IFERROR(__xludf.DUMMYFUNCTION("GOOGLEFINANCE(A657,""PRICE"")"),3.53)</f>
        <v>3.53</v>
      </c>
      <c r="C657" s="11">
        <f ca="1">IFERROR(__xludf.DUMMYFUNCTION("GOOGLEFINANCE(A657,""PRICEOPEN"")"),3.45)</f>
        <v>3.45</v>
      </c>
      <c r="D657" s="11">
        <f ca="1">IFERROR(__xludf.DUMMYFUNCTION("GOOGLEFINANCE(A657,""HIGH"")"),3.53)</f>
        <v>3.53</v>
      </c>
      <c r="E657" s="11">
        <f ca="1">IFERROR(__xludf.DUMMYFUNCTION("GOOGLEFINANCE(A657,""LOW"")"),3.4)</f>
        <v>3.4</v>
      </c>
      <c r="F657" s="12" t="str">
        <f t="shared" ca="1" si="21"/>
        <v/>
      </c>
      <c r="G657" s="13">
        <f ca="1">IFERROR(__xludf.DUMMYFUNCTION("GOOGLEFINANCE(A657,""CLOSEYEST"")"),3.45)</f>
        <v>3.45</v>
      </c>
      <c r="H657" s="14" t="str">
        <f t="shared" ca="1" si="27"/>
        <v/>
      </c>
      <c r="I657" s="15">
        <f t="shared" ca="1" si="22"/>
        <v>3.4599999999999995</v>
      </c>
      <c r="J657" s="16">
        <f t="shared" ca="1" si="23"/>
        <v>3.5199999999999991</v>
      </c>
      <c r="K657" s="16"/>
      <c r="L657" s="16">
        <f t="shared" ca="1" si="24"/>
        <v>3.3899999999999992</v>
      </c>
      <c r="M657" s="16">
        <f t="shared" ca="1" si="25"/>
        <v>3.5899999999999994</v>
      </c>
      <c r="N657" s="16">
        <f t="shared" ca="1" si="26"/>
        <v>3.3299999999999996</v>
      </c>
    </row>
    <row r="658" spans="1:14" ht="24.75" customHeight="1" x14ac:dyDescent="0.8">
      <c r="A658" s="18" t="s">
        <v>621</v>
      </c>
      <c r="B658" s="10">
        <f ca="1">IFERROR(__xludf.DUMMYFUNCTION("GOOGLEFINANCE(A658,""PRICE"")"),925)</f>
        <v>925</v>
      </c>
      <c r="C658" s="11">
        <f ca="1">IFERROR(__xludf.DUMMYFUNCTION("GOOGLEFINANCE(A658,""PRICEOPEN"")"),867)</f>
        <v>867</v>
      </c>
      <c r="D658" s="11">
        <f ca="1">IFERROR(__xludf.DUMMYFUNCTION("GOOGLEFINANCE(A658,""HIGH"")"),934)</f>
        <v>934</v>
      </c>
      <c r="E658" s="11">
        <f ca="1">IFERROR(__xludf.DUMMYFUNCTION("GOOGLEFINANCE(A658,""LOW"")"),867)</f>
        <v>867</v>
      </c>
      <c r="F658" s="12" t="str">
        <f t="shared" ca="1" si="21"/>
        <v>BUY</v>
      </c>
      <c r="G658" s="13">
        <f ca="1">IFERROR(__xludf.DUMMYFUNCTION("GOOGLEFINANCE(A658,""CLOSEYEST"")"),868.3)</f>
        <v>868.3</v>
      </c>
      <c r="H658" s="14" t="str">
        <f t="shared" ca="1" si="27"/>
        <v/>
      </c>
      <c r="I658" s="15">
        <f t="shared" ca="1" si="22"/>
        <v>889.76666666666677</v>
      </c>
      <c r="J658" s="16">
        <f t="shared" ca="1" si="23"/>
        <v>912.53333333333353</v>
      </c>
      <c r="K658" s="16"/>
      <c r="L658" s="16">
        <f t="shared" ca="1" si="24"/>
        <v>845.53333333333353</v>
      </c>
      <c r="M658" s="16">
        <f t="shared" ca="1" si="25"/>
        <v>956.76666666666677</v>
      </c>
      <c r="N658" s="16">
        <f t="shared" ca="1" si="26"/>
        <v>822.76666666666677</v>
      </c>
    </row>
    <row r="659" spans="1:14" ht="24.75" customHeight="1" x14ac:dyDescent="0.8">
      <c r="A659" s="18" t="s">
        <v>622</v>
      </c>
      <c r="B659" s="10">
        <f ca="1">IFERROR(__xludf.DUMMYFUNCTION("GOOGLEFINANCE(A659,""PRICE"")"),552.2)</f>
        <v>552.20000000000005</v>
      </c>
      <c r="C659" s="11">
        <f ca="1">IFERROR(__xludf.DUMMYFUNCTION("GOOGLEFINANCE(A659,""PRICEOPEN"")"),540.8)</f>
        <v>540.79999999999995</v>
      </c>
      <c r="D659" s="11">
        <f ca="1">IFERROR(__xludf.DUMMYFUNCTION("GOOGLEFINANCE(A659,""HIGH"")"),561.9)</f>
        <v>561.9</v>
      </c>
      <c r="E659" s="11">
        <f ca="1">IFERROR(__xludf.DUMMYFUNCTION("GOOGLEFINANCE(A659,""LOW"")"),540.55)</f>
        <v>540.54999999999995</v>
      </c>
      <c r="F659" s="12" t="str">
        <f t="shared" ca="1" si="21"/>
        <v/>
      </c>
      <c r="G659" s="13">
        <f ca="1">IFERROR(__xludf.DUMMYFUNCTION("GOOGLEFINANCE(A659,""CLOSEYEST"")"),539.3)</f>
        <v>539.29999999999995</v>
      </c>
      <c r="H659" s="14" t="str">
        <f t="shared" ca="1" si="27"/>
        <v/>
      </c>
      <c r="I659" s="15">
        <f t="shared" ca="1" si="22"/>
        <v>547.24999999999989</v>
      </c>
      <c r="J659" s="16">
        <f t="shared" ca="1" si="23"/>
        <v>553.94999999999982</v>
      </c>
      <c r="K659" s="16"/>
      <c r="L659" s="16">
        <f t="shared" ca="1" si="24"/>
        <v>532.5999999999998</v>
      </c>
      <c r="M659" s="16">
        <f t="shared" ca="1" si="25"/>
        <v>568.59999999999991</v>
      </c>
      <c r="N659" s="16">
        <f t="shared" ca="1" si="26"/>
        <v>525.89999999999986</v>
      </c>
    </row>
    <row r="660" spans="1:14" ht="24.75" customHeight="1" x14ac:dyDescent="0.8">
      <c r="A660" s="18" t="s">
        <v>623</v>
      </c>
      <c r="B660" s="10">
        <f ca="1">IFERROR(__xludf.DUMMYFUNCTION("GOOGLEFINANCE(A660,""PRICE"")"),1041.5)</f>
        <v>1041.5</v>
      </c>
      <c r="C660" s="11">
        <f ca="1">IFERROR(__xludf.DUMMYFUNCTION("GOOGLEFINANCE(A660,""PRICEOPEN"")"),1051.2)</f>
        <v>1051.2</v>
      </c>
      <c r="D660" s="11">
        <f ca="1">IFERROR(__xludf.DUMMYFUNCTION("GOOGLEFINANCE(A660,""HIGH"")"),1058.9)</f>
        <v>1058.9000000000001</v>
      </c>
      <c r="E660" s="11">
        <f ca="1">IFERROR(__xludf.DUMMYFUNCTION("GOOGLEFINANCE(A660,""LOW"")"),1036)</f>
        <v>1036</v>
      </c>
      <c r="F660" s="12" t="str">
        <f t="shared" ca="1" si="21"/>
        <v/>
      </c>
      <c r="G660" s="13">
        <f ca="1">IFERROR(__xludf.DUMMYFUNCTION("GOOGLEFINANCE(A660,""CLOSEYEST"")"),1055.7)</f>
        <v>1055.7</v>
      </c>
      <c r="H660" s="14" t="str">
        <f t="shared" ca="1" si="27"/>
        <v/>
      </c>
      <c r="I660" s="15">
        <f t="shared" ca="1" si="22"/>
        <v>1050.2</v>
      </c>
      <c r="J660" s="16">
        <f t="shared" ca="1" si="23"/>
        <v>1064.4000000000001</v>
      </c>
      <c r="K660" s="16"/>
      <c r="L660" s="16">
        <f t="shared" ca="1" si="24"/>
        <v>1041.5</v>
      </c>
      <c r="M660" s="16">
        <f t="shared" ca="1" si="25"/>
        <v>1073.1000000000001</v>
      </c>
      <c r="N660" s="16">
        <f t="shared" ca="1" si="26"/>
        <v>1027.3</v>
      </c>
    </row>
    <row r="661" spans="1:14" ht="24.75" customHeight="1" x14ac:dyDescent="0.8">
      <c r="A661" s="18" t="s">
        <v>624</v>
      </c>
      <c r="B661" s="10">
        <f ca="1">IFERROR(__xludf.DUMMYFUNCTION("GOOGLEFINANCE(A661,""PRICE"")"),294.4)</f>
        <v>294.39999999999998</v>
      </c>
      <c r="C661" s="11">
        <f ca="1">IFERROR(__xludf.DUMMYFUNCTION("GOOGLEFINANCE(A661,""PRICEOPEN"")"),285.1)</f>
        <v>285.10000000000002</v>
      </c>
      <c r="D661" s="11">
        <f ca="1">IFERROR(__xludf.DUMMYFUNCTION("GOOGLEFINANCE(A661,""HIGH"")"),295)</f>
        <v>295</v>
      </c>
      <c r="E661" s="11">
        <f ca="1">IFERROR(__xludf.DUMMYFUNCTION("GOOGLEFINANCE(A661,""LOW"")"),285.1)</f>
        <v>285.10000000000002</v>
      </c>
      <c r="F661" s="12" t="str">
        <f t="shared" ca="1" si="21"/>
        <v>BUY</v>
      </c>
      <c r="G661" s="13">
        <f ca="1">IFERROR(__xludf.DUMMYFUNCTION("GOOGLEFINANCE(A661,""CLOSEYEST"")"),286.8)</f>
        <v>286.8</v>
      </c>
      <c r="H661" s="14" t="str">
        <f t="shared" ca="1" si="27"/>
        <v/>
      </c>
      <c r="I661" s="15">
        <f t="shared" ca="1" si="22"/>
        <v>288.9666666666667</v>
      </c>
      <c r="J661" s="16">
        <f t="shared" ca="1" si="23"/>
        <v>292.83333333333337</v>
      </c>
      <c r="K661" s="16"/>
      <c r="L661" s="16">
        <f t="shared" ca="1" si="24"/>
        <v>282.93333333333339</v>
      </c>
      <c r="M661" s="16">
        <f t="shared" ca="1" si="25"/>
        <v>298.86666666666667</v>
      </c>
      <c r="N661" s="16">
        <f t="shared" ca="1" si="26"/>
        <v>279.06666666666672</v>
      </c>
    </row>
    <row r="662" spans="1:14" ht="24.75" customHeight="1" x14ac:dyDescent="0.8">
      <c r="A662" s="18" t="s">
        <v>625</v>
      </c>
      <c r="B662" s="10">
        <f ca="1">IFERROR(__xludf.DUMMYFUNCTION("GOOGLEFINANCE(A662,""PRICE"")"),2000.5)</f>
        <v>2000.5</v>
      </c>
      <c r="C662" s="11">
        <f ca="1">IFERROR(__xludf.DUMMYFUNCTION("GOOGLEFINANCE(A662,""PRICEOPEN"")"),1992)</f>
        <v>1992</v>
      </c>
      <c r="D662" s="11">
        <f ca="1">IFERROR(__xludf.DUMMYFUNCTION("GOOGLEFINANCE(A662,""HIGH"")"),2010)</f>
        <v>2010</v>
      </c>
      <c r="E662" s="11">
        <f ca="1">IFERROR(__xludf.DUMMYFUNCTION("GOOGLEFINANCE(A662,""LOW"")"),1974)</f>
        <v>1974</v>
      </c>
      <c r="F662" s="12" t="str">
        <f t="shared" ca="1" si="21"/>
        <v/>
      </c>
      <c r="G662" s="13">
        <f ca="1">IFERROR(__xludf.DUMMYFUNCTION("GOOGLEFINANCE(A662,""CLOSEYEST"")"),2004.4)</f>
        <v>2004.4</v>
      </c>
      <c r="H662" s="14" t="str">
        <f t="shared" ca="1" si="27"/>
        <v/>
      </c>
      <c r="I662" s="15">
        <f t="shared" ca="1" si="22"/>
        <v>1996.1333333333332</v>
      </c>
      <c r="J662" s="16">
        <f t="shared" ca="1" si="23"/>
        <v>2018.2666666666664</v>
      </c>
      <c r="K662" s="16"/>
      <c r="L662" s="16">
        <f t="shared" ca="1" si="24"/>
        <v>1982.2666666666664</v>
      </c>
      <c r="M662" s="16">
        <f t="shared" ca="1" si="25"/>
        <v>2032.1333333333332</v>
      </c>
      <c r="N662" s="16">
        <f t="shared" ca="1" si="26"/>
        <v>1960.1333333333332</v>
      </c>
    </row>
    <row r="663" spans="1:14" ht="24.75" customHeight="1" x14ac:dyDescent="0.8">
      <c r="A663" s="18" t="s">
        <v>626</v>
      </c>
      <c r="B663" s="10">
        <f ca="1">IFERROR(__xludf.DUMMYFUNCTION("GOOGLEFINANCE(A663,""PRICE"")"),1174.5)</f>
        <v>1174.5</v>
      </c>
      <c r="C663" s="11">
        <f ca="1">IFERROR(__xludf.DUMMYFUNCTION("GOOGLEFINANCE(A663,""PRICEOPEN"")"),1125)</f>
        <v>1125</v>
      </c>
      <c r="D663" s="11">
        <f ca="1">IFERROR(__xludf.DUMMYFUNCTION("GOOGLEFINANCE(A663,""HIGH"")"),1178.9)</f>
        <v>1178.9000000000001</v>
      </c>
      <c r="E663" s="11">
        <f ca="1">IFERROR(__xludf.DUMMYFUNCTION("GOOGLEFINANCE(A663,""LOW"")"),1123.4)</f>
        <v>1123.4000000000001</v>
      </c>
      <c r="F663" s="12" t="str">
        <f t="shared" ca="1" si="21"/>
        <v/>
      </c>
      <c r="G663" s="13">
        <f ca="1">IFERROR(__xludf.DUMMYFUNCTION("GOOGLEFINANCE(A663,""CLOSEYEST"")"),1122.8)</f>
        <v>1122.8</v>
      </c>
      <c r="H663" s="14" t="str">
        <f t="shared" ca="1" si="27"/>
        <v/>
      </c>
      <c r="I663" s="15">
        <f t="shared" ca="1" si="22"/>
        <v>1141.7</v>
      </c>
      <c r="J663" s="16">
        <f t="shared" ca="1" si="23"/>
        <v>1160</v>
      </c>
      <c r="K663" s="16"/>
      <c r="L663" s="16">
        <f t="shared" ca="1" si="24"/>
        <v>1104.5</v>
      </c>
      <c r="M663" s="16">
        <f t="shared" ca="1" si="25"/>
        <v>1197.2</v>
      </c>
      <c r="N663" s="16">
        <f t="shared" ca="1" si="26"/>
        <v>1086.2</v>
      </c>
    </row>
    <row r="664" spans="1:14" ht="24.75" customHeight="1" x14ac:dyDescent="0.8">
      <c r="A664" s="18" t="s">
        <v>627</v>
      </c>
      <c r="B664" s="10" t="str">
        <f ca="1">IFERROR(__xludf.DUMMYFUNCTION("GOOGLEFINANCE(A664,""PRICE"")"),"#N/A")</f>
        <v>#N/A</v>
      </c>
      <c r="C664" s="11" t="str">
        <f ca="1">IFERROR(__xludf.DUMMYFUNCTION("GOOGLEFINANCE(A664,""PRICEOPEN"")"),"#N/A")</f>
        <v>#N/A</v>
      </c>
      <c r="D664" s="11" t="str">
        <f ca="1">IFERROR(__xludf.DUMMYFUNCTION("GOOGLEFINANCE(A664,""HIGH"")"),"#N/A")</f>
        <v>#N/A</v>
      </c>
      <c r="E664" s="11" t="str">
        <f ca="1">IFERROR(__xludf.DUMMYFUNCTION("GOOGLEFINANCE(A664,""LOW"")"),"#N/A")</f>
        <v>#N/A</v>
      </c>
      <c r="F664" s="12" t="str">
        <f t="shared" ca="1" si="21"/>
        <v>SELL</v>
      </c>
      <c r="G664" s="13" t="str">
        <f ca="1">IFERROR(__xludf.DUMMYFUNCTION("GOOGLEFINANCE(A664,""CLOSEYEST"")"),"#N/A")</f>
        <v>#N/A</v>
      </c>
      <c r="H664" s="14" t="e">
        <f t="shared" ca="1" si="27"/>
        <v>#VALUE!</v>
      </c>
      <c r="I664" s="15" t="e">
        <f t="shared" ca="1" si="22"/>
        <v>#VALUE!</v>
      </c>
      <c r="J664" s="16" t="e">
        <f t="shared" ca="1" si="23"/>
        <v>#VALUE!</v>
      </c>
      <c r="K664" s="16"/>
      <c r="L664" s="16" t="e">
        <f t="shared" ca="1" si="24"/>
        <v>#VALUE!</v>
      </c>
      <c r="M664" s="16" t="e">
        <f t="shared" ca="1" si="25"/>
        <v>#VALUE!</v>
      </c>
      <c r="N664" s="16" t="e">
        <f t="shared" ca="1" si="26"/>
        <v>#VALUE!</v>
      </c>
    </row>
    <row r="665" spans="1:14" ht="24.75" customHeight="1" x14ac:dyDescent="0.8">
      <c r="A665" s="18" t="s">
        <v>628</v>
      </c>
      <c r="B665" s="10" t="str">
        <f ca="1">IFERROR(__xludf.DUMMYFUNCTION("GOOGLEFINANCE(A665,""PRICE"")"),"#N/A")</f>
        <v>#N/A</v>
      </c>
      <c r="C665" s="11" t="str">
        <f ca="1">IFERROR(__xludf.DUMMYFUNCTION("GOOGLEFINANCE(A665,""PRICEOPEN"")"),"#N/A")</f>
        <v>#N/A</v>
      </c>
      <c r="D665" s="11" t="str">
        <f ca="1">IFERROR(__xludf.DUMMYFUNCTION("GOOGLEFINANCE(A665,""HIGH"")"),"#N/A")</f>
        <v>#N/A</v>
      </c>
      <c r="E665" s="11" t="str">
        <f ca="1">IFERROR(__xludf.DUMMYFUNCTION("GOOGLEFINANCE(A665,""LOW"")"),"#N/A")</f>
        <v>#N/A</v>
      </c>
      <c r="F665" s="12" t="str">
        <f t="shared" ca="1" si="21"/>
        <v>SELL</v>
      </c>
      <c r="G665" s="13" t="str">
        <f ca="1">IFERROR(__xludf.DUMMYFUNCTION("GOOGLEFINANCE(A665,""CLOSEYEST"")"),"#N/A")</f>
        <v>#N/A</v>
      </c>
      <c r="H665" s="14" t="e">
        <f t="shared" ca="1" si="27"/>
        <v>#VALUE!</v>
      </c>
      <c r="I665" s="15" t="e">
        <f t="shared" ca="1" si="22"/>
        <v>#VALUE!</v>
      </c>
      <c r="J665" s="16" t="e">
        <f t="shared" ca="1" si="23"/>
        <v>#VALUE!</v>
      </c>
      <c r="K665" s="16"/>
      <c r="L665" s="16" t="e">
        <f t="shared" ca="1" si="24"/>
        <v>#VALUE!</v>
      </c>
      <c r="M665" s="16" t="e">
        <f t="shared" ca="1" si="25"/>
        <v>#VALUE!</v>
      </c>
      <c r="N665" s="16" t="e">
        <f t="shared" ca="1" si="26"/>
        <v>#VALUE!</v>
      </c>
    </row>
    <row r="666" spans="1:14" ht="24.75" customHeight="1" x14ac:dyDescent="0.8">
      <c r="A666" s="18" t="s">
        <v>629</v>
      </c>
      <c r="B666" s="10">
        <f ca="1">IFERROR(__xludf.DUMMYFUNCTION("GOOGLEFINANCE(A666,""PRICE"")"),8413)</f>
        <v>8413</v>
      </c>
      <c r="C666" s="11">
        <f ca="1">IFERROR(__xludf.DUMMYFUNCTION("GOOGLEFINANCE(A666,""PRICEOPEN"")"),8253.5)</f>
        <v>8253.5</v>
      </c>
      <c r="D666" s="11">
        <f ca="1">IFERROR(__xludf.DUMMYFUNCTION("GOOGLEFINANCE(A666,""HIGH"")"),8450)</f>
        <v>8450</v>
      </c>
      <c r="E666" s="11">
        <f ca="1">IFERROR(__xludf.DUMMYFUNCTION("GOOGLEFINANCE(A666,""LOW"")"),8204.5)</f>
        <v>8204.5</v>
      </c>
      <c r="F666" s="12" t="str">
        <f t="shared" ca="1" si="21"/>
        <v/>
      </c>
      <c r="G666" s="13">
        <f ca="1">IFERROR(__xludf.DUMMYFUNCTION("GOOGLEFINANCE(A666,""CLOSEYEST"")"),8216)</f>
        <v>8216</v>
      </c>
      <c r="H666" s="14" t="str">
        <f t="shared" ca="1" si="27"/>
        <v/>
      </c>
      <c r="I666" s="15">
        <f t="shared" ca="1" si="22"/>
        <v>8290.1666666666661</v>
      </c>
      <c r="J666" s="16">
        <f t="shared" ca="1" si="23"/>
        <v>8375.8333333333321</v>
      </c>
      <c r="K666" s="16"/>
      <c r="L666" s="16">
        <f t="shared" ca="1" si="24"/>
        <v>8130.3333333333321</v>
      </c>
      <c r="M666" s="16">
        <f t="shared" ca="1" si="25"/>
        <v>8535.6666666666661</v>
      </c>
      <c r="N666" s="16">
        <f t="shared" ca="1" si="26"/>
        <v>8044.6666666666661</v>
      </c>
    </row>
    <row r="667" spans="1:14" ht="24.75" customHeight="1" x14ac:dyDescent="0.8">
      <c r="A667" s="18" t="s">
        <v>630</v>
      </c>
      <c r="B667" s="10">
        <f ca="1">IFERROR(__xludf.DUMMYFUNCTION("GOOGLEFINANCE(A667,""PRICE"")"),41.8)</f>
        <v>41.8</v>
      </c>
      <c r="C667" s="11">
        <f ca="1">IFERROR(__xludf.DUMMYFUNCTION("GOOGLEFINANCE(A667,""PRICEOPEN"")"),41.35)</f>
        <v>41.35</v>
      </c>
      <c r="D667" s="11">
        <f ca="1">IFERROR(__xludf.DUMMYFUNCTION("GOOGLEFINANCE(A667,""HIGH"")"),42)</f>
        <v>42</v>
      </c>
      <c r="E667" s="11">
        <f ca="1">IFERROR(__xludf.DUMMYFUNCTION("GOOGLEFINANCE(A667,""LOW"")"),41.35)</f>
        <v>41.35</v>
      </c>
      <c r="F667" s="12" t="str">
        <f t="shared" ca="1" si="21"/>
        <v>BUY</v>
      </c>
      <c r="G667" s="13">
        <f ca="1">IFERROR(__xludf.DUMMYFUNCTION("GOOGLEFINANCE(A667,""CLOSEYEST"")"),41.3)</f>
        <v>41.3</v>
      </c>
      <c r="H667" s="14" t="str">
        <f t="shared" ca="1" si="27"/>
        <v/>
      </c>
      <c r="I667" s="15">
        <f t="shared" ca="1" si="22"/>
        <v>41.55</v>
      </c>
      <c r="J667" s="16">
        <f t="shared" ca="1" si="23"/>
        <v>41.749999999999993</v>
      </c>
      <c r="K667" s="16"/>
      <c r="L667" s="16">
        <f t="shared" ca="1" si="24"/>
        <v>41.099999999999994</v>
      </c>
      <c r="M667" s="16">
        <f t="shared" ca="1" si="25"/>
        <v>42.199999999999996</v>
      </c>
      <c r="N667" s="16">
        <f t="shared" ca="1" si="26"/>
        <v>40.9</v>
      </c>
    </row>
    <row r="668" spans="1:14" ht="24.75" customHeight="1" x14ac:dyDescent="0.8">
      <c r="A668" s="18" t="s">
        <v>631</v>
      </c>
      <c r="B668" s="10">
        <f ca="1">IFERROR(__xludf.DUMMYFUNCTION("GOOGLEFINANCE(A668,""PRICE"")"),172.75)</f>
        <v>172.75</v>
      </c>
      <c r="C668" s="11">
        <f ca="1">IFERROR(__xludf.DUMMYFUNCTION("GOOGLEFINANCE(A668,""PRICEOPEN"")"),173.16)</f>
        <v>173.16</v>
      </c>
      <c r="D668" s="11">
        <f ca="1">IFERROR(__xludf.DUMMYFUNCTION("GOOGLEFINANCE(A668,""HIGH"")"),174.49)</f>
        <v>174.49</v>
      </c>
      <c r="E668" s="11">
        <f ca="1">IFERROR(__xludf.DUMMYFUNCTION("GOOGLEFINANCE(A668,""LOW"")"),171)</f>
        <v>171</v>
      </c>
      <c r="F668" s="12" t="str">
        <f t="shared" ca="1" si="21"/>
        <v/>
      </c>
      <c r="G668" s="13">
        <f ca="1">IFERROR(__xludf.DUMMYFUNCTION("GOOGLEFINANCE(A668,""CLOSEYEST"")"),173.16)</f>
        <v>173.16</v>
      </c>
      <c r="H668" s="14" t="str">
        <f t="shared" ca="1" si="27"/>
        <v/>
      </c>
      <c r="I668" s="15">
        <f t="shared" ca="1" si="22"/>
        <v>172.88333333333333</v>
      </c>
      <c r="J668" s="16">
        <f t="shared" ca="1" si="23"/>
        <v>174.76666666666665</v>
      </c>
      <c r="K668" s="16"/>
      <c r="L668" s="16">
        <f t="shared" ca="1" si="24"/>
        <v>171.27666666666664</v>
      </c>
      <c r="M668" s="16">
        <f t="shared" ca="1" si="25"/>
        <v>176.37333333333333</v>
      </c>
      <c r="N668" s="16">
        <f t="shared" ca="1" si="26"/>
        <v>169.39333333333332</v>
      </c>
    </row>
    <row r="669" spans="1:14" ht="24.75" customHeight="1" x14ac:dyDescent="0.8">
      <c r="A669" s="18" t="s">
        <v>632</v>
      </c>
      <c r="B669" s="10">
        <f ca="1">IFERROR(__xludf.DUMMYFUNCTION("GOOGLEFINANCE(A669,""PRICE"")"),145.3)</f>
        <v>145.30000000000001</v>
      </c>
      <c r="C669" s="11">
        <f ca="1">IFERROR(__xludf.DUMMYFUNCTION("GOOGLEFINANCE(A669,""PRICEOPEN"")"),146.6)</f>
        <v>146.6</v>
      </c>
      <c r="D669" s="11">
        <f ca="1">IFERROR(__xludf.DUMMYFUNCTION("GOOGLEFINANCE(A669,""HIGH"")"),147.36)</f>
        <v>147.36000000000001</v>
      </c>
      <c r="E669" s="11">
        <f ca="1">IFERROR(__xludf.DUMMYFUNCTION("GOOGLEFINANCE(A669,""LOW"")"),143.62)</f>
        <v>143.62</v>
      </c>
      <c r="F669" s="12" t="str">
        <f t="shared" ca="1" si="21"/>
        <v/>
      </c>
      <c r="G669" s="13">
        <f ca="1">IFERROR(__xludf.DUMMYFUNCTION("GOOGLEFINANCE(A669,""CLOSEYEST"")"),146.61)</f>
        <v>146.61000000000001</v>
      </c>
      <c r="H669" s="14" t="str">
        <f t="shared" ca="1" si="27"/>
        <v/>
      </c>
      <c r="I669" s="15">
        <f t="shared" ca="1" si="22"/>
        <v>145.86333333333334</v>
      </c>
      <c r="J669" s="16">
        <f t="shared" ca="1" si="23"/>
        <v>148.10666666666668</v>
      </c>
      <c r="K669" s="16"/>
      <c r="L669" s="16">
        <f t="shared" ca="1" si="24"/>
        <v>144.36666666666667</v>
      </c>
      <c r="M669" s="16">
        <f t="shared" ca="1" si="25"/>
        <v>149.60333333333335</v>
      </c>
      <c r="N669" s="16">
        <f t="shared" ca="1" si="26"/>
        <v>142.12333333333333</v>
      </c>
    </row>
    <row r="670" spans="1:14" ht="24.75" customHeight="1" x14ac:dyDescent="0.8">
      <c r="A670" s="18" t="s">
        <v>633</v>
      </c>
      <c r="B670" s="10" t="str">
        <f ca="1">IFERROR(__xludf.DUMMYFUNCTION("GOOGLEFINANCE(A670,""PRICE"")"),"#N/A")</f>
        <v>#N/A</v>
      </c>
      <c r="C670" s="11" t="str">
        <f ca="1">IFERROR(__xludf.DUMMYFUNCTION("GOOGLEFINANCE(A670,""PRICEOPEN"")"),"#N/A")</f>
        <v>#N/A</v>
      </c>
      <c r="D670" s="11" t="str">
        <f ca="1">IFERROR(__xludf.DUMMYFUNCTION("GOOGLEFINANCE(A670,""HIGH"")"),"#N/A")</f>
        <v>#N/A</v>
      </c>
      <c r="E670" s="11" t="str">
        <f ca="1">IFERROR(__xludf.DUMMYFUNCTION("GOOGLEFINANCE(A670,""LOW"")"),"#N/A")</f>
        <v>#N/A</v>
      </c>
      <c r="F670" s="12" t="str">
        <f t="shared" ca="1" si="21"/>
        <v>SELL</v>
      </c>
      <c r="G670" s="13" t="str">
        <f ca="1">IFERROR(__xludf.DUMMYFUNCTION("GOOGLEFINANCE(A670,""CLOSEYEST"")"),"#N/A")</f>
        <v>#N/A</v>
      </c>
      <c r="H670" s="14" t="e">
        <f t="shared" ca="1" si="27"/>
        <v>#VALUE!</v>
      </c>
      <c r="I670" s="15" t="e">
        <f t="shared" ca="1" si="22"/>
        <v>#VALUE!</v>
      </c>
      <c r="J670" s="16" t="e">
        <f t="shared" ca="1" si="23"/>
        <v>#VALUE!</v>
      </c>
      <c r="K670" s="16"/>
      <c r="L670" s="16" t="e">
        <f t="shared" ca="1" si="24"/>
        <v>#VALUE!</v>
      </c>
      <c r="M670" s="16" t="e">
        <f t="shared" ca="1" si="25"/>
        <v>#VALUE!</v>
      </c>
      <c r="N670" s="16" t="e">
        <f t="shared" ca="1" si="26"/>
        <v>#VALUE!</v>
      </c>
    </row>
    <row r="671" spans="1:14" ht="24.75" customHeight="1" x14ac:dyDescent="0.8">
      <c r="A671" s="18" t="s">
        <v>634</v>
      </c>
      <c r="B671" s="10">
        <f ca="1">IFERROR(__xludf.DUMMYFUNCTION("GOOGLEFINANCE(A671,""PRICE"")"),37.54)</f>
        <v>37.54</v>
      </c>
      <c r="C671" s="11">
        <f ca="1">IFERROR(__xludf.DUMMYFUNCTION("GOOGLEFINANCE(A671,""PRICEOPEN"")"),38.16)</f>
        <v>38.159999999999997</v>
      </c>
      <c r="D671" s="11">
        <f ca="1">IFERROR(__xludf.DUMMYFUNCTION("GOOGLEFINANCE(A671,""HIGH"")"),38.16)</f>
        <v>38.159999999999997</v>
      </c>
      <c r="E671" s="11">
        <f ca="1">IFERROR(__xludf.DUMMYFUNCTION("GOOGLEFINANCE(A671,""LOW"")"),37.42)</f>
        <v>37.42</v>
      </c>
      <c r="F671" s="12" t="str">
        <f t="shared" ca="1" si="21"/>
        <v>SELL</v>
      </c>
      <c r="G671" s="13">
        <f ca="1">IFERROR(__xludf.DUMMYFUNCTION("GOOGLEFINANCE(A671,""CLOSEYEST"")"),38.17)</f>
        <v>38.17</v>
      </c>
      <c r="H671" s="14" t="str">
        <f t="shared" ca="1" si="27"/>
        <v/>
      </c>
      <c r="I671" s="15">
        <f t="shared" ca="1" si="22"/>
        <v>37.916666666666664</v>
      </c>
      <c r="J671" s="16">
        <f t="shared" ca="1" si="23"/>
        <v>38.413333333333327</v>
      </c>
      <c r="K671" s="16"/>
      <c r="L671" s="16">
        <f t="shared" ca="1" si="24"/>
        <v>37.673333333333332</v>
      </c>
      <c r="M671" s="16">
        <f t="shared" ca="1" si="25"/>
        <v>38.656666666666659</v>
      </c>
      <c r="N671" s="16">
        <f t="shared" ca="1" si="26"/>
        <v>37.176666666666669</v>
      </c>
    </row>
    <row r="672" spans="1:14" ht="24.75" customHeight="1" x14ac:dyDescent="0.8">
      <c r="A672" s="18" t="s">
        <v>635</v>
      </c>
      <c r="B672" s="10">
        <f ca="1">IFERROR(__xludf.DUMMYFUNCTION("GOOGLEFINANCE(A672,""PRICE"")"),12.39)</f>
        <v>12.39</v>
      </c>
      <c r="C672" s="11">
        <f ca="1">IFERROR(__xludf.DUMMYFUNCTION("GOOGLEFINANCE(A672,""PRICEOPEN"")"),12.48)</f>
        <v>12.48</v>
      </c>
      <c r="D672" s="11">
        <f ca="1">IFERROR(__xludf.DUMMYFUNCTION("GOOGLEFINANCE(A672,""HIGH"")"),12.53)</f>
        <v>12.53</v>
      </c>
      <c r="E672" s="11">
        <f ca="1">IFERROR(__xludf.DUMMYFUNCTION("GOOGLEFINANCE(A672,""LOW"")"),12.2)</f>
        <v>12.2</v>
      </c>
      <c r="F672" s="12" t="str">
        <f t="shared" ca="1" si="21"/>
        <v/>
      </c>
      <c r="G672" s="13">
        <f ca="1">IFERROR(__xludf.DUMMYFUNCTION("GOOGLEFINANCE(A672,""CLOSEYEST"")"),12.47)</f>
        <v>12.47</v>
      </c>
      <c r="H672" s="14" t="str">
        <f t="shared" ca="1" si="27"/>
        <v/>
      </c>
      <c r="I672" s="15">
        <f t="shared" ca="1" si="22"/>
        <v>12.399999999999999</v>
      </c>
      <c r="J672" s="16">
        <f t="shared" ca="1" si="23"/>
        <v>12.599999999999998</v>
      </c>
      <c r="K672" s="16"/>
      <c r="L672" s="16">
        <f t="shared" ca="1" si="24"/>
        <v>12.269999999999998</v>
      </c>
      <c r="M672" s="16">
        <f t="shared" ca="1" si="25"/>
        <v>12.729999999999999</v>
      </c>
      <c r="N672" s="16">
        <f t="shared" ca="1" si="26"/>
        <v>12.069999999999999</v>
      </c>
    </row>
    <row r="673" spans="1:14" ht="24.75" customHeight="1" x14ac:dyDescent="0.8">
      <c r="A673" s="18" t="s">
        <v>636</v>
      </c>
      <c r="B673" s="10">
        <f ca="1">IFERROR(__xludf.DUMMYFUNCTION("GOOGLEFINANCE(A673,""PRICE"")"),463.05)</f>
        <v>463.05</v>
      </c>
      <c r="C673" s="11">
        <f ca="1">IFERROR(__xludf.DUMMYFUNCTION("GOOGLEFINANCE(A673,""PRICEOPEN"")"),453)</f>
        <v>453</v>
      </c>
      <c r="D673" s="11">
        <f ca="1">IFERROR(__xludf.DUMMYFUNCTION("GOOGLEFINANCE(A673,""HIGH"")"),463.9)</f>
        <v>463.9</v>
      </c>
      <c r="E673" s="11">
        <f ca="1">IFERROR(__xludf.DUMMYFUNCTION("GOOGLEFINANCE(A673,""LOW"")"),450)</f>
        <v>450</v>
      </c>
      <c r="F673" s="12" t="str">
        <f t="shared" ca="1" si="21"/>
        <v/>
      </c>
      <c r="G673" s="13">
        <f ca="1">IFERROR(__xludf.DUMMYFUNCTION("GOOGLEFINANCE(A673,""CLOSEYEST"")"),452.75)</f>
        <v>452.75</v>
      </c>
      <c r="H673" s="14" t="str">
        <f t="shared" ca="1" si="27"/>
        <v/>
      </c>
      <c r="I673" s="15">
        <f t="shared" ca="1" si="22"/>
        <v>455.55</v>
      </c>
      <c r="J673" s="16">
        <f t="shared" ca="1" si="23"/>
        <v>461.1</v>
      </c>
      <c r="K673" s="16"/>
      <c r="L673" s="16">
        <f t="shared" ca="1" si="24"/>
        <v>447.20000000000005</v>
      </c>
      <c r="M673" s="16">
        <f t="shared" ca="1" si="25"/>
        <v>469.45</v>
      </c>
      <c r="N673" s="16">
        <f t="shared" ca="1" si="26"/>
        <v>441.65000000000003</v>
      </c>
    </row>
    <row r="674" spans="1:14" ht="24.75" customHeight="1" x14ac:dyDescent="0.8">
      <c r="A674" s="18" t="s">
        <v>637</v>
      </c>
      <c r="B674" s="10">
        <f ca="1">IFERROR(__xludf.DUMMYFUNCTION("GOOGLEFINANCE(A674,""PRICE"")"),320)</f>
        <v>320</v>
      </c>
      <c r="C674" s="11">
        <f ca="1">IFERROR(__xludf.DUMMYFUNCTION("GOOGLEFINANCE(A674,""PRICEOPEN"")"),320)</f>
        <v>320</v>
      </c>
      <c r="D674" s="11">
        <f ca="1">IFERROR(__xludf.DUMMYFUNCTION("GOOGLEFINANCE(A674,""HIGH"")"),322.15)</f>
        <v>322.14999999999998</v>
      </c>
      <c r="E674" s="11">
        <f ca="1">IFERROR(__xludf.DUMMYFUNCTION("GOOGLEFINANCE(A674,""LOW"")"),317.85)</f>
        <v>317.85000000000002</v>
      </c>
      <c r="F674" s="12" t="str">
        <f t="shared" ca="1" si="21"/>
        <v/>
      </c>
      <c r="G674" s="13">
        <f ca="1">IFERROR(__xludf.DUMMYFUNCTION("GOOGLEFINANCE(A674,""CLOSEYEST"")"),318.4)</f>
        <v>318.39999999999998</v>
      </c>
      <c r="H674" s="14" t="str">
        <f t="shared" ca="1" si="27"/>
        <v/>
      </c>
      <c r="I674" s="15">
        <f t="shared" ca="1" si="22"/>
        <v>319.46666666666664</v>
      </c>
      <c r="J674" s="16">
        <f t="shared" ca="1" si="23"/>
        <v>321.08333333333326</v>
      </c>
      <c r="K674" s="16"/>
      <c r="L674" s="16">
        <f t="shared" ca="1" si="24"/>
        <v>316.7833333333333</v>
      </c>
      <c r="M674" s="16">
        <f t="shared" ca="1" si="25"/>
        <v>323.76666666666659</v>
      </c>
      <c r="N674" s="16">
        <f t="shared" ca="1" si="26"/>
        <v>315.16666666666669</v>
      </c>
    </row>
    <row r="675" spans="1:14" ht="24.75" customHeight="1" x14ac:dyDescent="0.8">
      <c r="A675" s="18" t="s">
        <v>638</v>
      </c>
      <c r="B675" s="10">
        <f ca="1">IFERROR(__xludf.DUMMYFUNCTION("GOOGLEFINANCE(A675,""PRICE"")"),102)</f>
        <v>102</v>
      </c>
      <c r="C675" s="11">
        <f ca="1">IFERROR(__xludf.DUMMYFUNCTION("GOOGLEFINANCE(A675,""PRICEOPEN"")"),100.66)</f>
        <v>100.66</v>
      </c>
      <c r="D675" s="11">
        <f ca="1">IFERROR(__xludf.DUMMYFUNCTION("GOOGLEFINANCE(A675,""HIGH"")"),102.87)</f>
        <v>102.87</v>
      </c>
      <c r="E675" s="11">
        <f ca="1">IFERROR(__xludf.DUMMYFUNCTION("GOOGLEFINANCE(A675,""LOW"")"),100.3)</f>
        <v>100.3</v>
      </c>
      <c r="F675" s="12" t="str">
        <f t="shared" ca="1" si="21"/>
        <v/>
      </c>
      <c r="G675" s="13">
        <f ca="1">IFERROR(__xludf.DUMMYFUNCTION("GOOGLEFINANCE(A675,""CLOSEYEST"")"),100.66)</f>
        <v>100.66</v>
      </c>
      <c r="H675" s="14" t="str">
        <f t="shared" ca="1" si="27"/>
        <v/>
      </c>
      <c r="I675" s="15">
        <f t="shared" ca="1" si="22"/>
        <v>101.27666666666669</v>
      </c>
      <c r="J675" s="16">
        <f t="shared" ca="1" si="23"/>
        <v>102.25333333333337</v>
      </c>
      <c r="K675" s="16"/>
      <c r="L675" s="16">
        <f t="shared" ca="1" si="24"/>
        <v>99.683333333333366</v>
      </c>
      <c r="M675" s="16">
        <f t="shared" ca="1" si="25"/>
        <v>103.84666666666669</v>
      </c>
      <c r="N675" s="16">
        <f t="shared" ca="1" si="26"/>
        <v>98.706666666666678</v>
      </c>
    </row>
    <row r="676" spans="1:14" ht="24.75" customHeight="1" x14ac:dyDescent="0.8">
      <c r="A676" s="18" t="s">
        <v>639</v>
      </c>
      <c r="B676" s="10">
        <f ca="1">IFERROR(__xludf.DUMMYFUNCTION("GOOGLEFINANCE(A676,""PRICE"")"),238.6)</f>
        <v>238.6</v>
      </c>
      <c r="C676" s="11">
        <f ca="1">IFERROR(__xludf.DUMMYFUNCTION("GOOGLEFINANCE(A676,""PRICEOPEN"")"),237.76)</f>
        <v>237.76</v>
      </c>
      <c r="D676" s="11">
        <f ca="1">IFERROR(__xludf.DUMMYFUNCTION("GOOGLEFINANCE(A676,""HIGH"")"),242.62)</f>
        <v>242.62</v>
      </c>
      <c r="E676" s="11">
        <f ca="1">IFERROR(__xludf.DUMMYFUNCTION("GOOGLEFINANCE(A676,""LOW"")"),236.11)</f>
        <v>236.11</v>
      </c>
      <c r="F676" s="12" t="str">
        <f t="shared" ca="1" si="21"/>
        <v/>
      </c>
      <c r="G676" s="13">
        <f ca="1">IFERROR(__xludf.DUMMYFUNCTION("GOOGLEFINANCE(A676,""CLOSEYEST"")"),236.06)</f>
        <v>236.06</v>
      </c>
      <c r="H676" s="14" t="str">
        <f t="shared" ca="1" si="27"/>
        <v/>
      </c>
      <c r="I676" s="15">
        <f t="shared" ca="1" si="22"/>
        <v>238.26333333333332</v>
      </c>
      <c r="J676" s="16">
        <f t="shared" ca="1" si="23"/>
        <v>240.41666666666663</v>
      </c>
      <c r="K676" s="16"/>
      <c r="L676" s="16">
        <f t="shared" ca="1" si="24"/>
        <v>233.90666666666664</v>
      </c>
      <c r="M676" s="16">
        <f t="shared" ca="1" si="25"/>
        <v>244.77333333333331</v>
      </c>
      <c r="N676" s="16">
        <f t="shared" ca="1" si="26"/>
        <v>231.75333333333333</v>
      </c>
    </row>
    <row r="677" spans="1:14" ht="24.75" customHeight="1" x14ac:dyDescent="0.8">
      <c r="A677" s="18" t="s">
        <v>640</v>
      </c>
      <c r="B677" s="10">
        <f ca="1">IFERROR(__xludf.DUMMYFUNCTION("GOOGLEFINANCE(A677,""PRICE"")"),3.2)</f>
        <v>3.2</v>
      </c>
      <c r="C677" s="11">
        <f ca="1">IFERROR(__xludf.DUMMYFUNCTION("GOOGLEFINANCE(A677,""PRICEOPEN"")"),3.2)</f>
        <v>3.2</v>
      </c>
      <c r="D677" s="11">
        <f ca="1">IFERROR(__xludf.DUMMYFUNCTION("GOOGLEFINANCE(A677,""HIGH"")"),3.2)</f>
        <v>3.2</v>
      </c>
      <c r="E677" s="11">
        <f ca="1">IFERROR(__xludf.DUMMYFUNCTION("GOOGLEFINANCE(A677,""LOW"")"),3.2)</f>
        <v>3.2</v>
      </c>
      <c r="F677" s="12" t="str">
        <f t="shared" ca="1" si="21"/>
        <v>SELL</v>
      </c>
      <c r="G677" s="13">
        <f ca="1">IFERROR(__xludf.DUMMYFUNCTION("GOOGLEFINANCE(A677,""CLOSEYEST"")"),3.05)</f>
        <v>3.05</v>
      </c>
      <c r="H677" s="14" t="str">
        <f t="shared" ca="1" si="27"/>
        <v>GAP UP</v>
      </c>
      <c r="I677" s="15">
        <f t="shared" ca="1" si="22"/>
        <v>3.15</v>
      </c>
      <c r="J677" s="16">
        <f t="shared" ca="1" si="23"/>
        <v>3.0999999999999996</v>
      </c>
      <c r="K677" s="16"/>
      <c r="L677" s="16">
        <f t="shared" ca="1" si="24"/>
        <v>3.0999999999999996</v>
      </c>
      <c r="M677" s="16">
        <f t="shared" ca="1" si="25"/>
        <v>3.15</v>
      </c>
      <c r="N677" s="16">
        <f t="shared" ca="1" si="26"/>
        <v>3.15</v>
      </c>
    </row>
    <row r="678" spans="1:14" ht="24.75" customHeight="1" x14ac:dyDescent="0.8">
      <c r="A678" s="18" t="s">
        <v>641</v>
      </c>
      <c r="B678" s="10" t="str">
        <f ca="1">IFERROR(__xludf.DUMMYFUNCTION("GOOGLEFINANCE(A678,""PRICE"")"),"#N/A")</f>
        <v>#N/A</v>
      </c>
      <c r="C678" s="11" t="str">
        <f ca="1">IFERROR(__xludf.DUMMYFUNCTION("GOOGLEFINANCE(A678,""PRICEOPEN"")"),"#N/A")</f>
        <v>#N/A</v>
      </c>
      <c r="D678" s="11" t="str">
        <f ca="1">IFERROR(__xludf.DUMMYFUNCTION("GOOGLEFINANCE(A678,""HIGH"")"),"#N/A")</f>
        <v>#N/A</v>
      </c>
      <c r="E678" s="11" t="str">
        <f ca="1">IFERROR(__xludf.DUMMYFUNCTION("GOOGLEFINANCE(A678,""LOW"")"),"#N/A")</f>
        <v>#N/A</v>
      </c>
      <c r="F678" s="12" t="str">
        <f t="shared" ca="1" si="21"/>
        <v>SELL</v>
      </c>
      <c r="G678" s="13" t="str">
        <f ca="1">IFERROR(__xludf.DUMMYFUNCTION("GOOGLEFINANCE(A678,""CLOSEYEST"")"),"#N/A")</f>
        <v>#N/A</v>
      </c>
      <c r="H678" s="14" t="e">
        <f t="shared" ca="1" si="27"/>
        <v>#VALUE!</v>
      </c>
      <c r="I678" s="15" t="e">
        <f t="shared" ca="1" si="22"/>
        <v>#VALUE!</v>
      </c>
      <c r="J678" s="16" t="e">
        <f t="shared" ca="1" si="23"/>
        <v>#VALUE!</v>
      </c>
      <c r="K678" s="16"/>
      <c r="L678" s="16" t="e">
        <f t="shared" ca="1" si="24"/>
        <v>#VALUE!</v>
      </c>
      <c r="M678" s="16" t="e">
        <f t="shared" ca="1" si="25"/>
        <v>#VALUE!</v>
      </c>
      <c r="N678" s="16" t="e">
        <f t="shared" ca="1" si="26"/>
        <v>#VALUE!</v>
      </c>
    </row>
    <row r="679" spans="1:14" ht="24.75" customHeight="1" x14ac:dyDescent="0.8">
      <c r="A679" s="18" t="s">
        <v>642</v>
      </c>
      <c r="B679" s="10">
        <f ca="1">IFERROR(__xludf.DUMMYFUNCTION("GOOGLEFINANCE(A679,""PRICE"")"),909.2)</f>
        <v>909.2</v>
      </c>
      <c r="C679" s="11">
        <f ca="1">IFERROR(__xludf.DUMMYFUNCTION("GOOGLEFINANCE(A679,""PRICEOPEN"")"),906.45)</f>
        <v>906.45</v>
      </c>
      <c r="D679" s="11">
        <f ca="1">IFERROR(__xludf.DUMMYFUNCTION("GOOGLEFINANCE(A679,""HIGH"")"),917)</f>
        <v>917</v>
      </c>
      <c r="E679" s="11">
        <f ca="1">IFERROR(__xludf.DUMMYFUNCTION("GOOGLEFINANCE(A679,""LOW"")"),900.1)</f>
        <v>900.1</v>
      </c>
      <c r="F679" s="12" t="str">
        <f t="shared" ca="1" si="21"/>
        <v/>
      </c>
      <c r="G679" s="13">
        <f ca="1">IFERROR(__xludf.DUMMYFUNCTION("GOOGLEFINANCE(A679,""CLOSEYEST"")"),913.5)</f>
        <v>913.5</v>
      </c>
      <c r="H679" s="14" t="str">
        <f t="shared" ca="1" si="27"/>
        <v/>
      </c>
      <c r="I679" s="15">
        <f t="shared" ca="1" si="22"/>
        <v>910.19999999999993</v>
      </c>
      <c r="J679" s="16">
        <f t="shared" ca="1" si="23"/>
        <v>920.29999999999984</v>
      </c>
      <c r="K679" s="16"/>
      <c r="L679" s="16">
        <f t="shared" ca="1" si="24"/>
        <v>903.39999999999986</v>
      </c>
      <c r="M679" s="16">
        <f t="shared" ca="1" si="25"/>
        <v>927.09999999999991</v>
      </c>
      <c r="N679" s="16">
        <f t="shared" ca="1" si="26"/>
        <v>893.3</v>
      </c>
    </row>
    <row r="680" spans="1:14" ht="24.75" customHeight="1" x14ac:dyDescent="0.8">
      <c r="A680" s="18" t="s">
        <v>643</v>
      </c>
      <c r="B680" s="10">
        <f ca="1">IFERROR(__xludf.DUMMYFUNCTION("GOOGLEFINANCE(A680,""PRICE"")"),305.9)</f>
        <v>305.89999999999998</v>
      </c>
      <c r="C680" s="11">
        <f ca="1">IFERROR(__xludf.DUMMYFUNCTION("GOOGLEFINANCE(A680,""PRICEOPEN"")"),299)</f>
        <v>299</v>
      </c>
      <c r="D680" s="11">
        <f ca="1">IFERROR(__xludf.DUMMYFUNCTION("GOOGLEFINANCE(A680,""HIGH"")"),309.75)</f>
        <v>309.75</v>
      </c>
      <c r="E680" s="11">
        <f ca="1">IFERROR(__xludf.DUMMYFUNCTION("GOOGLEFINANCE(A680,""LOW"")"),294)</f>
        <v>294</v>
      </c>
      <c r="F680" s="12" t="str">
        <f t="shared" ca="1" si="21"/>
        <v/>
      </c>
      <c r="G680" s="13">
        <f ca="1">IFERROR(__xludf.DUMMYFUNCTION("GOOGLEFINANCE(A680,""CLOSEYEST"")"),298.95)</f>
        <v>298.95</v>
      </c>
      <c r="H680" s="14" t="str">
        <f t="shared" ca="1" si="27"/>
        <v/>
      </c>
      <c r="I680" s="15">
        <f t="shared" ca="1" si="22"/>
        <v>300.90000000000003</v>
      </c>
      <c r="J680" s="16">
        <f t="shared" ca="1" si="23"/>
        <v>307.80000000000007</v>
      </c>
      <c r="K680" s="16"/>
      <c r="L680" s="16">
        <f t="shared" ca="1" si="24"/>
        <v>292.05000000000007</v>
      </c>
      <c r="M680" s="16">
        <f t="shared" ca="1" si="25"/>
        <v>316.65000000000003</v>
      </c>
      <c r="N680" s="16">
        <f t="shared" ca="1" si="26"/>
        <v>285.15000000000003</v>
      </c>
    </row>
    <row r="681" spans="1:14" ht="24.75" customHeight="1" x14ac:dyDescent="0.8">
      <c r="A681" s="18" t="s">
        <v>644</v>
      </c>
      <c r="B681" s="10" t="str">
        <f ca="1">IFERROR(__xludf.DUMMYFUNCTION("GOOGLEFINANCE(A681,""PRICE"")"),"#N/A")</f>
        <v>#N/A</v>
      </c>
      <c r="C681" s="11" t="str">
        <f ca="1">IFERROR(__xludf.DUMMYFUNCTION("GOOGLEFINANCE(A681,""PRICEOPEN"")"),"#N/A")</f>
        <v>#N/A</v>
      </c>
      <c r="D681" s="11" t="str">
        <f ca="1">IFERROR(__xludf.DUMMYFUNCTION("GOOGLEFINANCE(A681,""HIGH"")"),"#N/A")</f>
        <v>#N/A</v>
      </c>
      <c r="E681" s="11" t="str">
        <f ca="1">IFERROR(__xludf.DUMMYFUNCTION("GOOGLEFINANCE(A681,""LOW"")"),"#N/A")</f>
        <v>#N/A</v>
      </c>
      <c r="F681" s="12" t="str">
        <f t="shared" ca="1" si="21"/>
        <v>SELL</v>
      </c>
      <c r="G681" s="13" t="str">
        <f ca="1">IFERROR(__xludf.DUMMYFUNCTION("GOOGLEFINANCE(A681,""CLOSEYEST"")"),"#N/A")</f>
        <v>#N/A</v>
      </c>
      <c r="H681" s="14" t="e">
        <f t="shared" ca="1" si="27"/>
        <v>#VALUE!</v>
      </c>
      <c r="I681" s="15" t="e">
        <f t="shared" ca="1" si="22"/>
        <v>#VALUE!</v>
      </c>
      <c r="J681" s="16" t="e">
        <f t="shared" ca="1" si="23"/>
        <v>#VALUE!</v>
      </c>
      <c r="K681" s="16"/>
      <c r="L681" s="16" t="e">
        <f t="shared" ca="1" si="24"/>
        <v>#VALUE!</v>
      </c>
      <c r="M681" s="16" t="e">
        <f t="shared" ca="1" si="25"/>
        <v>#VALUE!</v>
      </c>
      <c r="N681" s="16" t="e">
        <f t="shared" ca="1" si="26"/>
        <v>#VALUE!</v>
      </c>
    </row>
    <row r="682" spans="1:14" ht="24.75" customHeight="1" x14ac:dyDescent="0.8">
      <c r="A682" s="18" t="s">
        <v>645</v>
      </c>
      <c r="B682" s="10">
        <f ca="1">IFERROR(__xludf.DUMMYFUNCTION("GOOGLEFINANCE(A682,""PRICE"")"),189)</f>
        <v>189</v>
      </c>
      <c r="C682" s="11">
        <f ca="1">IFERROR(__xludf.DUMMYFUNCTION("GOOGLEFINANCE(A682,""PRICEOPEN"")"),188.5)</f>
        <v>188.5</v>
      </c>
      <c r="D682" s="11">
        <f ca="1">IFERROR(__xludf.DUMMYFUNCTION("GOOGLEFINANCE(A682,""HIGH"")"),189.7)</f>
        <v>189.7</v>
      </c>
      <c r="E682" s="11">
        <f ca="1">IFERROR(__xludf.DUMMYFUNCTION("GOOGLEFINANCE(A682,""LOW"")"),185.3)</f>
        <v>185.3</v>
      </c>
      <c r="F682" s="12" t="str">
        <f t="shared" ca="1" si="21"/>
        <v/>
      </c>
      <c r="G682" s="13">
        <f ca="1">IFERROR(__xludf.DUMMYFUNCTION("GOOGLEFINANCE(A682,""CLOSEYEST"")"),186.73)</f>
        <v>186.73</v>
      </c>
      <c r="H682" s="14" t="str">
        <f t="shared" ca="1" si="27"/>
        <v/>
      </c>
      <c r="I682" s="15">
        <f t="shared" ca="1" si="22"/>
        <v>187.24333333333334</v>
      </c>
      <c r="J682" s="16">
        <f t="shared" ca="1" si="23"/>
        <v>189.18666666666667</v>
      </c>
      <c r="K682" s="16"/>
      <c r="L682" s="16">
        <f t="shared" ca="1" si="24"/>
        <v>184.78666666666669</v>
      </c>
      <c r="M682" s="16">
        <f t="shared" ca="1" si="25"/>
        <v>191.64333333333332</v>
      </c>
      <c r="N682" s="16">
        <f t="shared" ca="1" si="26"/>
        <v>182.84333333333336</v>
      </c>
    </row>
    <row r="683" spans="1:14" ht="24.75" customHeight="1" x14ac:dyDescent="0.8">
      <c r="A683" s="18" t="s">
        <v>646</v>
      </c>
      <c r="B683" s="10">
        <f ca="1">IFERROR(__xludf.DUMMYFUNCTION("GOOGLEFINANCE(A683,""PRICE"")"),142.11)</f>
        <v>142.11000000000001</v>
      </c>
      <c r="C683" s="11">
        <f ca="1">IFERROR(__xludf.DUMMYFUNCTION("GOOGLEFINANCE(A683,""PRICEOPEN"")"),142.15)</f>
        <v>142.15</v>
      </c>
      <c r="D683" s="11">
        <f ca="1">IFERROR(__xludf.DUMMYFUNCTION("GOOGLEFINANCE(A683,""HIGH"")"),143.4)</f>
        <v>143.4</v>
      </c>
      <c r="E683" s="11">
        <f ca="1">IFERROR(__xludf.DUMMYFUNCTION("GOOGLEFINANCE(A683,""LOW"")"),140.1)</f>
        <v>140.1</v>
      </c>
      <c r="F683" s="12" t="str">
        <f t="shared" ca="1" si="21"/>
        <v/>
      </c>
      <c r="G683" s="13">
        <f ca="1">IFERROR(__xludf.DUMMYFUNCTION("GOOGLEFINANCE(A683,""CLOSEYEST"")"),142.15)</f>
        <v>142.15</v>
      </c>
      <c r="H683" s="14" t="str">
        <f t="shared" ca="1" si="27"/>
        <v/>
      </c>
      <c r="I683" s="15">
        <f t="shared" ca="1" si="22"/>
        <v>141.88333333333333</v>
      </c>
      <c r="J683" s="16">
        <f t="shared" ca="1" si="23"/>
        <v>143.66666666666666</v>
      </c>
      <c r="K683" s="16"/>
      <c r="L683" s="16">
        <f t="shared" ca="1" si="24"/>
        <v>140.36666666666665</v>
      </c>
      <c r="M683" s="16">
        <f t="shared" ca="1" si="25"/>
        <v>145.18333333333334</v>
      </c>
      <c r="N683" s="16">
        <f t="shared" ca="1" si="26"/>
        <v>138.58333333333331</v>
      </c>
    </row>
    <row r="684" spans="1:14" ht="24.75" customHeight="1" x14ac:dyDescent="0.8">
      <c r="A684" s="18" t="s">
        <v>647</v>
      </c>
      <c r="B684" s="10">
        <f ca="1">IFERROR(__xludf.DUMMYFUNCTION("GOOGLEFINANCE(A684,""PRICE"")"),1003.25)</f>
        <v>1003.25</v>
      </c>
      <c r="C684" s="11">
        <f ca="1">IFERROR(__xludf.DUMMYFUNCTION("GOOGLEFINANCE(A684,""PRICEOPEN"")"),980.3)</f>
        <v>980.3</v>
      </c>
      <c r="D684" s="11">
        <f ca="1">IFERROR(__xludf.DUMMYFUNCTION("GOOGLEFINANCE(A684,""HIGH"")"),1005.85)</f>
        <v>1005.85</v>
      </c>
      <c r="E684" s="11">
        <f ca="1">IFERROR(__xludf.DUMMYFUNCTION("GOOGLEFINANCE(A684,""LOW"")"),971)</f>
        <v>971</v>
      </c>
      <c r="F684" s="12" t="str">
        <f t="shared" ca="1" si="21"/>
        <v/>
      </c>
      <c r="G684" s="13">
        <f ca="1">IFERROR(__xludf.DUMMYFUNCTION("GOOGLEFINANCE(A684,""CLOSEYEST"")"),980.3)</f>
        <v>980.3</v>
      </c>
      <c r="H684" s="14" t="str">
        <f t="shared" ca="1" si="27"/>
        <v/>
      </c>
      <c r="I684" s="15">
        <f t="shared" ca="1" si="22"/>
        <v>985.71666666666658</v>
      </c>
      <c r="J684" s="16">
        <f t="shared" ca="1" si="23"/>
        <v>1000.4333333333332</v>
      </c>
      <c r="K684" s="16"/>
      <c r="L684" s="16">
        <f t="shared" ca="1" si="24"/>
        <v>965.58333333333314</v>
      </c>
      <c r="M684" s="16">
        <f t="shared" ca="1" si="25"/>
        <v>1020.5666666666666</v>
      </c>
      <c r="N684" s="16">
        <f t="shared" ca="1" si="26"/>
        <v>950.86666666666656</v>
      </c>
    </row>
    <row r="685" spans="1:14" ht="24.75" customHeight="1" x14ac:dyDescent="0.8">
      <c r="A685" s="18" t="s">
        <v>648</v>
      </c>
      <c r="B685" s="10" t="str">
        <f ca="1">IFERROR(__xludf.DUMMYFUNCTION("GOOGLEFINANCE(A685,""PRICE"")"),"#N/A")</f>
        <v>#N/A</v>
      </c>
      <c r="C685" s="11" t="str">
        <f ca="1">IFERROR(__xludf.DUMMYFUNCTION("GOOGLEFINANCE(A685,""PRICEOPEN"")"),"#N/A")</f>
        <v>#N/A</v>
      </c>
      <c r="D685" s="11" t="str">
        <f ca="1">IFERROR(__xludf.DUMMYFUNCTION("GOOGLEFINANCE(A685,""HIGH"")"),"#N/A")</f>
        <v>#N/A</v>
      </c>
      <c r="E685" s="11" t="str">
        <f ca="1">IFERROR(__xludf.DUMMYFUNCTION("GOOGLEFINANCE(A685,""LOW"")"),"#N/A")</f>
        <v>#N/A</v>
      </c>
      <c r="F685" s="12" t="str">
        <f t="shared" ca="1" si="21"/>
        <v>SELL</v>
      </c>
      <c r="G685" s="13" t="str">
        <f ca="1">IFERROR(__xludf.DUMMYFUNCTION("GOOGLEFINANCE(A685,""CLOSEYEST"")"),"#N/A")</f>
        <v>#N/A</v>
      </c>
      <c r="H685" s="14" t="e">
        <f t="shared" ca="1" si="27"/>
        <v>#VALUE!</v>
      </c>
      <c r="I685" s="15" t="e">
        <f t="shared" ca="1" si="22"/>
        <v>#VALUE!</v>
      </c>
      <c r="J685" s="16" t="e">
        <f t="shared" ca="1" si="23"/>
        <v>#VALUE!</v>
      </c>
      <c r="K685" s="16"/>
      <c r="L685" s="16" t="e">
        <f t="shared" ca="1" si="24"/>
        <v>#VALUE!</v>
      </c>
      <c r="M685" s="16" t="e">
        <f t="shared" ca="1" si="25"/>
        <v>#VALUE!</v>
      </c>
      <c r="N685" s="16" t="e">
        <f t="shared" ca="1" si="26"/>
        <v>#VALUE!</v>
      </c>
    </row>
    <row r="686" spans="1:14" ht="24.75" customHeight="1" x14ac:dyDescent="0.8">
      <c r="A686" s="18" t="s">
        <v>649</v>
      </c>
      <c r="B686" s="10">
        <f ca="1">IFERROR(__xludf.DUMMYFUNCTION("GOOGLEFINANCE(A686,""PRICE"")"),2719)</f>
        <v>2719</v>
      </c>
      <c r="C686" s="11">
        <f ca="1">IFERROR(__xludf.DUMMYFUNCTION("GOOGLEFINANCE(A686,""PRICEOPEN"")"),2655)</f>
        <v>2655</v>
      </c>
      <c r="D686" s="11">
        <f ca="1">IFERROR(__xludf.DUMMYFUNCTION("GOOGLEFINANCE(A686,""HIGH"")"),2733.8)</f>
        <v>2733.8</v>
      </c>
      <c r="E686" s="11">
        <f ca="1">IFERROR(__xludf.DUMMYFUNCTION("GOOGLEFINANCE(A686,""LOW"")"),2632.2)</f>
        <v>2632.2</v>
      </c>
      <c r="F686" s="12" t="str">
        <f t="shared" ca="1" si="21"/>
        <v/>
      </c>
      <c r="G686" s="13">
        <f ca="1">IFERROR(__xludf.DUMMYFUNCTION("GOOGLEFINANCE(A686,""CLOSEYEST"")"),2644.2)</f>
        <v>2644.2</v>
      </c>
      <c r="H686" s="14" t="str">
        <f t="shared" ca="1" si="27"/>
        <v/>
      </c>
      <c r="I686" s="15">
        <f t="shared" ca="1" si="22"/>
        <v>2670.0666666666666</v>
      </c>
      <c r="J686" s="16">
        <f t="shared" ca="1" si="23"/>
        <v>2707.9333333333334</v>
      </c>
      <c r="K686" s="16"/>
      <c r="L686" s="16">
        <f t="shared" ca="1" si="24"/>
        <v>2606.333333333333</v>
      </c>
      <c r="M686" s="16">
        <f t="shared" ca="1" si="25"/>
        <v>2771.666666666667</v>
      </c>
      <c r="N686" s="16">
        <f t="shared" ca="1" si="26"/>
        <v>2568.4666666666662</v>
      </c>
    </row>
    <row r="687" spans="1:14" ht="24.75" customHeight="1" x14ac:dyDescent="0.8">
      <c r="A687" s="18" t="s">
        <v>650</v>
      </c>
      <c r="B687" s="10">
        <f ca="1">IFERROR(__xludf.DUMMYFUNCTION("GOOGLEFINANCE(A687,""PRICE"")"),1378)</f>
        <v>1378</v>
      </c>
      <c r="C687" s="11">
        <f ca="1">IFERROR(__xludf.DUMMYFUNCTION("GOOGLEFINANCE(A687,""PRICEOPEN"")"),1340)</f>
        <v>1340</v>
      </c>
      <c r="D687" s="11">
        <f ca="1">IFERROR(__xludf.DUMMYFUNCTION("GOOGLEFINANCE(A687,""HIGH"")"),1383.7)</f>
        <v>1383.7</v>
      </c>
      <c r="E687" s="11">
        <f ca="1">IFERROR(__xludf.DUMMYFUNCTION("GOOGLEFINANCE(A687,""LOW"")"),1329.7)</f>
        <v>1329.7</v>
      </c>
      <c r="F687" s="12" t="str">
        <f t="shared" ca="1" si="21"/>
        <v/>
      </c>
      <c r="G687" s="13">
        <f ca="1">IFERROR(__xludf.DUMMYFUNCTION("GOOGLEFINANCE(A687,""CLOSEYEST"")"),1338.5)</f>
        <v>1338.5</v>
      </c>
      <c r="H687" s="14" t="str">
        <f t="shared" ca="1" si="27"/>
        <v/>
      </c>
      <c r="I687" s="15">
        <f t="shared" ca="1" si="22"/>
        <v>1350.6333333333334</v>
      </c>
      <c r="J687" s="16">
        <f t="shared" ca="1" si="23"/>
        <v>1371.5666666666668</v>
      </c>
      <c r="K687" s="16"/>
      <c r="L687" s="16">
        <f t="shared" ca="1" si="24"/>
        <v>1317.5666666666668</v>
      </c>
      <c r="M687" s="16">
        <f t="shared" ca="1" si="25"/>
        <v>1404.6333333333334</v>
      </c>
      <c r="N687" s="16">
        <f t="shared" ca="1" si="26"/>
        <v>1296.6333333333334</v>
      </c>
    </row>
    <row r="688" spans="1:14" ht="24.75" customHeight="1" x14ac:dyDescent="0.8">
      <c r="A688" s="18" t="s">
        <v>651</v>
      </c>
      <c r="B688" s="10" t="str">
        <f ca="1">IFERROR(__xludf.DUMMYFUNCTION("GOOGLEFINANCE(A688,""PRICE"")"),"#N/A")</f>
        <v>#N/A</v>
      </c>
      <c r="C688" s="11" t="str">
        <f ca="1">IFERROR(__xludf.DUMMYFUNCTION("GOOGLEFINANCE(A688,""PRICEOPEN"")"),"#N/A")</f>
        <v>#N/A</v>
      </c>
      <c r="D688" s="11" t="str">
        <f ca="1">IFERROR(__xludf.DUMMYFUNCTION("GOOGLEFINANCE(A688,""HIGH"")"),"#N/A")</f>
        <v>#N/A</v>
      </c>
      <c r="E688" s="11" t="str">
        <f ca="1">IFERROR(__xludf.DUMMYFUNCTION("GOOGLEFINANCE(A688,""LOW"")"),"#N/A")</f>
        <v>#N/A</v>
      </c>
      <c r="F688" s="12" t="str">
        <f t="shared" ca="1" si="21"/>
        <v>SELL</v>
      </c>
      <c r="G688" s="13" t="str">
        <f ca="1">IFERROR(__xludf.DUMMYFUNCTION("GOOGLEFINANCE(A688,""CLOSEYEST"")"),"#N/A")</f>
        <v>#N/A</v>
      </c>
      <c r="H688" s="14" t="e">
        <f t="shared" ca="1" si="27"/>
        <v>#VALUE!</v>
      </c>
      <c r="I688" s="15" t="e">
        <f t="shared" ca="1" si="22"/>
        <v>#VALUE!</v>
      </c>
      <c r="J688" s="16" t="e">
        <f t="shared" ca="1" si="23"/>
        <v>#VALUE!</v>
      </c>
      <c r="K688" s="16"/>
      <c r="L688" s="16" t="e">
        <f t="shared" ca="1" si="24"/>
        <v>#VALUE!</v>
      </c>
      <c r="M688" s="16" t="e">
        <f t="shared" ca="1" si="25"/>
        <v>#VALUE!</v>
      </c>
      <c r="N688" s="16" t="e">
        <f t="shared" ca="1" si="26"/>
        <v>#VALUE!</v>
      </c>
    </row>
    <row r="689" spans="1:14" ht="24.75" customHeight="1" x14ac:dyDescent="0.8">
      <c r="A689" s="18" t="s">
        <v>652</v>
      </c>
      <c r="B689" s="10">
        <f ca="1">IFERROR(__xludf.DUMMYFUNCTION("GOOGLEFINANCE(A689,""PRICE"")"),577.5)</f>
        <v>577.5</v>
      </c>
      <c r="C689" s="11">
        <f ca="1">IFERROR(__xludf.DUMMYFUNCTION("GOOGLEFINANCE(A689,""PRICEOPEN"")"),552.9)</f>
        <v>552.9</v>
      </c>
      <c r="D689" s="11">
        <f ca="1">IFERROR(__xludf.DUMMYFUNCTION("GOOGLEFINANCE(A689,""HIGH"")"),579.35)</f>
        <v>579.35</v>
      </c>
      <c r="E689" s="11">
        <f ca="1">IFERROR(__xludf.DUMMYFUNCTION("GOOGLEFINANCE(A689,""LOW"")"),550)</f>
        <v>550</v>
      </c>
      <c r="F689" s="12" t="str">
        <f t="shared" ca="1" si="21"/>
        <v/>
      </c>
      <c r="G689" s="13">
        <f ca="1">IFERROR(__xludf.DUMMYFUNCTION("GOOGLEFINANCE(A689,""CLOSEYEST"")"),550.75)</f>
        <v>550.75</v>
      </c>
      <c r="H689" s="14" t="str">
        <f t="shared" ca="1" si="27"/>
        <v/>
      </c>
      <c r="I689" s="15">
        <f t="shared" ca="1" si="22"/>
        <v>560.0333333333333</v>
      </c>
      <c r="J689" s="16">
        <f t="shared" ca="1" si="23"/>
        <v>570.06666666666661</v>
      </c>
      <c r="K689" s="16"/>
      <c r="L689" s="16">
        <f t="shared" ca="1" si="24"/>
        <v>540.71666666666658</v>
      </c>
      <c r="M689" s="16">
        <f t="shared" ca="1" si="25"/>
        <v>589.38333333333333</v>
      </c>
      <c r="N689" s="16">
        <f t="shared" ca="1" si="26"/>
        <v>530.68333333333328</v>
      </c>
    </row>
    <row r="690" spans="1:14" ht="24.75" customHeight="1" x14ac:dyDescent="0.8">
      <c r="A690" s="18" t="s">
        <v>653</v>
      </c>
      <c r="B690" s="10">
        <f ca="1">IFERROR(__xludf.DUMMYFUNCTION("GOOGLEFINANCE(A690,""PRICE"")"),103.2)</f>
        <v>103.2</v>
      </c>
      <c r="C690" s="11">
        <f ca="1">IFERROR(__xludf.DUMMYFUNCTION("GOOGLEFINANCE(A690,""PRICEOPEN"")"),103)</f>
        <v>103</v>
      </c>
      <c r="D690" s="11">
        <f ca="1">IFERROR(__xludf.DUMMYFUNCTION("GOOGLEFINANCE(A690,""HIGH"")"),103.66)</f>
        <v>103.66</v>
      </c>
      <c r="E690" s="11">
        <f ca="1">IFERROR(__xludf.DUMMYFUNCTION("GOOGLEFINANCE(A690,""LOW"")"),102.56)</f>
        <v>102.56</v>
      </c>
      <c r="F690" s="12" t="str">
        <f t="shared" ca="1" si="21"/>
        <v/>
      </c>
      <c r="G690" s="13">
        <f ca="1">IFERROR(__xludf.DUMMYFUNCTION("GOOGLEFINANCE(A690,""CLOSEYEST"")"),103.45)</f>
        <v>103.45</v>
      </c>
      <c r="H690" s="14" t="str">
        <f t="shared" ca="1" si="27"/>
        <v/>
      </c>
      <c r="I690" s="15">
        <f t="shared" ca="1" si="22"/>
        <v>103.22333333333334</v>
      </c>
      <c r="J690" s="16">
        <f t="shared" ca="1" si="23"/>
        <v>103.88666666666668</v>
      </c>
      <c r="K690" s="16"/>
      <c r="L690" s="16">
        <f t="shared" ca="1" si="24"/>
        <v>102.78666666666669</v>
      </c>
      <c r="M690" s="16">
        <f t="shared" ca="1" si="25"/>
        <v>104.32333333333334</v>
      </c>
      <c r="N690" s="16">
        <f t="shared" ca="1" si="26"/>
        <v>102.12333333333335</v>
      </c>
    </row>
    <row r="691" spans="1:14" ht="24.75" customHeight="1" x14ac:dyDescent="0.8">
      <c r="A691" s="18" t="s">
        <v>654</v>
      </c>
      <c r="B691" s="10">
        <f ca="1">IFERROR(__xludf.DUMMYFUNCTION("GOOGLEFINANCE(A691,""PRICE"")"),0.19)</f>
        <v>0.19</v>
      </c>
      <c r="C691" s="11">
        <f ca="1">IFERROR(__xludf.DUMMYFUNCTION("GOOGLEFINANCE(A691,""PRICEOPEN"")"),0.18)</f>
        <v>0.18</v>
      </c>
      <c r="D691" s="11">
        <f ca="1">IFERROR(__xludf.DUMMYFUNCTION("GOOGLEFINANCE(A691,""HIGH"")"),0.2)</f>
        <v>0.2</v>
      </c>
      <c r="E691" s="11">
        <f ca="1">IFERROR(__xludf.DUMMYFUNCTION("GOOGLEFINANCE(A691,""LOW"")"),0.18)</f>
        <v>0.18</v>
      </c>
      <c r="F691" s="12" t="str">
        <f t="shared" ca="1" si="21"/>
        <v>BUY</v>
      </c>
      <c r="G691" s="13">
        <f ca="1">IFERROR(__xludf.DUMMYFUNCTION("GOOGLEFINANCE(A691,""CLOSEYEST"")"),0.18)</f>
        <v>0.18</v>
      </c>
      <c r="H691" s="14" t="str">
        <f t="shared" ca="1" si="27"/>
        <v/>
      </c>
      <c r="I691" s="15">
        <f t="shared" ca="1" si="22"/>
        <v>0.18666666666666668</v>
      </c>
      <c r="J691" s="16">
        <f t="shared" ca="1" si="23"/>
        <v>0.19333333333333336</v>
      </c>
      <c r="K691" s="16"/>
      <c r="L691" s="16">
        <f t="shared" ca="1" si="24"/>
        <v>0.17333333333333334</v>
      </c>
      <c r="M691" s="16">
        <f t="shared" ca="1" si="25"/>
        <v>0.20666666666666669</v>
      </c>
      <c r="N691" s="16">
        <f t="shared" ca="1" si="26"/>
        <v>0.16666666666666666</v>
      </c>
    </row>
    <row r="692" spans="1:14" ht="24.75" customHeight="1" x14ac:dyDescent="0.8">
      <c r="A692" s="18" t="s">
        <v>655</v>
      </c>
      <c r="B692" s="10">
        <f ca="1">IFERROR(__xludf.DUMMYFUNCTION("GOOGLEFINANCE(A692,""PRICE"")"),854)</f>
        <v>854</v>
      </c>
      <c r="C692" s="11">
        <f ca="1">IFERROR(__xludf.DUMMYFUNCTION("GOOGLEFINANCE(A692,""PRICEOPEN"")"),847)</f>
        <v>847</v>
      </c>
      <c r="D692" s="11">
        <f ca="1">IFERROR(__xludf.DUMMYFUNCTION("GOOGLEFINANCE(A692,""HIGH"")"),869)</f>
        <v>869</v>
      </c>
      <c r="E692" s="11">
        <f ca="1">IFERROR(__xludf.DUMMYFUNCTION("GOOGLEFINANCE(A692,""LOW"")"),832.8)</f>
        <v>832.8</v>
      </c>
      <c r="F692" s="12" t="str">
        <f t="shared" ca="1" si="21"/>
        <v/>
      </c>
      <c r="G692" s="13">
        <f ca="1">IFERROR(__xludf.DUMMYFUNCTION("GOOGLEFINANCE(A692,""CLOSEYEST"")"),827.95)</f>
        <v>827.95</v>
      </c>
      <c r="H692" s="14" t="str">
        <f t="shared" ca="1" si="27"/>
        <v>GAP UP</v>
      </c>
      <c r="I692" s="15">
        <f t="shared" ca="1" si="22"/>
        <v>843.25</v>
      </c>
      <c r="J692" s="16">
        <f t="shared" ca="1" si="23"/>
        <v>853.7</v>
      </c>
      <c r="K692" s="16"/>
      <c r="L692" s="16">
        <f t="shared" ca="1" si="24"/>
        <v>817.5</v>
      </c>
      <c r="M692" s="16">
        <f t="shared" ca="1" si="25"/>
        <v>879.45</v>
      </c>
      <c r="N692" s="16">
        <f t="shared" ca="1" si="26"/>
        <v>807.05</v>
      </c>
    </row>
    <row r="693" spans="1:14" ht="24.75" customHeight="1" x14ac:dyDescent="0.8">
      <c r="A693" s="18" t="s">
        <v>656</v>
      </c>
      <c r="B693" s="10" t="str">
        <f ca="1">IFERROR(__xludf.DUMMYFUNCTION("GOOGLEFINANCE(A693,""PRICE"")"),"#N/A")</f>
        <v>#N/A</v>
      </c>
      <c r="C693" s="11" t="str">
        <f ca="1">IFERROR(__xludf.DUMMYFUNCTION("GOOGLEFINANCE(A693,""PRICEOPEN"")"),"#N/A")</f>
        <v>#N/A</v>
      </c>
      <c r="D693" s="11" t="str">
        <f ca="1">IFERROR(__xludf.DUMMYFUNCTION("GOOGLEFINANCE(A693,""HIGH"")"),"#N/A")</f>
        <v>#N/A</v>
      </c>
      <c r="E693" s="11" t="str">
        <f ca="1">IFERROR(__xludf.DUMMYFUNCTION("GOOGLEFINANCE(A693,""LOW"")"),"#N/A")</f>
        <v>#N/A</v>
      </c>
      <c r="F693" s="12" t="str">
        <f t="shared" ca="1" si="21"/>
        <v>SELL</v>
      </c>
      <c r="G693" s="13" t="str">
        <f ca="1">IFERROR(__xludf.DUMMYFUNCTION("GOOGLEFINANCE(A693,""CLOSEYEST"")"),"#N/A")</f>
        <v>#N/A</v>
      </c>
      <c r="H693" s="14" t="e">
        <f t="shared" ca="1" si="27"/>
        <v>#VALUE!</v>
      </c>
      <c r="I693" s="15" t="e">
        <f t="shared" ca="1" si="22"/>
        <v>#VALUE!</v>
      </c>
      <c r="J693" s="16" t="e">
        <f t="shared" ca="1" si="23"/>
        <v>#VALUE!</v>
      </c>
      <c r="K693" s="16"/>
      <c r="L693" s="16" t="e">
        <f t="shared" ca="1" si="24"/>
        <v>#VALUE!</v>
      </c>
      <c r="M693" s="16" t="e">
        <f t="shared" ca="1" si="25"/>
        <v>#VALUE!</v>
      </c>
      <c r="N693" s="16" t="e">
        <f t="shared" ca="1" si="26"/>
        <v>#VALUE!</v>
      </c>
    </row>
    <row r="694" spans="1:14" ht="24.75" customHeight="1" x14ac:dyDescent="0.8">
      <c r="A694" s="18" t="s">
        <v>657</v>
      </c>
      <c r="B694" s="10">
        <f ca="1">IFERROR(__xludf.DUMMYFUNCTION("GOOGLEFINANCE(A694,""PRICE"")"),722)</f>
        <v>722</v>
      </c>
      <c r="C694" s="11">
        <f ca="1">IFERROR(__xludf.DUMMYFUNCTION("GOOGLEFINANCE(A694,""PRICEOPEN"")"),714.5)</f>
        <v>714.5</v>
      </c>
      <c r="D694" s="11">
        <f ca="1">IFERROR(__xludf.DUMMYFUNCTION("GOOGLEFINANCE(A694,""HIGH"")"),726.45)</f>
        <v>726.45</v>
      </c>
      <c r="E694" s="11">
        <f ca="1">IFERROR(__xludf.DUMMYFUNCTION("GOOGLEFINANCE(A694,""LOW"")"),714.5)</f>
        <v>714.5</v>
      </c>
      <c r="F694" s="12" t="str">
        <f t="shared" ca="1" si="21"/>
        <v>BUY</v>
      </c>
      <c r="G694" s="13">
        <f ca="1">IFERROR(__xludf.DUMMYFUNCTION("GOOGLEFINANCE(A694,""CLOSEYEST"")"),714.25)</f>
        <v>714.25</v>
      </c>
      <c r="H694" s="14" t="str">
        <f t="shared" ca="1" si="27"/>
        <v/>
      </c>
      <c r="I694" s="15">
        <f t="shared" ca="1" si="22"/>
        <v>718.4</v>
      </c>
      <c r="J694" s="16">
        <f t="shared" ca="1" si="23"/>
        <v>722.3</v>
      </c>
      <c r="K694" s="16"/>
      <c r="L694" s="16">
        <f t="shared" ca="1" si="24"/>
        <v>710.34999999999991</v>
      </c>
      <c r="M694" s="16">
        <f t="shared" ca="1" si="25"/>
        <v>730.35</v>
      </c>
      <c r="N694" s="16">
        <f t="shared" ca="1" si="26"/>
        <v>706.44999999999993</v>
      </c>
    </row>
    <row r="695" spans="1:14" ht="24.75" customHeight="1" x14ac:dyDescent="0.8">
      <c r="A695" s="18" t="s">
        <v>658</v>
      </c>
      <c r="B695" s="10">
        <f ca="1">IFERROR(__xludf.DUMMYFUNCTION("GOOGLEFINANCE(A695,""PRICE"")"),613)</f>
        <v>613</v>
      </c>
      <c r="C695" s="11">
        <f ca="1">IFERROR(__xludf.DUMMYFUNCTION("GOOGLEFINANCE(A695,""PRICEOPEN"")"),621.95)</f>
        <v>621.95000000000005</v>
      </c>
      <c r="D695" s="11">
        <f ca="1">IFERROR(__xludf.DUMMYFUNCTION("GOOGLEFINANCE(A695,""HIGH"")"),639)</f>
        <v>639</v>
      </c>
      <c r="E695" s="11">
        <f ca="1">IFERROR(__xludf.DUMMYFUNCTION("GOOGLEFINANCE(A695,""LOW"")"),599.05)</f>
        <v>599.04999999999995</v>
      </c>
      <c r="F695" s="12" t="str">
        <f t="shared" ca="1" si="21"/>
        <v/>
      </c>
      <c r="G695" s="13">
        <f ca="1">IFERROR(__xludf.DUMMYFUNCTION("GOOGLEFINANCE(A695,""CLOSEYEST"")"),620.6)</f>
        <v>620.6</v>
      </c>
      <c r="H695" s="14" t="str">
        <f t="shared" ca="1" si="27"/>
        <v/>
      </c>
      <c r="I695" s="15">
        <f t="shared" ca="1" si="22"/>
        <v>619.55000000000007</v>
      </c>
      <c r="J695" s="16">
        <f t="shared" ca="1" si="23"/>
        <v>640.05000000000018</v>
      </c>
      <c r="K695" s="16"/>
      <c r="L695" s="16">
        <f t="shared" ca="1" si="24"/>
        <v>600.10000000000014</v>
      </c>
      <c r="M695" s="16">
        <f t="shared" ca="1" si="25"/>
        <v>659.50000000000011</v>
      </c>
      <c r="N695" s="16">
        <f t="shared" ca="1" si="26"/>
        <v>579.6</v>
      </c>
    </row>
    <row r="696" spans="1:14" ht="24.75" customHeight="1" x14ac:dyDescent="0.8">
      <c r="A696" s="18" t="s">
        <v>659</v>
      </c>
      <c r="B696" s="10">
        <f ca="1">IFERROR(__xludf.DUMMYFUNCTION("GOOGLEFINANCE(A696,""PRICE"")"),105.9)</f>
        <v>105.9</v>
      </c>
      <c r="C696" s="11">
        <f ca="1">IFERROR(__xludf.DUMMYFUNCTION("GOOGLEFINANCE(A696,""PRICEOPEN"")"),106.4)</f>
        <v>106.4</v>
      </c>
      <c r="D696" s="11">
        <f ca="1">IFERROR(__xludf.DUMMYFUNCTION("GOOGLEFINANCE(A696,""HIGH"")"),107.85)</f>
        <v>107.85</v>
      </c>
      <c r="E696" s="11">
        <f ca="1">IFERROR(__xludf.DUMMYFUNCTION("GOOGLEFINANCE(A696,""LOW"")"),104.81)</f>
        <v>104.81</v>
      </c>
      <c r="F696" s="12" t="str">
        <f t="shared" ca="1" si="21"/>
        <v/>
      </c>
      <c r="G696" s="13">
        <f ca="1">IFERROR(__xludf.DUMMYFUNCTION("GOOGLEFINANCE(A696,""CLOSEYEST"")"),106.99)</f>
        <v>106.99</v>
      </c>
      <c r="H696" s="14" t="str">
        <f t="shared" ca="1" si="27"/>
        <v/>
      </c>
      <c r="I696" s="15">
        <f t="shared" ca="1" si="22"/>
        <v>106.55</v>
      </c>
      <c r="J696" s="16">
        <f t="shared" ca="1" si="23"/>
        <v>108.28999999999999</v>
      </c>
      <c r="K696" s="16"/>
      <c r="L696" s="16">
        <f t="shared" ca="1" si="24"/>
        <v>105.25</v>
      </c>
      <c r="M696" s="16">
        <f t="shared" ca="1" si="25"/>
        <v>109.58999999999999</v>
      </c>
      <c r="N696" s="16">
        <f t="shared" ca="1" si="26"/>
        <v>103.51</v>
      </c>
    </row>
    <row r="697" spans="1:14" ht="24.75" customHeight="1" x14ac:dyDescent="0.8">
      <c r="A697" s="18" t="s">
        <v>660</v>
      </c>
      <c r="B697" s="10">
        <f ca="1">IFERROR(__xludf.DUMMYFUNCTION("GOOGLEFINANCE(A697,""PRICE"")"),299.15)</f>
        <v>299.14999999999998</v>
      </c>
      <c r="C697" s="11">
        <f ca="1">IFERROR(__xludf.DUMMYFUNCTION("GOOGLEFINANCE(A697,""PRICEOPEN"")"),296.95)</f>
        <v>296.95</v>
      </c>
      <c r="D697" s="11">
        <f ca="1">IFERROR(__xludf.DUMMYFUNCTION("GOOGLEFINANCE(A697,""HIGH"")"),301)</f>
        <v>301</v>
      </c>
      <c r="E697" s="11">
        <f ca="1">IFERROR(__xludf.DUMMYFUNCTION("GOOGLEFINANCE(A697,""LOW"")"),296.95)</f>
        <v>296.95</v>
      </c>
      <c r="F697" s="12" t="str">
        <f t="shared" ca="1" si="21"/>
        <v>BUY</v>
      </c>
      <c r="G697" s="13">
        <f ca="1">IFERROR(__xludf.DUMMYFUNCTION("GOOGLEFINANCE(A697,""CLOSEYEST"")"),296.8)</f>
        <v>296.8</v>
      </c>
      <c r="H697" s="14" t="str">
        <f t="shared" ca="1" si="27"/>
        <v/>
      </c>
      <c r="I697" s="15">
        <f t="shared" ca="1" si="22"/>
        <v>298.25</v>
      </c>
      <c r="J697" s="16">
        <f t="shared" ca="1" si="23"/>
        <v>299.55</v>
      </c>
      <c r="K697" s="16"/>
      <c r="L697" s="16">
        <f t="shared" ca="1" si="24"/>
        <v>295.5</v>
      </c>
      <c r="M697" s="16">
        <f t="shared" ca="1" si="25"/>
        <v>302.3</v>
      </c>
      <c r="N697" s="16">
        <f t="shared" ca="1" si="26"/>
        <v>294.2</v>
      </c>
    </row>
    <row r="698" spans="1:14" ht="24.75" customHeight="1" x14ac:dyDescent="0.8">
      <c r="A698" s="18" t="s">
        <v>661</v>
      </c>
      <c r="B698" s="10">
        <f ca="1">IFERROR(__xludf.DUMMYFUNCTION("GOOGLEFINANCE(A698,""PRICE"")"),51.87)</f>
        <v>51.87</v>
      </c>
      <c r="C698" s="11">
        <f ca="1">IFERROR(__xludf.DUMMYFUNCTION("GOOGLEFINANCE(A698,""PRICEOPEN"")"),52)</f>
        <v>52</v>
      </c>
      <c r="D698" s="11">
        <f ca="1">IFERROR(__xludf.DUMMYFUNCTION("GOOGLEFINANCE(A698,""HIGH"")"),52.32)</f>
        <v>52.32</v>
      </c>
      <c r="E698" s="11">
        <f ca="1">IFERROR(__xludf.DUMMYFUNCTION("GOOGLEFINANCE(A698,""LOW"")"),51.38)</f>
        <v>51.38</v>
      </c>
      <c r="F698" s="12" t="str">
        <f t="shared" ca="1" si="21"/>
        <v/>
      </c>
      <c r="G698" s="13">
        <f ca="1">IFERROR(__xludf.DUMMYFUNCTION("GOOGLEFINANCE(A698,""CLOSEYEST"")"),51.5)</f>
        <v>51.5</v>
      </c>
      <c r="H698" s="14" t="str">
        <f t="shared" ca="1" si="27"/>
        <v/>
      </c>
      <c r="I698" s="15">
        <f t="shared" ca="1" si="22"/>
        <v>51.733333333333327</v>
      </c>
      <c r="J698" s="16">
        <f t="shared" ca="1" si="23"/>
        <v>52.086666666666652</v>
      </c>
      <c r="K698" s="16"/>
      <c r="L698" s="16">
        <f t="shared" ca="1" si="24"/>
        <v>51.146666666666654</v>
      </c>
      <c r="M698" s="16">
        <f t="shared" ca="1" si="25"/>
        <v>52.673333333333325</v>
      </c>
      <c r="N698" s="16">
        <f t="shared" ca="1" si="26"/>
        <v>50.793333333333329</v>
      </c>
    </row>
    <row r="699" spans="1:14" ht="24.75" customHeight="1" x14ac:dyDescent="0.8">
      <c r="A699" s="18" t="s">
        <v>662</v>
      </c>
      <c r="B699" s="10">
        <f ca="1">IFERROR(__xludf.DUMMYFUNCTION("GOOGLEFINANCE(A699,""PRICE"")"),1.35)</f>
        <v>1.35</v>
      </c>
      <c r="C699" s="11">
        <f ca="1">IFERROR(__xludf.DUMMYFUNCTION("GOOGLEFINANCE(A699,""PRICEOPEN"")"),1.3)</f>
        <v>1.3</v>
      </c>
      <c r="D699" s="11">
        <f ca="1">IFERROR(__xludf.DUMMYFUNCTION("GOOGLEFINANCE(A699,""HIGH"")"),1.35)</f>
        <v>1.35</v>
      </c>
      <c r="E699" s="11">
        <f ca="1">IFERROR(__xludf.DUMMYFUNCTION("GOOGLEFINANCE(A699,""LOW"")"),1.3)</f>
        <v>1.3</v>
      </c>
      <c r="F699" s="12" t="str">
        <f t="shared" ca="1" si="21"/>
        <v>BUY</v>
      </c>
      <c r="G699" s="13">
        <f ca="1">IFERROR(__xludf.DUMMYFUNCTION("GOOGLEFINANCE(A699,""CLOSEYEST"")"),1.3)</f>
        <v>1.3</v>
      </c>
      <c r="H699" s="14" t="str">
        <f t="shared" ca="1" si="27"/>
        <v/>
      </c>
      <c r="I699" s="15">
        <f t="shared" ca="1" si="22"/>
        <v>1.3166666666666667</v>
      </c>
      <c r="J699" s="16">
        <f t="shared" ca="1" si="23"/>
        <v>1.3333333333333333</v>
      </c>
      <c r="K699" s="16"/>
      <c r="L699" s="16">
        <f t="shared" ca="1" si="24"/>
        <v>1.2833333333333332</v>
      </c>
      <c r="M699" s="16">
        <f t="shared" ca="1" si="25"/>
        <v>1.3666666666666667</v>
      </c>
      <c r="N699" s="16">
        <f t="shared" ca="1" si="26"/>
        <v>1.2666666666666666</v>
      </c>
    </row>
    <row r="700" spans="1:14" ht="24.75" customHeight="1" x14ac:dyDescent="0.8">
      <c r="A700" s="18" t="s">
        <v>663</v>
      </c>
      <c r="B700" s="10">
        <f ca="1">IFERROR(__xludf.DUMMYFUNCTION("GOOGLEFINANCE(A700,""PRICE"")"),328)</f>
        <v>328</v>
      </c>
      <c r="C700" s="11">
        <f ca="1">IFERROR(__xludf.DUMMYFUNCTION("GOOGLEFINANCE(A700,""PRICEOPEN"")"),331.25)</f>
        <v>331.25</v>
      </c>
      <c r="D700" s="11">
        <f ca="1">IFERROR(__xludf.DUMMYFUNCTION("GOOGLEFINANCE(A700,""HIGH"")"),333.35)</f>
        <v>333.35</v>
      </c>
      <c r="E700" s="11">
        <f ca="1">IFERROR(__xludf.DUMMYFUNCTION("GOOGLEFINANCE(A700,""LOW"")"),326)</f>
        <v>326</v>
      </c>
      <c r="F700" s="12" t="str">
        <f t="shared" ca="1" si="21"/>
        <v/>
      </c>
      <c r="G700" s="13">
        <f ca="1">IFERROR(__xludf.DUMMYFUNCTION("GOOGLEFINANCE(A700,""CLOSEYEST"")"),329.2)</f>
        <v>329.2</v>
      </c>
      <c r="H700" s="14" t="str">
        <f t="shared" ca="1" si="27"/>
        <v/>
      </c>
      <c r="I700" s="15">
        <f t="shared" ca="1" si="22"/>
        <v>329.51666666666665</v>
      </c>
      <c r="J700" s="16">
        <f t="shared" ca="1" si="23"/>
        <v>333.0333333333333</v>
      </c>
      <c r="K700" s="16"/>
      <c r="L700" s="16">
        <f t="shared" ca="1" si="24"/>
        <v>325.68333333333328</v>
      </c>
      <c r="M700" s="16">
        <f t="shared" ca="1" si="25"/>
        <v>336.86666666666667</v>
      </c>
      <c r="N700" s="16">
        <f t="shared" ca="1" si="26"/>
        <v>322.16666666666663</v>
      </c>
    </row>
    <row r="701" spans="1:14" ht="24.75" customHeight="1" x14ac:dyDescent="0.8">
      <c r="A701" s="18" t="s">
        <v>664</v>
      </c>
      <c r="B701" s="10">
        <f ca="1">IFERROR(__xludf.DUMMYFUNCTION("GOOGLEFINANCE(A701,""PRICE"")"),902.4)</f>
        <v>902.4</v>
      </c>
      <c r="C701" s="11">
        <f ca="1">IFERROR(__xludf.DUMMYFUNCTION("GOOGLEFINANCE(A701,""PRICEOPEN"")"),928)</f>
        <v>928</v>
      </c>
      <c r="D701" s="11">
        <f ca="1">IFERROR(__xludf.DUMMYFUNCTION("GOOGLEFINANCE(A701,""HIGH"")"),928.5)</f>
        <v>928.5</v>
      </c>
      <c r="E701" s="11">
        <f ca="1">IFERROR(__xludf.DUMMYFUNCTION("GOOGLEFINANCE(A701,""LOW"")"),893.15)</f>
        <v>893.15</v>
      </c>
      <c r="F701" s="12" t="str">
        <f t="shared" ca="1" si="21"/>
        <v/>
      </c>
      <c r="G701" s="13">
        <f ca="1">IFERROR(__xludf.DUMMYFUNCTION("GOOGLEFINANCE(A701,""CLOSEYEST"")"),925.95)</f>
        <v>925.95</v>
      </c>
      <c r="H701" s="14" t="str">
        <f t="shared" ca="1" si="27"/>
        <v/>
      </c>
      <c r="I701" s="15">
        <f t="shared" ca="1" si="22"/>
        <v>915.86666666666679</v>
      </c>
      <c r="J701" s="16">
        <f t="shared" ca="1" si="23"/>
        <v>938.5833333333336</v>
      </c>
      <c r="K701" s="16"/>
      <c r="L701" s="16">
        <f t="shared" ca="1" si="24"/>
        <v>903.23333333333358</v>
      </c>
      <c r="M701" s="16">
        <f t="shared" ca="1" si="25"/>
        <v>951.21666666666681</v>
      </c>
      <c r="N701" s="16">
        <f t="shared" ca="1" si="26"/>
        <v>880.51666666666677</v>
      </c>
    </row>
    <row r="702" spans="1:14" ht="24.75" customHeight="1" x14ac:dyDescent="0.8">
      <c r="A702" s="18" t="s">
        <v>665</v>
      </c>
      <c r="B702" s="10">
        <f ca="1">IFERROR(__xludf.DUMMYFUNCTION("GOOGLEFINANCE(A702,""PRICE"")"),131.8)</f>
        <v>131.80000000000001</v>
      </c>
      <c r="C702" s="11">
        <f ca="1">IFERROR(__xludf.DUMMYFUNCTION("GOOGLEFINANCE(A702,""PRICEOPEN"")"),128.59)</f>
        <v>128.59</v>
      </c>
      <c r="D702" s="11">
        <f ca="1">IFERROR(__xludf.DUMMYFUNCTION("GOOGLEFINANCE(A702,""HIGH"")"),132)</f>
        <v>132</v>
      </c>
      <c r="E702" s="11">
        <f ca="1">IFERROR(__xludf.DUMMYFUNCTION("GOOGLEFINANCE(A702,""LOW"")"),128.55)</f>
        <v>128.55000000000001</v>
      </c>
      <c r="F702" s="12" t="str">
        <f t="shared" ca="1" si="21"/>
        <v/>
      </c>
      <c r="G702" s="13">
        <f ca="1">IFERROR(__xludf.DUMMYFUNCTION("GOOGLEFINANCE(A702,""CLOSEYEST"")"),128.59)</f>
        <v>128.59</v>
      </c>
      <c r="H702" s="14" t="str">
        <f t="shared" ca="1" si="27"/>
        <v/>
      </c>
      <c r="I702" s="15">
        <f t="shared" ca="1" si="22"/>
        <v>129.71333333333334</v>
      </c>
      <c r="J702" s="16">
        <f t="shared" ca="1" si="23"/>
        <v>130.87666666666667</v>
      </c>
      <c r="K702" s="16"/>
      <c r="L702" s="16">
        <f t="shared" ca="1" si="24"/>
        <v>127.42666666666668</v>
      </c>
      <c r="M702" s="16">
        <f t="shared" ca="1" si="25"/>
        <v>133.16333333333333</v>
      </c>
      <c r="N702" s="16">
        <f t="shared" ca="1" si="26"/>
        <v>126.26333333333335</v>
      </c>
    </row>
    <row r="703" spans="1:14" ht="24.75" customHeight="1" x14ac:dyDescent="0.8">
      <c r="A703" s="18" t="s">
        <v>666</v>
      </c>
      <c r="B703" s="10" t="str">
        <f ca="1">IFERROR(__xludf.DUMMYFUNCTION("GOOGLEFINANCE(A703,""PRICE"")"),"#N/A")</f>
        <v>#N/A</v>
      </c>
      <c r="C703" s="11" t="str">
        <f ca="1">IFERROR(__xludf.DUMMYFUNCTION("GOOGLEFINANCE(A703,""PRICEOPEN"")"),"#N/A")</f>
        <v>#N/A</v>
      </c>
      <c r="D703" s="11" t="str">
        <f ca="1">IFERROR(__xludf.DUMMYFUNCTION("GOOGLEFINANCE(A703,""HIGH"")"),"#N/A")</f>
        <v>#N/A</v>
      </c>
      <c r="E703" s="11" t="str">
        <f ca="1">IFERROR(__xludf.DUMMYFUNCTION("GOOGLEFINANCE(A703,""LOW"")"),"#N/A")</f>
        <v>#N/A</v>
      </c>
      <c r="F703" s="12" t="str">
        <f t="shared" ca="1" si="21"/>
        <v>SELL</v>
      </c>
      <c r="G703" s="13" t="str">
        <f ca="1">IFERROR(__xludf.DUMMYFUNCTION("GOOGLEFINANCE(A703,""CLOSEYEST"")"),"#N/A")</f>
        <v>#N/A</v>
      </c>
      <c r="H703" s="14" t="e">
        <f t="shared" ca="1" si="27"/>
        <v>#VALUE!</v>
      </c>
      <c r="I703" s="15" t="e">
        <f t="shared" ca="1" si="22"/>
        <v>#VALUE!</v>
      </c>
      <c r="J703" s="16" t="e">
        <f t="shared" ca="1" si="23"/>
        <v>#VALUE!</v>
      </c>
      <c r="K703" s="16"/>
      <c r="L703" s="16" t="e">
        <f t="shared" ca="1" si="24"/>
        <v>#VALUE!</v>
      </c>
      <c r="M703" s="16" t="e">
        <f t="shared" ca="1" si="25"/>
        <v>#VALUE!</v>
      </c>
      <c r="N703" s="16" t="e">
        <f t="shared" ca="1" si="26"/>
        <v>#VALUE!</v>
      </c>
    </row>
    <row r="704" spans="1:14" ht="24.75" customHeight="1" x14ac:dyDescent="0.8">
      <c r="A704" s="18" t="s">
        <v>667</v>
      </c>
      <c r="B704" s="10">
        <f ca="1">IFERROR(__xludf.DUMMYFUNCTION("GOOGLEFINANCE(A704,""PRICE"")"),284.3)</f>
        <v>284.3</v>
      </c>
      <c r="C704" s="11">
        <f ca="1">IFERROR(__xludf.DUMMYFUNCTION("GOOGLEFINANCE(A704,""PRICEOPEN"")"),285.75)</f>
        <v>285.75</v>
      </c>
      <c r="D704" s="11">
        <f ca="1">IFERROR(__xludf.DUMMYFUNCTION("GOOGLEFINANCE(A704,""HIGH"")"),288.05)</f>
        <v>288.05</v>
      </c>
      <c r="E704" s="11">
        <f ca="1">IFERROR(__xludf.DUMMYFUNCTION("GOOGLEFINANCE(A704,""LOW"")"),282.35)</f>
        <v>282.35000000000002</v>
      </c>
      <c r="F704" s="12" t="str">
        <f t="shared" ca="1" si="21"/>
        <v/>
      </c>
      <c r="G704" s="13">
        <f ca="1">IFERROR(__xludf.DUMMYFUNCTION("GOOGLEFINANCE(A704,""CLOSEYEST"")"),287.2)</f>
        <v>287.2</v>
      </c>
      <c r="H704" s="14" t="str">
        <f t="shared" ca="1" si="27"/>
        <v/>
      </c>
      <c r="I704" s="15">
        <f t="shared" ca="1" si="22"/>
        <v>285.86666666666673</v>
      </c>
      <c r="J704" s="16">
        <f t="shared" ca="1" si="23"/>
        <v>289.38333333333344</v>
      </c>
      <c r="K704" s="16"/>
      <c r="L704" s="16">
        <f t="shared" ca="1" si="24"/>
        <v>283.68333333333345</v>
      </c>
      <c r="M704" s="16">
        <f t="shared" ca="1" si="25"/>
        <v>291.56666666666672</v>
      </c>
      <c r="N704" s="16">
        <f t="shared" ca="1" si="26"/>
        <v>280.16666666666674</v>
      </c>
    </row>
    <row r="705" spans="1:14" ht="24.75" customHeight="1" x14ac:dyDescent="0.8">
      <c r="A705" s="18" t="s">
        <v>668</v>
      </c>
      <c r="B705" s="10">
        <f ca="1">IFERROR(__xludf.DUMMYFUNCTION("GOOGLEFINANCE(A705,""PRICE"")"),119.27)</f>
        <v>119.27</v>
      </c>
      <c r="C705" s="11">
        <f ca="1">IFERROR(__xludf.DUMMYFUNCTION("GOOGLEFINANCE(A705,""PRICEOPEN"")"),119.25)</f>
        <v>119.25</v>
      </c>
      <c r="D705" s="11">
        <f ca="1">IFERROR(__xludf.DUMMYFUNCTION("GOOGLEFINANCE(A705,""HIGH"")"),121.97)</f>
        <v>121.97</v>
      </c>
      <c r="E705" s="11">
        <f ca="1">IFERROR(__xludf.DUMMYFUNCTION("GOOGLEFINANCE(A705,""LOW"")"),117.55)</f>
        <v>117.55</v>
      </c>
      <c r="F705" s="12" t="str">
        <f t="shared" ca="1" si="21"/>
        <v/>
      </c>
      <c r="G705" s="13">
        <f ca="1">IFERROR(__xludf.DUMMYFUNCTION("GOOGLEFINANCE(A705,""CLOSEYEST"")"),119.9)</f>
        <v>119.9</v>
      </c>
      <c r="H705" s="14" t="str">
        <f t="shared" ca="1" si="27"/>
        <v/>
      </c>
      <c r="I705" s="15">
        <f t="shared" ca="1" si="22"/>
        <v>119.80666666666666</v>
      </c>
      <c r="J705" s="16">
        <f t="shared" ca="1" si="23"/>
        <v>122.06333333333332</v>
      </c>
      <c r="K705" s="16"/>
      <c r="L705" s="16">
        <f t="shared" ca="1" si="24"/>
        <v>117.64333333333332</v>
      </c>
      <c r="M705" s="16">
        <f t="shared" ca="1" si="25"/>
        <v>124.22666666666666</v>
      </c>
      <c r="N705" s="16">
        <f t="shared" ca="1" si="26"/>
        <v>115.38666666666666</v>
      </c>
    </row>
    <row r="706" spans="1:14" ht="24.75" customHeight="1" x14ac:dyDescent="0.8">
      <c r="A706" s="18" t="s">
        <v>669</v>
      </c>
      <c r="B706" s="10">
        <f ca="1">IFERROR(__xludf.DUMMYFUNCTION("GOOGLEFINANCE(A706,""PRICE"")"),72)</f>
        <v>72</v>
      </c>
      <c r="C706" s="11">
        <f ca="1">IFERROR(__xludf.DUMMYFUNCTION("GOOGLEFINANCE(A706,""PRICEOPEN"")"),69.18)</f>
        <v>69.180000000000007</v>
      </c>
      <c r="D706" s="11">
        <f ca="1">IFERROR(__xludf.DUMMYFUNCTION("GOOGLEFINANCE(A706,""HIGH"")"),73.77)</f>
        <v>73.77</v>
      </c>
      <c r="E706" s="11">
        <f ca="1">IFERROR(__xludf.DUMMYFUNCTION("GOOGLEFINANCE(A706,""LOW"")"),69)</f>
        <v>69</v>
      </c>
      <c r="F706" s="12" t="str">
        <f t="shared" ca="1" si="21"/>
        <v/>
      </c>
      <c r="G706" s="13">
        <f ca="1">IFERROR(__xludf.DUMMYFUNCTION("GOOGLEFINANCE(A706,""CLOSEYEST"")"),69.18)</f>
        <v>69.180000000000007</v>
      </c>
      <c r="H706" s="14" t="str">
        <f t="shared" ca="1" si="27"/>
        <v/>
      </c>
      <c r="I706" s="15">
        <f t="shared" ca="1" si="22"/>
        <v>70.649999999999991</v>
      </c>
      <c r="J706" s="16">
        <f t="shared" ca="1" si="23"/>
        <v>72.299999999999983</v>
      </c>
      <c r="K706" s="16"/>
      <c r="L706" s="16">
        <f t="shared" ca="1" si="24"/>
        <v>67.529999999999987</v>
      </c>
      <c r="M706" s="16">
        <f t="shared" ca="1" si="25"/>
        <v>75.419999999999987</v>
      </c>
      <c r="N706" s="16">
        <f t="shared" ca="1" si="26"/>
        <v>65.88</v>
      </c>
    </row>
    <row r="707" spans="1:14" ht="24.75" customHeight="1" x14ac:dyDescent="0.8">
      <c r="A707" s="18" t="s">
        <v>670</v>
      </c>
      <c r="B707" s="10">
        <f ca="1">IFERROR(__xludf.DUMMYFUNCTION("GOOGLEFINANCE(A707,""PRICE"")"),166.9)</f>
        <v>166.9</v>
      </c>
      <c r="C707" s="11">
        <f ca="1">IFERROR(__xludf.DUMMYFUNCTION("GOOGLEFINANCE(A707,""PRICEOPEN"")"),167.3)</f>
        <v>167.3</v>
      </c>
      <c r="D707" s="11">
        <f ca="1">IFERROR(__xludf.DUMMYFUNCTION("GOOGLEFINANCE(A707,""HIGH"")"),168.34)</f>
        <v>168.34</v>
      </c>
      <c r="E707" s="11">
        <f ca="1">IFERROR(__xludf.DUMMYFUNCTION("GOOGLEFINANCE(A707,""LOW"")"),165.45)</f>
        <v>165.45</v>
      </c>
      <c r="F707" s="12" t="str">
        <f t="shared" ca="1" si="21"/>
        <v/>
      </c>
      <c r="G707" s="13">
        <f ca="1">IFERROR(__xludf.DUMMYFUNCTION("GOOGLEFINANCE(A707,""CLOSEYEST"")"),166.67)</f>
        <v>166.67</v>
      </c>
      <c r="H707" s="14" t="str">
        <f t="shared" ca="1" si="27"/>
        <v/>
      </c>
      <c r="I707" s="15">
        <f t="shared" ca="1" si="22"/>
        <v>166.81999999999996</v>
      </c>
      <c r="J707" s="16">
        <f t="shared" ca="1" si="23"/>
        <v>168.18999999999994</v>
      </c>
      <c r="K707" s="16"/>
      <c r="L707" s="16">
        <f t="shared" ca="1" si="24"/>
        <v>165.29999999999993</v>
      </c>
      <c r="M707" s="16">
        <f t="shared" ca="1" si="25"/>
        <v>169.70999999999998</v>
      </c>
      <c r="N707" s="16">
        <f t="shared" ca="1" si="26"/>
        <v>163.92999999999995</v>
      </c>
    </row>
    <row r="708" spans="1:14" ht="24.75" customHeight="1" x14ac:dyDescent="0.8">
      <c r="A708" s="18" t="s">
        <v>671</v>
      </c>
      <c r="B708" s="10">
        <f ca="1">IFERROR(__xludf.DUMMYFUNCTION("GOOGLEFINANCE(A708,""PRICE"")"),682)</f>
        <v>682</v>
      </c>
      <c r="C708" s="11">
        <f ca="1">IFERROR(__xludf.DUMMYFUNCTION("GOOGLEFINANCE(A708,""PRICEOPEN"")"),680)</f>
        <v>680</v>
      </c>
      <c r="D708" s="11">
        <f ca="1">IFERROR(__xludf.DUMMYFUNCTION("GOOGLEFINANCE(A708,""HIGH"")"),684)</f>
        <v>684</v>
      </c>
      <c r="E708" s="11">
        <f ca="1">IFERROR(__xludf.DUMMYFUNCTION("GOOGLEFINANCE(A708,""LOW"")"),667)</f>
        <v>667</v>
      </c>
      <c r="F708" s="12" t="str">
        <f t="shared" ca="1" si="21"/>
        <v/>
      </c>
      <c r="G708" s="13">
        <f ca="1">IFERROR(__xludf.DUMMYFUNCTION("GOOGLEFINANCE(A708,""CLOSEYEST"")"),674.8)</f>
        <v>674.8</v>
      </c>
      <c r="H708" s="14" t="str">
        <f t="shared" ca="1" si="27"/>
        <v/>
      </c>
      <c r="I708" s="15">
        <f t="shared" ca="1" si="22"/>
        <v>675.26666666666665</v>
      </c>
      <c r="J708" s="16">
        <f t="shared" ca="1" si="23"/>
        <v>683.5333333333333</v>
      </c>
      <c r="K708" s="16"/>
      <c r="L708" s="16">
        <f t="shared" ca="1" si="24"/>
        <v>666.5333333333333</v>
      </c>
      <c r="M708" s="16">
        <f t="shared" ca="1" si="25"/>
        <v>692.26666666666665</v>
      </c>
      <c r="N708" s="16">
        <f t="shared" ca="1" si="26"/>
        <v>658.26666666666665</v>
      </c>
    </row>
    <row r="709" spans="1:14" ht="24.75" customHeight="1" x14ac:dyDescent="0.8">
      <c r="A709" s="18" t="s">
        <v>672</v>
      </c>
      <c r="B709" s="10">
        <f ca="1">IFERROR(__xludf.DUMMYFUNCTION("GOOGLEFINANCE(A709,""PRICE"")"),1085)</f>
        <v>1085</v>
      </c>
      <c r="C709" s="11">
        <f ca="1">IFERROR(__xludf.DUMMYFUNCTION("GOOGLEFINANCE(A709,""PRICEOPEN"")"),1057.5)</f>
        <v>1057.5</v>
      </c>
      <c r="D709" s="11">
        <f ca="1">IFERROR(__xludf.DUMMYFUNCTION("GOOGLEFINANCE(A709,""HIGH"")"),1090.6)</f>
        <v>1090.5999999999999</v>
      </c>
      <c r="E709" s="11">
        <f ca="1">IFERROR(__xludf.DUMMYFUNCTION("GOOGLEFINANCE(A709,""LOW"")"),1056.4)</f>
        <v>1056.4000000000001</v>
      </c>
      <c r="F709" s="12" t="str">
        <f t="shared" ca="1" si="21"/>
        <v/>
      </c>
      <c r="G709" s="13">
        <f ca="1">IFERROR(__xludf.DUMMYFUNCTION("GOOGLEFINANCE(A709,""CLOSEYEST"")"),1057.5)</f>
        <v>1057.5</v>
      </c>
      <c r="H709" s="14" t="str">
        <f t="shared" ca="1" si="27"/>
        <v/>
      </c>
      <c r="I709" s="15">
        <f t="shared" ca="1" si="22"/>
        <v>1068.1666666666667</v>
      </c>
      <c r="J709" s="16">
        <f t="shared" ca="1" si="23"/>
        <v>1079.9333333333334</v>
      </c>
      <c r="K709" s="16"/>
      <c r="L709" s="16">
        <f t="shared" ca="1" si="24"/>
        <v>1045.7333333333336</v>
      </c>
      <c r="M709" s="16">
        <f t="shared" ca="1" si="25"/>
        <v>1102.3666666666666</v>
      </c>
      <c r="N709" s="16">
        <f t="shared" ca="1" si="26"/>
        <v>1033.9666666666669</v>
      </c>
    </row>
    <row r="710" spans="1:14" ht="24.75" customHeight="1" x14ac:dyDescent="0.8">
      <c r="A710" s="18" t="s">
        <v>673</v>
      </c>
      <c r="B710" s="10" t="str">
        <f ca="1">IFERROR(__xludf.DUMMYFUNCTION("GOOGLEFINANCE(A710,""PRICE"")"),"#N/A")</f>
        <v>#N/A</v>
      </c>
      <c r="C710" s="11" t="str">
        <f ca="1">IFERROR(__xludf.DUMMYFUNCTION("GOOGLEFINANCE(A710,""PRICEOPEN"")"),"#N/A")</f>
        <v>#N/A</v>
      </c>
      <c r="D710" s="11" t="str">
        <f ca="1">IFERROR(__xludf.DUMMYFUNCTION("GOOGLEFINANCE(A710,""HIGH"")"),"#N/A")</f>
        <v>#N/A</v>
      </c>
      <c r="E710" s="11" t="str">
        <f ca="1">IFERROR(__xludf.DUMMYFUNCTION("GOOGLEFINANCE(A710,""LOW"")"),"#N/A")</f>
        <v>#N/A</v>
      </c>
      <c r="F710" s="12" t="str">
        <f t="shared" ca="1" si="21"/>
        <v>SELL</v>
      </c>
      <c r="G710" s="13" t="str">
        <f ca="1">IFERROR(__xludf.DUMMYFUNCTION("GOOGLEFINANCE(A710,""CLOSEYEST"")"),"#N/A")</f>
        <v>#N/A</v>
      </c>
      <c r="H710" s="14" t="e">
        <f t="shared" ca="1" si="27"/>
        <v>#VALUE!</v>
      </c>
      <c r="I710" s="15" t="e">
        <f t="shared" ca="1" si="22"/>
        <v>#VALUE!</v>
      </c>
      <c r="J710" s="16" t="e">
        <f t="shared" ca="1" si="23"/>
        <v>#VALUE!</v>
      </c>
      <c r="K710" s="16"/>
      <c r="L710" s="16" t="e">
        <f t="shared" ca="1" si="24"/>
        <v>#VALUE!</v>
      </c>
      <c r="M710" s="16" t="e">
        <f t="shared" ca="1" si="25"/>
        <v>#VALUE!</v>
      </c>
      <c r="N710" s="16" t="e">
        <f t="shared" ca="1" si="26"/>
        <v>#VALUE!</v>
      </c>
    </row>
    <row r="711" spans="1:14" ht="24.75" customHeight="1" x14ac:dyDescent="0.8">
      <c r="A711" s="18" t="s">
        <v>674</v>
      </c>
      <c r="B711" s="10">
        <f ca="1">IFERROR(__xludf.DUMMYFUNCTION("GOOGLEFINANCE(A711,""PRICE"")"),229.38)</f>
        <v>229.38</v>
      </c>
      <c r="C711" s="11">
        <f ca="1">IFERROR(__xludf.DUMMYFUNCTION("GOOGLEFINANCE(A711,""PRICEOPEN"")"),230.77)</f>
        <v>230.77</v>
      </c>
      <c r="D711" s="11">
        <f ca="1">IFERROR(__xludf.DUMMYFUNCTION("GOOGLEFINANCE(A711,""HIGH"")"),230.77)</f>
        <v>230.77</v>
      </c>
      <c r="E711" s="11">
        <f ca="1">IFERROR(__xludf.DUMMYFUNCTION("GOOGLEFINANCE(A711,""LOW"")"),227.12)</f>
        <v>227.12</v>
      </c>
      <c r="F711" s="12" t="str">
        <f t="shared" ca="1" si="21"/>
        <v>SELL</v>
      </c>
      <c r="G711" s="13">
        <f ca="1">IFERROR(__xludf.DUMMYFUNCTION("GOOGLEFINANCE(A711,""CLOSEYEST"")"),228.94)</f>
        <v>228.94</v>
      </c>
      <c r="H711" s="14" t="str">
        <f t="shared" ca="1" si="27"/>
        <v/>
      </c>
      <c r="I711" s="15">
        <f t="shared" ca="1" si="22"/>
        <v>228.9433333333333</v>
      </c>
      <c r="J711" s="16">
        <f t="shared" ca="1" si="23"/>
        <v>230.76666666666659</v>
      </c>
      <c r="K711" s="16"/>
      <c r="L711" s="16">
        <f t="shared" ca="1" si="24"/>
        <v>227.11666666666659</v>
      </c>
      <c r="M711" s="16">
        <f t="shared" ca="1" si="25"/>
        <v>232.59333333333331</v>
      </c>
      <c r="N711" s="16">
        <f t="shared" ca="1" si="26"/>
        <v>225.29333333333329</v>
      </c>
    </row>
    <row r="712" spans="1:14" ht="24.75" customHeight="1" x14ac:dyDescent="0.8">
      <c r="A712" s="18" t="s">
        <v>675</v>
      </c>
      <c r="B712" s="10" t="str">
        <f ca="1">IFERROR(__xludf.DUMMYFUNCTION("GOOGLEFINANCE(A712,""PRICE"")"),"#N/A")</f>
        <v>#N/A</v>
      </c>
      <c r="C712" s="11" t="str">
        <f ca="1">IFERROR(__xludf.DUMMYFUNCTION("GOOGLEFINANCE(A712,""PRICEOPEN"")"),"#N/A")</f>
        <v>#N/A</v>
      </c>
      <c r="D712" s="11" t="str">
        <f ca="1">IFERROR(__xludf.DUMMYFUNCTION("GOOGLEFINANCE(A712,""HIGH"")"),"#N/A")</f>
        <v>#N/A</v>
      </c>
      <c r="E712" s="11" t="str">
        <f ca="1">IFERROR(__xludf.DUMMYFUNCTION("GOOGLEFINANCE(A712,""LOW"")"),"#N/A")</f>
        <v>#N/A</v>
      </c>
      <c r="F712" s="12" t="str">
        <f t="shared" ca="1" si="21"/>
        <v>SELL</v>
      </c>
      <c r="G712" s="13" t="str">
        <f ca="1">IFERROR(__xludf.DUMMYFUNCTION("GOOGLEFINANCE(A712,""CLOSEYEST"")"),"#N/A")</f>
        <v>#N/A</v>
      </c>
      <c r="H712" s="14" t="e">
        <f t="shared" ca="1" si="27"/>
        <v>#VALUE!</v>
      </c>
      <c r="I712" s="15" t="e">
        <f t="shared" ca="1" si="22"/>
        <v>#VALUE!</v>
      </c>
      <c r="J712" s="16" t="e">
        <f t="shared" ca="1" si="23"/>
        <v>#VALUE!</v>
      </c>
      <c r="K712" s="16"/>
      <c r="L712" s="16" t="e">
        <f t="shared" ca="1" si="24"/>
        <v>#VALUE!</v>
      </c>
      <c r="M712" s="16" t="e">
        <f t="shared" ca="1" si="25"/>
        <v>#VALUE!</v>
      </c>
      <c r="N712" s="16" t="e">
        <f t="shared" ca="1" si="26"/>
        <v>#VALUE!</v>
      </c>
    </row>
    <row r="713" spans="1:14" ht="24.75" customHeight="1" x14ac:dyDescent="0.8">
      <c r="A713" s="18" t="s">
        <v>676</v>
      </c>
      <c r="B713" s="10">
        <f ca="1">IFERROR(__xludf.DUMMYFUNCTION("GOOGLEFINANCE(A713,""PRICE"")"),249.4)</f>
        <v>249.4</v>
      </c>
      <c r="C713" s="11">
        <f ca="1">IFERROR(__xludf.DUMMYFUNCTION("GOOGLEFINANCE(A713,""PRICEOPEN"")"),245)</f>
        <v>245</v>
      </c>
      <c r="D713" s="11">
        <f ca="1">IFERROR(__xludf.DUMMYFUNCTION("GOOGLEFINANCE(A713,""HIGH"")"),255.79)</f>
        <v>255.79</v>
      </c>
      <c r="E713" s="11">
        <f ca="1">IFERROR(__xludf.DUMMYFUNCTION("GOOGLEFINANCE(A713,""LOW"")"),243)</f>
        <v>243</v>
      </c>
      <c r="F713" s="12" t="str">
        <f t="shared" ca="1" si="21"/>
        <v/>
      </c>
      <c r="G713" s="13">
        <f ca="1">IFERROR(__xludf.DUMMYFUNCTION("GOOGLEFINANCE(A713,""CLOSEYEST"")"),243.61)</f>
        <v>243.61</v>
      </c>
      <c r="H713" s="14" t="str">
        <f t="shared" ca="1" si="27"/>
        <v/>
      </c>
      <c r="I713" s="15">
        <f t="shared" ca="1" si="22"/>
        <v>247.46666666666667</v>
      </c>
      <c r="J713" s="16">
        <f t="shared" ca="1" si="23"/>
        <v>251.93333333333334</v>
      </c>
      <c r="K713" s="16"/>
      <c r="L713" s="16">
        <f t="shared" ca="1" si="24"/>
        <v>239.14333333333335</v>
      </c>
      <c r="M713" s="16">
        <f t="shared" ca="1" si="25"/>
        <v>260.25666666666666</v>
      </c>
      <c r="N713" s="16">
        <f t="shared" ca="1" si="26"/>
        <v>234.67666666666668</v>
      </c>
    </row>
    <row r="714" spans="1:14" ht="24.75" customHeight="1" x14ac:dyDescent="0.8">
      <c r="A714" s="18" t="s">
        <v>677</v>
      </c>
      <c r="B714" s="10">
        <f ca="1">IFERROR(__xludf.DUMMYFUNCTION("GOOGLEFINANCE(A714,""PRICE"")"),524.65)</f>
        <v>524.65</v>
      </c>
      <c r="C714" s="11">
        <f ca="1">IFERROR(__xludf.DUMMYFUNCTION("GOOGLEFINANCE(A714,""PRICEOPEN"")"),493.3)</f>
        <v>493.3</v>
      </c>
      <c r="D714" s="11">
        <f ca="1">IFERROR(__xludf.DUMMYFUNCTION("GOOGLEFINANCE(A714,""HIGH"")"),528)</f>
        <v>528</v>
      </c>
      <c r="E714" s="11">
        <f ca="1">IFERROR(__xludf.DUMMYFUNCTION("GOOGLEFINANCE(A714,""LOW"")"),489.5)</f>
        <v>489.5</v>
      </c>
      <c r="F714" s="12" t="str">
        <f t="shared" ca="1" si="21"/>
        <v/>
      </c>
      <c r="G714" s="13">
        <f ca="1">IFERROR(__xludf.DUMMYFUNCTION("GOOGLEFINANCE(A714,""CLOSEYEST"")"),492.3)</f>
        <v>492.3</v>
      </c>
      <c r="H714" s="14" t="str">
        <f t="shared" ca="1" si="27"/>
        <v/>
      </c>
      <c r="I714" s="15">
        <f t="shared" ca="1" si="22"/>
        <v>503.26666666666665</v>
      </c>
      <c r="J714" s="16">
        <f t="shared" ca="1" si="23"/>
        <v>517.0333333333333</v>
      </c>
      <c r="K714" s="16"/>
      <c r="L714" s="16">
        <f t="shared" ca="1" si="24"/>
        <v>478.5333333333333</v>
      </c>
      <c r="M714" s="16">
        <f t="shared" ca="1" si="25"/>
        <v>541.76666666666665</v>
      </c>
      <c r="N714" s="16">
        <f t="shared" ca="1" si="26"/>
        <v>464.76666666666665</v>
      </c>
    </row>
    <row r="715" spans="1:14" ht="24.75" customHeight="1" x14ac:dyDescent="0.8">
      <c r="A715" s="18" t="s">
        <v>678</v>
      </c>
      <c r="B715" s="10">
        <f ca="1">IFERROR(__xludf.DUMMYFUNCTION("GOOGLEFINANCE(A715,""PRICE"")"),433.05)</f>
        <v>433.05</v>
      </c>
      <c r="C715" s="11">
        <f ca="1">IFERROR(__xludf.DUMMYFUNCTION("GOOGLEFINANCE(A715,""PRICEOPEN"")"),431.5)</f>
        <v>431.5</v>
      </c>
      <c r="D715" s="11">
        <f ca="1">IFERROR(__xludf.DUMMYFUNCTION("GOOGLEFINANCE(A715,""HIGH"")"),436)</f>
        <v>436</v>
      </c>
      <c r="E715" s="11">
        <f ca="1">IFERROR(__xludf.DUMMYFUNCTION("GOOGLEFINANCE(A715,""LOW"")"),428)</f>
        <v>428</v>
      </c>
      <c r="F715" s="12" t="str">
        <f t="shared" ca="1" si="21"/>
        <v/>
      </c>
      <c r="G715" s="13">
        <f ca="1">IFERROR(__xludf.DUMMYFUNCTION("GOOGLEFINANCE(A715,""CLOSEYEST"")"),430.7)</f>
        <v>430.7</v>
      </c>
      <c r="H715" s="14" t="str">
        <f t="shared" ca="1" si="27"/>
        <v/>
      </c>
      <c r="I715" s="15">
        <f t="shared" ca="1" si="22"/>
        <v>431.56666666666666</v>
      </c>
      <c r="J715" s="16">
        <f t="shared" ca="1" si="23"/>
        <v>435.13333333333333</v>
      </c>
      <c r="K715" s="16"/>
      <c r="L715" s="16">
        <f t="shared" ca="1" si="24"/>
        <v>427.13333333333333</v>
      </c>
      <c r="M715" s="16">
        <f t="shared" ca="1" si="25"/>
        <v>439.56666666666666</v>
      </c>
      <c r="N715" s="16">
        <f t="shared" ca="1" si="26"/>
        <v>423.56666666666666</v>
      </c>
    </row>
    <row r="716" spans="1:14" ht="24.75" customHeight="1" x14ac:dyDescent="0.8">
      <c r="A716" s="18" t="s">
        <v>679</v>
      </c>
      <c r="B716" s="10">
        <f ca="1">IFERROR(__xludf.DUMMYFUNCTION("GOOGLEFINANCE(A716,""PRICE"")"),262)</f>
        <v>262</v>
      </c>
      <c r="C716" s="11">
        <f ca="1">IFERROR(__xludf.DUMMYFUNCTION("GOOGLEFINANCE(A716,""PRICEOPEN"")"),252)</f>
        <v>252</v>
      </c>
      <c r="D716" s="11">
        <f ca="1">IFERROR(__xludf.DUMMYFUNCTION("GOOGLEFINANCE(A716,""HIGH"")"),269)</f>
        <v>269</v>
      </c>
      <c r="E716" s="11">
        <f ca="1">IFERROR(__xludf.DUMMYFUNCTION("GOOGLEFINANCE(A716,""LOW"")"),252)</f>
        <v>252</v>
      </c>
      <c r="F716" s="12" t="str">
        <f t="shared" ca="1" si="21"/>
        <v>BUY</v>
      </c>
      <c r="G716" s="13">
        <f ca="1">IFERROR(__xludf.DUMMYFUNCTION("GOOGLEFINANCE(A716,""CLOSEYEST"")"),253.65)</f>
        <v>253.65</v>
      </c>
      <c r="H716" s="14" t="str">
        <f t="shared" ca="1" si="27"/>
        <v/>
      </c>
      <c r="I716" s="15">
        <f t="shared" ca="1" si="22"/>
        <v>258.21666666666664</v>
      </c>
      <c r="J716" s="16">
        <f t="shared" ca="1" si="23"/>
        <v>264.43333333333328</v>
      </c>
      <c r="K716" s="16"/>
      <c r="L716" s="16">
        <f t="shared" ca="1" si="24"/>
        <v>247.43333333333328</v>
      </c>
      <c r="M716" s="16">
        <f t="shared" ca="1" si="25"/>
        <v>275.21666666666664</v>
      </c>
      <c r="N716" s="16">
        <f t="shared" ca="1" si="26"/>
        <v>241.21666666666664</v>
      </c>
    </row>
    <row r="717" spans="1:14" ht="24.75" customHeight="1" x14ac:dyDescent="0.8">
      <c r="A717" s="18" t="s">
        <v>680</v>
      </c>
      <c r="B717" s="10">
        <f ca="1">IFERROR(__xludf.DUMMYFUNCTION("GOOGLEFINANCE(A717,""PRICE"")"),1.52)</f>
        <v>1.52</v>
      </c>
      <c r="C717" s="11">
        <f ca="1">IFERROR(__xludf.DUMMYFUNCTION("GOOGLEFINANCE(A717,""PRICEOPEN"")"),1.51)</f>
        <v>1.51</v>
      </c>
      <c r="D717" s="11">
        <f ca="1">IFERROR(__xludf.DUMMYFUNCTION("GOOGLEFINANCE(A717,""HIGH"")"),1.53)</f>
        <v>1.53</v>
      </c>
      <c r="E717" s="11">
        <f ca="1">IFERROR(__xludf.DUMMYFUNCTION("GOOGLEFINANCE(A717,""LOW"")"),1.5)</f>
        <v>1.5</v>
      </c>
      <c r="F717" s="12" t="str">
        <f t="shared" ca="1" si="21"/>
        <v/>
      </c>
      <c r="G717" s="13">
        <f ca="1">IFERROR(__xludf.DUMMYFUNCTION("GOOGLEFINANCE(A717,""CLOSEYEST"")"),1.51)</f>
        <v>1.51</v>
      </c>
      <c r="H717" s="14" t="str">
        <f t="shared" ca="1" si="27"/>
        <v/>
      </c>
      <c r="I717" s="15">
        <f t="shared" ca="1" si="22"/>
        <v>1.5133333333333334</v>
      </c>
      <c r="J717" s="16">
        <f t="shared" ca="1" si="23"/>
        <v>1.5266666666666668</v>
      </c>
      <c r="K717" s="16"/>
      <c r="L717" s="16">
        <f t="shared" ca="1" si="24"/>
        <v>1.4966666666666668</v>
      </c>
      <c r="M717" s="16">
        <f t="shared" ca="1" si="25"/>
        <v>1.5433333333333334</v>
      </c>
      <c r="N717" s="16">
        <f t="shared" ca="1" si="26"/>
        <v>1.4833333333333334</v>
      </c>
    </row>
    <row r="718" spans="1:14" ht="24.75" customHeight="1" x14ac:dyDescent="0.8">
      <c r="A718" s="18" t="s">
        <v>681</v>
      </c>
      <c r="B718" s="10">
        <f ca="1">IFERROR(__xludf.DUMMYFUNCTION("GOOGLEFINANCE(A718,""PRICE"")"),355.65)</f>
        <v>355.65</v>
      </c>
      <c r="C718" s="11">
        <f ca="1">IFERROR(__xludf.DUMMYFUNCTION("GOOGLEFINANCE(A718,""PRICEOPEN"")"),351)</f>
        <v>351</v>
      </c>
      <c r="D718" s="11">
        <f ca="1">IFERROR(__xludf.DUMMYFUNCTION("GOOGLEFINANCE(A718,""HIGH"")"),361)</f>
        <v>361</v>
      </c>
      <c r="E718" s="11">
        <f ca="1">IFERROR(__xludf.DUMMYFUNCTION("GOOGLEFINANCE(A718,""LOW"")"),350.55)</f>
        <v>350.55</v>
      </c>
      <c r="F718" s="12" t="str">
        <f t="shared" ca="1" si="21"/>
        <v/>
      </c>
      <c r="G718" s="13">
        <f ca="1">IFERROR(__xludf.DUMMYFUNCTION("GOOGLEFINANCE(A718,""CLOSEYEST"")"),351.15)</f>
        <v>351.15</v>
      </c>
      <c r="H718" s="14" t="str">
        <f t="shared" ca="1" si="27"/>
        <v/>
      </c>
      <c r="I718" s="15">
        <f t="shared" ca="1" si="22"/>
        <v>354.23333333333329</v>
      </c>
      <c r="J718" s="16">
        <f t="shared" ca="1" si="23"/>
        <v>357.91666666666657</v>
      </c>
      <c r="K718" s="16"/>
      <c r="L718" s="16">
        <f t="shared" ca="1" si="24"/>
        <v>347.46666666666658</v>
      </c>
      <c r="M718" s="16">
        <f t="shared" ca="1" si="25"/>
        <v>364.68333333333328</v>
      </c>
      <c r="N718" s="16">
        <f t="shared" ca="1" si="26"/>
        <v>343.7833333333333</v>
      </c>
    </row>
    <row r="719" spans="1:14" ht="24.75" customHeight="1" x14ac:dyDescent="0.8">
      <c r="A719" s="18" t="s">
        <v>682</v>
      </c>
      <c r="B719" s="10">
        <f ca="1">IFERROR(__xludf.DUMMYFUNCTION("GOOGLEFINANCE(A719,""PRICE"")"),49.4)</f>
        <v>49.4</v>
      </c>
      <c r="C719" s="11">
        <f ca="1">IFERROR(__xludf.DUMMYFUNCTION("GOOGLEFINANCE(A719,""PRICEOPEN"")"),49)</f>
        <v>49</v>
      </c>
      <c r="D719" s="11">
        <f ca="1">IFERROR(__xludf.DUMMYFUNCTION("GOOGLEFINANCE(A719,""HIGH"")"),49.43)</f>
        <v>49.43</v>
      </c>
      <c r="E719" s="11">
        <f ca="1">IFERROR(__xludf.DUMMYFUNCTION("GOOGLEFINANCE(A719,""LOW"")"),48.22)</f>
        <v>48.22</v>
      </c>
      <c r="F719" s="12" t="str">
        <f t="shared" ca="1" si="21"/>
        <v/>
      </c>
      <c r="G719" s="13">
        <f ca="1">IFERROR(__xludf.DUMMYFUNCTION("GOOGLEFINANCE(A719,""CLOSEYEST"")"),48.81)</f>
        <v>48.81</v>
      </c>
      <c r="H719" s="14" t="str">
        <f t="shared" ca="1" si="27"/>
        <v/>
      </c>
      <c r="I719" s="15">
        <f t="shared" ca="1" si="22"/>
        <v>48.82</v>
      </c>
      <c r="J719" s="16">
        <f t="shared" ca="1" si="23"/>
        <v>49.42</v>
      </c>
      <c r="K719" s="16"/>
      <c r="L719" s="16">
        <f t="shared" ca="1" si="24"/>
        <v>48.21</v>
      </c>
      <c r="M719" s="16">
        <f t="shared" ca="1" si="25"/>
        <v>50.03</v>
      </c>
      <c r="N719" s="16">
        <f t="shared" ca="1" si="26"/>
        <v>47.61</v>
      </c>
    </row>
    <row r="720" spans="1:14" ht="24.75" customHeight="1" x14ac:dyDescent="0.8">
      <c r="A720" s="18" t="s">
        <v>683</v>
      </c>
      <c r="B720" s="10">
        <f ca="1">IFERROR(__xludf.DUMMYFUNCTION("GOOGLEFINANCE(A720,""PRICE"")"),783)</f>
        <v>783</v>
      </c>
      <c r="C720" s="11">
        <f ca="1">IFERROR(__xludf.DUMMYFUNCTION("GOOGLEFINANCE(A720,""PRICEOPEN"")"),779.75)</f>
        <v>779.75</v>
      </c>
      <c r="D720" s="11">
        <f ca="1">IFERROR(__xludf.DUMMYFUNCTION("GOOGLEFINANCE(A720,""HIGH"")"),783)</f>
        <v>783</v>
      </c>
      <c r="E720" s="11">
        <f ca="1">IFERROR(__xludf.DUMMYFUNCTION("GOOGLEFINANCE(A720,""LOW"")"),771.8)</f>
        <v>771.8</v>
      </c>
      <c r="F720" s="12" t="str">
        <f t="shared" ca="1" si="21"/>
        <v/>
      </c>
      <c r="G720" s="13">
        <f ca="1">IFERROR(__xludf.DUMMYFUNCTION("GOOGLEFINANCE(A720,""CLOSEYEST"")"),779.75)</f>
        <v>779.75</v>
      </c>
      <c r="H720" s="14" t="str">
        <f t="shared" ca="1" si="27"/>
        <v/>
      </c>
      <c r="I720" s="15">
        <f t="shared" ca="1" si="22"/>
        <v>778.18333333333339</v>
      </c>
      <c r="J720" s="16">
        <f t="shared" ca="1" si="23"/>
        <v>784.56666666666683</v>
      </c>
      <c r="K720" s="16"/>
      <c r="L720" s="16">
        <f t="shared" ca="1" si="24"/>
        <v>773.36666666666679</v>
      </c>
      <c r="M720" s="16">
        <f t="shared" ca="1" si="25"/>
        <v>789.38333333333344</v>
      </c>
      <c r="N720" s="16">
        <f t="shared" ca="1" si="26"/>
        <v>766.98333333333335</v>
      </c>
    </row>
    <row r="721" spans="1:14" ht="24.75" customHeight="1" x14ac:dyDescent="0.8">
      <c r="A721" s="18" t="s">
        <v>684</v>
      </c>
      <c r="B721" s="10" t="str">
        <f ca="1">IFERROR(__xludf.DUMMYFUNCTION("GOOGLEFINANCE(A721,""PRICE"")"),"#N/A")</f>
        <v>#N/A</v>
      </c>
      <c r="C721" s="11" t="str">
        <f ca="1">IFERROR(__xludf.DUMMYFUNCTION("GOOGLEFINANCE(A721,""PRICEOPEN"")"),"#N/A")</f>
        <v>#N/A</v>
      </c>
      <c r="D721" s="11" t="str">
        <f ca="1">IFERROR(__xludf.DUMMYFUNCTION("GOOGLEFINANCE(A721,""HIGH"")"),"#N/A")</f>
        <v>#N/A</v>
      </c>
      <c r="E721" s="11" t="str">
        <f ca="1">IFERROR(__xludf.DUMMYFUNCTION("GOOGLEFINANCE(A721,""LOW"")"),"#N/A")</f>
        <v>#N/A</v>
      </c>
      <c r="F721" s="12" t="str">
        <f t="shared" ca="1" si="21"/>
        <v>SELL</v>
      </c>
      <c r="G721" s="13" t="str">
        <f ca="1">IFERROR(__xludf.DUMMYFUNCTION("GOOGLEFINANCE(A721,""CLOSEYEST"")"),"#N/A")</f>
        <v>#N/A</v>
      </c>
      <c r="H721" s="14" t="e">
        <f t="shared" ca="1" si="27"/>
        <v>#VALUE!</v>
      </c>
      <c r="I721" s="15" t="e">
        <f t="shared" ca="1" si="22"/>
        <v>#VALUE!</v>
      </c>
      <c r="J721" s="16" t="e">
        <f t="shared" ca="1" si="23"/>
        <v>#VALUE!</v>
      </c>
      <c r="K721" s="16"/>
      <c r="L721" s="16" t="e">
        <f t="shared" ca="1" si="24"/>
        <v>#VALUE!</v>
      </c>
      <c r="M721" s="16" t="e">
        <f t="shared" ca="1" si="25"/>
        <v>#VALUE!</v>
      </c>
      <c r="N721" s="16" t="e">
        <f t="shared" ca="1" si="26"/>
        <v>#VALUE!</v>
      </c>
    </row>
    <row r="722" spans="1:14" ht="24.75" customHeight="1" x14ac:dyDescent="0.8">
      <c r="A722" s="18" t="s">
        <v>685</v>
      </c>
      <c r="B722" s="10" t="str">
        <f ca="1">IFERROR(__xludf.DUMMYFUNCTION("GOOGLEFINANCE(A722,""PRICE"")"),"#N/A")</f>
        <v>#N/A</v>
      </c>
      <c r="C722" s="11" t="str">
        <f ca="1">IFERROR(__xludf.DUMMYFUNCTION("GOOGLEFINANCE(A722,""PRICEOPEN"")"),"#N/A")</f>
        <v>#N/A</v>
      </c>
      <c r="D722" s="11" t="str">
        <f ca="1">IFERROR(__xludf.DUMMYFUNCTION("GOOGLEFINANCE(A722,""HIGH"")"),"#N/A")</f>
        <v>#N/A</v>
      </c>
      <c r="E722" s="11" t="str">
        <f ca="1">IFERROR(__xludf.DUMMYFUNCTION("GOOGLEFINANCE(A722,""LOW"")"),"#N/A")</f>
        <v>#N/A</v>
      </c>
      <c r="F722" s="12" t="str">
        <f t="shared" ca="1" si="21"/>
        <v>SELL</v>
      </c>
      <c r="G722" s="13" t="str">
        <f ca="1">IFERROR(__xludf.DUMMYFUNCTION("GOOGLEFINANCE(A722,""CLOSEYEST"")"),"#N/A")</f>
        <v>#N/A</v>
      </c>
      <c r="H722" s="14" t="e">
        <f t="shared" ca="1" si="27"/>
        <v>#VALUE!</v>
      </c>
      <c r="I722" s="15" t="e">
        <f t="shared" ca="1" si="22"/>
        <v>#VALUE!</v>
      </c>
      <c r="J722" s="16" t="e">
        <f t="shared" ca="1" si="23"/>
        <v>#VALUE!</v>
      </c>
      <c r="K722" s="16"/>
      <c r="L722" s="16" t="e">
        <f t="shared" ca="1" si="24"/>
        <v>#VALUE!</v>
      </c>
      <c r="M722" s="16" t="e">
        <f t="shared" ca="1" si="25"/>
        <v>#VALUE!</v>
      </c>
      <c r="N722" s="16" t="e">
        <f t="shared" ca="1" si="26"/>
        <v>#VALUE!</v>
      </c>
    </row>
    <row r="723" spans="1:14" ht="24.75" customHeight="1" x14ac:dyDescent="0.8">
      <c r="A723" s="18" t="s">
        <v>686</v>
      </c>
      <c r="B723" s="10">
        <f ca="1">IFERROR(__xludf.DUMMYFUNCTION("GOOGLEFINANCE(A723,""PRICE"")"),33.91)</f>
        <v>33.909999999999997</v>
      </c>
      <c r="C723" s="11">
        <f ca="1">IFERROR(__xludf.DUMMYFUNCTION("GOOGLEFINANCE(A723,""PRICEOPEN"")"),33.52)</f>
        <v>33.520000000000003</v>
      </c>
      <c r="D723" s="11">
        <f ca="1">IFERROR(__xludf.DUMMYFUNCTION("GOOGLEFINANCE(A723,""HIGH"")"),34.23)</f>
        <v>34.229999999999997</v>
      </c>
      <c r="E723" s="11">
        <f ca="1">IFERROR(__xludf.DUMMYFUNCTION("GOOGLEFINANCE(A723,""LOW"")"),32.61)</f>
        <v>32.61</v>
      </c>
      <c r="F723" s="12" t="str">
        <f t="shared" ca="1" si="21"/>
        <v/>
      </c>
      <c r="G723" s="13">
        <f ca="1">IFERROR(__xludf.DUMMYFUNCTION("GOOGLEFINANCE(A723,""CLOSEYEST"")"),33.52)</f>
        <v>33.520000000000003</v>
      </c>
      <c r="H723" s="14" t="str">
        <f t="shared" ca="1" si="27"/>
        <v/>
      </c>
      <c r="I723" s="15">
        <f t="shared" ca="1" si="22"/>
        <v>33.45333333333334</v>
      </c>
      <c r="J723" s="16">
        <f t="shared" ca="1" si="23"/>
        <v>34.296666666666681</v>
      </c>
      <c r="K723" s="16"/>
      <c r="L723" s="16">
        <f t="shared" ca="1" si="24"/>
        <v>32.676666666666684</v>
      </c>
      <c r="M723" s="16">
        <f t="shared" ca="1" si="25"/>
        <v>35.073333333333338</v>
      </c>
      <c r="N723" s="16">
        <f t="shared" ca="1" si="26"/>
        <v>31.833333333333343</v>
      </c>
    </row>
    <row r="724" spans="1:14" ht="24.75" customHeight="1" x14ac:dyDescent="0.8">
      <c r="A724" s="18" t="s">
        <v>687</v>
      </c>
      <c r="B724" s="10">
        <f ca="1">IFERROR(__xludf.DUMMYFUNCTION("GOOGLEFINANCE(A724,""PRICE"")"),149.9)</f>
        <v>149.9</v>
      </c>
      <c r="C724" s="11">
        <f ca="1">IFERROR(__xludf.DUMMYFUNCTION("GOOGLEFINANCE(A724,""PRICEOPEN"")"),148.07)</f>
        <v>148.07</v>
      </c>
      <c r="D724" s="11">
        <f ca="1">IFERROR(__xludf.DUMMYFUNCTION("GOOGLEFINANCE(A724,""HIGH"")"),149.9)</f>
        <v>149.9</v>
      </c>
      <c r="E724" s="11">
        <f ca="1">IFERROR(__xludf.DUMMYFUNCTION("GOOGLEFINANCE(A724,""LOW"")"),148)</f>
        <v>148</v>
      </c>
      <c r="F724" s="12" t="str">
        <f t="shared" ca="1" si="21"/>
        <v/>
      </c>
      <c r="G724" s="13">
        <f ca="1">IFERROR(__xludf.DUMMYFUNCTION("GOOGLEFINANCE(A724,""CLOSEYEST"")"),149.39)</f>
        <v>149.38999999999999</v>
      </c>
      <c r="H724" s="14" t="str">
        <f t="shared" ca="1" si="27"/>
        <v/>
      </c>
      <c r="I724" s="15">
        <f t="shared" ca="1" si="22"/>
        <v>149.09666666666666</v>
      </c>
      <c r="J724" s="16">
        <f t="shared" ca="1" si="23"/>
        <v>150.19333333333333</v>
      </c>
      <c r="K724" s="16"/>
      <c r="L724" s="16">
        <f t="shared" ca="1" si="24"/>
        <v>148.29333333333332</v>
      </c>
      <c r="M724" s="16">
        <f t="shared" ca="1" si="25"/>
        <v>150.99666666666667</v>
      </c>
      <c r="N724" s="16">
        <f t="shared" ca="1" si="26"/>
        <v>147.19666666666666</v>
      </c>
    </row>
    <row r="725" spans="1:14" ht="24.75" customHeight="1" x14ac:dyDescent="0.8">
      <c r="A725" s="18" t="s">
        <v>688</v>
      </c>
      <c r="B725" s="10">
        <f ca="1">IFERROR(__xludf.DUMMYFUNCTION("GOOGLEFINANCE(A725,""PRICE"")"),751)</f>
        <v>751</v>
      </c>
      <c r="C725" s="11">
        <f ca="1">IFERROR(__xludf.DUMMYFUNCTION("GOOGLEFINANCE(A725,""PRICEOPEN"")"),754.2)</f>
        <v>754.2</v>
      </c>
      <c r="D725" s="11">
        <f ca="1">IFERROR(__xludf.DUMMYFUNCTION("GOOGLEFINANCE(A725,""HIGH"")"),757.5)</f>
        <v>757.5</v>
      </c>
      <c r="E725" s="11">
        <f ca="1">IFERROR(__xludf.DUMMYFUNCTION("GOOGLEFINANCE(A725,""LOW"")"),736)</f>
        <v>736</v>
      </c>
      <c r="F725" s="12" t="str">
        <f t="shared" ca="1" si="21"/>
        <v/>
      </c>
      <c r="G725" s="13">
        <f ca="1">IFERROR(__xludf.DUMMYFUNCTION("GOOGLEFINANCE(A725,""CLOSEYEST"")"),754.2)</f>
        <v>754.2</v>
      </c>
      <c r="H725" s="14" t="str">
        <f t="shared" ca="1" si="27"/>
        <v/>
      </c>
      <c r="I725" s="15">
        <f t="shared" ca="1" si="22"/>
        <v>749.23333333333323</v>
      </c>
      <c r="J725" s="16">
        <f t="shared" ca="1" si="23"/>
        <v>762.46666666666647</v>
      </c>
      <c r="K725" s="16"/>
      <c r="L725" s="16">
        <f t="shared" ca="1" si="24"/>
        <v>740.96666666666647</v>
      </c>
      <c r="M725" s="16">
        <f t="shared" ca="1" si="25"/>
        <v>770.73333333333323</v>
      </c>
      <c r="N725" s="16">
        <f t="shared" ca="1" si="26"/>
        <v>727.73333333333323</v>
      </c>
    </row>
    <row r="726" spans="1:14" ht="24.75" customHeight="1" x14ac:dyDescent="0.8">
      <c r="A726" s="18" t="s">
        <v>689</v>
      </c>
      <c r="B726" s="10">
        <f ca="1">IFERROR(__xludf.DUMMYFUNCTION("GOOGLEFINANCE(A726,""PRICE"")"),5480)</f>
        <v>5480</v>
      </c>
      <c r="C726" s="11">
        <f ca="1">IFERROR(__xludf.DUMMYFUNCTION("GOOGLEFINANCE(A726,""PRICEOPEN"")"),5259)</f>
        <v>5259</v>
      </c>
      <c r="D726" s="11">
        <f ca="1">IFERROR(__xludf.DUMMYFUNCTION("GOOGLEFINANCE(A726,""HIGH"")"),5510.5)</f>
        <v>5510.5</v>
      </c>
      <c r="E726" s="11">
        <f ca="1">IFERROR(__xludf.DUMMYFUNCTION("GOOGLEFINANCE(A726,""LOW"")"),5226)</f>
        <v>5226</v>
      </c>
      <c r="F726" s="12" t="str">
        <f t="shared" ca="1" si="21"/>
        <v/>
      </c>
      <c r="G726" s="13">
        <f ca="1">IFERROR(__xludf.DUMMYFUNCTION("GOOGLEFINANCE(A726,""CLOSEYEST"")"),5259)</f>
        <v>5259</v>
      </c>
      <c r="H726" s="14" t="str">
        <f t="shared" ca="1" si="27"/>
        <v/>
      </c>
      <c r="I726" s="15">
        <f t="shared" ca="1" si="22"/>
        <v>5331.833333333333</v>
      </c>
      <c r="J726" s="16">
        <f t="shared" ca="1" si="23"/>
        <v>5437.6666666666661</v>
      </c>
      <c r="K726" s="16"/>
      <c r="L726" s="16">
        <f t="shared" ca="1" si="24"/>
        <v>5153.1666666666661</v>
      </c>
      <c r="M726" s="16">
        <f t="shared" ca="1" si="25"/>
        <v>5616.333333333333</v>
      </c>
      <c r="N726" s="16">
        <f t="shared" ca="1" si="26"/>
        <v>5047.333333333333</v>
      </c>
    </row>
    <row r="727" spans="1:14" ht="24.75" customHeight="1" x14ac:dyDescent="0.8">
      <c r="A727" s="18" t="s">
        <v>690</v>
      </c>
      <c r="B727" s="10">
        <f ca="1">IFERROR(__xludf.DUMMYFUNCTION("GOOGLEFINANCE(A727,""PRICE"")"),765)</f>
        <v>765</v>
      </c>
      <c r="C727" s="11">
        <f ca="1">IFERROR(__xludf.DUMMYFUNCTION("GOOGLEFINANCE(A727,""PRICEOPEN"")"),783)</f>
        <v>783</v>
      </c>
      <c r="D727" s="11">
        <f ca="1">IFERROR(__xludf.DUMMYFUNCTION("GOOGLEFINANCE(A727,""HIGH"")"),783)</f>
        <v>783</v>
      </c>
      <c r="E727" s="11">
        <f ca="1">IFERROR(__xludf.DUMMYFUNCTION("GOOGLEFINANCE(A727,""LOW"")"),755)</f>
        <v>755</v>
      </c>
      <c r="F727" s="12" t="str">
        <f t="shared" ca="1" si="21"/>
        <v>SELL</v>
      </c>
      <c r="G727" s="13">
        <f ca="1">IFERROR(__xludf.DUMMYFUNCTION("GOOGLEFINANCE(A727,""CLOSEYEST"")"),772.55)</f>
        <v>772.55</v>
      </c>
      <c r="H727" s="14" t="str">
        <f t="shared" ca="1" si="27"/>
        <v>GAP UP</v>
      </c>
      <c r="I727" s="15">
        <f t="shared" ca="1" si="22"/>
        <v>770.18333333333339</v>
      </c>
      <c r="J727" s="16">
        <f t="shared" ca="1" si="23"/>
        <v>785.36666666666679</v>
      </c>
      <c r="K727" s="16"/>
      <c r="L727" s="16">
        <f t="shared" ca="1" si="24"/>
        <v>757.36666666666679</v>
      </c>
      <c r="M727" s="16">
        <f t="shared" ca="1" si="25"/>
        <v>798.18333333333339</v>
      </c>
      <c r="N727" s="16">
        <f t="shared" ca="1" si="26"/>
        <v>742.18333333333339</v>
      </c>
    </row>
    <row r="728" spans="1:14" ht="24.75" customHeight="1" x14ac:dyDescent="0.8">
      <c r="A728" s="18" t="s">
        <v>691</v>
      </c>
      <c r="B728" s="10">
        <f ca="1">IFERROR(__xludf.DUMMYFUNCTION("GOOGLEFINANCE(A728,""PRICE"")"),1068.5)</f>
        <v>1068.5</v>
      </c>
      <c r="C728" s="11">
        <f ca="1">IFERROR(__xludf.DUMMYFUNCTION("GOOGLEFINANCE(A728,""PRICEOPEN"")"),1095)</f>
        <v>1095</v>
      </c>
      <c r="D728" s="11">
        <f ca="1">IFERROR(__xludf.DUMMYFUNCTION("GOOGLEFINANCE(A728,""HIGH"")"),1100)</f>
        <v>1100</v>
      </c>
      <c r="E728" s="11">
        <f ca="1">IFERROR(__xludf.DUMMYFUNCTION("GOOGLEFINANCE(A728,""LOW"")"),1041.6)</f>
        <v>1041.5999999999999</v>
      </c>
      <c r="F728" s="12" t="str">
        <f t="shared" ca="1" si="21"/>
        <v/>
      </c>
      <c r="G728" s="13">
        <f ca="1">IFERROR(__xludf.DUMMYFUNCTION("GOOGLEFINANCE(A728,""CLOSEYEST"")"),1090.7)</f>
        <v>1090.7</v>
      </c>
      <c r="H728" s="14" t="str">
        <f t="shared" ca="1" si="27"/>
        <v/>
      </c>
      <c r="I728" s="15">
        <f t="shared" ca="1" si="22"/>
        <v>1077.4333333333334</v>
      </c>
      <c r="J728" s="16">
        <f t="shared" ca="1" si="23"/>
        <v>1113.2666666666669</v>
      </c>
      <c r="K728" s="16"/>
      <c r="L728" s="16">
        <f t="shared" ca="1" si="24"/>
        <v>1054.8666666666668</v>
      </c>
      <c r="M728" s="16">
        <f t="shared" ca="1" si="25"/>
        <v>1135.8333333333335</v>
      </c>
      <c r="N728" s="16">
        <f t="shared" ca="1" si="26"/>
        <v>1019.0333333333333</v>
      </c>
    </row>
    <row r="729" spans="1:14" ht="24.75" customHeight="1" x14ac:dyDescent="0.8">
      <c r="A729" s="18" t="s">
        <v>692</v>
      </c>
      <c r="B729" s="10">
        <f ca="1">IFERROR(__xludf.DUMMYFUNCTION("GOOGLEFINANCE(A729,""PRICE"")"),1766)</f>
        <v>1766</v>
      </c>
      <c r="C729" s="11">
        <f ca="1">IFERROR(__xludf.DUMMYFUNCTION("GOOGLEFINANCE(A729,""PRICEOPEN"")"),1762.4)</f>
        <v>1762.4</v>
      </c>
      <c r="D729" s="11">
        <f ca="1">IFERROR(__xludf.DUMMYFUNCTION("GOOGLEFINANCE(A729,""HIGH"")"),1781.9)</f>
        <v>1781.9</v>
      </c>
      <c r="E729" s="11">
        <f ca="1">IFERROR(__xludf.DUMMYFUNCTION("GOOGLEFINANCE(A729,""LOW"")"),1746.3)</f>
        <v>1746.3</v>
      </c>
      <c r="F729" s="12" t="str">
        <f t="shared" ca="1" si="21"/>
        <v/>
      </c>
      <c r="G729" s="13">
        <f ca="1">IFERROR(__xludf.DUMMYFUNCTION("GOOGLEFINANCE(A729,""CLOSEYEST"")"),1753.4)</f>
        <v>1753.4</v>
      </c>
      <c r="H729" s="14" t="str">
        <f t="shared" ca="1" si="27"/>
        <v/>
      </c>
      <c r="I729" s="15">
        <f t="shared" ca="1" si="22"/>
        <v>1760.5333333333335</v>
      </c>
      <c r="J729" s="16">
        <f t="shared" ca="1" si="23"/>
        <v>1774.7666666666671</v>
      </c>
      <c r="K729" s="16"/>
      <c r="L729" s="16">
        <f t="shared" ca="1" si="24"/>
        <v>1739.166666666667</v>
      </c>
      <c r="M729" s="16">
        <f t="shared" ca="1" si="25"/>
        <v>1796.1333333333337</v>
      </c>
      <c r="N729" s="16">
        <f t="shared" ca="1" si="26"/>
        <v>1724.9333333333334</v>
      </c>
    </row>
    <row r="730" spans="1:14" ht="24.75" customHeight="1" x14ac:dyDescent="0.8">
      <c r="A730" s="18" t="s">
        <v>693</v>
      </c>
      <c r="B730" s="10">
        <f ca="1">IFERROR(__xludf.DUMMYFUNCTION("GOOGLEFINANCE(A730,""PRICE"")"),64.17)</f>
        <v>64.17</v>
      </c>
      <c r="C730" s="11">
        <f ca="1">IFERROR(__xludf.DUMMYFUNCTION("GOOGLEFINANCE(A730,""PRICEOPEN"")"),65.11)</f>
        <v>65.11</v>
      </c>
      <c r="D730" s="11">
        <f ca="1">IFERROR(__xludf.DUMMYFUNCTION("GOOGLEFINANCE(A730,""HIGH"")"),65.97)</f>
        <v>65.97</v>
      </c>
      <c r="E730" s="11">
        <f ca="1">IFERROR(__xludf.DUMMYFUNCTION("GOOGLEFINANCE(A730,""LOW"")"),63.31)</f>
        <v>63.31</v>
      </c>
      <c r="F730" s="12" t="str">
        <f t="shared" ca="1" si="21"/>
        <v/>
      </c>
      <c r="G730" s="13">
        <f ca="1">IFERROR(__xludf.DUMMYFUNCTION("GOOGLEFINANCE(A730,""CLOSEYEST"")"),64.61)</f>
        <v>64.61</v>
      </c>
      <c r="H730" s="14" t="str">
        <f t="shared" ca="1" si="27"/>
        <v/>
      </c>
      <c r="I730" s="15">
        <f t="shared" ca="1" si="22"/>
        <v>64.63</v>
      </c>
      <c r="J730" s="16">
        <f t="shared" ca="1" si="23"/>
        <v>65.949999999999989</v>
      </c>
      <c r="K730" s="16"/>
      <c r="L730" s="16">
        <f t="shared" ca="1" si="24"/>
        <v>63.289999999999992</v>
      </c>
      <c r="M730" s="16">
        <f t="shared" ca="1" si="25"/>
        <v>67.289999999999992</v>
      </c>
      <c r="N730" s="16">
        <f t="shared" ca="1" si="26"/>
        <v>61.97</v>
      </c>
    </row>
    <row r="731" spans="1:14" ht="24.75" customHeight="1" x14ac:dyDescent="0.8">
      <c r="A731" s="18" t="s">
        <v>694</v>
      </c>
      <c r="B731" s="10">
        <f ca="1">IFERROR(__xludf.DUMMYFUNCTION("GOOGLEFINANCE(A731,""PRICE"")"),147.43)</f>
        <v>147.43</v>
      </c>
      <c r="C731" s="11">
        <f ca="1">IFERROR(__xludf.DUMMYFUNCTION("GOOGLEFINANCE(A731,""PRICEOPEN"")"),145.78)</f>
        <v>145.78</v>
      </c>
      <c r="D731" s="11">
        <f ca="1">IFERROR(__xludf.DUMMYFUNCTION("GOOGLEFINANCE(A731,""HIGH"")"),148.39)</f>
        <v>148.38999999999999</v>
      </c>
      <c r="E731" s="11">
        <f ca="1">IFERROR(__xludf.DUMMYFUNCTION("GOOGLEFINANCE(A731,""LOW"")"),144.38)</f>
        <v>144.38</v>
      </c>
      <c r="F731" s="12" t="str">
        <f t="shared" ca="1" si="21"/>
        <v/>
      </c>
      <c r="G731" s="13">
        <f ca="1">IFERROR(__xludf.DUMMYFUNCTION("GOOGLEFINANCE(A731,""CLOSEYEST"")"),144.97)</f>
        <v>144.97</v>
      </c>
      <c r="H731" s="14" t="str">
        <f t="shared" ca="1" si="27"/>
        <v/>
      </c>
      <c r="I731" s="15">
        <f t="shared" ca="1" si="22"/>
        <v>145.91333333333333</v>
      </c>
      <c r="J731" s="16">
        <f t="shared" ca="1" si="23"/>
        <v>147.44666666666666</v>
      </c>
      <c r="K731" s="16"/>
      <c r="L731" s="16">
        <f t="shared" ca="1" si="24"/>
        <v>143.43666666666667</v>
      </c>
      <c r="M731" s="16">
        <f t="shared" ca="1" si="25"/>
        <v>149.92333333333332</v>
      </c>
      <c r="N731" s="16">
        <f t="shared" ca="1" si="26"/>
        <v>141.90333333333334</v>
      </c>
    </row>
    <row r="732" spans="1:14" ht="24.75" customHeight="1" x14ac:dyDescent="0.8">
      <c r="A732" s="18" t="s">
        <v>695</v>
      </c>
      <c r="B732" s="10">
        <f ca="1">IFERROR(__xludf.DUMMYFUNCTION("GOOGLEFINANCE(A732,""PRICE"")"),374.55)</f>
        <v>374.55</v>
      </c>
      <c r="C732" s="11">
        <f ca="1">IFERROR(__xludf.DUMMYFUNCTION("GOOGLEFINANCE(A732,""PRICEOPEN"")"),373)</f>
        <v>373</v>
      </c>
      <c r="D732" s="11">
        <f ca="1">IFERROR(__xludf.DUMMYFUNCTION("GOOGLEFINANCE(A732,""HIGH"")"),378.3)</f>
        <v>378.3</v>
      </c>
      <c r="E732" s="11">
        <f ca="1">IFERROR(__xludf.DUMMYFUNCTION("GOOGLEFINANCE(A732,""LOW"")"),367)</f>
        <v>367</v>
      </c>
      <c r="F732" s="12" t="str">
        <f t="shared" ca="1" si="21"/>
        <v/>
      </c>
      <c r="G732" s="13">
        <f ca="1">IFERROR(__xludf.DUMMYFUNCTION("GOOGLEFINANCE(A732,""CLOSEYEST"")"),367.5)</f>
        <v>367.5</v>
      </c>
      <c r="H732" s="14" t="str">
        <f t="shared" ca="1" si="27"/>
        <v>GAP UP</v>
      </c>
      <c r="I732" s="15">
        <f t="shared" ca="1" si="22"/>
        <v>370.93333333333334</v>
      </c>
      <c r="J732" s="16">
        <f t="shared" ca="1" si="23"/>
        <v>374.86666666666667</v>
      </c>
      <c r="K732" s="16"/>
      <c r="L732" s="16">
        <f t="shared" ca="1" si="24"/>
        <v>363.56666666666666</v>
      </c>
      <c r="M732" s="16">
        <f t="shared" ca="1" si="25"/>
        <v>382.23333333333335</v>
      </c>
      <c r="N732" s="16">
        <f t="shared" ca="1" si="26"/>
        <v>359.63333333333333</v>
      </c>
    </row>
    <row r="733" spans="1:14" ht="24.75" customHeight="1" x14ac:dyDescent="0.8">
      <c r="A733" s="18" t="s">
        <v>696</v>
      </c>
      <c r="B733" s="10" t="str">
        <f ca="1">IFERROR(__xludf.DUMMYFUNCTION("GOOGLEFINANCE(A733,""PRICE"")"),"#N/A")</f>
        <v>#N/A</v>
      </c>
      <c r="C733" s="11" t="str">
        <f ca="1">IFERROR(__xludf.DUMMYFUNCTION("GOOGLEFINANCE(A733,""PRICEOPEN"")"),"#N/A")</f>
        <v>#N/A</v>
      </c>
      <c r="D733" s="11" t="str">
        <f ca="1">IFERROR(__xludf.DUMMYFUNCTION("GOOGLEFINANCE(A733,""HIGH"")"),"#N/A")</f>
        <v>#N/A</v>
      </c>
      <c r="E733" s="11" t="str">
        <f ca="1">IFERROR(__xludf.DUMMYFUNCTION("GOOGLEFINANCE(A733,""LOW"")"),"#N/A")</f>
        <v>#N/A</v>
      </c>
      <c r="F733" s="12" t="str">
        <f t="shared" ca="1" si="21"/>
        <v>SELL</v>
      </c>
      <c r="G733" s="13" t="str">
        <f ca="1">IFERROR(__xludf.DUMMYFUNCTION("GOOGLEFINANCE(A733,""CLOSEYEST"")"),"#N/A")</f>
        <v>#N/A</v>
      </c>
      <c r="H733" s="14" t="e">
        <f t="shared" ca="1" si="27"/>
        <v>#VALUE!</v>
      </c>
      <c r="I733" s="15" t="e">
        <f t="shared" ca="1" si="22"/>
        <v>#VALUE!</v>
      </c>
      <c r="J733" s="16" t="e">
        <f t="shared" ca="1" si="23"/>
        <v>#VALUE!</v>
      </c>
      <c r="K733" s="16"/>
      <c r="L733" s="16" t="e">
        <f t="shared" ca="1" si="24"/>
        <v>#VALUE!</v>
      </c>
      <c r="M733" s="16" t="e">
        <f t="shared" ca="1" si="25"/>
        <v>#VALUE!</v>
      </c>
      <c r="N733" s="16" t="e">
        <f t="shared" ca="1" si="26"/>
        <v>#VALUE!</v>
      </c>
    </row>
    <row r="734" spans="1:14" ht="24.75" customHeight="1" x14ac:dyDescent="0.8">
      <c r="A734" s="18" t="s">
        <v>697</v>
      </c>
      <c r="B734" s="10">
        <f ca="1">IFERROR(__xludf.DUMMYFUNCTION("GOOGLEFINANCE(A734,""PRICE"")"),507.9)</f>
        <v>507.9</v>
      </c>
      <c r="C734" s="11">
        <f ca="1">IFERROR(__xludf.DUMMYFUNCTION("GOOGLEFINANCE(A734,""PRICEOPEN"")"),505.1)</f>
        <v>505.1</v>
      </c>
      <c r="D734" s="11">
        <f ca="1">IFERROR(__xludf.DUMMYFUNCTION("GOOGLEFINANCE(A734,""HIGH"")"),509.9)</f>
        <v>509.9</v>
      </c>
      <c r="E734" s="11">
        <f ca="1">IFERROR(__xludf.DUMMYFUNCTION("GOOGLEFINANCE(A734,""LOW"")"),503.25)</f>
        <v>503.25</v>
      </c>
      <c r="F734" s="12" t="str">
        <f t="shared" ca="1" si="21"/>
        <v/>
      </c>
      <c r="G734" s="13">
        <f ca="1">IFERROR(__xludf.DUMMYFUNCTION("GOOGLEFINANCE(A734,""CLOSEYEST"")"),507.2)</f>
        <v>507.2</v>
      </c>
      <c r="H734" s="14" t="str">
        <f t="shared" ca="1" si="27"/>
        <v/>
      </c>
      <c r="I734" s="15">
        <f t="shared" ca="1" si="22"/>
        <v>506.7833333333333</v>
      </c>
      <c r="J734" s="16">
        <f t="shared" ca="1" si="23"/>
        <v>510.31666666666661</v>
      </c>
      <c r="K734" s="16"/>
      <c r="L734" s="16">
        <f t="shared" ca="1" si="24"/>
        <v>503.66666666666663</v>
      </c>
      <c r="M734" s="16">
        <f t="shared" ca="1" si="25"/>
        <v>513.43333333333328</v>
      </c>
      <c r="N734" s="16">
        <f t="shared" ca="1" si="26"/>
        <v>500.13333333333333</v>
      </c>
    </row>
    <row r="735" spans="1:14" ht="24.75" customHeight="1" x14ac:dyDescent="0.8">
      <c r="A735" s="18" t="s">
        <v>698</v>
      </c>
      <c r="B735" s="10">
        <f ca="1">IFERROR(__xludf.DUMMYFUNCTION("GOOGLEFINANCE(A735,""PRICE"")"),177.44)</f>
        <v>177.44</v>
      </c>
      <c r="C735" s="11">
        <f ca="1">IFERROR(__xludf.DUMMYFUNCTION("GOOGLEFINANCE(A735,""PRICEOPEN"")"),170.8)</f>
        <v>170.8</v>
      </c>
      <c r="D735" s="11">
        <f ca="1">IFERROR(__xludf.DUMMYFUNCTION("GOOGLEFINANCE(A735,""HIGH"")"),178.5)</f>
        <v>178.5</v>
      </c>
      <c r="E735" s="11">
        <f ca="1">IFERROR(__xludf.DUMMYFUNCTION("GOOGLEFINANCE(A735,""LOW"")"),169.71)</f>
        <v>169.71</v>
      </c>
      <c r="F735" s="12" t="str">
        <f t="shared" ca="1" si="21"/>
        <v/>
      </c>
      <c r="G735" s="13">
        <f ca="1">IFERROR(__xludf.DUMMYFUNCTION("GOOGLEFINANCE(A735,""CLOSEYEST"")"),170.51)</f>
        <v>170.51</v>
      </c>
      <c r="H735" s="14" t="str">
        <f t="shared" ca="1" si="27"/>
        <v/>
      </c>
      <c r="I735" s="15">
        <f t="shared" ca="1" si="22"/>
        <v>172.90666666666667</v>
      </c>
      <c r="J735" s="16">
        <f t="shared" ca="1" si="23"/>
        <v>176.10333333333332</v>
      </c>
      <c r="K735" s="16"/>
      <c r="L735" s="16">
        <f t="shared" ca="1" si="24"/>
        <v>167.31333333333333</v>
      </c>
      <c r="M735" s="16">
        <f t="shared" ca="1" si="25"/>
        <v>181.69666666666666</v>
      </c>
      <c r="N735" s="16">
        <f t="shared" ca="1" si="26"/>
        <v>164.11666666666667</v>
      </c>
    </row>
    <row r="736" spans="1:14" ht="24.75" customHeight="1" x14ac:dyDescent="0.8">
      <c r="A736" s="18" t="s">
        <v>699</v>
      </c>
      <c r="B736" s="10">
        <f ca="1">IFERROR(__xludf.DUMMYFUNCTION("GOOGLEFINANCE(A736,""PRICE"")"),53.23)</f>
        <v>53.23</v>
      </c>
      <c r="C736" s="11">
        <f ca="1">IFERROR(__xludf.DUMMYFUNCTION("GOOGLEFINANCE(A736,""PRICEOPEN"")"),52.24)</f>
        <v>52.24</v>
      </c>
      <c r="D736" s="11">
        <f ca="1">IFERROR(__xludf.DUMMYFUNCTION("GOOGLEFINANCE(A736,""HIGH"")"),53.54)</f>
        <v>53.54</v>
      </c>
      <c r="E736" s="11">
        <f ca="1">IFERROR(__xludf.DUMMYFUNCTION("GOOGLEFINANCE(A736,""LOW"")"),52.02)</f>
        <v>52.02</v>
      </c>
      <c r="F736" s="12" t="str">
        <f t="shared" ca="1" si="21"/>
        <v/>
      </c>
      <c r="G736" s="13">
        <f ca="1">IFERROR(__xludf.DUMMYFUNCTION("GOOGLEFINANCE(A736,""CLOSEYEST"")"),52.06)</f>
        <v>52.06</v>
      </c>
      <c r="H736" s="14" t="str">
        <f t="shared" ca="1" si="27"/>
        <v/>
      </c>
      <c r="I736" s="15">
        <f t="shared" ca="1" si="22"/>
        <v>52.54</v>
      </c>
      <c r="J736" s="16">
        <f t="shared" ca="1" si="23"/>
        <v>53.059999999999995</v>
      </c>
      <c r="K736" s="16"/>
      <c r="L736" s="16">
        <f t="shared" ca="1" si="24"/>
        <v>51.54</v>
      </c>
      <c r="M736" s="16">
        <f t="shared" ca="1" si="25"/>
        <v>54.059999999999995</v>
      </c>
      <c r="N736" s="16">
        <f t="shared" ca="1" si="26"/>
        <v>51.02</v>
      </c>
    </row>
    <row r="737" spans="1:14" ht="24.75" customHeight="1" x14ac:dyDescent="0.8">
      <c r="A737" s="18" t="s">
        <v>700</v>
      </c>
      <c r="B737" s="10">
        <f ca="1">IFERROR(__xludf.DUMMYFUNCTION("GOOGLEFINANCE(A737,""PRICE"")"),347.5)</f>
        <v>347.5</v>
      </c>
      <c r="C737" s="11">
        <f ca="1">IFERROR(__xludf.DUMMYFUNCTION("GOOGLEFINANCE(A737,""PRICEOPEN"")"),343.8)</f>
        <v>343.8</v>
      </c>
      <c r="D737" s="11">
        <f ca="1">IFERROR(__xludf.DUMMYFUNCTION("GOOGLEFINANCE(A737,""HIGH"")"),349)</f>
        <v>349</v>
      </c>
      <c r="E737" s="11">
        <f ca="1">IFERROR(__xludf.DUMMYFUNCTION("GOOGLEFINANCE(A737,""LOW"")"),336.55)</f>
        <v>336.55</v>
      </c>
      <c r="F737" s="12" t="str">
        <f t="shared" ca="1" si="21"/>
        <v/>
      </c>
      <c r="G737" s="13">
        <f ca="1">IFERROR(__xludf.DUMMYFUNCTION("GOOGLEFINANCE(A737,""CLOSEYEST"")"),342.9)</f>
        <v>342.9</v>
      </c>
      <c r="H737" s="14" t="str">
        <f t="shared" ca="1" si="27"/>
        <v/>
      </c>
      <c r="I737" s="15">
        <f t="shared" ca="1" si="22"/>
        <v>342.81666666666661</v>
      </c>
      <c r="J737" s="16">
        <f t="shared" ca="1" si="23"/>
        <v>349.0833333333332</v>
      </c>
      <c r="K737" s="16"/>
      <c r="L737" s="16">
        <f t="shared" ca="1" si="24"/>
        <v>336.63333333333321</v>
      </c>
      <c r="M737" s="16">
        <f t="shared" ca="1" si="25"/>
        <v>355.26666666666659</v>
      </c>
      <c r="N737" s="16">
        <f t="shared" ca="1" si="26"/>
        <v>330.36666666666662</v>
      </c>
    </row>
    <row r="738" spans="1:14" ht="24.75" customHeight="1" x14ac:dyDescent="0.8">
      <c r="A738" s="18" t="s">
        <v>701</v>
      </c>
      <c r="B738" s="10">
        <f ca="1">IFERROR(__xludf.DUMMYFUNCTION("GOOGLEFINANCE(A738,""PRICE"")"),719.75)</f>
        <v>719.75</v>
      </c>
      <c r="C738" s="11">
        <f ca="1">IFERROR(__xludf.DUMMYFUNCTION("GOOGLEFINANCE(A738,""PRICEOPEN"")"),701)</f>
        <v>701</v>
      </c>
      <c r="D738" s="11">
        <f ca="1">IFERROR(__xludf.DUMMYFUNCTION("GOOGLEFINANCE(A738,""HIGH"")"),731.7)</f>
        <v>731.7</v>
      </c>
      <c r="E738" s="11">
        <f ca="1">IFERROR(__xludf.DUMMYFUNCTION("GOOGLEFINANCE(A738,""LOW"")"),699.25)</f>
        <v>699.25</v>
      </c>
      <c r="F738" s="12" t="str">
        <f t="shared" ca="1" si="21"/>
        <v/>
      </c>
      <c r="G738" s="13">
        <f ca="1">IFERROR(__xludf.DUMMYFUNCTION("GOOGLEFINANCE(A738,""CLOSEYEST"")"),699.05)</f>
        <v>699.05</v>
      </c>
      <c r="H738" s="14" t="str">
        <f t="shared" ca="1" si="27"/>
        <v/>
      </c>
      <c r="I738" s="15">
        <f t="shared" ca="1" si="22"/>
        <v>710</v>
      </c>
      <c r="J738" s="16">
        <f t="shared" ca="1" si="23"/>
        <v>720.75</v>
      </c>
      <c r="K738" s="16"/>
      <c r="L738" s="16">
        <f t="shared" ca="1" si="24"/>
        <v>688.3</v>
      </c>
      <c r="M738" s="16">
        <f t="shared" ca="1" si="25"/>
        <v>742.45</v>
      </c>
      <c r="N738" s="16">
        <f t="shared" ca="1" si="26"/>
        <v>677.55</v>
      </c>
    </row>
    <row r="739" spans="1:14" ht="24.75" customHeight="1" x14ac:dyDescent="0.8">
      <c r="A739" s="18" t="s">
        <v>702</v>
      </c>
      <c r="B739" s="10">
        <f ca="1">IFERROR(__xludf.DUMMYFUNCTION("GOOGLEFINANCE(A739,""PRICE"")"),350)</f>
        <v>350</v>
      </c>
      <c r="C739" s="11">
        <f ca="1">IFERROR(__xludf.DUMMYFUNCTION("GOOGLEFINANCE(A739,""PRICEOPEN"")"),345)</f>
        <v>345</v>
      </c>
      <c r="D739" s="11">
        <f ca="1">IFERROR(__xludf.DUMMYFUNCTION("GOOGLEFINANCE(A739,""HIGH"")"),357.9)</f>
        <v>357.9</v>
      </c>
      <c r="E739" s="11">
        <f ca="1">IFERROR(__xludf.DUMMYFUNCTION("GOOGLEFINANCE(A739,""LOW"")"),342.75)</f>
        <v>342.75</v>
      </c>
      <c r="F739" s="12" t="str">
        <f t="shared" ca="1" si="21"/>
        <v/>
      </c>
      <c r="G739" s="13">
        <f ca="1">IFERROR(__xludf.DUMMYFUNCTION("GOOGLEFINANCE(A739,""CLOSEYEST"")"),343.2)</f>
        <v>343.2</v>
      </c>
      <c r="H739" s="14" t="str">
        <f t="shared" ca="1" si="27"/>
        <v/>
      </c>
      <c r="I739" s="15">
        <f t="shared" ca="1" si="22"/>
        <v>347.95</v>
      </c>
      <c r="J739" s="16">
        <f t="shared" ca="1" si="23"/>
        <v>353.15</v>
      </c>
      <c r="K739" s="16"/>
      <c r="L739" s="16">
        <f t="shared" ca="1" si="24"/>
        <v>338</v>
      </c>
      <c r="M739" s="16">
        <f t="shared" ca="1" si="25"/>
        <v>363.09999999999997</v>
      </c>
      <c r="N739" s="16">
        <f t="shared" ca="1" si="26"/>
        <v>332.8</v>
      </c>
    </row>
    <row r="740" spans="1:14" ht="24.75" customHeight="1" x14ac:dyDescent="0.8">
      <c r="A740" s="18" t="s">
        <v>703</v>
      </c>
      <c r="B740" s="10">
        <f ca="1">IFERROR(__xludf.DUMMYFUNCTION("GOOGLEFINANCE(A740,""PRICE"")"),381)</f>
        <v>381</v>
      </c>
      <c r="C740" s="11">
        <f ca="1">IFERROR(__xludf.DUMMYFUNCTION("GOOGLEFINANCE(A740,""PRICEOPEN"")"),382)</f>
        <v>382</v>
      </c>
      <c r="D740" s="11">
        <f ca="1">IFERROR(__xludf.DUMMYFUNCTION("GOOGLEFINANCE(A740,""HIGH"")"),387.25)</f>
        <v>387.25</v>
      </c>
      <c r="E740" s="11">
        <f ca="1">IFERROR(__xludf.DUMMYFUNCTION("GOOGLEFINANCE(A740,""LOW"")"),376.65)</f>
        <v>376.65</v>
      </c>
      <c r="F740" s="12" t="str">
        <f t="shared" ca="1" si="21"/>
        <v/>
      </c>
      <c r="G740" s="13">
        <f ca="1">IFERROR(__xludf.DUMMYFUNCTION("GOOGLEFINANCE(A740,""CLOSEYEST"")"),381.3)</f>
        <v>381.3</v>
      </c>
      <c r="H740" s="14" t="str">
        <f t="shared" ca="1" si="27"/>
        <v/>
      </c>
      <c r="I740" s="15">
        <f t="shared" ca="1" si="22"/>
        <v>381.73333333333335</v>
      </c>
      <c r="J740" s="16">
        <f t="shared" ca="1" si="23"/>
        <v>386.81666666666672</v>
      </c>
      <c r="K740" s="16"/>
      <c r="L740" s="16">
        <f t="shared" ca="1" si="24"/>
        <v>376.2166666666667</v>
      </c>
      <c r="M740" s="16">
        <f t="shared" ca="1" si="25"/>
        <v>392.33333333333337</v>
      </c>
      <c r="N740" s="16">
        <f t="shared" ca="1" si="26"/>
        <v>371.13333333333333</v>
      </c>
    </row>
    <row r="741" spans="1:14" ht="24.75" customHeight="1" x14ac:dyDescent="0.8">
      <c r="A741" s="18" t="s">
        <v>704</v>
      </c>
      <c r="B741" s="10">
        <f ca="1">IFERROR(__xludf.DUMMYFUNCTION("GOOGLEFINANCE(A741,""PRICE"")"),1225.1)</f>
        <v>1225.0999999999999</v>
      </c>
      <c r="C741" s="11">
        <f ca="1">IFERROR(__xludf.DUMMYFUNCTION("GOOGLEFINANCE(A741,""PRICEOPEN"")"),1240)</f>
        <v>1240</v>
      </c>
      <c r="D741" s="11">
        <f ca="1">IFERROR(__xludf.DUMMYFUNCTION("GOOGLEFINANCE(A741,""HIGH"")"),1243.2)</f>
        <v>1243.2</v>
      </c>
      <c r="E741" s="11">
        <f ca="1">IFERROR(__xludf.DUMMYFUNCTION("GOOGLEFINANCE(A741,""LOW"")"),1205)</f>
        <v>1205</v>
      </c>
      <c r="F741" s="12" t="str">
        <f t="shared" ca="1" si="21"/>
        <v/>
      </c>
      <c r="G741" s="13">
        <f ca="1">IFERROR(__xludf.DUMMYFUNCTION("GOOGLEFINANCE(A741,""CLOSEYEST"")"),1239.9)</f>
        <v>1239.9000000000001</v>
      </c>
      <c r="H741" s="14" t="str">
        <f t="shared" ca="1" si="27"/>
        <v/>
      </c>
      <c r="I741" s="15">
        <f t="shared" ca="1" si="22"/>
        <v>1229.3666666666666</v>
      </c>
      <c r="J741" s="16">
        <f t="shared" ca="1" si="23"/>
        <v>1253.7333333333331</v>
      </c>
      <c r="K741" s="16"/>
      <c r="L741" s="16">
        <f t="shared" ca="1" si="24"/>
        <v>1215.5333333333331</v>
      </c>
      <c r="M741" s="16">
        <f t="shared" ca="1" si="25"/>
        <v>1267.5666666666666</v>
      </c>
      <c r="N741" s="16">
        <f t="shared" ca="1" si="26"/>
        <v>1191.1666666666665</v>
      </c>
    </row>
    <row r="742" spans="1:14" ht="24.75" customHeight="1" x14ac:dyDescent="0.8">
      <c r="A742" s="18" t="s">
        <v>705</v>
      </c>
      <c r="B742" s="10" t="str">
        <f ca="1">IFERROR(__xludf.DUMMYFUNCTION("GOOGLEFINANCE(A742,""PRICE"")"),"#N/A")</f>
        <v>#N/A</v>
      </c>
      <c r="C742" s="11" t="str">
        <f ca="1">IFERROR(__xludf.DUMMYFUNCTION("GOOGLEFINANCE(A742,""PRICEOPEN"")"),"#N/A")</f>
        <v>#N/A</v>
      </c>
      <c r="D742" s="11" t="str">
        <f ca="1">IFERROR(__xludf.DUMMYFUNCTION("GOOGLEFINANCE(A742,""HIGH"")"),"#N/A")</f>
        <v>#N/A</v>
      </c>
      <c r="E742" s="11" t="str">
        <f ca="1">IFERROR(__xludf.DUMMYFUNCTION("GOOGLEFINANCE(A742,""LOW"")"),"#N/A")</f>
        <v>#N/A</v>
      </c>
      <c r="F742" s="12" t="str">
        <f t="shared" ca="1" si="21"/>
        <v>SELL</v>
      </c>
      <c r="G742" s="13" t="str">
        <f ca="1">IFERROR(__xludf.DUMMYFUNCTION("GOOGLEFINANCE(A742,""CLOSEYEST"")"),"#N/A")</f>
        <v>#N/A</v>
      </c>
      <c r="H742" s="14" t="e">
        <f t="shared" ca="1" si="27"/>
        <v>#VALUE!</v>
      </c>
      <c r="I742" s="15" t="e">
        <f t="shared" ca="1" si="22"/>
        <v>#VALUE!</v>
      </c>
      <c r="J742" s="16" t="e">
        <f t="shared" ca="1" si="23"/>
        <v>#VALUE!</v>
      </c>
      <c r="K742" s="16"/>
      <c r="L742" s="16" t="e">
        <f t="shared" ca="1" si="24"/>
        <v>#VALUE!</v>
      </c>
      <c r="M742" s="16" t="e">
        <f t="shared" ca="1" si="25"/>
        <v>#VALUE!</v>
      </c>
      <c r="N742" s="16" t="e">
        <f t="shared" ca="1" si="26"/>
        <v>#VALUE!</v>
      </c>
    </row>
    <row r="743" spans="1:14" ht="24.75" customHeight="1" x14ac:dyDescent="0.8">
      <c r="A743" s="18" t="s">
        <v>706</v>
      </c>
      <c r="B743" s="10">
        <f ca="1">IFERROR(__xludf.DUMMYFUNCTION("GOOGLEFINANCE(A743,""PRICE"")"),159.85)</f>
        <v>159.85</v>
      </c>
      <c r="C743" s="11">
        <f ca="1">IFERROR(__xludf.DUMMYFUNCTION("GOOGLEFINANCE(A743,""PRICEOPEN"")"),159.07)</f>
        <v>159.07</v>
      </c>
      <c r="D743" s="11">
        <f ca="1">IFERROR(__xludf.DUMMYFUNCTION("GOOGLEFINANCE(A743,""HIGH"")"),160)</f>
        <v>160</v>
      </c>
      <c r="E743" s="11">
        <f ca="1">IFERROR(__xludf.DUMMYFUNCTION("GOOGLEFINANCE(A743,""LOW"")"),156.67)</f>
        <v>156.66999999999999</v>
      </c>
      <c r="F743" s="12" t="str">
        <f t="shared" ca="1" si="21"/>
        <v/>
      </c>
      <c r="G743" s="13">
        <f ca="1">IFERROR(__xludf.DUMMYFUNCTION("GOOGLEFINANCE(A743,""CLOSEYEST"")"),158.92)</f>
        <v>158.91999999999999</v>
      </c>
      <c r="H743" s="14" t="str">
        <f t="shared" ca="1" si="27"/>
        <v/>
      </c>
      <c r="I743" s="15">
        <f t="shared" ca="1" si="22"/>
        <v>158.52999999999997</v>
      </c>
      <c r="J743" s="16">
        <f t="shared" ca="1" si="23"/>
        <v>160.38999999999996</v>
      </c>
      <c r="K743" s="16"/>
      <c r="L743" s="16">
        <f t="shared" ca="1" si="24"/>
        <v>157.05999999999995</v>
      </c>
      <c r="M743" s="16">
        <f t="shared" ca="1" si="25"/>
        <v>161.85999999999999</v>
      </c>
      <c r="N743" s="16">
        <f t="shared" ca="1" si="26"/>
        <v>155.19999999999996</v>
      </c>
    </row>
    <row r="744" spans="1:14" ht="24.75" customHeight="1" x14ac:dyDescent="0.8">
      <c r="A744" s="18" t="s">
        <v>707</v>
      </c>
      <c r="B744" s="10">
        <f ca="1">IFERROR(__xludf.DUMMYFUNCTION("GOOGLEFINANCE(A744,""PRICE"")"),209.4)</f>
        <v>209.4</v>
      </c>
      <c r="C744" s="11">
        <f ca="1">IFERROR(__xludf.DUMMYFUNCTION("GOOGLEFINANCE(A744,""PRICEOPEN"")"),210.3)</f>
        <v>210.3</v>
      </c>
      <c r="D744" s="11">
        <f ca="1">IFERROR(__xludf.DUMMYFUNCTION("GOOGLEFINANCE(A744,""HIGH"")"),212.3)</f>
        <v>212.3</v>
      </c>
      <c r="E744" s="11">
        <f ca="1">IFERROR(__xludf.DUMMYFUNCTION("GOOGLEFINANCE(A744,""LOW"")"),209.4)</f>
        <v>209.4</v>
      </c>
      <c r="F744" s="12" t="str">
        <f t="shared" ca="1" si="21"/>
        <v/>
      </c>
      <c r="G744" s="13">
        <f ca="1">IFERROR(__xludf.DUMMYFUNCTION("GOOGLEFINANCE(A744,""CLOSEYEST"")"),210.3)</f>
        <v>210.3</v>
      </c>
      <c r="H744" s="14" t="str">
        <f t="shared" ca="1" si="27"/>
        <v/>
      </c>
      <c r="I744" s="15">
        <f t="shared" ca="1" si="22"/>
        <v>210.66666666666666</v>
      </c>
      <c r="J744" s="16">
        <f t="shared" ca="1" si="23"/>
        <v>211.93333333333331</v>
      </c>
      <c r="K744" s="16"/>
      <c r="L744" s="16">
        <f t="shared" ca="1" si="24"/>
        <v>209.0333333333333</v>
      </c>
      <c r="M744" s="16">
        <f t="shared" ca="1" si="25"/>
        <v>213.56666666666666</v>
      </c>
      <c r="N744" s="16">
        <f t="shared" ca="1" si="26"/>
        <v>207.76666666666665</v>
      </c>
    </row>
    <row r="745" spans="1:14" ht="24.75" customHeight="1" x14ac:dyDescent="0.8">
      <c r="A745" s="18" t="s">
        <v>708</v>
      </c>
      <c r="B745" s="10">
        <f ca="1">IFERROR(__xludf.DUMMYFUNCTION("GOOGLEFINANCE(A745,""PRICE"")"),164.81)</f>
        <v>164.81</v>
      </c>
      <c r="C745" s="11">
        <f ca="1">IFERROR(__xludf.DUMMYFUNCTION("GOOGLEFINANCE(A745,""PRICEOPEN"")"),163.59)</f>
        <v>163.59</v>
      </c>
      <c r="D745" s="11">
        <f ca="1">IFERROR(__xludf.DUMMYFUNCTION("GOOGLEFINANCE(A745,""HIGH"")"),165.56)</f>
        <v>165.56</v>
      </c>
      <c r="E745" s="11">
        <f ca="1">IFERROR(__xludf.DUMMYFUNCTION("GOOGLEFINANCE(A745,""LOW"")"),158)</f>
        <v>158</v>
      </c>
      <c r="F745" s="12" t="str">
        <f t="shared" ca="1" si="21"/>
        <v/>
      </c>
      <c r="G745" s="13">
        <f ca="1">IFERROR(__xludf.DUMMYFUNCTION("GOOGLEFINANCE(A745,""CLOSEYEST"")"),163.12)</f>
        <v>163.12</v>
      </c>
      <c r="H745" s="14" t="str">
        <f t="shared" ca="1" si="27"/>
        <v/>
      </c>
      <c r="I745" s="15">
        <f t="shared" ca="1" si="22"/>
        <v>162.22666666666666</v>
      </c>
      <c r="J745" s="16">
        <f t="shared" ca="1" si="23"/>
        <v>166.45333333333332</v>
      </c>
      <c r="K745" s="16"/>
      <c r="L745" s="16">
        <f t="shared" ca="1" si="24"/>
        <v>158.89333333333332</v>
      </c>
      <c r="M745" s="16">
        <f t="shared" ca="1" si="25"/>
        <v>169.78666666666666</v>
      </c>
      <c r="N745" s="16">
        <f t="shared" ca="1" si="26"/>
        <v>154.66666666666666</v>
      </c>
    </row>
    <row r="746" spans="1:14" ht="24.75" customHeight="1" x14ac:dyDescent="0.8">
      <c r="A746" s="18" t="s">
        <v>709</v>
      </c>
      <c r="B746" s="10">
        <f ca="1">IFERROR(__xludf.DUMMYFUNCTION("GOOGLEFINANCE(A746,""PRICE"")"),698.4)</f>
        <v>698.4</v>
      </c>
      <c r="C746" s="11">
        <f ca="1">IFERROR(__xludf.DUMMYFUNCTION("GOOGLEFINANCE(A746,""PRICEOPEN"")"),683)</f>
        <v>683</v>
      </c>
      <c r="D746" s="11">
        <f ca="1">IFERROR(__xludf.DUMMYFUNCTION("GOOGLEFINANCE(A746,""HIGH"")"),698.7)</f>
        <v>698.7</v>
      </c>
      <c r="E746" s="11">
        <f ca="1">IFERROR(__xludf.DUMMYFUNCTION("GOOGLEFINANCE(A746,""LOW"")"),682.4)</f>
        <v>682.4</v>
      </c>
      <c r="F746" s="12" t="str">
        <f t="shared" ca="1" si="21"/>
        <v/>
      </c>
      <c r="G746" s="13">
        <f ca="1">IFERROR(__xludf.DUMMYFUNCTION("GOOGLEFINANCE(A746,""CLOSEYEST"")"),682.05)</f>
        <v>682.05</v>
      </c>
      <c r="H746" s="14" t="str">
        <f t="shared" ca="1" si="27"/>
        <v/>
      </c>
      <c r="I746" s="15">
        <f t="shared" ca="1" si="22"/>
        <v>687.71666666666658</v>
      </c>
      <c r="J746" s="16">
        <f t="shared" ca="1" si="23"/>
        <v>693.03333333333319</v>
      </c>
      <c r="K746" s="16"/>
      <c r="L746" s="16">
        <f t="shared" ca="1" si="24"/>
        <v>676.73333333333312</v>
      </c>
      <c r="M746" s="16">
        <f t="shared" ca="1" si="25"/>
        <v>704.01666666666665</v>
      </c>
      <c r="N746" s="16">
        <f t="shared" ca="1" si="26"/>
        <v>671.41666666666652</v>
      </c>
    </row>
    <row r="747" spans="1:14" ht="24.75" customHeight="1" x14ac:dyDescent="0.8">
      <c r="A747" s="18" t="s">
        <v>710</v>
      </c>
      <c r="B747" s="10">
        <f ca="1">IFERROR(__xludf.DUMMYFUNCTION("GOOGLEFINANCE(A747,""PRICE"")"),210.9)</f>
        <v>210.9</v>
      </c>
      <c r="C747" s="11">
        <f ca="1">IFERROR(__xludf.DUMMYFUNCTION("GOOGLEFINANCE(A747,""PRICEOPEN"")"),209)</f>
        <v>209</v>
      </c>
      <c r="D747" s="11">
        <f ca="1">IFERROR(__xludf.DUMMYFUNCTION("GOOGLEFINANCE(A747,""HIGH"")"),211.78)</f>
        <v>211.78</v>
      </c>
      <c r="E747" s="11">
        <f ca="1">IFERROR(__xludf.DUMMYFUNCTION("GOOGLEFINANCE(A747,""LOW"")"),206)</f>
        <v>206</v>
      </c>
      <c r="F747" s="12" t="str">
        <f t="shared" ca="1" si="21"/>
        <v/>
      </c>
      <c r="G747" s="13">
        <f ca="1">IFERROR(__xludf.DUMMYFUNCTION("GOOGLEFINANCE(A747,""CLOSEYEST"")"),206.35)</f>
        <v>206.35</v>
      </c>
      <c r="H747" s="14" t="str">
        <f t="shared" ca="1" si="27"/>
        <v>GAP UP</v>
      </c>
      <c r="I747" s="15">
        <f t="shared" ca="1" si="22"/>
        <v>208.04333333333332</v>
      </c>
      <c r="J747" s="16">
        <f t="shared" ca="1" si="23"/>
        <v>210.08666666666664</v>
      </c>
      <c r="K747" s="16"/>
      <c r="L747" s="16">
        <f t="shared" ca="1" si="24"/>
        <v>204.30666666666664</v>
      </c>
      <c r="M747" s="16">
        <f t="shared" ca="1" si="25"/>
        <v>213.82333333333332</v>
      </c>
      <c r="N747" s="16">
        <f t="shared" ca="1" si="26"/>
        <v>202.26333333333332</v>
      </c>
    </row>
    <row r="748" spans="1:14" ht="24.75" customHeight="1" x14ac:dyDescent="0.8">
      <c r="A748" s="18" t="s">
        <v>711</v>
      </c>
      <c r="B748" s="10">
        <f ca="1">IFERROR(__xludf.DUMMYFUNCTION("GOOGLEFINANCE(A748,""PRICE"")"),136)</f>
        <v>136</v>
      </c>
      <c r="C748" s="11">
        <f ca="1">IFERROR(__xludf.DUMMYFUNCTION("GOOGLEFINANCE(A748,""PRICEOPEN"")"),135)</f>
        <v>135</v>
      </c>
      <c r="D748" s="11">
        <f ca="1">IFERROR(__xludf.DUMMYFUNCTION("GOOGLEFINANCE(A748,""HIGH"")"),136.25)</f>
        <v>136.25</v>
      </c>
      <c r="E748" s="11">
        <f ca="1">IFERROR(__xludf.DUMMYFUNCTION("GOOGLEFINANCE(A748,""LOW"")"),134.31)</f>
        <v>134.31</v>
      </c>
      <c r="F748" s="12" t="str">
        <f t="shared" ca="1" si="21"/>
        <v/>
      </c>
      <c r="G748" s="13">
        <f ca="1">IFERROR(__xludf.DUMMYFUNCTION("GOOGLEFINANCE(A748,""CLOSEYEST"")"),134.37)</f>
        <v>134.37</v>
      </c>
      <c r="H748" s="14" t="str">
        <f t="shared" ca="1" si="27"/>
        <v/>
      </c>
      <c r="I748" s="15">
        <f t="shared" ca="1" si="22"/>
        <v>134.97666666666666</v>
      </c>
      <c r="J748" s="16">
        <f t="shared" ca="1" si="23"/>
        <v>135.64333333333332</v>
      </c>
      <c r="K748" s="16"/>
      <c r="L748" s="16">
        <f t="shared" ca="1" si="24"/>
        <v>133.70333333333332</v>
      </c>
      <c r="M748" s="16">
        <f t="shared" ca="1" si="25"/>
        <v>136.91666666666666</v>
      </c>
      <c r="N748" s="16">
        <f t="shared" ca="1" si="26"/>
        <v>133.03666666666666</v>
      </c>
    </row>
    <row r="749" spans="1:14" ht="24.75" customHeight="1" x14ac:dyDescent="0.8">
      <c r="A749" s="18" t="s">
        <v>712</v>
      </c>
      <c r="B749" s="10">
        <f ca="1">IFERROR(__xludf.DUMMYFUNCTION("GOOGLEFINANCE(A749,""PRICE"")"),503.45)</f>
        <v>503.45</v>
      </c>
      <c r="C749" s="11">
        <f ca="1">IFERROR(__xludf.DUMMYFUNCTION("GOOGLEFINANCE(A749,""PRICEOPEN"")"),511.9)</f>
        <v>511.9</v>
      </c>
      <c r="D749" s="11">
        <f ca="1">IFERROR(__xludf.DUMMYFUNCTION("GOOGLEFINANCE(A749,""HIGH"")"),513.95)</f>
        <v>513.95000000000005</v>
      </c>
      <c r="E749" s="11">
        <f ca="1">IFERROR(__xludf.DUMMYFUNCTION("GOOGLEFINANCE(A749,""LOW"")"),496.85)</f>
        <v>496.85</v>
      </c>
      <c r="F749" s="12" t="str">
        <f t="shared" ca="1" si="21"/>
        <v/>
      </c>
      <c r="G749" s="13">
        <f ca="1">IFERROR(__xludf.DUMMYFUNCTION("GOOGLEFINANCE(A749,""CLOSEYEST"")"),508.1)</f>
        <v>508.1</v>
      </c>
      <c r="H749" s="14" t="str">
        <f t="shared" ca="1" si="27"/>
        <v/>
      </c>
      <c r="I749" s="15">
        <f t="shared" ca="1" si="22"/>
        <v>506.3</v>
      </c>
      <c r="J749" s="16">
        <f t="shared" ca="1" si="23"/>
        <v>515.75</v>
      </c>
      <c r="K749" s="16"/>
      <c r="L749" s="16">
        <f t="shared" ca="1" si="24"/>
        <v>498.65</v>
      </c>
      <c r="M749" s="16">
        <f t="shared" ca="1" si="25"/>
        <v>523.40000000000009</v>
      </c>
      <c r="N749" s="16">
        <f t="shared" ca="1" si="26"/>
        <v>489.2</v>
      </c>
    </row>
    <row r="750" spans="1:14" ht="24.75" customHeight="1" x14ac:dyDescent="0.8">
      <c r="A750" s="18" t="s">
        <v>713</v>
      </c>
      <c r="B750" s="10">
        <f ca="1">IFERROR(__xludf.DUMMYFUNCTION("GOOGLEFINANCE(A750,""PRICE"")"),62.34)</f>
        <v>62.34</v>
      </c>
      <c r="C750" s="11">
        <f ca="1">IFERROR(__xludf.DUMMYFUNCTION("GOOGLEFINANCE(A750,""PRICEOPEN"")"),59.38)</f>
        <v>59.38</v>
      </c>
      <c r="D750" s="11">
        <f ca="1">IFERROR(__xludf.DUMMYFUNCTION("GOOGLEFINANCE(A750,""HIGH"")"),62.34)</f>
        <v>62.34</v>
      </c>
      <c r="E750" s="11">
        <f ca="1">IFERROR(__xludf.DUMMYFUNCTION("GOOGLEFINANCE(A750,""LOW"")"),59.34)</f>
        <v>59.34</v>
      </c>
      <c r="F750" s="12" t="str">
        <f t="shared" ca="1" si="21"/>
        <v/>
      </c>
      <c r="G750" s="13">
        <f ca="1">IFERROR(__xludf.DUMMYFUNCTION("GOOGLEFINANCE(A750,""CLOSEYEST"")"),59.38)</f>
        <v>59.38</v>
      </c>
      <c r="H750" s="14" t="str">
        <f t="shared" ca="1" si="27"/>
        <v/>
      </c>
      <c r="I750" s="15">
        <f t="shared" ca="1" si="22"/>
        <v>60.353333333333332</v>
      </c>
      <c r="J750" s="16">
        <f t="shared" ca="1" si="23"/>
        <v>61.36666666666666</v>
      </c>
      <c r="K750" s="16"/>
      <c r="L750" s="16">
        <f t="shared" ca="1" si="24"/>
        <v>58.36666666666666</v>
      </c>
      <c r="M750" s="16">
        <f t="shared" ca="1" si="25"/>
        <v>63.353333333333332</v>
      </c>
      <c r="N750" s="16">
        <f t="shared" ca="1" si="26"/>
        <v>57.353333333333332</v>
      </c>
    </row>
    <row r="751" spans="1:14" ht="24.75" customHeight="1" x14ac:dyDescent="0.8">
      <c r="A751" s="18" t="s">
        <v>714</v>
      </c>
      <c r="B751" s="10">
        <f ca="1">IFERROR(__xludf.DUMMYFUNCTION("GOOGLEFINANCE(A751,""PRICE"")"),427.4)</f>
        <v>427.4</v>
      </c>
      <c r="C751" s="11">
        <f ca="1">IFERROR(__xludf.DUMMYFUNCTION("GOOGLEFINANCE(A751,""PRICEOPEN"")"),424.1)</f>
        <v>424.1</v>
      </c>
      <c r="D751" s="11">
        <f ca="1">IFERROR(__xludf.DUMMYFUNCTION("GOOGLEFINANCE(A751,""HIGH"")"),430.15)</f>
        <v>430.15</v>
      </c>
      <c r="E751" s="11">
        <f ca="1">IFERROR(__xludf.DUMMYFUNCTION("GOOGLEFINANCE(A751,""LOW"")"),423.2)</f>
        <v>423.2</v>
      </c>
      <c r="F751" s="12" t="str">
        <f t="shared" ca="1" si="21"/>
        <v/>
      </c>
      <c r="G751" s="13">
        <f ca="1">IFERROR(__xludf.DUMMYFUNCTION("GOOGLEFINANCE(A751,""CLOSEYEST"")"),424.1)</f>
        <v>424.1</v>
      </c>
      <c r="H751" s="14" t="str">
        <f t="shared" ca="1" si="27"/>
        <v/>
      </c>
      <c r="I751" s="15">
        <f t="shared" ca="1" si="22"/>
        <v>425.81666666666661</v>
      </c>
      <c r="J751" s="16">
        <f t="shared" ca="1" si="23"/>
        <v>428.43333333333322</v>
      </c>
      <c r="K751" s="16"/>
      <c r="L751" s="16">
        <f t="shared" ca="1" si="24"/>
        <v>421.48333333333323</v>
      </c>
      <c r="M751" s="16">
        <f t="shared" ca="1" si="25"/>
        <v>432.76666666666659</v>
      </c>
      <c r="N751" s="16">
        <f t="shared" ca="1" si="26"/>
        <v>418.86666666666662</v>
      </c>
    </row>
    <row r="752" spans="1:14" ht="24.75" customHeight="1" x14ac:dyDescent="0.8">
      <c r="A752" s="18" t="s">
        <v>715</v>
      </c>
      <c r="B752" s="10">
        <f ca="1">IFERROR(__xludf.DUMMYFUNCTION("GOOGLEFINANCE(A752,""PRICE"")"),1165)</f>
        <v>1165</v>
      </c>
      <c r="C752" s="11">
        <f ca="1">IFERROR(__xludf.DUMMYFUNCTION("GOOGLEFINANCE(A752,""PRICEOPEN"")"),1159)</f>
        <v>1159</v>
      </c>
      <c r="D752" s="11">
        <f ca="1">IFERROR(__xludf.DUMMYFUNCTION("GOOGLEFINANCE(A752,""HIGH"")"),1183.9)</f>
        <v>1183.9000000000001</v>
      </c>
      <c r="E752" s="11">
        <f ca="1">IFERROR(__xludf.DUMMYFUNCTION("GOOGLEFINANCE(A752,""LOW"")"),1136.3)</f>
        <v>1136.3</v>
      </c>
      <c r="F752" s="12" t="str">
        <f t="shared" ca="1" si="21"/>
        <v/>
      </c>
      <c r="G752" s="13">
        <f ca="1">IFERROR(__xludf.DUMMYFUNCTION("GOOGLEFINANCE(A752,""CLOSEYEST"")"),1136.3)</f>
        <v>1136.3</v>
      </c>
      <c r="H752" s="14" t="str">
        <f t="shared" ca="1" si="27"/>
        <v>GAP UP</v>
      </c>
      <c r="I752" s="15">
        <f t="shared" ca="1" si="22"/>
        <v>1152.1666666666667</v>
      </c>
      <c r="J752" s="16">
        <f t="shared" ca="1" si="23"/>
        <v>1168.0333333333335</v>
      </c>
      <c r="K752" s="16"/>
      <c r="L752" s="16">
        <f t="shared" ca="1" si="24"/>
        <v>1120.4333333333334</v>
      </c>
      <c r="M752" s="16">
        <f t="shared" ca="1" si="25"/>
        <v>1199.7666666666669</v>
      </c>
      <c r="N752" s="16">
        <f t="shared" ca="1" si="26"/>
        <v>1104.5666666666666</v>
      </c>
    </row>
    <row r="753" spans="1:14" ht="24.75" customHeight="1" x14ac:dyDescent="0.8">
      <c r="A753" s="18" t="s">
        <v>716</v>
      </c>
      <c r="B753" s="10">
        <f ca="1">IFERROR(__xludf.DUMMYFUNCTION("GOOGLEFINANCE(A753,""PRICE"")"),243)</f>
        <v>243</v>
      </c>
      <c r="C753" s="11">
        <f ca="1">IFERROR(__xludf.DUMMYFUNCTION("GOOGLEFINANCE(A753,""PRICEOPEN"")"),236.5)</f>
        <v>236.5</v>
      </c>
      <c r="D753" s="11">
        <f ca="1">IFERROR(__xludf.DUMMYFUNCTION("GOOGLEFINANCE(A753,""HIGH"")"),243)</f>
        <v>243</v>
      </c>
      <c r="E753" s="11">
        <f ca="1">IFERROR(__xludf.DUMMYFUNCTION("GOOGLEFINANCE(A753,""LOW"")"),232.4)</f>
        <v>232.4</v>
      </c>
      <c r="F753" s="12" t="str">
        <f t="shared" ca="1" si="21"/>
        <v/>
      </c>
      <c r="G753" s="13">
        <f ca="1">IFERROR(__xludf.DUMMYFUNCTION("GOOGLEFINANCE(A753,""CLOSEYEST"")"),236.4)</f>
        <v>236.4</v>
      </c>
      <c r="H753" s="14" t="str">
        <f t="shared" ca="1" si="27"/>
        <v/>
      </c>
      <c r="I753" s="15">
        <f t="shared" ca="1" si="22"/>
        <v>237.26666666666665</v>
      </c>
      <c r="J753" s="16">
        <f t="shared" ca="1" si="23"/>
        <v>242.1333333333333</v>
      </c>
      <c r="K753" s="16"/>
      <c r="L753" s="16">
        <f t="shared" ca="1" si="24"/>
        <v>231.5333333333333</v>
      </c>
      <c r="M753" s="16">
        <f t="shared" ca="1" si="25"/>
        <v>247.86666666666665</v>
      </c>
      <c r="N753" s="16">
        <f t="shared" ca="1" si="26"/>
        <v>226.66666666666666</v>
      </c>
    </row>
    <row r="754" spans="1:14" ht="24.75" customHeight="1" x14ac:dyDescent="0.8">
      <c r="A754" s="18" t="s">
        <v>717</v>
      </c>
      <c r="B754" s="10" t="str">
        <f ca="1">IFERROR(__xludf.DUMMYFUNCTION("GOOGLEFINANCE(A754,""PRICE"")"),"#N/A")</f>
        <v>#N/A</v>
      </c>
      <c r="C754" s="11" t="str">
        <f ca="1">IFERROR(__xludf.DUMMYFUNCTION("GOOGLEFINANCE(A754,""PRICEOPEN"")"),"#N/A")</f>
        <v>#N/A</v>
      </c>
      <c r="D754" s="11" t="str">
        <f ca="1">IFERROR(__xludf.DUMMYFUNCTION("GOOGLEFINANCE(A754,""HIGH"")"),"#N/A")</f>
        <v>#N/A</v>
      </c>
      <c r="E754" s="11" t="str">
        <f ca="1">IFERROR(__xludf.DUMMYFUNCTION("GOOGLEFINANCE(A754,""LOW"")"),"#N/A")</f>
        <v>#N/A</v>
      </c>
      <c r="F754" s="12" t="str">
        <f t="shared" ca="1" si="21"/>
        <v>SELL</v>
      </c>
      <c r="G754" s="13" t="str">
        <f ca="1">IFERROR(__xludf.DUMMYFUNCTION("GOOGLEFINANCE(A754,""CLOSEYEST"")"),"#N/A")</f>
        <v>#N/A</v>
      </c>
      <c r="H754" s="14" t="e">
        <f t="shared" ca="1" si="27"/>
        <v>#VALUE!</v>
      </c>
      <c r="I754" s="15" t="e">
        <f t="shared" ca="1" si="22"/>
        <v>#VALUE!</v>
      </c>
      <c r="J754" s="16" t="e">
        <f t="shared" ca="1" si="23"/>
        <v>#VALUE!</v>
      </c>
      <c r="K754" s="16"/>
      <c r="L754" s="16" t="e">
        <f t="shared" ca="1" si="24"/>
        <v>#VALUE!</v>
      </c>
      <c r="M754" s="16" t="e">
        <f t="shared" ca="1" si="25"/>
        <v>#VALUE!</v>
      </c>
      <c r="N754" s="16" t="e">
        <f t="shared" ca="1" si="26"/>
        <v>#VALUE!</v>
      </c>
    </row>
    <row r="755" spans="1:14" ht="24.75" customHeight="1" x14ac:dyDescent="0.8">
      <c r="A755" s="18" t="s">
        <v>718</v>
      </c>
      <c r="B755" s="10">
        <f ca="1">IFERROR(__xludf.DUMMYFUNCTION("GOOGLEFINANCE(A755,""PRICE"")"),1224.4)</f>
        <v>1224.4000000000001</v>
      </c>
      <c r="C755" s="11">
        <f ca="1">IFERROR(__xludf.DUMMYFUNCTION("GOOGLEFINANCE(A755,""PRICEOPEN"")"),1230.1)</f>
        <v>1230.0999999999999</v>
      </c>
      <c r="D755" s="11">
        <f ca="1">IFERROR(__xludf.DUMMYFUNCTION("GOOGLEFINANCE(A755,""HIGH"")"),1237.7)</f>
        <v>1237.7</v>
      </c>
      <c r="E755" s="11">
        <f ca="1">IFERROR(__xludf.DUMMYFUNCTION("GOOGLEFINANCE(A755,""LOW"")"),1211.5)</f>
        <v>1211.5</v>
      </c>
      <c r="F755" s="12" t="str">
        <f t="shared" ca="1" si="21"/>
        <v/>
      </c>
      <c r="G755" s="13">
        <f ca="1">IFERROR(__xludf.DUMMYFUNCTION("GOOGLEFINANCE(A755,""CLOSEYEST"")"),1244)</f>
        <v>1244</v>
      </c>
      <c r="H755" s="14" t="str">
        <f t="shared" ca="1" si="27"/>
        <v>GAP DOWN</v>
      </c>
      <c r="I755" s="15">
        <f t="shared" ca="1" si="22"/>
        <v>1231.0666666666666</v>
      </c>
      <c r="J755" s="16">
        <f t="shared" ca="1" si="23"/>
        <v>1250.6333333333332</v>
      </c>
      <c r="K755" s="16"/>
      <c r="L755" s="16">
        <f t="shared" ca="1" si="24"/>
        <v>1224.4333333333332</v>
      </c>
      <c r="M755" s="16">
        <f t="shared" ca="1" si="25"/>
        <v>1257.2666666666667</v>
      </c>
      <c r="N755" s="16">
        <f t="shared" ca="1" si="26"/>
        <v>1204.8666666666666</v>
      </c>
    </row>
    <row r="756" spans="1:14" ht="24.75" customHeight="1" x14ac:dyDescent="0.8">
      <c r="A756" s="18" t="s">
        <v>719</v>
      </c>
      <c r="B756" s="10">
        <f ca="1">IFERROR(__xludf.DUMMYFUNCTION("GOOGLEFINANCE(A756,""PRICE"")"),1575.4)</f>
        <v>1575.4</v>
      </c>
      <c r="C756" s="11">
        <f ca="1">IFERROR(__xludf.DUMMYFUNCTION("GOOGLEFINANCE(A756,""PRICEOPEN"")"),1562.5)</f>
        <v>1562.5</v>
      </c>
      <c r="D756" s="11">
        <f ca="1">IFERROR(__xludf.DUMMYFUNCTION("GOOGLEFINANCE(A756,""HIGH"")"),1629.4)</f>
        <v>1629.4</v>
      </c>
      <c r="E756" s="11">
        <f ca="1">IFERROR(__xludf.DUMMYFUNCTION("GOOGLEFINANCE(A756,""LOW"")"),1562.1)</f>
        <v>1562.1</v>
      </c>
      <c r="F756" s="12" t="str">
        <f t="shared" ca="1" si="21"/>
        <v/>
      </c>
      <c r="G756" s="13">
        <f ca="1">IFERROR(__xludf.DUMMYFUNCTION("GOOGLEFINANCE(A756,""CLOSEYEST"")"),1558.9)</f>
        <v>1558.9</v>
      </c>
      <c r="H756" s="14" t="str">
        <f t="shared" ca="1" si="27"/>
        <v/>
      </c>
      <c r="I756" s="15">
        <f t="shared" ca="1" si="22"/>
        <v>1583.4666666666665</v>
      </c>
      <c r="J756" s="16">
        <f t="shared" ca="1" si="23"/>
        <v>1604.833333333333</v>
      </c>
      <c r="K756" s="16"/>
      <c r="L756" s="16">
        <f t="shared" ca="1" si="24"/>
        <v>1537.5333333333328</v>
      </c>
      <c r="M756" s="16">
        <f t="shared" ca="1" si="25"/>
        <v>1650.7666666666667</v>
      </c>
      <c r="N756" s="16">
        <f t="shared" ca="1" si="26"/>
        <v>1516.1666666666663</v>
      </c>
    </row>
    <row r="757" spans="1:14" ht="24.75" customHeight="1" x14ac:dyDescent="0.8">
      <c r="A757" s="18" t="s">
        <v>720</v>
      </c>
      <c r="B757" s="10">
        <f ca="1">IFERROR(__xludf.DUMMYFUNCTION("GOOGLEFINANCE(A757,""PRICE"")"),778.65)</f>
        <v>778.65</v>
      </c>
      <c r="C757" s="11">
        <f ca="1">IFERROR(__xludf.DUMMYFUNCTION("GOOGLEFINANCE(A757,""PRICEOPEN"")"),778)</f>
        <v>778</v>
      </c>
      <c r="D757" s="11">
        <f ca="1">IFERROR(__xludf.DUMMYFUNCTION("GOOGLEFINANCE(A757,""HIGH"")"),794)</f>
        <v>794</v>
      </c>
      <c r="E757" s="11">
        <f ca="1">IFERROR(__xludf.DUMMYFUNCTION("GOOGLEFINANCE(A757,""LOW"")"),777.9)</f>
        <v>777.9</v>
      </c>
      <c r="F757" s="12" t="str">
        <f t="shared" ca="1" si="21"/>
        <v/>
      </c>
      <c r="G757" s="13">
        <f ca="1">IFERROR(__xludf.DUMMYFUNCTION("GOOGLEFINANCE(A757,""CLOSEYEST"")"),778.7)</f>
        <v>778.7</v>
      </c>
      <c r="H757" s="14" t="str">
        <f t="shared" ca="1" si="27"/>
        <v/>
      </c>
      <c r="I757" s="15">
        <f t="shared" ca="1" si="22"/>
        <v>783.53333333333342</v>
      </c>
      <c r="J757" s="16">
        <f t="shared" ca="1" si="23"/>
        <v>789.16666666666686</v>
      </c>
      <c r="K757" s="16"/>
      <c r="L757" s="16">
        <f t="shared" ca="1" si="24"/>
        <v>773.06666666666683</v>
      </c>
      <c r="M757" s="16">
        <f t="shared" ca="1" si="25"/>
        <v>799.63333333333344</v>
      </c>
      <c r="N757" s="16">
        <f t="shared" ca="1" si="26"/>
        <v>767.43333333333339</v>
      </c>
    </row>
    <row r="758" spans="1:14" ht="24.75" customHeight="1" x14ac:dyDescent="0.8">
      <c r="A758" s="18" t="s">
        <v>721</v>
      </c>
      <c r="B758" s="10">
        <f ca="1">IFERROR(__xludf.DUMMYFUNCTION("GOOGLEFINANCE(A758,""PRICE"")"),586)</f>
        <v>586</v>
      </c>
      <c r="C758" s="11">
        <f ca="1">IFERROR(__xludf.DUMMYFUNCTION("GOOGLEFINANCE(A758,""PRICEOPEN"")"),586.85)</f>
        <v>586.85</v>
      </c>
      <c r="D758" s="11">
        <f ca="1">IFERROR(__xludf.DUMMYFUNCTION("GOOGLEFINANCE(A758,""HIGH"")"),591.6)</f>
        <v>591.6</v>
      </c>
      <c r="E758" s="11">
        <f ca="1">IFERROR(__xludf.DUMMYFUNCTION("GOOGLEFINANCE(A758,""LOW"")"),578)</f>
        <v>578</v>
      </c>
      <c r="F758" s="12" t="str">
        <f t="shared" ca="1" si="21"/>
        <v/>
      </c>
      <c r="G758" s="13">
        <f ca="1">IFERROR(__xludf.DUMMYFUNCTION("GOOGLEFINANCE(A758,""CLOSEYEST"")"),586.85)</f>
        <v>586.85</v>
      </c>
      <c r="H758" s="14" t="str">
        <f t="shared" ca="1" si="27"/>
        <v/>
      </c>
      <c r="I758" s="15">
        <f t="shared" ca="1" si="22"/>
        <v>585.48333333333323</v>
      </c>
      <c r="J758" s="16">
        <f t="shared" ca="1" si="23"/>
        <v>592.96666666666647</v>
      </c>
      <c r="K758" s="16"/>
      <c r="L758" s="16">
        <f t="shared" ca="1" si="24"/>
        <v>579.36666666666645</v>
      </c>
      <c r="M758" s="16">
        <f t="shared" ca="1" si="25"/>
        <v>599.08333333333326</v>
      </c>
      <c r="N758" s="16">
        <f t="shared" ca="1" si="26"/>
        <v>571.88333333333321</v>
      </c>
    </row>
    <row r="759" spans="1:14" ht="24.75" customHeight="1" x14ac:dyDescent="0.8">
      <c r="A759" s="18" t="s">
        <v>722</v>
      </c>
      <c r="B759" s="10">
        <f ca="1">IFERROR(__xludf.DUMMYFUNCTION("GOOGLEFINANCE(A759,""PRICE"")"),330.55)</f>
        <v>330.55</v>
      </c>
      <c r="C759" s="11">
        <f ca="1">IFERROR(__xludf.DUMMYFUNCTION("GOOGLEFINANCE(A759,""PRICEOPEN"")"),333.15)</f>
        <v>333.15</v>
      </c>
      <c r="D759" s="11">
        <f ca="1">IFERROR(__xludf.DUMMYFUNCTION("GOOGLEFINANCE(A759,""HIGH"")"),334.25)</f>
        <v>334.25</v>
      </c>
      <c r="E759" s="11">
        <f ca="1">IFERROR(__xludf.DUMMYFUNCTION("GOOGLEFINANCE(A759,""LOW"")"),328.5)</f>
        <v>328.5</v>
      </c>
      <c r="F759" s="12" t="str">
        <f t="shared" ca="1" si="21"/>
        <v/>
      </c>
      <c r="G759" s="13">
        <f ca="1">IFERROR(__xludf.DUMMYFUNCTION("GOOGLEFINANCE(A759,""CLOSEYEST"")"),331.15)</f>
        <v>331.15</v>
      </c>
      <c r="H759" s="14" t="str">
        <f t="shared" ca="1" si="27"/>
        <v/>
      </c>
      <c r="I759" s="15">
        <f t="shared" ca="1" si="22"/>
        <v>331.3</v>
      </c>
      <c r="J759" s="16">
        <f t="shared" ca="1" si="23"/>
        <v>334.1</v>
      </c>
      <c r="K759" s="16"/>
      <c r="L759" s="16">
        <f t="shared" ca="1" si="24"/>
        <v>328.35</v>
      </c>
      <c r="M759" s="16">
        <f t="shared" ca="1" si="25"/>
        <v>337.05</v>
      </c>
      <c r="N759" s="16">
        <f t="shared" ca="1" si="26"/>
        <v>325.55</v>
      </c>
    </row>
    <row r="760" spans="1:14" ht="24.75" customHeight="1" x14ac:dyDescent="0.8">
      <c r="A760" s="18" t="s">
        <v>723</v>
      </c>
      <c r="B760" s="10">
        <f ca="1">IFERROR(__xludf.DUMMYFUNCTION("GOOGLEFINANCE(A760,""PRICE"")"),1828.6)</f>
        <v>1828.6</v>
      </c>
      <c r="C760" s="11">
        <f ca="1">IFERROR(__xludf.DUMMYFUNCTION("GOOGLEFINANCE(A760,""PRICEOPEN"")"),1900)</f>
        <v>1900</v>
      </c>
      <c r="D760" s="11">
        <f ca="1">IFERROR(__xludf.DUMMYFUNCTION("GOOGLEFINANCE(A760,""HIGH"")"),1900)</f>
        <v>1900</v>
      </c>
      <c r="E760" s="11">
        <f ca="1">IFERROR(__xludf.DUMMYFUNCTION("GOOGLEFINANCE(A760,""LOW"")"),1820)</f>
        <v>1820</v>
      </c>
      <c r="F760" s="12" t="str">
        <f t="shared" ca="1" si="21"/>
        <v>SELL</v>
      </c>
      <c r="G760" s="13">
        <f ca="1">IFERROR(__xludf.DUMMYFUNCTION("GOOGLEFINANCE(A760,""CLOSEYEST"")"),1875.1)</f>
        <v>1875.1</v>
      </c>
      <c r="H760" s="14" t="str">
        <f t="shared" ca="1" si="27"/>
        <v>GAP UP</v>
      </c>
      <c r="I760" s="15">
        <f t="shared" ca="1" si="22"/>
        <v>1865.0333333333335</v>
      </c>
      <c r="J760" s="16">
        <f t="shared" ca="1" si="23"/>
        <v>1910.0666666666671</v>
      </c>
      <c r="K760" s="16"/>
      <c r="L760" s="16">
        <f t="shared" ca="1" si="24"/>
        <v>1830.0666666666671</v>
      </c>
      <c r="M760" s="16">
        <f t="shared" ca="1" si="25"/>
        <v>1945.0333333333335</v>
      </c>
      <c r="N760" s="16">
        <f t="shared" ca="1" si="26"/>
        <v>1785.0333333333335</v>
      </c>
    </row>
    <row r="761" spans="1:14" ht="24.75" customHeight="1" x14ac:dyDescent="0.8">
      <c r="A761" s="18" t="s">
        <v>724</v>
      </c>
      <c r="B761" s="10">
        <f ca="1">IFERROR(__xludf.DUMMYFUNCTION("GOOGLEFINANCE(A761,""PRICE"")"),195)</f>
        <v>195</v>
      </c>
      <c r="C761" s="11">
        <f ca="1">IFERROR(__xludf.DUMMYFUNCTION("GOOGLEFINANCE(A761,""PRICEOPEN"")"),192.49)</f>
        <v>192.49</v>
      </c>
      <c r="D761" s="11">
        <f ca="1">IFERROR(__xludf.DUMMYFUNCTION("GOOGLEFINANCE(A761,""HIGH"")"),196.27)</f>
        <v>196.27</v>
      </c>
      <c r="E761" s="11">
        <f ca="1">IFERROR(__xludf.DUMMYFUNCTION("GOOGLEFINANCE(A761,""LOW"")"),187.76)</f>
        <v>187.76</v>
      </c>
      <c r="F761" s="12" t="str">
        <f t="shared" ca="1" si="21"/>
        <v/>
      </c>
      <c r="G761" s="13">
        <f ca="1">IFERROR(__xludf.DUMMYFUNCTION("GOOGLEFINANCE(A761,""CLOSEYEST"")"),190.38)</f>
        <v>190.38</v>
      </c>
      <c r="H761" s="14" t="str">
        <f t="shared" ca="1" si="27"/>
        <v>GAP UP</v>
      </c>
      <c r="I761" s="15">
        <f t="shared" ca="1" si="22"/>
        <v>191.47</v>
      </c>
      <c r="J761" s="16">
        <f t="shared" ca="1" si="23"/>
        <v>195.18</v>
      </c>
      <c r="K761" s="16"/>
      <c r="L761" s="16">
        <f t="shared" ca="1" si="24"/>
        <v>186.67</v>
      </c>
      <c r="M761" s="16">
        <f t="shared" ca="1" si="25"/>
        <v>199.98000000000002</v>
      </c>
      <c r="N761" s="16">
        <f t="shared" ca="1" si="26"/>
        <v>182.95999999999998</v>
      </c>
    </row>
    <row r="762" spans="1:14" ht="24.75" customHeight="1" x14ac:dyDescent="0.8">
      <c r="A762" s="18" t="s">
        <v>725</v>
      </c>
      <c r="B762" s="10">
        <f ca="1">IFERROR(__xludf.DUMMYFUNCTION("GOOGLEFINANCE(A762,""PRICE"")"),13.32)</f>
        <v>13.32</v>
      </c>
      <c r="C762" s="11">
        <f ca="1">IFERROR(__xludf.DUMMYFUNCTION("GOOGLEFINANCE(A762,""PRICEOPEN"")"),13.1)</f>
        <v>13.1</v>
      </c>
      <c r="D762" s="11">
        <f ca="1">IFERROR(__xludf.DUMMYFUNCTION("GOOGLEFINANCE(A762,""HIGH"")"),13.35)</f>
        <v>13.35</v>
      </c>
      <c r="E762" s="11">
        <f ca="1">IFERROR(__xludf.DUMMYFUNCTION("GOOGLEFINANCE(A762,""LOW"")"),13.05)</f>
        <v>13.05</v>
      </c>
      <c r="F762" s="12" t="str">
        <f t="shared" ca="1" si="21"/>
        <v/>
      </c>
      <c r="G762" s="13">
        <f ca="1">IFERROR(__xludf.DUMMYFUNCTION("GOOGLEFINANCE(A762,""CLOSEYEST"")"),13.18)</f>
        <v>13.18</v>
      </c>
      <c r="H762" s="14" t="str">
        <f t="shared" ca="1" si="27"/>
        <v/>
      </c>
      <c r="I762" s="15">
        <f t="shared" ca="1" si="22"/>
        <v>13.193333333333333</v>
      </c>
      <c r="J762" s="16">
        <f t="shared" ca="1" si="23"/>
        <v>13.336666666666666</v>
      </c>
      <c r="K762" s="16"/>
      <c r="L762" s="16">
        <f t="shared" ca="1" si="24"/>
        <v>13.036666666666667</v>
      </c>
      <c r="M762" s="16">
        <f t="shared" ca="1" si="25"/>
        <v>13.493333333333332</v>
      </c>
      <c r="N762" s="16">
        <f t="shared" ca="1" si="26"/>
        <v>12.893333333333334</v>
      </c>
    </row>
    <row r="763" spans="1:14" ht="24.75" customHeight="1" x14ac:dyDescent="0.8">
      <c r="A763" s="18" t="s">
        <v>726</v>
      </c>
      <c r="B763" s="10">
        <f ca="1">IFERROR(__xludf.DUMMYFUNCTION("GOOGLEFINANCE(A763,""PRICE"")"),692.95)</f>
        <v>692.95</v>
      </c>
      <c r="C763" s="11">
        <f ca="1">IFERROR(__xludf.DUMMYFUNCTION("GOOGLEFINANCE(A763,""PRICEOPEN"")"),650.8)</f>
        <v>650.79999999999995</v>
      </c>
      <c r="D763" s="11">
        <f ca="1">IFERROR(__xludf.DUMMYFUNCTION("GOOGLEFINANCE(A763,""HIGH"")"),699.6)</f>
        <v>699.6</v>
      </c>
      <c r="E763" s="11">
        <f ca="1">IFERROR(__xludf.DUMMYFUNCTION("GOOGLEFINANCE(A763,""LOW"")"),650.8)</f>
        <v>650.79999999999995</v>
      </c>
      <c r="F763" s="12" t="str">
        <f t="shared" ca="1" si="21"/>
        <v>BUY</v>
      </c>
      <c r="G763" s="13">
        <f ca="1">IFERROR(__xludf.DUMMYFUNCTION("GOOGLEFINANCE(A763,""CLOSEYEST"")"),651.45)</f>
        <v>651.45000000000005</v>
      </c>
      <c r="H763" s="14" t="str">
        <f t="shared" ca="1" si="27"/>
        <v/>
      </c>
      <c r="I763" s="15">
        <f t="shared" ca="1" si="22"/>
        <v>667.28333333333342</v>
      </c>
      <c r="J763" s="16">
        <f t="shared" ca="1" si="23"/>
        <v>683.76666666666688</v>
      </c>
      <c r="K763" s="16"/>
      <c r="L763" s="16">
        <f t="shared" ca="1" si="24"/>
        <v>634.96666666666681</v>
      </c>
      <c r="M763" s="16">
        <f t="shared" ca="1" si="25"/>
        <v>716.08333333333348</v>
      </c>
      <c r="N763" s="16">
        <f t="shared" ca="1" si="26"/>
        <v>618.48333333333335</v>
      </c>
    </row>
    <row r="764" spans="1:14" ht="24.75" customHeight="1" x14ac:dyDescent="0.8">
      <c r="A764" s="18" t="s">
        <v>727</v>
      </c>
      <c r="B764" s="10">
        <f ca="1">IFERROR(__xludf.DUMMYFUNCTION("GOOGLEFINANCE(A764,""PRICE"")"),5610)</f>
        <v>5610</v>
      </c>
      <c r="C764" s="11">
        <f ca="1">IFERROR(__xludf.DUMMYFUNCTION("GOOGLEFINANCE(A764,""PRICEOPEN"")"),5405)</f>
        <v>5405</v>
      </c>
      <c r="D764" s="11">
        <f ca="1">IFERROR(__xludf.DUMMYFUNCTION("GOOGLEFINANCE(A764,""HIGH"")"),5666)</f>
        <v>5666</v>
      </c>
      <c r="E764" s="11">
        <f ca="1">IFERROR(__xludf.DUMMYFUNCTION("GOOGLEFINANCE(A764,""LOW"")"),5381)</f>
        <v>5381</v>
      </c>
      <c r="F764" s="12" t="str">
        <f t="shared" ca="1" si="21"/>
        <v/>
      </c>
      <c r="G764" s="13">
        <f ca="1">IFERROR(__xludf.DUMMYFUNCTION("GOOGLEFINANCE(A764,""CLOSEYEST"")"),5405)</f>
        <v>5405</v>
      </c>
      <c r="H764" s="14" t="str">
        <f t="shared" ca="1" si="27"/>
        <v/>
      </c>
      <c r="I764" s="15">
        <f t="shared" ca="1" si="22"/>
        <v>5484</v>
      </c>
      <c r="J764" s="16">
        <f t="shared" ca="1" si="23"/>
        <v>5587</v>
      </c>
      <c r="K764" s="16"/>
      <c r="L764" s="16">
        <f t="shared" ca="1" si="24"/>
        <v>5302</v>
      </c>
      <c r="M764" s="16">
        <f t="shared" ca="1" si="25"/>
        <v>5769</v>
      </c>
      <c r="N764" s="16">
        <f t="shared" ca="1" si="26"/>
        <v>5199</v>
      </c>
    </row>
    <row r="765" spans="1:14" ht="24.75" customHeight="1" x14ac:dyDescent="0.8">
      <c r="A765" s="18" t="s">
        <v>728</v>
      </c>
      <c r="B765" s="10">
        <f ca="1">IFERROR(__xludf.DUMMYFUNCTION("GOOGLEFINANCE(A765,""PRICE"")"),745)</f>
        <v>745</v>
      </c>
      <c r="C765" s="11">
        <f ca="1">IFERROR(__xludf.DUMMYFUNCTION("GOOGLEFINANCE(A765,""PRICEOPEN"")"),718.8)</f>
        <v>718.8</v>
      </c>
      <c r="D765" s="11">
        <f ca="1">IFERROR(__xludf.DUMMYFUNCTION("GOOGLEFINANCE(A765,""HIGH"")"),748.95)</f>
        <v>748.95</v>
      </c>
      <c r="E765" s="11">
        <f ca="1">IFERROR(__xludf.DUMMYFUNCTION("GOOGLEFINANCE(A765,""LOW"")"),716.1)</f>
        <v>716.1</v>
      </c>
      <c r="F765" s="12" t="str">
        <f t="shared" ca="1" si="21"/>
        <v/>
      </c>
      <c r="G765" s="13">
        <f ca="1">IFERROR(__xludf.DUMMYFUNCTION("GOOGLEFINANCE(A765,""CLOSEYEST"")"),712.45)</f>
        <v>712.45</v>
      </c>
      <c r="H765" s="14" t="str">
        <f t="shared" ca="1" si="27"/>
        <v/>
      </c>
      <c r="I765" s="15">
        <f t="shared" ca="1" si="22"/>
        <v>725.83333333333337</v>
      </c>
      <c r="J765" s="16">
        <f t="shared" ca="1" si="23"/>
        <v>735.56666666666672</v>
      </c>
      <c r="K765" s="16"/>
      <c r="L765" s="16">
        <f t="shared" ca="1" si="24"/>
        <v>702.7166666666667</v>
      </c>
      <c r="M765" s="16">
        <f t="shared" ca="1" si="25"/>
        <v>758.68333333333339</v>
      </c>
      <c r="N765" s="16">
        <f t="shared" ca="1" si="26"/>
        <v>692.98333333333335</v>
      </c>
    </row>
    <row r="766" spans="1:14" ht="24.75" customHeight="1" x14ac:dyDescent="0.8">
      <c r="A766" s="18" t="s">
        <v>729</v>
      </c>
      <c r="B766" s="10">
        <f ca="1">IFERROR(__xludf.DUMMYFUNCTION("GOOGLEFINANCE(A766,""PRICE"")"),43.53)</f>
        <v>43.53</v>
      </c>
      <c r="C766" s="11">
        <f ca="1">IFERROR(__xludf.DUMMYFUNCTION("GOOGLEFINANCE(A766,""PRICEOPEN"")"),43.25)</f>
        <v>43.25</v>
      </c>
      <c r="D766" s="11">
        <f ca="1">IFERROR(__xludf.DUMMYFUNCTION("GOOGLEFINANCE(A766,""HIGH"")"),43.7)</f>
        <v>43.7</v>
      </c>
      <c r="E766" s="11">
        <f ca="1">IFERROR(__xludf.DUMMYFUNCTION("GOOGLEFINANCE(A766,""LOW"")"),43.21)</f>
        <v>43.21</v>
      </c>
      <c r="F766" s="12" t="str">
        <f t="shared" ca="1" si="21"/>
        <v/>
      </c>
      <c r="G766" s="13">
        <f ca="1">IFERROR(__xludf.DUMMYFUNCTION("GOOGLEFINANCE(A766,""CLOSEYEST"")"),43.08)</f>
        <v>43.08</v>
      </c>
      <c r="H766" s="14" t="str">
        <f t="shared" ca="1" si="27"/>
        <v/>
      </c>
      <c r="I766" s="15">
        <f t="shared" ca="1" si="22"/>
        <v>43.330000000000005</v>
      </c>
      <c r="J766" s="16">
        <f t="shared" ca="1" si="23"/>
        <v>43.45000000000001</v>
      </c>
      <c r="K766" s="16"/>
      <c r="L766" s="16">
        <f t="shared" ca="1" si="24"/>
        <v>42.960000000000008</v>
      </c>
      <c r="M766" s="16">
        <f t="shared" ca="1" si="25"/>
        <v>43.820000000000007</v>
      </c>
      <c r="N766" s="16">
        <f t="shared" ca="1" si="26"/>
        <v>42.84</v>
      </c>
    </row>
    <row r="767" spans="1:14" ht="24.75" customHeight="1" x14ac:dyDescent="0.8">
      <c r="A767" s="18" t="s">
        <v>730</v>
      </c>
      <c r="B767" s="10">
        <f ca="1">IFERROR(__xludf.DUMMYFUNCTION("GOOGLEFINANCE(A767,""PRICE"")"),1414.9)</f>
        <v>1414.9</v>
      </c>
      <c r="C767" s="11">
        <f ca="1">IFERROR(__xludf.DUMMYFUNCTION("GOOGLEFINANCE(A767,""PRICEOPEN"")"),1397)</f>
        <v>1397</v>
      </c>
      <c r="D767" s="11">
        <f ca="1">IFERROR(__xludf.DUMMYFUNCTION("GOOGLEFINANCE(A767,""HIGH"")"),1416.8)</f>
        <v>1416.8</v>
      </c>
      <c r="E767" s="11">
        <f ca="1">IFERROR(__xludf.DUMMYFUNCTION("GOOGLEFINANCE(A767,""LOW"")"),1382.3)</f>
        <v>1382.3</v>
      </c>
      <c r="F767" s="12" t="str">
        <f t="shared" ca="1" si="21"/>
        <v/>
      </c>
      <c r="G767" s="13">
        <f ca="1">IFERROR(__xludf.DUMMYFUNCTION("GOOGLEFINANCE(A767,""CLOSEYEST"")"),1380.3)</f>
        <v>1380.3</v>
      </c>
      <c r="H767" s="14" t="str">
        <f t="shared" ca="1" si="27"/>
        <v>GAP UP</v>
      </c>
      <c r="I767" s="15">
        <f t="shared" ca="1" si="22"/>
        <v>1393.1333333333332</v>
      </c>
      <c r="J767" s="16">
        <f t="shared" ca="1" si="23"/>
        <v>1403.9666666666665</v>
      </c>
      <c r="K767" s="16"/>
      <c r="L767" s="16">
        <f t="shared" ca="1" si="24"/>
        <v>1369.4666666666665</v>
      </c>
      <c r="M767" s="16">
        <f t="shared" ca="1" si="25"/>
        <v>1427.6333333333332</v>
      </c>
      <c r="N767" s="16">
        <f t="shared" ca="1" si="26"/>
        <v>1358.6333333333332</v>
      </c>
    </row>
    <row r="768" spans="1:14" ht="24.75" customHeight="1" x14ac:dyDescent="0.8">
      <c r="A768" s="18" t="s">
        <v>731</v>
      </c>
      <c r="B768" s="10">
        <f ca="1">IFERROR(__xludf.DUMMYFUNCTION("GOOGLEFINANCE(A768,""PRICE"")"),65.9)</f>
        <v>65.900000000000006</v>
      </c>
      <c r="C768" s="11">
        <f ca="1">IFERROR(__xludf.DUMMYFUNCTION("GOOGLEFINANCE(A768,""PRICEOPEN"")"),66.23)</f>
        <v>66.23</v>
      </c>
      <c r="D768" s="11">
        <f ca="1">IFERROR(__xludf.DUMMYFUNCTION("GOOGLEFINANCE(A768,""HIGH"")"),66.36)</f>
        <v>66.36</v>
      </c>
      <c r="E768" s="11">
        <f ca="1">IFERROR(__xludf.DUMMYFUNCTION("GOOGLEFINANCE(A768,""LOW"")"),64.83)</f>
        <v>64.83</v>
      </c>
      <c r="F768" s="12" t="str">
        <f t="shared" ca="1" si="21"/>
        <v/>
      </c>
      <c r="G768" s="13">
        <f ca="1">IFERROR(__xludf.DUMMYFUNCTION("GOOGLEFINANCE(A768,""CLOSEYEST"")"),64.94)</f>
        <v>64.94</v>
      </c>
      <c r="H768" s="14" t="str">
        <f t="shared" ca="1" si="27"/>
        <v>GAP UP</v>
      </c>
      <c r="I768" s="15">
        <f t="shared" ca="1" si="22"/>
        <v>65.376666666666665</v>
      </c>
      <c r="J768" s="16">
        <f t="shared" ca="1" si="23"/>
        <v>65.923333333333332</v>
      </c>
      <c r="K768" s="16"/>
      <c r="L768" s="16">
        <f t="shared" ca="1" si="24"/>
        <v>64.393333333333331</v>
      </c>
      <c r="M768" s="16">
        <f t="shared" ca="1" si="25"/>
        <v>66.906666666666666</v>
      </c>
      <c r="N768" s="16">
        <f t="shared" ca="1" si="26"/>
        <v>63.846666666666664</v>
      </c>
    </row>
    <row r="769" spans="1:14" ht="24.75" customHeight="1" x14ac:dyDescent="0.8">
      <c r="A769" s="18" t="s">
        <v>732</v>
      </c>
      <c r="B769" s="10">
        <f ca="1">IFERROR(__xludf.DUMMYFUNCTION("GOOGLEFINANCE(A769,""PRICE"")"),45.9)</f>
        <v>45.9</v>
      </c>
      <c r="C769" s="11">
        <f ca="1">IFERROR(__xludf.DUMMYFUNCTION("GOOGLEFINANCE(A769,""PRICEOPEN"")"),45.9)</f>
        <v>45.9</v>
      </c>
      <c r="D769" s="11">
        <f ca="1">IFERROR(__xludf.DUMMYFUNCTION("GOOGLEFINANCE(A769,""HIGH"")"),46.1)</f>
        <v>46.1</v>
      </c>
      <c r="E769" s="11">
        <f ca="1">IFERROR(__xludf.DUMMYFUNCTION("GOOGLEFINANCE(A769,""LOW"")"),45.58)</f>
        <v>45.58</v>
      </c>
      <c r="F769" s="12" t="str">
        <f t="shared" ca="1" si="21"/>
        <v/>
      </c>
      <c r="G769" s="13">
        <f ca="1">IFERROR(__xludf.DUMMYFUNCTION("GOOGLEFINANCE(A769,""CLOSEYEST"")"),45.68)</f>
        <v>45.68</v>
      </c>
      <c r="H769" s="14" t="str">
        <f t="shared" ca="1" si="27"/>
        <v/>
      </c>
      <c r="I769" s="15">
        <f t="shared" ca="1" si="22"/>
        <v>45.786666666666669</v>
      </c>
      <c r="J769" s="16">
        <f t="shared" ca="1" si="23"/>
        <v>45.993333333333339</v>
      </c>
      <c r="K769" s="16"/>
      <c r="L769" s="16">
        <f t="shared" ca="1" si="24"/>
        <v>45.473333333333336</v>
      </c>
      <c r="M769" s="16">
        <f t="shared" ca="1" si="25"/>
        <v>46.306666666666672</v>
      </c>
      <c r="N769" s="16">
        <f t="shared" ca="1" si="26"/>
        <v>45.266666666666666</v>
      </c>
    </row>
    <row r="770" spans="1:14" ht="24.75" customHeight="1" x14ac:dyDescent="0.8">
      <c r="A770" s="18" t="s">
        <v>733</v>
      </c>
      <c r="B770" s="10">
        <f ca="1">IFERROR(__xludf.DUMMYFUNCTION("GOOGLEFINANCE(A770,""PRICE"")"),889.8)</f>
        <v>889.8</v>
      </c>
      <c r="C770" s="11">
        <f ca="1">IFERROR(__xludf.DUMMYFUNCTION("GOOGLEFINANCE(A770,""PRICEOPEN"")"),854.45)</f>
        <v>854.45</v>
      </c>
      <c r="D770" s="11">
        <f ca="1">IFERROR(__xludf.DUMMYFUNCTION("GOOGLEFINANCE(A770,""HIGH"")"),892.35)</f>
        <v>892.35</v>
      </c>
      <c r="E770" s="11">
        <f ca="1">IFERROR(__xludf.DUMMYFUNCTION("GOOGLEFINANCE(A770,""LOW"")"),850.95)</f>
        <v>850.95</v>
      </c>
      <c r="F770" s="12" t="str">
        <f t="shared" ca="1" si="21"/>
        <v/>
      </c>
      <c r="G770" s="13">
        <f ca="1">IFERROR(__xludf.DUMMYFUNCTION("GOOGLEFINANCE(A770,""CLOSEYEST"")"),854.45)</f>
        <v>854.45</v>
      </c>
      <c r="H770" s="14" t="str">
        <f t="shared" ca="1" si="27"/>
        <v/>
      </c>
      <c r="I770" s="15">
        <f t="shared" ca="1" si="22"/>
        <v>865.91666666666663</v>
      </c>
      <c r="J770" s="16">
        <f t="shared" ca="1" si="23"/>
        <v>880.88333333333321</v>
      </c>
      <c r="K770" s="16"/>
      <c r="L770" s="16">
        <f t="shared" ca="1" si="24"/>
        <v>839.48333333333323</v>
      </c>
      <c r="M770" s="16">
        <f t="shared" ca="1" si="25"/>
        <v>907.31666666666661</v>
      </c>
      <c r="N770" s="16">
        <f t="shared" ca="1" si="26"/>
        <v>824.51666666666665</v>
      </c>
    </row>
    <row r="771" spans="1:14" ht="24.75" customHeight="1" x14ac:dyDescent="0.8">
      <c r="A771" s="18" t="s">
        <v>734</v>
      </c>
      <c r="B771" s="10">
        <f ca="1">IFERROR(__xludf.DUMMYFUNCTION("GOOGLEFINANCE(A771,""PRICE"")"),10.41)</f>
        <v>10.41</v>
      </c>
      <c r="C771" s="11">
        <f ca="1">IFERROR(__xludf.DUMMYFUNCTION("GOOGLEFINANCE(A771,""PRICEOPEN"")"),10.2)</f>
        <v>10.199999999999999</v>
      </c>
      <c r="D771" s="11">
        <f ca="1">IFERROR(__xludf.DUMMYFUNCTION("GOOGLEFINANCE(A771,""HIGH"")"),10.54)</f>
        <v>10.54</v>
      </c>
      <c r="E771" s="11">
        <f ca="1">IFERROR(__xludf.DUMMYFUNCTION("GOOGLEFINANCE(A771,""LOW"")"),10.15)</f>
        <v>10.15</v>
      </c>
      <c r="F771" s="12" t="str">
        <f t="shared" ca="1" si="21"/>
        <v/>
      </c>
      <c r="G771" s="13">
        <f ca="1">IFERROR(__xludf.DUMMYFUNCTION("GOOGLEFINANCE(A771,""CLOSEYEST"")"),10.27)</f>
        <v>10.27</v>
      </c>
      <c r="H771" s="14" t="str">
        <f t="shared" ca="1" si="27"/>
        <v/>
      </c>
      <c r="I771" s="15">
        <f t="shared" ca="1" si="22"/>
        <v>10.319999999999999</v>
      </c>
      <c r="J771" s="16">
        <f t="shared" ca="1" si="23"/>
        <v>10.489999999999997</v>
      </c>
      <c r="K771" s="16"/>
      <c r="L771" s="16">
        <f t="shared" ca="1" si="24"/>
        <v>10.099999999999998</v>
      </c>
      <c r="M771" s="16">
        <f t="shared" ca="1" si="25"/>
        <v>10.709999999999997</v>
      </c>
      <c r="N771" s="16">
        <f t="shared" ca="1" si="26"/>
        <v>9.93</v>
      </c>
    </row>
    <row r="772" spans="1:14" ht="24.75" customHeight="1" x14ac:dyDescent="0.8">
      <c r="A772" s="18" t="s">
        <v>735</v>
      </c>
      <c r="B772" s="10">
        <f ca="1">IFERROR(__xludf.DUMMYFUNCTION("GOOGLEFINANCE(A772,""PRICE"")"),17.5)</f>
        <v>17.5</v>
      </c>
      <c r="C772" s="11">
        <f ca="1">IFERROR(__xludf.DUMMYFUNCTION("GOOGLEFINANCE(A772,""PRICEOPEN"")"),17.5)</f>
        <v>17.5</v>
      </c>
      <c r="D772" s="11">
        <f ca="1">IFERROR(__xludf.DUMMYFUNCTION("GOOGLEFINANCE(A772,""HIGH"")"),17.5)</f>
        <v>17.5</v>
      </c>
      <c r="E772" s="11">
        <f ca="1">IFERROR(__xludf.DUMMYFUNCTION("GOOGLEFINANCE(A772,""LOW"")"),17.5)</f>
        <v>17.5</v>
      </c>
      <c r="F772" s="12" t="str">
        <f t="shared" ca="1" si="21"/>
        <v>SELL</v>
      </c>
      <c r="G772" s="13">
        <f ca="1">IFERROR(__xludf.DUMMYFUNCTION("GOOGLEFINANCE(A772,""CLOSEYEST"")"),17.7)</f>
        <v>17.7</v>
      </c>
      <c r="H772" s="14" t="str">
        <f t="shared" ca="1" si="27"/>
        <v>GAP DOWN</v>
      </c>
      <c r="I772" s="15">
        <f t="shared" ca="1" si="22"/>
        <v>17.566666666666666</v>
      </c>
      <c r="J772" s="16">
        <f t="shared" ca="1" si="23"/>
        <v>17.633333333333333</v>
      </c>
      <c r="K772" s="16"/>
      <c r="L772" s="16">
        <f t="shared" ca="1" si="24"/>
        <v>17.633333333333333</v>
      </c>
      <c r="M772" s="16">
        <f t="shared" ca="1" si="25"/>
        <v>17.566666666666666</v>
      </c>
      <c r="N772" s="16">
        <f t="shared" ca="1" si="26"/>
        <v>17.566666666666666</v>
      </c>
    </row>
    <row r="773" spans="1:14" ht="24.75" customHeight="1" x14ac:dyDescent="0.8">
      <c r="A773" s="18" t="s">
        <v>736</v>
      </c>
      <c r="B773" s="10">
        <f ca="1">IFERROR(__xludf.DUMMYFUNCTION("GOOGLEFINANCE(A773,""PRICE"")"),20.69)</f>
        <v>20.69</v>
      </c>
      <c r="C773" s="11">
        <f ca="1">IFERROR(__xludf.DUMMYFUNCTION("GOOGLEFINANCE(A773,""PRICEOPEN"")"),20.26)</f>
        <v>20.260000000000002</v>
      </c>
      <c r="D773" s="11">
        <f ca="1">IFERROR(__xludf.DUMMYFUNCTION("GOOGLEFINANCE(A773,""HIGH"")"),20.79)</f>
        <v>20.79</v>
      </c>
      <c r="E773" s="11">
        <f ca="1">IFERROR(__xludf.DUMMYFUNCTION("GOOGLEFINANCE(A773,""LOW"")"),20.26)</f>
        <v>20.260000000000002</v>
      </c>
      <c r="F773" s="12" t="str">
        <f t="shared" ca="1" si="21"/>
        <v>BUY</v>
      </c>
      <c r="G773" s="13">
        <f ca="1">IFERROR(__xludf.DUMMYFUNCTION("GOOGLEFINANCE(A773,""CLOSEYEST"")"),20.23)</f>
        <v>20.23</v>
      </c>
      <c r="H773" s="14" t="str">
        <f t="shared" ca="1" si="27"/>
        <v/>
      </c>
      <c r="I773" s="15">
        <f t="shared" ca="1" si="22"/>
        <v>20.426666666666666</v>
      </c>
      <c r="J773" s="16">
        <f t="shared" ca="1" si="23"/>
        <v>20.59333333333333</v>
      </c>
      <c r="K773" s="16"/>
      <c r="L773" s="16">
        <f t="shared" ca="1" si="24"/>
        <v>20.063333333333333</v>
      </c>
      <c r="M773" s="16">
        <f t="shared" ca="1" si="25"/>
        <v>20.956666666666663</v>
      </c>
      <c r="N773" s="16">
        <f t="shared" ca="1" si="26"/>
        <v>19.896666666666668</v>
      </c>
    </row>
    <row r="774" spans="1:14" ht="24.75" customHeight="1" x14ac:dyDescent="0.8">
      <c r="A774" s="18" t="s">
        <v>737</v>
      </c>
      <c r="B774" s="10">
        <f ca="1">IFERROR(__xludf.DUMMYFUNCTION("GOOGLEFINANCE(A774,""PRICE"")"),2168.4)</f>
        <v>2168.4</v>
      </c>
      <c r="C774" s="11">
        <f ca="1">IFERROR(__xludf.DUMMYFUNCTION("GOOGLEFINANCE(A774,""PRICEOPEN"")"),2210)</f>
        <v>2210</v>
      </c>
      <c r="D774" s="11">
        <f ca="1">IFERROR(__xludf.DUMMYFUNCTION("GOOGLEFINANCE(A774,""HIGH"")"),2210)</f>
        <v>2210</v>
      </c>
      <c r="E774" s="11">
        <f ca="1">IFERROR(__xludf.DUMMYFUNCTION("GOOGLEFINANCE(A774,""LOW"")"),2158)</f>
        <v>2158</v>
      </c>
      <c r="F774" s="12" t="str">
        <f t="shared" ca="1" si="21"/>
        <v>SELL</v>
      </c>
      <c r="G774" s="13">
        <f ca="1">IFERROR(__xludf.DUMMYFUNCTION("GOOGLEFINANCE(A774,""CLOSEYEST"")"),2183.2)</f>
        <v>2183.1999999999998</v>
      </c>
      <c r="H774" s="14" t="str">
        <f t="shared" ca="1" si="27"/>
        <v>GAP UP</v>
      </c>
      <c r="I774" s="15">
        <f t="shared" ca="1" si="22"/>
        <v>2183.7333333333331</v>
      </c>
      <c r="J774" s="16">
        <f t="shared" ca="1" si="23"/>
        <v>2209.4666666666662</v>
      </c>
      <c r="K774" s="16"/>
      <c r="L774" s="16">
        <f t="shared" ca="1" si="24"/>
        <v>2157.4666666666662</v>
      </c>
      <c r="M774" s="16">
        <f t="shared" ca="1" si="25"/>
        <v>2235.7333333333331</v>
      </c>
      <c r="N774" s="16">
        <f t="shared" ca="1" si="26"/>
        <v>2131.7333333333331</v>
      </c>
    </row>
    <row r="775" spans="1:14" ht="24.75" customHeight="1" x14ac:dyDescent="0.8">
      <c r="A775" s="18" t="s">
        <v>738</v>
      </c>
      <c r="B775" s="10">
        <f ca="1">IFERROR(__xludf.DUMMYFUNCTION("GOOGLEFINANCE(A775,""PRICE"")"),451.05)</f>
        <v>451.05</v>
      </c>
      <c r="C775" s="11">
        <f ca="1">IFERROR(__xludf.DUMMYFUNCTION("GOOGLEFINANCE(A775,""PRICEOPEN"")"),449.35)</f>
        <v>449.35</v>
      </c>
      <c r="D775" s="11">
        <f ca="1">IFERROR(__xludf.DUMMYFUNCTION("GOOGLEFINANCE(A775,""HIGH"")"),454.65)</f>
        <v>454.65</v>
      </c>
      <c r="E775" s="11">
        <f ca="1">IFERROR(__xludf.DUMMYFUNCTION("GOOGLEFINANCE(A775,""LOW"")"),448.25)</f>
        <v>448.25</v>
      </c>
      <c r="F775" s="12" t="str">
        <f t="shared" ca="1" si="21"/>
        <v/>
      </c>
      <c r="G775" s="13">
        <f ca="1">IFERROR(__xludf.DUMMYFUNCTION("GOOGLEFINANCE(A775,""CLOSEYEST"")"),448.25)</f>
        <v>448.25</v>
      </c>
      <c r="H775" s="14" t="str">
        <f t="shared" ca="1" si="27"/>
        <v/>
      </c>
      <c r="I775" s="15">
        <f t="shared" ca="1" si="22"/>
        <v>450.38333333333338</v>
      </c>
      <c r="J775" s="16">
        <f t="shared" ca="1" si="23"/>
        <v>452.51666666666677</v>
      </c>
      <c r="K775" s="16"/>
      <c r="L775" s="16">
        <f t="shared" ca="1" si="24"/>
        <v>446.11666666666679</v>
      </c>
      <c r="M775" s="16">
        <f t="shared" ca="1" si="25"/>
        <v>456.78333333333336</v>
      </c>
      <c r="N775" s="16">
        <f t="shared" ca="1" si="26"/>
        <v>443.98333333333341</v>
      </c>
    </row>
    <row r="776" spans="1:14" ht="24.75" customHeight="1" x14ac:dyDescent="0.8">
      <c r="A776" s="18" t="s">
        <v>739</v>
      </c>
      <c r="B776" s="10">
        <f ca="1">IFERROR(__xludf.DUMMYFUNCTION("GOOGLEFINANCE(A776,""PRICE"")"),1409)</f>
        <v>1409</v>
      </c>
      <c r="C776" s="11">
        <f ca="1">IFERROR(__xludf.DUMMYFUNCTION("GOOGLEFINANCE(A776,""PRICEOPEN"")"),1440)</f>
        <v>1440</v>
      </c>
      <c r="D776" s="11">
        <f ca="1">IFERROR(__xludf.DUMMYFUNCTION("GOOGLEFINANCE(A776,""HIGH"")"),1440.9)</f>
        <v>1440.9</v>
      </c>
      <c r="E776" s="11">
        <f ca="1">IFERROR(__xludf.DUMMYFUNCTION("GOOGLEFINANCE(A776,""LOW"")"),1403)</f>
        <v>1403</v>
      </c>
      <c r="F776" s="12" t="str">
        <f t="shared" ca="1" si="21"/>
        <v/>
      </c>
      <c r="G776" s="13">
        <f ca="1">IFERROR(__xludf.DUMMYFUNCTION("GOOGLEFINANCE(A776,""CLOSEYEST"")"),1431.6)</f>
        <v>1431.6</v>
      </c>
      <c r="H776" s="14" t="str">
        <f t="shared" ca="1" si="27"/>
        <v/>
      </c>
      <c r="I776" s="15">
        <f t="shared" ca="1" si="22"/>
        <v>1425.1666666666667</v>
      </c>
      <c r="J776" s="16">
        <f t="shared" ca="1" si="23"/>
        <v>1447.3333333333335</v>
      </c>
      <c r="K776" s="16"/>
      <c r="L776" s="16">
        <f t="shared" ca="1" si="24"/>
        <v>1409.4333333333334</v>
      </c>
      <c r="M776" s="16">
        <f t="shared" ca="1" si="25"/>
        <v>1463.0666666666668</v>
      </c>
      <c r="N776" s="16">
        <f t="shared" ca="1" si="26"/>
        <v>1387.2666666666667</v>
      </c>
    </row>
    <row r="777" spans="1:14" ht="24.75" customHeight="1" x14ac:dyDescent="0.8">
      <c r="A777" s="18" t="s">
        <v>740</v>
      </c>
      <c r="B777" s="10">
        <f ca="1">IFERROR(__xludf.DUMMYFUNCTION("GOOGLEFINANCE(A777,""PRICE"")"),174.25)</f>
        <v>174.25</v>
      </c>
      <c r="C777" s="11">
        <f ca="1">IFERROR(__xludf.DUMMYFUNCTION("GOOGLEFINANCE(A777,""PRICEOPEN"")"),173.4)</f>
        <v>173.4</v>
      </c>
      <c r="D777" s="11">
        <f ca="1">IFERROR(__xludf.DUMMYFUNCTION("GOOGLEFINANCE(A777,""HIGH"")"),174.3)</f>
        <v>174.3</v>
      </c>
      <c r="E777" s="11">
        <f ca="1">IFERROR(__xludf.DUMMYFUNCTION("GOOGLEFINANCE(A777,""LOW"")"),172.58)</f>
        <v>172.58</v>
      </c>
      <c r="F777" s="12" t="str">
        <f t="shared" ca="1" si="21"/>
        <v/>
      </c>
      <c r="G777" s="13">
        <f ca="1">IFERROR(__xludf.DUMMYFUNCTION("GOOGLEFINANCE(A777,""CLOSEYEST"")"),173.08)</f>
        <v>173.08</v>
      </c>
      <c r="H777" s="14" t="str">
        <f t="shared" ca="1" si="27"/>
        <v/>
      </c>
      <c r="I777" s="15">
        <f t="shared" ca="1" si="22"/>
        <v>173.32000000000002</v>
      </c>
      <c r="J777" s="16">
        <f t="shared" ca="1" si="23"/>
        <v>174.06000000000003</v>
      </c>
      <c r="K777" s="16"/>
      <c r="L777" s="16">
        <f t="shared" ca="1" si="24"/>
        <v>172.34000000000003</v>
      </c>
      <c r="M777" s="16">
        <f t="shared" ca="1" si="25"/>
        <v>175.04000000000002</v>
      </c>
      <c r="N777" s="16">
        <f t="shared" ca="1" si="26"/>
        <v>171.60000000000002</v>
      </c>
    </row>
    <row r="778" spans="1:14" ht="24.75" customHeight="1" x14ac:dyDescent="0.8">
      <c r="A778" s="18" t="s">
        <v>741</v>
      </c>
      <c r="B778" s="10">
        <f ca="1">IFERROR(__xludf.DUMMYFUNCTION("GOOGLEFINANCE(A778,""PRICE"")"),7175.5)</f>
        <v>7175.5</v>
      </c>
      <c r="C778" s="11">
        <f ca="1">IFERROR(__xludf.DUMMYFUNCTION("GOOGLEFINANCE(A778,""PRICEOPEN"")"),7235)</f>
        <v>7235</v>
      </c>
      <c r="D778" s="11">
        <f ca="1">IFERROR(__xludf.DUMMYFUNCTION("GOOGLEFINANCE(A778,""HIGH"")"),7235)</f>
        <v>7235</v>
      </c>
      <c r="E778" s="11">
        <f ca="1">IFERROR(__xludf.DUMMYFUNCTION("GOOGLEFINANCE(A778,""LOW"")"),7159)</f>
        <v>7159</v>
      </c>
      <c r="F778" s="12" t="str">
        <f t="shared" ca="1" si="21"/>
        <v>SELL</v>
      </c>
      <c r="G778" s="13">
        <f ca="1">IFERROR(__xludf.DUMMYFUNCTION("GOOGLEFINANCE(A778,""CLOSEYEST"")"),7183.5)</f>
        <v>7183.5</v>
      </c>
      <c r="H778" s="14" t="str">
        <f t="shared" ca="1" si="27"/>
        <v/>
      </c>
      <c r="I778" s="15">
        <f t="shared" ca="1" si="22"/>
        <v>7192.5</v>
      </c>
      <c r="J778" s="16">
        <f t="shared" ca="1" si="23"/>
        <v>7226</v>
      </c>
      <c r="K778" s="16"/>
      <c r="L778" s="16">
        <f t="shared" ca="1" si="24"/>
        <v>7150</v>
      </c>
      <c r="M778" s="16">
        <f t="shared" ca="1" si="25"/>
        <v>7268.5</v>
      </c>
      <c r="N778" s="16">
        <f t="shared" ca="1" si="26"/>
        <v>7116.5</v>
      </c>
    </row>
    <row r="779" spans="1:14" ht="24.75" customHeight="1" x14ac:dyDescent="0.8">
      <c r="A779" s="18" t="s">
        <v>742</v>
      </c>
      <c r="B779" s="10">
        <f ca="1">IFERROR(__xludf.DUMMYFUNCTION("GOOGLEFINANCE(A779,""PRICE"")"),1013.5)</f>
        <v>1013.5</v>
      </c>
      <c r="C779" s="11">
        <f ca="1">IFERROR(__xludf.DUMMYFUNCTION("GOOGLEFINANCE(A779,""PRICEOPEN"")"),1016.9)</f>
        <v>1016.9</v>
      </c>
      <c r="D779" s="11">
        <f ca="1">IFERROR(__xludf.DUMMYFUNCTION("GOOGLEFINANCE(A779,""HIGH"")"),1028.3)</f>
        <v>1028.3</v>
      </c>
      <c r="E779" s="11">
        <f ca="1">IFERROR(__xludf.DUMMYFUNCTION("GOOGLEFINANCE(A779,""LOW"")"),1013.5)</f>
        <v>1013.5</v>
      </c>
      <c r="F779" s="12" t="str">
        <f t="shared" ca="1" si="21"/>
        <v/>
      </c>
      <c r="G779" s="13">
        <f ca="1">IFERROR(__xludf.DUMMYFUNCTION("GOOGLEFINANCE(A779,""CLOSEYEST"")"),1023.8)</f>
        <v>1023.8</v>
      </c>
      <c r="H779" s="14" t="str">
        <f t="shared" ca="1" si="27"/>
        <v/>
      </c>
      <c r="I779" s="15">
        <f t="shared" ca="1" si="22"/>
        <v>1021.8666666666667</v>
      </c>
      <c r="J779" s="16">
        <f t="shared" ca="1" si="23"/>
        <v>1030.2333333333333</v>
      </c>
      <c r="K779" s="16"/>
      <c r="L779" s="16">
        <f t="shared" ca="1" si="24"/>
        <v>1015.4333333333334</v>
      </c>
      <c r="M779" s="16">
        <f t="shared" ca="1" si="25"/>
        <v>1036.6666666666665</v>
      </c>
      <c r="N779" s="16">
        <f t="shared" ca="1" si="26"/>
        <v>1007.0666666666667</v>
      </c>
    </row>
    <row r="780" spans="1:14" ht="24.75" customHeight="1" x14ac:dyDescent="0.8">
      <c r="A780" s="18" t="s">
        <v>743</v>
      </c>
      <c r="B780" s="10">
        <f ca="1">IFERROR(__xludf.DUMMYFUNCTION("GOOGLEFINANCE(A780,""PRICE"")"),2257)</f>
        <v>2257</v>
      </c>
      <c r="C780" s="11">
        <f ca="1">IFERROR(__xludf.DUMMYFUNCTION("GOOGLEFINANCE(A780,""PRICEOPEN"")"),2290)</f>
        <v>2290</v>
      </c>
      <c r="D780" s="11">
        <f ca="1">IFERROR(__xludf.DUMMYFUNCTION("GOOGLEFINANCE(A780,""HIGH"")"),2290)</f>
        <v>2290</v>
      </c>
      <c r="E780" s="11">
        <f ca="1">IFERROR(__xludf.DUMMYFUNCTION("GOOGLEFINANCE(A780,""LOW"")"),2238.2)</f>
        <v>2238.1999999999998</v>
      </c>
      <c r="F780" s="12" t="str">
        <f t="shared" ca="1" si="21"/>
        <v>SELL</v>
      </c>
      <c r="G780" s="13">
        <f ca="1">IFERROR(__xludf.DUMMYFUNCTION("GOOGLEFINANCE(A780,""CLOSEYEST"")"),2261.4)</f>
        <v>2261.4</v>
      </c>
      <c r="H780" s="14" t="str">
        <f t="shared" ca="1" si="27"/>
        <v>GAP UP</v>
      </c>
      <c r="I780" s="15">
        <f t="shared" ca="1" si="22"/>
        <v>2263.2000000000003</v>
      </c>
      <c r="J780" s="16">
        <f t="shared" ca="1" si="23"/>
        <v>2288.2000000000007</v>
      </c>
      <c r="K780" s="16"/>
      <c r="L780" s="16">
        <f t="shared" ca="1" si="24"/>
        <v>2236.4000000000005</v>
      </c>
      <c r="M780" s="16">
        <f t="shared" ca="1" si="25"/>
        <v>2315.0000000000005</v>
      </c>
      <c r="N780" s="16">
        <f t="shared" ca="1" si="26"/>
        <v>2211.4</v>
      </c>
    </row>
    <row r="781" spans="1:14" ht="24.75" customHeight="1" x14ac:dyDescent="0.8">
      <c r="A781" s="18" t="s">
        <v>744</v>
      </c>
      <c r="B781" s="10">
        <f ca="1">IFERROR(__xludf.DUMMYFUNCTION("GOOGLEFINANCE(A781,""PRICE"")"),1116)</f>
        <v>1116</v>
      </c>
      <c r="C781" s="11">
        <f ca="1">IFERROR(__xludf.DUMMYFUNCTION("GOOGLEFINANCE(A781,""PRICEOPEN"")"),1012.05)</f>
        <v>1012.05</v>
      </c>
      <c r="D781" s="11">
        <f ca="1">IFERROR(__xludf.DUMMYFUNCTION("GOOGLEFINANCE(A781,""HIGH"")"),1136.45)</f>
        <v>1136.45</v>
      </c>
      <c r="E781" s="11">
        <f ca="1">IFERROR(__xludf.DUMMYFUNCTION("GOOGLEFINANCE(A781,""LOW"")"),1006.1)</f>
        <v>1006.1</v>
      </c>
      <c r="F781" s="12" t="str">
        <f t="shared" ca="1" si="21"/>
        <v/>
      </c>
      <c r="G781" s="13">
        <f ca="1">IFERROR(__xludf.DUMMYFUNCTION("GOOGLEFINANCE(A781,""CLOSEYEST"")"),1003.5)</f>
        <v>1003.5</v>
      </c>
      <c r="H781" s="14" t="str">
        <f t="shared" ca="1" si="27"/>
        <v/>
      </c>
      <c r="I781" s="15">
        <f t="shared" ca="1" si="22"/>
        <v>1048.6833333333334</v>
      </c>
      <c r="J781" s="16">
        <f t="shared" ca="1" si="23"/>
        <v>1091.2666666666669</v>
      </c>
      <c r="K781" s="16"/>
      <c r="L781" s="16">
        <f t="shared" ca="1" si="24"/>
        <v>960.91666666666674</v>
      </c>
      <c r="M781" s="16">
        <f t="shared" ca="1" si="25"/>
        <v>1179.0333333333335</v>
      </c>
      <c r="N781" s="16">
        <f t="shared" ca="1" si="26"/>
        <v>918.33333333333326</v>
      </c>
    </row>
    <row r="782" spans="1:14" ht="24.75" customHeight="1" x14ac:dyDescent="0.8">
      <c r="A782" s="18" t="s">
        <v>745</v>
      </c>
      <c r="B782" s="10">
        <f ca="1">IFERROR(__xludf.DUMMYFUNCTION("GOOGLEFINANCE(A782,""PRICE"")"),15196)</f>
        <v>15196</v>
      </c>
      <c r="C782" s="11">
        <f ca="1">IFERROR(__xludf.DUMMYFUNCTION("GOOGLEFINANCE(A782,""PRICEOPEN"")"),15440)</f>
        <v>15440</v>
      </c>
      <c r="D782" s="11">
        <f ca="1">IFERROR(__xludf.DUMMYFUNCTION("GOOGLEFINANCE(A782,""HIGH"")"),15940)</f>
        <v>15940</v>
      </c>
      <c r="E782" s="11">
        <f ca="1">IFERROR(__xludf.DUMMYFUNCTION("GOOGLEFINANCE(A782,""LOW"")"),15110)</f>
        <v>15110</v>
      </c>
      <c r="F782" s="12" t="str">
        <f t="shared" ca="1" si="21"/>
        <v/>
      </c>
      <c r="G782" s="13">
        <f ca="1">IFERROR(__xludf.DUMMYFUNCTION("GOOGLEFINANCE(A782,""CLOSEYEST"")"),15386)</f>
        <v>15386</v>
      </c>
      <c r="H782" s="14" t="str">
        <f t="shared" ca="1" si="27"/>
        <v/>
      </c>
      <c r="I782" s="15">
        <f t="shared" ca="1" si="22"/>
        <v>15478.666666666666</v>
      </c>
      <c r="J782" s="16">
        <f t="shared" ca="1" si="23"/>
        <v>15847.333333333332</v>
      </c>
      <c r="K782" s="16"/>
      <c r="L782" s="16">
        <f t="shared" ca="1" si="24"/>
        <v>15017.333333333332</v>
      </c>
      <c r="M782" s="16">
        <f t="shared" ca="1" si="25"/>
        <v>16308.666666666666</v>
      </c>
      <c r="N782" s="16">
        <f t="shared" ca="1" si="26"/>
        <v>14648.666666666666</v>
      </c>
    </row>
    <row r="783" spans="1:14" ht="24.75" customHeight="1" x14ac:dyDescent="0.8">
      <c r="A783" s="18" t="s">
        <v>746</v>
      </c>
      <c r="B783" s="10">
        <f ca="1">IFERROR(__xludf.DUMMYFUNCTION("GOOGLEFINANCE(A783,""PRICE"")"),520.8)</f>
        <v>520.79999999999995</v>
      </c>
      <c r="C783" s="11">
        <f ca="1">IFERROR(__xludf.DUMMYFUNCTION("GOOGLEFINANCE(A783,""PRICEOPEN"")"),521)</f>
        <v>521</v>
      </c>
      <c r="D783" s="11">
        <f ca="1">IFERROR(__xludf.DUMMYFUNCTION("GOOGLEFINANCE(A783,""HIGH"")"),529.6)</f>
        <v>529.6</v>
      </c>
      <c r="E783" s="11">
        <f ca="1">IFERROR(__xludf.DUMMYFUNCTION("GOOGLEFINANCE(A783,""LOW"")"),519.75)</f>
        <v>519.75</v>
      </c>
      <c r="F783" s="12" t="str">
        <f t="shared" ca="1" si="21"/>
        <v/>
      </c>
      <c r="G783" s="13">
        <f ca="1">IFERROR(__xludf.DUMMYFUNCTION("GOOGLEFINANCE(A783,""CLOSEYEST"")"),526.5)</f>
        <v>526.5</v>
      </c>
      <c r="H783" s="14" t="str">
        <f t="shared" ca="1" si="27"/>
        <v>GAP DOWN</v>
      </c>
      <c r="I783" s="15">
        <f t="shared" ca="1" si="22"/>
        <v>525.2833333333333</v>
      </c>
      <c r="J783" s="16">
        <f t="shared" ca="1" si="23"/>
        <v>530.81666666666661</v>
      </c>
      <c r="K783" s="16"/>
      <c r="L783" s="16">
        <f t="shared" ca="1" si="24"/>
        <v>520.96666666666658</v>
      </c>
      <c r="M783" s="16">
        <f t="shared" ca="1" si="25"/>
        <v>535.13333333333333</v>
      </c>
      <c r="N783" s="16">
        <f t="shared" ca="1" si="26"/>
        <v>515.43333333333328</v>
      </c>
    </row>
    <row r="784" spans="1:14" ht="24.75" customHeight="1" x14ac:dyDescent="0.8">
      <c r="A784" s="18" t="s">
        <v>747</v>
      </c>
      <c r="B784" s="10">
        <f ca="1">IFERROR(__xludf.DUMMYFUNCTION("GOOGLEFINANCE(A784,""PRICE"")"),1277)</f>
        <v>1277</v>
      </c>
      <c r="C784" s="11">
        <f ca="1">IFERROR(__xludf.DUMMYFUNCTION("GOOGLEFINANCE(A784,""PRICEOPEN"")"),1228.1)</f>
        <v>1228.0999999999999</v>
      </c>
      <c r="D784" s="11">
        <f ca="1">IFERROR(__xludf.DUMMYFUNCTION("GOOGLEFINANCE(A784,""HIGH"")"),1300)</f>
        <v>1300</v>
      </c>
      <c r="E784" s="11">
        <f ca="1">IFERROR(__xludf.DUMMYFUNCTION("GOOGLEFINANCE(A784,""LOW"")"),1228)</f>
        <v>1228</v>
      </c>
      <c r="F784" s="12" t="str">
        <f t="shared" ca="1" si="21"/>
        <v/>
      </c>
      <c r="G784" s="13">
        <f ca="1">IFERROR(__xludf.DUMMYFUNCTION("GOOGLEFINANCE(A784,""CLOSEYEST"")"),1241.1)</f>
        <v>1241.0999999999999</v>
      </c>
      <c r="H784" s="14" t="str">
        <f t="shared" ca="1" si="27"/>
        <v>GAP DOWN</v>
      </c>
      <c r="I784" s="15">
        <f t="shared" ca="1" si="22"/>
        <v>1256.3666666666666</v>
      </c>
      <c r="J784" s="16">
        <f t="shared" ca="1" si="23"/>
        <v>1284.7333333333331</v>
      </c>
      <c r="K784" s="16"/>
      <c r="L784" s="16">
        <f t="shared" ca="1" si="24"/>
        <v>1212.7333333333331</v>
      </c>
      <c r="M784" s="16">
        <f t="shared" ca="1" si="25"/>
        <v>1328.3666666666666</v>
      </c>
      <c r="N784" s="16">
        <f t="shared" ca="1" si="26"/>
        <v>1184.3666666666666</v>
      </c>
    </row>
    <row r="785" spans="1:14" ht="24.75" customHeight="1" x14ac:dyDescent="0.8">
      <c r="A785" s="18" t="s">
        <v>748</v>
      </c>
      <c r="B785" s="10">
        <f ca="1">IFERROR(__xludf.DUMMYFUNCTION("GOOGLEFINANCE(A785,""PRICE"")"),176)</f>
        <v>176</v>
      </c>
      <c r="C785" s="11">
        <f ca="1">IFERROR(__xludf.DUMMYFUNCTION("GOOGLEFINANCE(A785,""PRICEOPEN"")"),174.99)</f>
        <v>174.99</v>
      </c>
      <c r="D785" s="11">
        <f ca="1">IFERROR(__xludf.DUMMYFUNCTION("GOOGLEFINANCE(A785,""HIGH"")"),181)</f>
        <v>181</v>
      </c>
      <c r="E785" s="11">
        <f ca="1">IFERROR(__xludf.DUMMYFUNCTION("GOOGLEFINANCE(A785,""LOW"")"),172.16)</f>
        <v>172.16</v>
      </c>
      <c r="F785" s="12" t="str">
        <f t="shared" ca="1" si="21"/>
        <v/>
      </c>
      <c r="G785" s="13">
        <f ca="1">IFERROR(__xludf.DUMMYFUNCTION("GOOGLEFINANCE(A785,""CLOSEYEST"")"),173.38)</f>
        <v>173.38</v>
      </c>
      <c r="H785" s="14" t="str">
        <f t="shared" ca="1" si="27"/>
        <v/>
      </c>
      <c r="I785" s="15">
        <f t="shared" ca="1" si="22"/>
        <v>175.51333333333332</v>
      </c>
      <c r="J785" s="16">
        <f t="shared" ca="1" si="23"/>
        <v>178.86666666666665</v>
      </c>
      <c r="K785" s="16"/>
      <c r="L785" s="16">
        <f t="shared" ca="1" si="24"/>
        <v>170.02666666666664</v>
      </c>
      <c r="M785" s="16">
        <f t="shared" ca="1" si="25"/>
        <v>184.35333333333332</v>
      </c>
      <c r="N785" s="16">
        <f t="shared" ca="1" si="26"/>
        <v>166.67333333333332</v>
      </c>
    </row>
    <row r="786" spans="1:14" ht="24.75" customHeight="1" x14ac:dyDescent="0.8">
      <c r="A786" s="18" t="s">
        <v>749</v>
      </c>
      <c r="B786" s="10">
        <f ca="1">IFERROR(__xludf.DUMMYFUNCTION("GOOGLEFINANCE(A786,""PRICE"")"),853)</f>
        <v>853</v>
      </c>
      <c r="C786" s="11">
        <f ca="1">IFERROR(__xludf.DUMMYFUNCTION("GOOGLEFINANCE(A786,""PRICEOPEN"")"),847.4)</f>
        <v>847.4</v>
      </c>
      <c r="D786" s="11">
        <f ca="1">IFERROR(__xludf.DUMMYFUNCTION("GOOGLEFINANCE(A786,""HIGH"")"),858)</f>
        <v>858</v>
      </c>
      <c r="E786" s="11">
        <f ca="1">IFERROR(__xludf.DUMMYFUNCTION("GOOGLEFINANCE(A786,""LOW"")"),840)</f>
        <v>840</v>
      </c>
      <c r="F786" s="12" t="str">
        <f t="shared" ca="1" si="21"/>
        <v/>
      </c>
      <c r="G786" s="13">
        <f ca="1">IFERROR(__xludf.DUMMYFUNCTION("GOOGLEFINANCE(A786,""CLOSEYEST"")"),835.15)</f>
        <v>835.15</v>
      </c>
      <c r="H786" s="14" t="str">
        <f t="shared" ca="1" si="27"/>
        <v>GAP UP</v>
      </c>
      <c r="I786" s="15">
        <f t="shared" ca="1" si="22"/>
        <v>844.38333333333333</v>
      </c>
      <c r="J786" s="16">
        <f t="shared" ca="1" si="23"/>
        <v>848.76666666666665</v>
      </c>
      <c r="K786" s="16"/>
      <c r="L786" s="16">
        <f t="shared" ca="1" si="24"/>
        <v>830.76666666666665</v>
      </c>
      <c r="M786" s="16">
        <f t="shared" ca="1" si="25"/>
        <v>862.38333333333333</v>
      </c>
      <c r="N786" s="16">
        <f t="shared" ca="1" si="26"/>
        <v>826.38333333333333</v>
      </c>
    </row>
    <row r="787" spans="1:14" ht="24.75" customHeight="1" x14ac:dyDescent="0.8">
      <c r="A787" s="18" t="s">
        <v>750</v>
      </c>
      <c r="B787" s="10">
        <f ca="1">IFERROR(__xludf.DUMMYFUNCTION("GOOGLEFINANCE(A787,""PRICE"")"),379.2)</f>
        <v>379.2</v>
      </c>
      <c r="C787" s="11">
        <f ca="1">IFERROR(__xludf.DUMMYFUNCTION("GOOGLEFINANCE(A787,""PRICEOPEN"")"),387)</f>
        <v>387</v>
      </c>
      <c r="D787" s="11">
        <f ca="1">IFERROR(__xludf.DUMMYFUNCTION("GOOGLEFINANCE(A787,""HIGH"")"),393.9)</f>
        <v>393.9</v>
      </c>
      <c r="E787" s="11">
        <f ca="1">IFERROR(__xludf.DUMMYFUNCTION("GOOGLEFINANCE(A787,""LOW"")"),377)</f>
        <v>377</v>
      </c>
      <c r="F787" s="12" t="str">
        <f t="shared" ca="1" si="21"/>
        <v/>
      </c>
      <c r="G787" s="13">
        <f ca="1">IFERROR(__xludf.DUMMYFUNCTION("GOOGLEFINANCE(A787,""CLOSEYEST"")"),387)</f>
        <v>387</v>
      </c>
      <c r="H787" s="14" t="str">
        <f t="shared" ca="1" si="27"/>
        <v/>
      </c>
      <c r="I787" s="15">
        <f t="shared" ca="1" si="22"/>
        <v>385.9666666666667</v>
      </c>
      <c r="J787" s="16">
        <f t="shared" ca="1" si="23"/>
        <v>394.93333333333339</v>
      </c>
      <c r="K787" s="16"/>
      <c r="L787" s="16">
        <f t="shared" ca="1" si="24"/>
        <v>378.03333333333342</v>
      </c>
      <c r="M787" s="16">
        <f t="shared" ca="1" si="25"/>
        <v>402.86666666666667</v>
      </c>
      <c r="N787" s="16">
        <f t="shared" ca="1" si="26"/>
        <v>369.06666666666672</v>
      </c>
    </row>
    <row r="788" spans="1:14" ht="24.75" customHeight="1" x14ac:dyDescent="0.8">
      <c r="A788" s="18" t="s">
        <v>751</v>
      </c>
      <c r="B788" s="10">
        <f ca="1">IFERROR(__xludf.DUMMYFUNCTION("GOOGLEFINANCE(A788,""PRICE"")"),1390)</f>
        <v>1390</v>
      </c>
      <c r="C788" s="11">
        <f ca="1">IFERROR(__xludf.DUMMYFUNCTION("GOOGLEFINANCE(A788,""PRICEOPEN"")"),1413.7)</f>
        <v>1413.7</v>
      </c>
      <c r="D788" s="11">
        <f ca="1">IFERROR(__xludf.DUMMYFUNCTION("GOOGLEFINANCE(A788,""HIGH"")"),1416.1)</f>
        <v>1416.1</v>
      </c>
      <c r="E788" s="11">
        <f ca="1">IFERROR(__xludf.DUMMYFUNCTION("GOOGLEFINANCE(A788,""LOW"")"),1380.5)</f>
        <v>1380.5</v>
      </c>
      <c r="F788" s="12" t="str">
        <f t="shared" ca="1" si="21"/>
        <v/>
      </c>
      <c r="G788" s="13">
        <f ca="1">IFERROR(__xludf.DUMMYFUNCTION("GOOGLEFINANCE(A788,""CLOSEYEST"")"),1406.3)</f>
        <v>1406.3</v>
      </c>
      <c r="H788" s="14" t="str">
        <f t="shared" ca="1" si="27"/>
        <v/>
      </c>
      <c r="I788" s="15">
        <f t="shared" ca="1" si="22"/>
        <v>1400.9666666666665</v>
      </c>
      <c r="J788" s="16">
        <f t="shared" ca="1" si="23"/>
        <v>1421.4333333333329</v>
      </c>
      <c r="K788" s="16"/>
      <c r="L788" s="16">
        <f t="shared" ca="1" si="24"/>
        <v>1385.833333333333</v>
      </c>
      <c r="M788" s="16">
        <f t="shared" ca="1" si="25"/>
        <v>1436.5666666666664</v>
      </c>
      <c r="N788" s="16">
        <f t="shared" ca="1" si="26"/>
        <v>1365.3666666666666</v>
      </c>
    </row>
    <row r="789" spans="1:14" ht="24.75" customHeight="1" x14ac:dyDescent="0.8">
      <c r="A789" s="18" t="s">
        <v>752</v>
      </c>
      <c r="B789" s="10">
        <f ca="1">IFERROR(__xludf.DUMMYFUNCTION("GOOGLEFINANCE(A789,""PRICE"")"),162)</f>
        <v>162</v>
      </c>
      <c r="C789" s="11">
        <f ca="1">IFERROR(__xludf.DUMMYFUNCTION("GOOGLEFINANCE(A789,""PRICEOPEN"")"),157.25)</f>
        <v>157.25</v>
      </c>
      <c r="D789" s="11">
        <f ca="1">IFERROR(__xludf.DUMMYFUNCTION("GOOGLEFINANCE(A789,""HIGH"")"),163)</f>
        <v>163</v>
      </c>
      <c r="E789" s="11">
        <f ca="1">IFERROR(__xludf.DUMMYFUNCTION("GOOGLEFINANCE(A789,""LOW"")"),155.22)</f>
        <v>155.22</v>
      </c>
      <c r="F789" s="12" t="str">
        <f t="shared" ref="F789:F1043" ca="1" si="28">IF(C789=D789,"SELL",IF(C789=E789,"BUY", ""))</f>
        <v/>
      </c>
      <c r="G789" s="13">
        <f ca="1">IFERROR(__xludf.DUMMYFUNCTION("GOOGLEFINANCE(A789,""CLOSEYEST"")"),154.93)</f>
        <v>154.93</v>
      </c>
      <c r="H789" s="14" t="str">
        <f t="shared" ca="1" si="27"/>
        <v>GAP UP</v>
      </c>
      <c r="I789" s="15">
        <f t="shared" ref="I789:I1043" ca="1" si="29">(D789+E789+G789)/3</f>
        <v>157.71666666666667</v>
      </c>
      <c r="J789" s="16">
        <f t="shared" ref="J789:J1043" ca="1" si="30">(I789*2)-E789</f>
        <v>160.21333333333334</v>
      </c>
      <c r="K789" s="16"/>
      <c r="L789" s="16">
        <f t="shared" ref="L789:L1043" ca="1" si="31">(I789*2)-D789</f>
        <v>152.43333333333334</v>
      </c>
      <c r="M789" s="16">
        <f t="shared" ref="M789:M1043" ca="1" si="32">I789+(J789-L789)</f>
        <v>165.49666666666667</v>
      </c>
      <c r="N789" s="16">
        <f t="shared" ref="N789:N1043" ca="1" si="33">I789-(J789-L789)</f>
        <v>149.93666666666667</v>
      </c>
    </row>
    <row r="790" spans="1:14" ht="24.75" customHeight="1" x14ac:dyDescent="0.8">
      <c r="A790" s="18" t="s">
        <v>753</v>
      </c>
      <c r="B790" s="10">
        <f ca="1">IFERROR(__xludf.DUMMYFUNCTION("GOOGLEFINANCE(A790,""PRICE"")"),358.9)</f>
        <v>358.9</v>
      </c>
      <c r="C790" s="11">
        <f ca="1">IFERROR(__xludf.DUMMYFUNCTION("GOOGLEFINANCE(A790,""PRICEOPEN"")"),355.4)</f>
        <v>355.4</v>
      </c>
      <c r="D790" s="11">
        <f ca="1">IFERROR(__xludf.DUMMYFUNCTION("GOOGLEFINANCE(A790,""HIGH"")"),364.9)</f>
        <v>364.9</v>
      </c>
      <c r="E790" s="11">
        <f ca="1">IFERROR(__xludf.DUMMYFUNCTION("GOOGLEFINANCE(A790,""LOW"")"),355)</f>
        <v>355</v>
      </c>
      <c r="F790" s="12" t="str">
        <f t="shared" ca="1" si="28"/>
        <v/>
      </c>
      <c r="G790" s="13">
        <f ca="1">IFERROR(__xludf.DUMMYFUNCTION("GOOGLEFINANCE(A790,""CLOSEYEST"")"),354.4)</f>
        <v>354.4</v>
      </c>
      <c r="H790" s="14" t="str">
        <f t="shared" ca="1" si="27"/>
        <v/>
      </c>
      <c r="I790" s="15">
        <f t="shared" ca="1" si="29"/>
        <v>358.09999999999997</v>
      </c>
      <c r="J790" s="16">
        <f t="shared" ca="1" si="30"/>
        <v>361.19999999999993</v>
      </c>
      <c r="K790" s="16"/>
      <c r="L790" s="16">
        <f t="shared" ca="1" si="31"/>
        <v>351.29999999999995</v>
      </c>
      <c r="M790" s="16">
        <f t="shared" ca="1" si="32"/>
        <v>367.99999999999994</v>
      </c>
      <c r="N790" s="16">
        <f t="shared" ca="1" si="33"/>
        <v>348.2</v>
      </c>
    </row>
    <row r="791" spans="1:14" ht="24.75" customHeight="1" x14ac:dyDescent="0.8">
      <c r="A791" s="18" t="s">
        <v>754</v>
      </c>
      <c r="B791" s="10">
        <f ca="1">IFERROR(__xludf.DUMMYFUNCTION("GOOGLEFINANCE(A791,""PRICE"")"),388)</f>
        <v>388</v>
      </c>
      <c r="C791" s="11">
        <f ca="1">IFERROR(__xludf.DUMMYFUNCTION("GOOGLEFINANCE(A791,""PRICEOPEN"")"),382.5)</f>
        <v>382.5</v>
      </c>
      <c r="D791" s="11">
        <f ca="1">IFERROR(__xludf.DUMMYFUNCTION("GOOGLEFINANCE(A791,""HIGH"")"),392.95)</f>
        <v>392.95</v>
      </c>
      <c r="E791" s="11">
        <f ca="1">IFERROR(__xludf.DUMMYFUNCTION("GOOGLEFINANCE(A791,""LOW"")"),378)</f>
        <v>378</v>
      </c>
      <c r="F791" s="12" t="str">
        <f t="shared" ca="1" si="28"/>
        <v/>
      </c>
      <c r="G791" s="13">
        <f ca="1">IFERROR(__xludf.DUMMYFUNCTION("GOOGLEFINANCE(A791,""CLOSEYEST"")"),382.4)</f>
        <v>382.4</v>
      </c>
      <c r="H791" s="14" t="str">
        <f t="shared" ref="H791:H1045" ca="1" si="34">IF(C791&gt;=(G791+(G791*1%)),"GAP UP",IF(C791&lt;=(G791-(G791*1%)),"GAP DOWN",""))</f>
        <v/>
      </c>
      <c r="I791" s="15">
        <f t="shared" ca="1" si="29"/>
        <v>384.45</v>
      </c>
      <c r="J791" s="16">
        <f t="shared" ca="1" si="30"/>
        <v>390.9</v>
      </c>
      <c r="K791" s="16"/>
      <c r="L791" s="16">
        <f t="shared" ca="1" si="31"/>
        <v>375.95</v>
      </c>
      <c r="M791" s="16">
        <f t="shared" ca="1" si="32"/>
        <v>399.4</v>
      </c>
      <c r="N791" s="16">
        <f t="shared" ca="1" si="33"/>
        <v>369.5</v>
      </c>
    </row>
    <row r="792" spans="1:14" ht="24.75" customHeight="1" x14ac:dyDescent="0.8">
      <c r="A792" s="18" t="s">
        <v>755</v>
      </c>
      <c r="B792" s="10" t="str">
        <f ca="1">IFERROR(__xludf.DUMMYFUNCTION("GOOGLEFINANCE(A792,""PRICE"")"),"#N/A")</f>
        <v>#N/A</v>
      </c>
      <c r="C792" s="11" t="str">
        <f ca="1">IFERROR(__xludf.DUMMYFUNCTION("GOOGLEFINANCE(A792,""PRICEOPEN"")"),"#N/A")</f>
        <v>#N/A</v>
      </c>
      <c r="D792" s="11" t="str">
        <f ca="1">IFERROR(__xludf.DUMMYFUNCTION("GOOGLEFINANCE(A792,""HIGH"")"),"#N/A")</f>
        <v>#N/A</v>
      </c>
      <c r="E792" s="11" t="str">
        <f ca="1">IFERROR(__xludf.DUMMYFUNCTION("GOOGLEFINANCE(A792,""LOW"")"),"#N/A")</f>
        <v>#N/A</v>
      </c>
      <c r="F792" s="12" t="str">
        <f t="shared" ca="1" si="28"/>
        <v>SELL</v>
      </c>
      <c r="G792" s="13" t="str">
        <f ca="1">IFERROR(__xludf.DUMMYFUNCTION("GOOGLEFINANCE(A792,""CLOSEYEST"")"),"#N/A")</f>
        <v>#N/A</v>
      </c>
      <c r="H792" s="14" t="e">
        <f t="shared" ca="1" si="34"/>
        <v>#VALUE!</v>
      </c>
      <c r="I792" s="15" t="e">
        <f t="shared" ca="1" si="29"/>
        <v>#VALUE!</v>
      </c>
      <c r="J792" s="16" t="e">
        <f t="shared" ca="1" si="30"/>
        <v>#VALUE!</v>
      </c>
      <c r="K792" s="16"/>
      <c r="L792" s="16" t="e">
        <f t="shared" ca="1" si="31"/>
        <v>#VALUE!</v>
      </c>
      <c r="M792" s="16" t="e">
        <f t="shared" ca="1" si="32"/>
        <v>#VALUE!</v>
      </c>
      <c r="N792" s="16" t="e">
        <f t="shared" ca="1" si="33"/>
        <v>#VALUE!</v>
      </c>
    </row>
    <row r="793" spans="1:14" ht="24.75" customHeight="1" x14ac:dyDescent="0.8">
      <c r="A793" s="18" t="s">
        <v>756</v>
      </c>
      <c r="B793" s="10">
        <f ca="1">IFERROR(__xludf.DUMMYFUNCTION("GOOGLEFINANCE(A793,""PRICE"")"),493.4)</f>
        <v>493.4</v>
      </c>
      <c r="C793" s="11">
        <f ca="1">IFERROR(__xludf.DUMMYFUNCTION("GOOGLEFINANCE(A793,""PRICEOPEN"")"),489)</f>
        <v>489</v>
      </c>
      <c r="D793" s="11">
        <f ca="1">IFERROR(__xludf.DUMMYFUNCTION("GOOGLEFINANCE(A793,""HIGH"")"),494)</f>
        <v>494</v>
      </c>
      <c r="E793" s="11">
        <f ca="1">IFERROR(__xludf.DUMMYFUNCTION("GOOGLEFINANCE(A793,""LOW"")"),482.4)</f>
        <v>482.4</v>
      </c>
      <c r="F793" s="12" t="str">
        <f t="shared" ca="1" si="28"/>
        <v/>
      </c>
      <c r="G793" s="13">
        <f ca="1">IFERROR(__xludf.DUMMYFUNCTION("GOOGLEFINANCE(A793,""CLOSEYEST"")"),482.4)</f>
        <v>482.4</v>
      </c>
      <c r="H793" s="14" t="str">
        <f t="shared" ca="1" si="34"/>
        <v>GAP UP</v>
      </c>
      <c r="I793" s="15">
        <f t="shared" ca="1" si="29"/>
        <v>486.26666666666665</v>
      </c>
      <c r="J793" s="16">
        <f t="shared" ca="1" si="30"/>
        <v>490.13333333333333</v>
      </c>
      <c r="K793" s="16"/>
      <c r="L793" s="16">
        <f t="shared" ca="1" si="31"/>
        <v>478.5333333333333</v>
      </c>
      <c r="M793" s="16">
        <f t="shared" ca="1" si="32"/>
        <v>497.86666666666667</v>
      </c>
      <c r="N793" s="16">
        <f t="shared" ca="1" si="33"/>
        <v>474.66666666666663</v>
      </c>
    </row>
    <row r="794" spans="1:14" ht="24.75" customHeight="1" x14ac:dyDescent="0.8">
      <c r="A794" s="18" t="s">
        <v>757</v>
      </c>
      <c r="B794" s="10">
        <f ca="1">IFERROR(__xludf.DUMMYFUNCTION("GOOGLEFINANCE(A794,""PRICE"")"),4165.2)</f>
        <v>4165.2</v>
      </c>
      <c r="C794" s="11">
        <f ca="1">IFERROR(__xludf.DUMMYFUNCTION("GOOGLEFINANCE(A794,""PRICEOPEN"")"),4130)</f>
        <v>4130</v>
      </c>
      <c r="D794" s="11">
        <f ca="1">IFERROR(__xludf.DUMMYFUNCTION("GOOGLEFINANCE(A794,""HIGH"")"),4224)</f>
        <v>4224</v>
      </c>
      <c r="E794" s="11">
        <f ca="1">IFERROR(__xludf.DUMMYFUNCTION("GOOGLEFINANCE(A794,""LOW"")"),4129.7)</f>
        <v>4129.7</v>
      </c>
      <c r="F794" s="12" t="str">
        <f t="shared" ca="1" si="28"/>
        <v/>
      </c>
      <c r="G794" s="13">
        <f ca="1">IFERROR(__xludf.DUMMYFUNCTION("GOOGLEFINANCE(A794,""CLOSEYEST"")"),4129.7)</f>
        <v>4129.7</v>
      </c>
      <c r="H794" s="14" t="str">
        <f t="shared" ca="1" si="34"/>
        <v/>
      </c>
      <c r="I794" s="15">
        <f t="shared" ca="1" si="29"/>
        <v>4161.1333333333341</v>
      </c>
      <c r="J794" s="16">
        <f t="shared" ca="1" si="30"/>
        <v>4192.5666666666684</v>
      </c>
      <c r="K794" s="16"/>
      <c r="L794" s="16">
        <f t="shared" ca="1" si="31"/>
        <v>4098.2666666666682</v>
      </c>
      <c r="M794" s="16">
        <f t="shared" ca="1" si="32"/>
        <v>4255.4333333333343</v>
      </c>
      <c r="N794" s="16">
        <f t="shared" ca="1" si="33"/>
        <v>4066.8333333333339</v>
      </c>
    </row>
    <row r="795" spans="1:14" ht="24.75" customHeight="1" x14ac:dyDescent="0.8">
      <c r="A795" s="18" t="s">
        <v>758</v>
      </c>
      <c r="B795" s="10">
        <f ca="1">IFERROR(__xludf.DUMMYFUNCTION("GOOGLEFINANCE(A795,""PRICE"")"),598.6)</f>
        <v>598.6</v>
      </c>
      <c r="C795" s="11">
        <f ca="1">IFERROR(__xludf.DUMMYFUNCTION("GOOGLEFINANCE(A795,""PRICEOPEN"")"),569)</f>
        <v>569</v>
      </c>
      <c r="D795" s="11">
        <f ca="1">IFERROR(__xludf.DUMMYFUNCTION("GOOGLEFINANCE(A795,""HIGH"")"),616.8)</f>
        <v>616.79999999999995</v>
      </c>
      <c r="E795" s="11">
        <f ca="1">IFERROR(__xludf.DUMMYFUNCTION("GOOGLEFINANCE(A795,""LOW"")"),565.05)</f>
        <v>565.04999999999995</v>
      </c>
      <c r="F795" s="12" t="str">
        <f t="shared" ca="1" si="28"/>
        <v/>
      </c>
      <c r="G795" s="13">
        <f ca="1">IFERROR(__xludf.DUMMYFUNCTION("GOOGLEFINANCE(A795,""CLOSEYEST"")"),567.1)</f>
        <v>567.1</v>
      </c>
      <c r="H795" s="14" t="str">
        <f t="shared" ca="1" si="34"/>
        <v/>
      </c>
      <c r="I795" s="15">
        <f t="shared" ca="1" si="29"/>
        <v>582.98333333333323</v>
      </c>
      <c r="J795" s="16">
        <f t="shared" ca="1" si="30"/>
        <v>600.91666666666652</v>
      </c>
      <c r="K795" s="16"/>
      <c r="L795" s="16">
        <f t="shared" ca="1" si="31"/>
        <v>549.16666666666652</v>
      </c>
      <c r="M795" s="16">
        <f t="shared" ca="1" si="32"/>
        <v>634.73333333333323</v>
      </c>
      <c r="N795" s="16">
        <f t="shared" ca="1" si="33"/>
        <v>531.23333333333323</v>
      </c>
    </row>
    <row r="796" spans="1:14" ht="24.75" customHeight="1" x14ac:dyDescent="0.8">
      <c r="A796" s="18" t="s">
        <v>759</v>
      </c>
      <c r="B796" s="10">
        <f ca="1">IFERROR(__xludf.DUMMYFUNCTION("GOOGLEFINANCE(A796,""PRICE"")"),2733.7)</f>
        <v>2733.7</v>
      </c>
      <c r="C796" s="11">
        <f ca="1">IFERROR(__xludf.DUMMYFUNCTION("GOOGLEFINANCE(A796,""PRICEOPEN"")"),2760)</f>
        <v>2760</v>
      </c>
      <c r="D796" s="11">
        <f ca="1">IFERROR(__xludf.DUMMYFUNCTION("GOOGLEFINANCE(A796,""HIGH"")"),2768.8)</f>
        <v>2768.8</v>
      </c>
      <c r="E796" s="11">
        <f ca="1">IFERROR(__xludf.DUMMYFUNCTION("GOOGLEFINANCE(A796,""LOW"")"),2695)</f>
        <v>2695</v>
      </c>
      <c r="F796" s="12" t="str">
        <f t="shared" ca="1" si="28"/>
        <v/>
      </c>
      <c r="G796" s="13">
        <f ca="1">IFERROR(__xludf.DUMMYFUNCTION("GOOGLEFINANCE(A796,""CLOSEYEST"")"),2737.4)</f>
        <v>2737.4</v>
      </c>
      <c r="H796" s="14" t="str">
        <f t="shared" ca="1" si="34"/>
        <v/>
      </c>
      <c r="I796" s="15">
        <f t="shared" ca="1" si="29"/>
        <v>2733.7333333333336</v>
      </c>
      <c r="J796" s="16">
        <f t="shared" ca="1" si="30"/>
        <v>2772.4666666666672</v>
      </c>
      <c r="K796" s="16"/>
      <c r="L796" s="16">
        <f t="shared" ca="1" si="31"/>
        <v>2698.666666666667</v>
      </c>
      <c r="M796" s="16">
        <f t="shared" ca="1" si="32"/>
        <v>2807.5333333333338</v>
      </c>
      <c r="N796" s="16">
        <f t="shared" ca="1" si="33"/>
        <v>2659.9333333333334</v>
      </c>
    </row>
    <row r="797" spans="1:14" ht="24.75" customHeight="1" x14ac:dyDescent="0.8">
      <c r="A797" s="18" t="s">
        <v>760</v>
      </c>
      <c r="B797" s="10" t="str">
        <f ca="1">IFERROR(__xludf.DUMMYFUNCTION("GOOGLEFINANCE(A797,""PRICE"")"),"#N/A")</f>
        <v>#N/A</v>
      </c>
      <c r="C797" s="11" t="str">
        <f ca="1">IFERROR(__xludf.DUMMYFUNCTION("GOOGLEFINANCE(A797,""PRICEOPEN"")"),"#N/A")</f>
        <v>#N/A</v>
      </c>
      <c r="D797" s="11" t="str">
        <f ca="1">IFERROR(__xludf.DUMMYFUNCTION("GOOGLEFINANCE(A797,""HIGH"")"),"#N/A")</f>
        <v>#N/A</v>
      </c>
      <c r="E797" s="11" t="str">
        <f ca="1">IFERROR(__xludf.DUMMYFUNCTION("GOOGLEFINANCE(A797,""LOW"")"),"#N/A")</f>
        <v>#N/A</v>
      </c>
      <c r="F797" s="12" t="str">
        <f t="shared" ca="1" si="28"/>
        <v>SELL</v>
      </c>
      <c r="G797" s="13" t="str">
        <f ca="1">IFERROR(__xludf.DUMMYFUNCTION("GOOGLEFINANCE(A797,""CLOSEYEST"")"),"#N/A")</f>
        <v>#N/A</v>
      </c>
      <c r="H797" s="14" t="e">
        <f t="shared" ca="1" si="34"/>
        <v>#VALUE!</v>
      </c>
      <c r="I797" s="15" t="e">
        <f t="shared" ca="1" si="29"/>
        <v>#VALUE!</v>
      </c>
      <c r="J797" s="16" t="e">
        <f t="shared" ca="1" si="30"/>
        <v>#VALUE!</v>
      </c>
      <c r="K797" s="16"/>
      <c r="L797" s="16" t="e">
        <f t="shared" ca="1" si="31"/>
        <v>#VALUE!</v>
      </c>
      <c r="M797" s="16" t="e">
        <f t="shared" ca="1" si="32"/>
        <v>#VALUE!</v>
      </c>
      <c r="N797" s="16" t="e">
        <f t="shared" ca="1" si="33"/>
        <v>#VALUE!</v>
      </c>
    </row>
    <row r="798" spans="1:14" ht="24.75" customHeight="1" x14ac:dyDescent="0.8">
      <c r="A798" s="18" t="s">
        <v>761</v>
      </c>
      <c r="B798" s="10">
        <f ca="1">IFERROR(__xludf.DUMMYFUNCTION("GOOGLEFINANCE(A798,""PRICE"")"),286.95)</f>
        <v>286.95</v>
      </c>
      <c r="C798" s="11">
        <f ca="1">IFERROR(__xludf.DUMMYFUNCTION("GOOGLEFINANCE(A798,""PRICEOPEN"")"),286.3)</f>
        <v>286.3</v>
      </c>
      <c r="D798" s="11">
        <f ca="1">IFERROR(__xludf.DUMMYFUNCTION("GOOGLEFINANCE(A798,""HIGH"")"),287.45)</f>
        <v>287.45</v>
      </c>
      <c r="E798" s="11">
        <f ca="1">IFERROR(__xludf.DUMMYFUNCTION("GOOGLEFINANCE(A798,""LOW"")"),279.55)</f>
        <v>279.55</v>
      </c>
      <c r="F798" s="12" t="str">
        <f t="shared" ca="1" si="28"/>
        <v/>
      </c>
      <c r="G798" s="13">
        <f ca="1">IFERROR(__xludf.DUMMYFUNCTION("GOOGLEFINANCE(A798,""CLOSEYEST"")"),282.9)</f>
        <v>282.89999999999998</v>
      </c>
      <c r="H798" s="14" t="str">
        <f t="shared" ca="1" si="34"/>
        <v>GAP UP</v>
      </c>
      <c r="I798" s="15">
        <f t="shared" ca="1" si="29"/>
        <v>283.3</v>
      </c>
      <c r="J798" s="16">
        <f t="shared" ca="1" si="30"/>
        <v>287.05</v>
      </c>
      <c r="K798" s="16"/>
      <c r="L798" s="16">
        <f t="shared" ca="1" si="31"/>
        <v>279.15000000000003</v>
      </c>
      <c r="M798" s="16">
        <f t="shared" ca="1" si="32"/>
        <v>291.2</v>
      </c>
      <c r="N798" s="16">
        <f t="shared" ca="1" si="33"/>
        <v>275.40000000000003</v>
      </c>
    </row>
    <row r="799" spans="1:14" ht="24.75" customHeight="1" x14ac:dyDescent="0.8">
      <c r="A799" s="18" t="s">
        <v>762</v>
      </c>
      <c r="B799" s="10">
        <f ca="1">IFERROR(__xludf.DUMMYFUNCTION("GOOGLEFINANCE(A799,""PRICE"")"),79.11)</f>
        <v>79.11</v>
      </c>
      <c r="C799" s="11">
        <f ca="1">IFERROR(__xludf.DUMMYFUNCTION("GOOGLEFINANCE(A799,""PRICEOPEN"")"),77.85)</f>
        <v>77.849999999999994</v>
      </c>
      <c r="D799" s="11">
        <f ca="1">IFERROR(__xludf.DUMMYFUNCTION("GOOGLEFINANCE(A799,""HIGH"")"),80.75)</f>
        <v>80.75</v>
      </c>
      <c r="E799" s="11">
        <f ca="1">IFERROR(__xludf.DUMMYFUNCTION("GOOGLEFINANCE(A799,""LOW"")"),77.85)</f>
        <v>77.849999999999994</v>
      </c>
      <c r="F799" s="12" t="str">
        <f t="shared" ca="1" si="28"/>
        <v>BUY</v>
      </c>
      <c r="G799" s="13">
        <f ca="1">IFERROR(__xludf.DUMMYFUNCTION("GOOGLEFINANCE(A799,""CLOSEYEST"")"),78.15)</f>
        <v>78.150000000000006</v>
      </c>
      <c r="H799" s="14" t="str">
        <f t="shared" ca="1" si="34"/>
        <v/>
      </c>
      <c r="I799" s="15">
        <f t="shared" ca="1" si="29"/>
        <v>78.916666666666671</v>
      </c>
      <c r="J799" s="16">
        <f t="shared" ca="1" si="30"/>
        <v>79.983333333333348</v>
      </c>
      <c r="K799" s="16"/>
      <c r="L799" s="16">
        <f t="shared" ca="1" si="31"/>
        <v>77.083333333333343</v>
      </c>
      <c r="M799" s="16">
        <f t="shared" ca="1" si="32"/>
        <v>81.816666666666677</v>
      </c>
      <c r="N799" s="16">
        <f t="shared" ca="1" si="33"/>
        <v>76.016666666666666</v>
      </c>
    </row>
    <row r="800" spans="1:14" ht="24.75" customHeight="1" x14ac:dyDescent="0.8">
      <c r="A800" s="18" t="s">
        <v>763</v>
      </c>
      <c r="B800" s="10">
        <f ca="1">IFERROR(__xludf.DUMMYFUNCTION("GOOGLEFINANCE(A800,""PRICE"")"),29.72)</f>
        <v>29.72</v>
      </c>
      <c r="C800" s="11">
        <f ca="1">IFERROR(__xludf.DUMMYFUNCTION("GOOGLEFINANCE(A800,""PRICEOPEN"")"),29.5)</f>
        <v>29.5</v>
      </c>
      <c r="D800" s="11">
        <f ca="1">IFERROR(__xludf.DUMMYFUNCTION("GOOGLEFINANCE(A800,""HIGH"")"),29.85)</f>
        <v>29.85</v>
      </c>
      <c r="E800" s="11">
        <f ca="1">IFERROR(__xludf.DUMMYFUNCTION("GOOGLEFINANCE(A800,""LOW"")"),29.26)</f>
        <v>29.26</v>
      </c>
      <c r="F800" s="12" t="str">
        <f t="shared" ca="1" si="28"/>
        <v/>
      </c>
      <c r="G800" s="13">
        <f ca="1">IFERROR(__xludf.DUMMYFUNCTION("GOOGLEFINANCE(A800,""CLOSEYEST"")"),29.37)</f>
        <v>29.37</v>
      </c>
      <c r="H800" s="14" t="str">
        <f t="shared" ca="1" si="34"/>
        <v/>
      </c>
      <c r="I800" s="15">
        <f t="shared" ca="1" si="29"/>
        <v>29.493333333333336</v>
      </c>
      <c r="J800" s="16">
        <f t="shared" ca="1" si="30"/>
        <v>29.72666666666667</v>
      </c>
      <c r="K800" s="16"/>
      <c r="L800" s="16">
        <f t="shared" ca="1" si="31"/>
        <v>29.13666666666667</v>
      </c>
      <c r="M800" s="16">
        <f t="shared" ca="1" si="32"/>
        <v>30.083333333333336</v>
      </c>
      <c r="N800" s="16">
        <f t="shared" ca="1" si="33"/>
        <v>28.903333333333336</v>
      </c>
    </row>
    <row r="801" spans="1:14" ht="24.75" customHeight="1" x14ac:dyDescent="0.8">
      <c r="A801" s="18" t="s">
        <v>764</v>
      </c>
      <c r="B801" s="10">
        <f ca="1">IFERROR(__xludf.DUMMYFUNCTION("GOOGLEFINANCE(A801,""PRICE"")"),141.26)</f>
        <v>141.26</v>
      </c>
      <c r="C801" s="11">
        <f ca="1">IFERROR(__xludf.DUMMYFUNCTION("GOOGLEFINANCE(A801,""PRICEOPEN"")"),137.75)</f>
        <v>137.75</v>
      </c>
      <c r="D801" s="11">
        <f ca="1">IFERROR(__xludf.DUMMYFUNCTION("GOOGLEFINANCE(A801,""HIGH"")"),144.7)</f>
        <v>144.69999999999999</v>
      </c>
      <c r="E801" s="11">
        <f ca="1">IFERROR(__xludf.DUMMYFUNCTION("GOOGLEFINANCE(A801,""LOW"")"),137.6)</f>
        <v>137.6</v>
      </c>
      <c r="F801" s="12" t="str">
        <f t="shared" ca="1" si="28"/>
        <v/>
      </c>
      <c r="G801" s="13">
        <f ca="1">IFERROR(__xludf.DUMMYFUNCTION("GOOGLEFINANCE(A801,""CLOSEYEST"")"),137.55)</f>
        <v>137.55000000000001</v>
      </c>
      <c r="H801" s="14" t="str">
        <f t="shared" ca="1" si="34"/>
        <v/>
      </c>
      <c r="I801" s="15">
        <f t="shared" ca="1" si="29"/>
        <v>139.94999999999999</v>
      </c>
      <c r="J801" s="16">
        <f t="shared" ca="1" si="30"/>
        <v>142.29999999999998</v>
      </c>
      <c r="K801" s="16"/>
      <c r="L801" s="16">
        <f t="shared" ca="1" si="31"/>
        <v>135.19999999999999</v>
      </c>
      <c r="M801" s="16">
        <f t="shared" ca="1" si="32"/>
        <v>147.04999999999998</v>
      </c>
      <c r="N801" s="16">
        <f t="shared" ca="1" si="33"/>
        <v>132.85</v>
      </c>
    </row>
    <row r="802" spans="1:14" ht="24.75" customHeight="1" x14ac:dyDescent="0.8">
      <c r="A802" s="18" t="s">
        <v>765</v>
      </c>
      <c r="B802" s="10">
        <f ca="1">IFERROR(__xludf.DUMMYFUNCTION("GOOGLEFINANCE(A802,""PRICE"")"),205)</f>
        <v>205</v>
      </c>
      <c r="C802" s="11">
        <f ca="1">IFERROR(__xludf.DUMMYFUNCTION("GOOGLEFINANCE(A802,""PRICEOPEN"")"),199.86)</f>
        <v>199.86</v>
      </c>
      <c r="D802" s="11">
        <f ca="1">IFERROR(__xludf.DUMMYFUNCTION("GOOGLEFINANCE(A802,""HIGH"")"),208.4)</f>
        <v>208.4</v>
      </c>
      <c r="E802" s="11">
        <f ca="1">IFERROR(__xludf.DUMMYFUNCTION("GOOGLEFINANCE(A802,""LOW"")"),199.86)</f>
        <v>199.86</v>
      </c>
      <c r="F802" s="12" t="str">
        <f t="shared" ca="1" si="28"/>
        <v>BUY</v>
      </c>
      <c r="G802" s="13">
        <f ca="1">IFERROR(__xludf.DUMMYFUNCTION("GOOGLEFINANCE(A802,""CLOSEYEST"")"),202.89)</f>
        <v>202.89</v>
      </c>
      <c r="H802" s="14" t="str">
        <f t="shared" ca="1" si="34"/>
        <v>GAP DOWN</v>
      </c>
      <c r="I802" s="15">
        <f t="shared" ca="1" si="29"/>
        <v>203.71666666666667</v>
      </c>
      <c r="J802" s="16">
        <f t="shared" ca="1" si="30"/>
        <v>207.57333333333332</v>
      </c>
      <c r="K802" s="16"/>
      <c r="L802" s="16">
        <f t="shared" ca="1" si="31"/>
        <v>199.03333333333333</v>
      </c>
      <c r="M802" s="16">
        <f t="shared" ca="1" si="32"/>
        <v>212.25666666666666</v>
      </c>
      <c r="N802" s="16">
        <f t="shared" ca="1" si="33"/>
        <v>195.17666666666668</v>
      </c>
    </row>
    <row r="803" spans="1:14" ht="24.75" customHeight="1" x14ac:dyDescent="0.8">
      <c r="A803" s="18" t="s">
        <v>766</v>
      </c>
      <c r="B803" s="10">
        <f ca="1">IFERROR(__xludf.DUMMYFUNCTION("GOOGLEFINANCE(A803,""PRICE"")"),1321.4)</f>
        <v>1321.4</v>
      </c>
      <c r="C803" s="11">
        <f ca="1">IFERROR(__xludf.DUMMYFUNCTION("GOOGLEFINANCE(A803,""PRICEOPEN"")"),1348.1)</f>
        <v>1348.1</v>
      </c>
      <c r="D803" s="11">
        <f ca="1">IFERROR(__xludf.DUMMYFUNCTION("GOOGLEFINANCE(A803,""HIGH"")"),1356.1)</f>
        <v>1356.1</v>
      </c>
      <c r="E803" s="11">
        <f ca="1">IFERROR(__xludf.DUMMYFUNCTION("GOOGLEFINANCE(A803,""LOW"")"),1310)</f>
        <v>1310</v>
      </c>
      <c r="F803" s="12" t="str">
        <f t="shared" ca="1" si="28"/>
        <v/>
      </c>
      <c r="G803" s="13">
        <f ca="1">IFERROR(__xludf.DUMMYFUNCTION("GOOGLEFINANCE(A803,""CLOSEYEST"")"),1358.8)</f>
        <v>1358.8</v>
      </c>
      <c r="H803" s="14" t="str">
        <f t="shared" ca="1" si="34"/>
        <v/>
      </c>
      <c r="I803" s="15">
        <f t="shared" ca="1" si="29"/>
        <v>1341.6333333333332</v>
      </c>
      <c r="J803" s="16">
        <f t="shared" ca="1" si="30"/>
        <v>1373.2666666666664</v>
      </c>
      <c r="K803" s="16"/>
      <c r="L803" s="16">
        <f t="shared" ca="1" si="31"/>
        <v>1327.1666666666665</v>
      </c>
      <c r="M803" s="16">
        <f t="shared" ca="1" si="32"/>
        <v>1387.7333333333331</v>
      </c>
      <c r="N803" s="16">
        <f t="shared" ca="1" si="33"/>
        <v>1295.5333333333333</v>
      </c>
    </row>
    <row r="804" spans="1:14" ht="24.75" customHeight="1" x14ac:dyDescent="0.8">
      <c r="A804" s="18" t="s">
        <v>767</v>
      </c>
      <c r="B804" s="10">
        <f ca="1">IFERROR(__xludf.DUMMYFUNCTION("GOOGLEFINANCE(A804,""PRICE"")"),38.72)</f>
        <v>38.72</v>
      </c>
      <c r="C804" s="11">
        <f ca="1">IFERROR(__xludf.DUMMYFUNCTION("GOOGLEFINANCE(A804,""PRICEOPEN"")"),38.99)</f>
        <v>38.99</v>
      </c>
      <c r="D804" s="11">
        <f ca="1">IFERROR(__xludf.DUMMYFUNCTION("GOOGLEFINANCE(A804,""HIGH"")"),39.45)</f>
        <v>39.450000000000003</v>
      </c>
      <c r="E804" s="11">
        <f ca="1">IFERROR(__xludf.DUMMYFUNCTION("GOOGLEFINANCE(A804,""LOW"")"),38.51)</f>
        <v>38.51</v>
      </c>
      <c r="F804" s="12" t="str">
        <f t="shared" ca="1" si="28"/>
        <v/>
      </c>
      <c r="G804" s="13">
        <f ca="1">IFERROR(__xludf.DUMMYFUNCTION("GOOGLEFINANCE(A804,""CLOSEYEST"")"),38.88)</f>
        <v>38.880000000000003</v>
      </c>
      <c r="H804" s="14" t="str">
        <f t="shared" ca="1" si="34"/>
        <v/>
      </c>
      <c r="I804" s="15">
        <f t="shared" ca="1" si="29"/>
        <v>38.946666666666665</v>
      </c>
      <c r="J804" s="16">
        <f t="shared" ca="1" si="30"/>
        <v>39.383333333333333</v>
      </c>
      <c r="K804" s="16"/>
      <c r="L804" s="16">
        <f t="shared" ca="1" si="31"/>
        <v>38.443333333333328</v>
      </c>
      <c r="M804" s="16">
        <f t="shared" ca="1" si="32"/>
        <v>39.88666666666667</v>
      </c>
      <c r="N804" s="16">
        <f t="shared" ca="1" si="33"/>
        <v>38.006666666666661</v>
      </c>
    </row>
    <row r="805" spans="1:14" ht="24.75" customHeight="1" x14ac:dyDescent="0.8">
      <c r="A805" s="18" t="s">
        <v>768</v>
      </c>
      <c r="B805" s="10">
        <f ca="1">IFERROR(__xludf.DUMMYFUNCTION("GOOGLEFINANCE(A805,""PRICE"")"),495.05)</f>
        <v>495.05</v>
      </c>
      <c r="C805" s="11">
        <f ca="1">IFERROR(__xludf.DUMMYFUNCTION("GOOGLEFINANCE(A805,""PRICEOPEN"")"),490)</f>
        <v>490</v>
      </c>
      <c r="D805" s="11">
        <f ca="1">IFERROR(__xludf.DUMMYFUNCTION("GOOGLEFINANCE(A805,""HIGH"")"),502.45)</f>
        <v>502.45</v>
      </c>
      <c r="E805" s="11">
        <f ca="1">IFERROR(__xludf.DUMMYFUNCTION("GOOGLEFINANCE(A805,""LOW"")"),483.35)</f>
        <v>483.35</v>
      </c>
      <c r="F805" s="12" t="str">
        <f t="shared" ca="1" si="28"/>
        <v/>
      </c>
      <c r="G805" s="13">
        <f ca="1">IFERROR(__xludf.DUMMYFUNCTION("GOOGLEFINANCE(A805,""CLOSEYEST"")"),488.7)</f>
        <v>488.7</v>
      </c>
      <c r="H805" s="14" t="str">
        <f t="shared" ca="1" si="34"/>
        <v/>
      </c>
      <c r="I805" s="15">
        <f t="shared" ca="1" si="29"/>
        <v>491.5</v>
      </c>
      <c r="J805" s="16">
        <f t="shared" ca="1" si="30"/>
        <v>499.65</v>
      </c>
      <c r="K805" s="16"/>
      <c r="L805" s="16">
        <f t="shared" ca="1" si="31"/>
        <v>480.55</v>
      </c>
      <c r="M805" s="16">
        <f t="shared" ca="1" si="32"/>
        <v>510.59999999999997</v>
      </c>
      <c r="N805" s="16">
        <f t="shared" ca="1" si="33"/>
        <v>472.40000000000003</v>
      </c>
    </row>
    <row r="806" spans="1:14" ht="24.75" customHeight="1" x14ac:dyDescent="0.8">
      <c r="A806" s="18" t="s">
        <v>769</v>
      </c>
      <c r="B806" s="10" t="str">
        <f ca="1">IFERROR(__xludf.DUMMYFUNCTION("GOOGLEFINANCE(A806,""PRICE"")"),"#N/A")</f>
        <v>#N/A</v>
      </c>
      <c r="C806" s="11" t="str">
        <f ca="1">IFERROR(__xludf.DUMMYFUNCTION("GOOGLEFINANCE(A806,""PRICEOPEN"")"),"#N/A")</f>
        <v>#N/A</v>
      </c>
      <c r="D806" s="11" t="str">
        <f ca="1">IFERROR(__xludf.DUMMYFUNCTION("GOOGLEFINANCE(A806,""HIGH"")"),"#N/A")</f>
        <v>#N/A</v>
      </c>
      <c r="E806" s="11" t="str">
        <f ca="1">IFERROR(__xludf.DUMMYFUNCTION("GOOGLEFINANCE(A806,""LOW"")"),"#N/A")</f>
        <v>#N/A</v>
      </c>
      <c r="F806" s="12" t="str">
        <f t="shared" ca="1" si="28"/>
        <v>SELL</v>
      </c>
      <c r="G806" s="13" t="str">
        <f ca="1">IFERROR(__xludf.DUMMYFUNCTION("GOOGLEFINANCE(A806,""CLOSEYEST"")"),"#N/A")</f>
        <v>#N/A</v>
      </c>
      <c r="H806" s="14" t="e">
        <f t="shared" ca="1" si="34"/>
        <v>#VALUE!</v>
      </c>
      <c r="I806" s="15" t="e">
        <f t="shared" ca="1" si="29"/>
        <v>#VALUE!</v>
      </c>
      <c r="J806" s="16" t="e">
        <f t="shared" ca="1" si="30"/>
        <v>#VALUE!</v>
      </c>
      <c r="K806" s="16"/>
      <c r="L806" s="16" t="e">
        <f t="shared" ca="1" si="31"/>
        <v>#VALUE!</v>
      </c>
      <c r="M806" s="16" t="e">
        <f t="shared" ca="1" si="32"/>
        <v>#VALUE!</v>
      </c>
      <c r="N806" s="16" t="e">
        <f t="shared" ca="1" si="33"/>
        <v>#VALUE!</v>
      </c>
    </row>
    <row r="807" spans="1:14" ht="24.75" customHeight="1" x14ac:dyDescent="0.8">
      <c r="A807" s="18" t="s">
        <v>770</v>
      </c>
      <c r="B807" s="10">
        <f ca="1">IFERROR(__xludf.DUMMYFUNCTION("GOOGLEFINANCE(A807,""PRICE"")"),2081.7)</f>
        <v>2081.6999999999998</v>
      </c>
      <c r="C807" s="11">
        <f ca="1">IFERROR(__xludf.DUMMYFUNCTION("GOOGLEFINANCE(A807,""PRICEOPEN"")"),2050)</f>
        <v>2050</v>
      </c>
      <c r="D807" s="11">
        <f ca="1">IFERROR(__xludf.DUMMYFUNCTION("GOOGLEFINANCE(A807,""HIGH"")"),2100)</f>
        <v>2100</v>
      </c>
      <c r="E807" s="11">
        <f ca="1">IFERROR(__xludf.DUMMYFUNCTION("GOOGLEFINANCE(A807,""LOW"")"),2027.3)</f>
        <v>2027.3</v>
      </c>
      <c r="F807" s="12" t="str">
        <f t="shared" ca="1" si="28"/>
        <v/>
      </c>
      <c r="G807" s="13">
        <f ca="1">IFERROR(__xludf.DUMMYFUNCTION("GOOGLEFINANCE(A807,""CLOSEYEST"")"),2028.4)</f>
        <v>2028.4</v>
      </c>
      <c r="H807" s="14" t="str">
        <f t="shared" ca="1" si="34"/>
        <v>GAP UP</v>
      </c>
      <c r="I807" s="15">
        <f t="shared" ca="1" si="29"/>
        <v>2051.9</v>
      </c>
      <c r="J807" s="16">
        <f t="shared" ca="1" si="30"/>
        <v>2076.5</v>
      </c>
      <c r="K807" s="16"/>
      <c r="L807" s="16">
        <f t="shared" ca="1" si="31"/>
        <v>2003.8000000000002</v>
      </c>
      <c r="M807" s="16">
        <f t="shared" ca="1" si="32"/>
        <v>2124.6</v>
      </c>
      <c r="N807" s="16">
        <f t="shared" ca="1" si="33"/>
        <v>1979.2000000000003</v>
      </c>
    </row>
    <row r="808" spans="1:14" ht="24.75" customHeight="1" x14ac:dyDescent="0.8">
      <c r="A808" s="18" t="s">
        <v>771</v>
      </c>
      <c r="B808" s="10">
        <f ca="1">IFERROR(__xludf.DUMMYFUNCTION("GOOGLEFINANCE(A808,""PRICE"")"),312)</f>
        <v>312</v>
      </c>
      <c r="C808" s="11">
        <f ca="1">IFERROR(__xludf.DUMMYFUNCTION("GOOGLEFINANCE(A808,""PRICEOPEN"")"),314.6)</f>
        <v>314.60000000000002</v>
      </c>
      <c r="D808" s="11">
        <f ca="1">IFERROR(__xludf.DUMMYFUNCTION("GOOGLEFINANCE(A808,""HIGH"")"),314.6)</f>
        <v>314.60000000000002</v>
      </c>
      <c r="E808" s="11">
        <f ca="1">IFERROR(__xludf.DUMMYFUNCTION("GOOGLEFINANCE(A808,""LOW"")"),306.95)</f>
        <v>306.95</v>
      </c>
      <c r="F808" s="12" t="str">
        <f t="shared" ca="1" si="28"/>
        <v>SELL</v>
      </c>
      <c r="G808" s="13">
        <f ca="1">IFERROR(__xludf.DUMMYFUNCTION("GOOGLEFINANCE(A808,""CLOSEYEST"")"),311.65)</f>
        <v>311.64999999999998</v>
      </c>
      <c r="H808" s="14" t="str">
        <f t="shared" ca="1" si="34"/>
        <v/>
      </c>
      <c r="I808" s="15">
        <f t="shared" ca="1" si="29"/>
        <v>311.06666666666666</v>
      </c>
      <c r="J808" s="16">
        <f t="shared" ca="1" si="30"/>
        <v>315.18333333333334</v>
      </c>
      <c r="K808" s="16"/>
      <c r="L808" s="16">
        <f t="shared" ca="1" si="31"/>
        <v>307.5333333333333</v>
      </c>
      <c r="M808" s="16">
        <f t="shared" ca="1" si="32"/>
        <v>318.7166666666667</v>
      </c>
      <c r="N808" s="16">
        <f t="shared" ca="1" si="33"/>
        <v>303.41666666666663</v>
      </c>
    </row>
    <row r="809" spans="1:14" ht="24.75" customHeight="1" x14ac:dyDescent="0.8">
      <c r="A809" s="18" t="s">
        <v>772</v>
      </c>
      <c r="B809" s="10">
        <f ca="1">IFERROR(__xludf.DUMMYFUNCTION("GOOGLEFINANCE(A809,""PRICE"")"),72.44)</f>
        <v>72.44</v>
      </c>
      <c r="C809" s="11">
        <f ca="1">IFERROR(__xludf.DUMMYFUNCTION("GOOGLEFINANCE(A809,""PRICEOPEN"")"),71.68)</f>
        <v>71.680000000000007</v>
      </c>
      <c r="D809" s="11">
        <f ca="1">IFERROR(__xludf.DUMMYFUNCTION("GOOGLEFINANCE(A809,""HIGH"")"),72.5)</f>
        <v>72.5</v>
      </c>
      <c r="E809" s="11">
        <f ca="1">IFERROR(__xludf.DUMMYFUNCTION("GOOGLEFINANCE(A809,""LOW"")"),71.53)</f>
        <v>71.53</v>
      </c>
      <c r="F809" s="12" t="str">
        <f t="shared" ca="1" si="28"/>
        <v/>
      </c>
      <c r="G809" s="13">
        <f ca="1">IFERROR(__xludf.DUMMYFUNCTION("GOOGLEFINANCE(A809,""CLOSEYEST"")"),71.5)</f>
        <v>71.5</v>
      </c>
      <c r="H809" s="14" t="str">
        <f t="shared" ca="1" si="34"/>
        <v/>
      </c>
      <c r="I809" s="15">
        <f t="shared" ca="1" si="29"/>
        <v>71.843333333333334</v>
      </c>
      <c r="J809" s="16">
        <f t="shared" ca="1" si="30"/>
        <v>72.156666666666666</v>
      </c>
      <c r="K809" s="16"/>
      <c r="L809" s="16">
        <f t="shared" ca="1" si="31"/>
        <v>71.186666666666667</v>
      </c>
      <c r="M809" s="16">
        <f t="shared" ca="1" si="32"/>
        <v>72.813333333333333</v>
      </c>
      <c r="N809" s="16">
        <f t="shared" ca="1" si="33"/>
        <v>70.873333333333335</v>
      </c>
    </row>
    <row r="810" spans="1:14" ht="24.75" customHeight="1" x14ac:dyDescent="0.8">
      <c r="A810" s="18" t="s">
        <v>773</v>
      </c>
      <c r="B810" s="10">
        <f ca="1">IFERROR(__xludf.DUMMYFUNCTION("GOOGLEFINANCE(A810,""PRICE"")"),0.56)</f>
        <v>0.56000000000000005</v>
      </c>
      <c r="C810" s="11">
        <f ca="1">IFERROR(__xludf.DUMMYFUNCTION("GOOGLEFINANCE(A810,""PRICEOPEN"")"),0.53)</f>
        <v>0.53</v>
      </c>
      <c r="D810" s="11">
        <f ca="1">IFERROR(__xludf.DUMMYFUNCTION("GOOGLEFINANCE(A810,""HIGH"")"),0.59)</f>
        <v>0.59</v>
      </c>
      <c r="E810" s="11">
        <f ca="1">IFERROR(__xludf.DUMMYFUNCTION("GOOGLEFINANCE(A810,""LOW"")"),0.53)</f>
        <v>0.53</v>
      </c>
      <c r="F810" s="12" t="str">
        <f t="shared" ca="1" si="28"/>
        <v>BUY</v>
      </c>
      <c r="G810" s="13">
        <f ca="1">IFERROR(__xludf.DUMMYFUNCTION("GOOGLEFINANCE(A810,""CLOSEYEST"")"),0.53)</f>
        <v>0.53</v>
      </c>
      <c r="H810" s="14" t="str">
        <f t="shared" ca="1" si="34"/>
        <v/>
      </c>
      <c r="I810" s="15">
        <f t="shared" ca="1" si="29"/>
        <v>0.55000000000000004</v>
      </c>
      <c r="J810" s="16">
        <f t="shared" ca="1" si="30"/>
        <v>0.57000000000000006</v>
      </c>
      <c r="K810" s="16"/>
      <c r="L810" s="16">
        <f t="shared" ca="1" si="31"/>
        <v>0.51000000000000012</v>
      </c>
      <c r="M810" s="16">
        <f t="shared" ca="1" si="32"/>
        <v>0.61</v>
      </c>
      <c r="N810" s="16">
        <f t="shared" ca="1" si="33"/>
        <v>0.4900000000000001</v>
      </c>
    </row>
    <row r="811" spans="1:14" ht="24.75" customHeight="1" x14ac:dyDescent="0.8">
      <c r="A811" s="18" t="s">
        <v>774</v>
      </c>
      <c r="B811" s="10">
        <f ca="1">IFERROR(__xludf.DUMMYFUNCTION("GOOGLEFINANCE(A811,""PRICE"")"),747)</f>
        <v>747</v>
      </c>
      <c r="C811" s="11">
        <f ca="1">IFERROR(__xludf.DUMMYFUNCTION("GOOGLEFINANCE(A811,""PRICEOPEN"")"),726.6)</f>
        <v>726.6</v>
      </c>
      <c r="D811" s="11">
        <f ca="1">IFERROR(__xludf.DUMMYFUNCTION("GOOGLEFINANCE(A811,""HIGH"")"),748.95)</f>
        <v>748.95</v>
      </c>
      <c r="E811" s="11">
        <f ca="1">IFERROR(__xludf.DUMMYFUNCTION("GOOGLEFINANCE(A811,""LOW"")"),716.8)</f>
        <v>716.8</v>
      </c>
      <c r="F811" s="12" t="str">
        <f t="shared" ca="1" si="28"/>
        <v/>
      </c>
      <c r="G811" s="13">
        <f ca="1">IFERROR(__xludf.DUMMYFUNCTION("GOOGLEFINANCE(A811,""CLOSEYEST"")"),720.15)</f>
        <v>720.15</v>
      </c>
      <c r="H811" s="14" t="str">
        <f t="shared" ca="1" si="34"/>
        <v/>
      </c>
      <c r="I811" s="15">
        <f t="shared" ca="1" si="29"/>
        <v>728.63333333333333</v>
      </c>
      <c r="J811" s="16">
        <f t="shared" ca="1" si="30"/>
        <v>740.4666666666667</v>
      </c>
      <c r="K811" s="16"/>
      <c r="L811" s="16">
        <f t="shared" ca="1" si="31"/>
        <v>708.31666666666661</v>
      </c>
      <c r="M811" s="16">
        <f t="shared" ca="1" si="32"/>
        <v>760.78333333333342</v>
      </c>
      <c r="N811" s="16">
        <f t="shared" ca="1" si="33"/>
        <v>696.48333333333323</v>
      </c>
    </row>
    <row r="812" spans="1:14" ht="24.75" customHeight="1" x14ac:dyDescent="0.8">
      <c r="A812" s="18" t="s">
        <v>775</v>
      </c>
      <c r="B812" s="10">
        <f ca="1">IFERROR(__xludf.DUMMYFUNCTION("GOOGLEFINANCE(A812,""PRICE"")"),762.9)</f>
        <v>762.9</v>
      </c>
      <c r="C812" s="11">
        <f ca="1">IFERROR(__xludf.DUMMYFUNCTION("GOOGLEFINANCE(A812,""PRICEOPEN"")"),760.3)</f>
        <v>760.3</v>
      </c>
      <c r="D812" s="11">
        <f ca="1">IFERROR(__xludf.DUMMYFUNCTION("GOOGLEFINANCE(A812,""HIGH"")"),771)</f>
        <v>771</v>
      </c>
      <c r="E812" s="11">
        <f ca="1">IFERROR(__xludf.DUMMYFUNCTION("GOOGLEFINANCE(A812,""LOW"")"),756.2)</f>
        <v>756.2</v>
      </c>
      <c r="F812" s="12" t="str">
        <f t="shared" ca="1" si="28"/>
        <v/>
      </c>
      <c r="G812" s="13">
        <f ca="1">IFERROR(__xludf.DUMMYFUNCTION("GOOGLEFINANCE(A812,""CLOSEYEST"")"),755.6)</f>
        <v>755.6</v>
      </c>
      <c r="H812" s="14" t="str">
        <f t="shared" ca="1" si="34"/>
        <v/>
      </c>
      <c r="I812" s="15">
        <f t="shared" ca="1" si="29"/>
        <v>760.93333333333339</v>
      </c>
      <c r="J812" s="16">
        <f t="shared" ca="1" si="30"/>
        <v>765.66666666666674</v>
      </c>
      <c r="K812" s="16"/>
      <c r="L812" s="16">
        <f t="shared" ca="1" si="31"/>
        <v>750.86666666666679</v>
      </c>
      <c r="M812" s="16">
        <f t="shared" ca="1" si="32"/>
        <v>775.73333333333335</v>
      </c>
      <c r="N812" s="16">
        <f t="shared" ca="1" si="33"/>
        <v>746.13333333333344</v>
      </c>
    </row>
    <row r="813" spans="1:14" ht="24.75" customHeight="1" x14ac:dyDescent="0.8">
      <c r="A813" s="18" t="s">
        <v>776</v>
      </c>
      <c r="B813" s="10">
        <f ca="1">IFERROR(__xludf.DUMMYFUNCTION("GOOGLEFINANCE(A813,""PRICE"")"),1517.4)</f>
        <v>1517.4</v>
      </c>
      <c r="C813" s="11">
        <f ca="1">IFERROR(__xludf.DUMMYFUNCTION("GOOGLEFINANCE(A813,""PRICEOPEN"")"),1525.6)</f>
        <v>1525.6</v>
      </c>
      <c r="D813" s="11">
        <f ca="1">IFERROR(__xludf.DUMMYFUNCTION("GOOGLEFINANCE(A813,""HIGH"")"),1544.9)</f>
        <v>1544.9</v>
      </c>
      <c r="E813" s="11">
        <f ca="1">IFERROR(__xludf.DUMMYFUNCTION("GOOGLEFINANCE(A813,""LOW"")"),1512.7)</f>
        <v>1512.7</v>
      </c>
      <c r="F813" s="12" t="str">
        <f t="shared" ca="1" si="28"/>
        <v/>
      </c>
      <c r="G813" s="13">
        <f ca="1">IFERROR(__xludf.DUMMYFUNCTION("GOOGLEFINANCE(A813,""CLOSEYEST"")"),1525.6)</f>
        <v>1525.6</v>
      </c>
      <c r="H813" s="14" t="str">
        <f t="shared" ca="1" si="34"/>
        <v/>
      </c>
      <c r="I813" s="15">
        <f t="shared" ca="1" si="29"/>
        <v>1527.7333333333336</v>
      </c>
      <c r="J813" s="16">
        <f t="shared" ca="1" si="30"/>
        <v>1542.7666666666671</v>
      </c>
      <c r="K813" s="16"/>
      <c r="L813" s="16">
        <f t="shared" ca="1" si="31"/>
        <v>1510.5666666666671</v>
      </c>
      <c r="M813" s="16">
        <f t="shared" ca="1" si="32"/>
        <v>1559.9333333333336</v>
      </c>
      <c r="N813" s="16">
        <f t="shared" ca="1" si="33"/>
        <v>1495.5333333333335</v>
      </c>
    </row>
    <row r="814" spans="1:14" ht="24.75" customHeight="1" x14ac:dyDescent="0.8">
      <c r="A814" s="18" t="s">
        <v>777</v>
      </c>
      <c r="B814" s="10">
        <f ca="1">IFERROR(__xludf.DUMMYFUNCTION("GOOGLEFINANCE(A814,""PRICE"")"),240)</f>
        <v>240</v>
      </c>
      <c r="C814" s="11">
        <f ca="1">IFERROR(__xludf.DUMMYFUNCTION("GOOGLEFINANCE(A814,""PRICEOPEN"")"),230)</f>
        <v>230</v>
      </c>
      <c r="D814" s="11">
        <f ca="1">IFERROR(__xludf.DUMMYFUNCTION("GOOGLEFINANCE(A814,""HIGH"")"),243.13)</f>
        <v>243.13</v>
      </c>
      <c r="E814" s="11">
        <f ca="1">IFERROR(__xludf.DUMMYFUNCTION("GOOGLEFINANCE(A814,""LOW"")"),230)</f>
        <v>230</v>
      </c>
      <c r="F814" s="12" t="str">
        <f t="shared" ca="1" si="28"/>
        <v>BUY</v>
      </c>
      <c r="G814" s="13">
        <f ca="1">IFERROR(__xludf.DUMMYFUNCTION("GOOGLEFINANCE(A814,""CLOSEYEST"")"),230.78)</f>
        <v>230.78</v>
      </c>
      <c r="H814" s="14" t="str">
        <f t="shared" ca="1" si="34"/>
        <v/>
      </c>
      <c r="I814" s="15">
        <f t="shared" ca="1" si="29"/>
        <v>234.63666666666666</v>
      </c>
      <c r="J814" s="16">
        <f t="shared" ca="1" si="30"/>
        <v>239.27333333333331</v>
      </c>
      <c r="K814" s="16"/>
      <c r="L814" s="16">
        <f t="shared" ca="1" si="31"/>
        <v>226.14333333333332</v>
      </c>
      <c r="M814" s="16">
        <f t="shared" ca="1" si="32"/>
        <v>247.76666666666665</v>
      </c>
      <c r="N814" s="16">
        <f t="shared" ca="1" si="33"/>
        <v>221.50666666666666</v>
      </c>
    </row>
    <row r="815" spans="1:14" ht="24.75" customHeight="1" x14ac:dyDescent="0.8">
      <c r="A815" s="18" t="s">
        <v>778</v>
      </c>
      <c r="B815" s="10">
        <f ca="1">IFERROR(__xludf.DUMMYFUNCTION("GOOGLEFINANCE(A815,""PRICE"")"),74.9)</f>
        <v>74.900000000000006</v>
      </c>
      <c r="C815" s="11">
        <f ca="1">IFERROR(__xludf.DUMMYFUNCTION("GOOGLEFINANCE(A815,""PRICEOPEN"")"),75.64)</f>
        <v>75.64</v>
      </c>
      <c r="D815" s="11">
        <f ca="1">IFERROR(__xludf.DUMMYFUNCTION("GOOGLEFINANCE(A815,""HIGH"")"),75.7)</f>
        <v>75.7</v>
      </c>
      <c r="E815" s="11">
        <f ca="1">IFERROR(__xludf.DUMMYFUNCTION("GOOGLEFINANCE(A815,""LOW"")"),74.66)</f>
        <v>74.66</v>
      </c>
      <c r="F815" s="12" t="str">
        <f t="shared" ca="1" si="28"/>
        <v/>
      </c>
      <c r="G815" s="13">
        <f ca="1">IFERROR(__xludf.DUMMYFUNCTION("GOOGLEFINANCE(A815,""CLOSEYEST"")"),75.64)</f>
        <v>75.64</v>
      </c>
      <c r="H815" s="14" t="str">
        <f t="shared" ca="1" si="34"/>
        <v/>
      </c>
      <c r="I815" s="15">
        <f t="shared" ca="1" si="29"/>
        <v>75.333333333333329</v>
      </c>
      <c r="J815" s="16">
        <f t="shared" ca="1" si="30"/>
        <v>76.006666666666661</v>
      </c>
      <c r="K815" s="16"/>
      <c r="L815" s="16">
        <f t="shared" ca="1" si="31"/>
        <v>74.966666666666654</v>
      </c>
      <c r="M815" s="16">
        <f t="shared" ca="1" si="32"/>
        <v>76.373333333333335</v>
      </c>
      <c r="N815" s="16">
        <f t="shared" ca="1" si="33"/>
        <v>74.293333333333322</v>
      </c>
    </row>
    <row r="816" spans="1:14" ht="24.75" customHeight="1" x14ac:dyDescent="0.8">
      <c r="A816" s="18" t="s">
        <v>779</v>
      </c>
      <c r="B816" s="10">
        <f ca="1">IFERROR(__xludf.DUMMYFUNCTION("GOOGLEFINANCE(A816,""PRICE"")"),906)</f>
        <v>906</v>
      </c>
      <c r="C816" s="11">
        <f ca="1">IFERROR(__xludf.DUMMYFUNCTION("GOOGLEFINANCE(A816,""PRICEOPEN"")"),872.95)</f>
        <v>872.95</v>
      </c>
      <c r="D816" s="11">
        <f ca="1">IFERROR(__xludf.DUMMYFUNCTION("GOOGLEFINANCE(A816,""HIGH"")"),914.9)</f>
        <v>914.9</v>
      </c>
      <c r="E816" s="11">
        <f ca="1">IFERROR(__xludf.DUMMYFUNCTION("GOOGLEFINANCE(A816,""LOW"")"),863)</f>
        <v>863</v>
      </c>
      <c r="F816" s="12" t="str">
        <f t="shared" ca="1" si="28"/>
        <v/>
      </c>
      <c r="G816" s="13">
        <f ca="1">IFERROR(__xludf.DUMMYFUNCTION("GOOGLEFINANCE(A816,""CLOSEYEST"")"),858.7)</f>
        <v>858.7</v>
      </c>
      <c r="H816" s="14" t="str">
        <f t="shared" ca="1" si="34"/>
        <v>GAP UP</v>
      </c>
      <c r="I816" s="15">
        <f t="shared" ca="1" si="29"/>
        <v>878.86666666666679</v>
      </c>
      <c r="J816" s="16">
        <f t="shared" ca="1" si="30"/>
        <v>894.73333333333358</v>
      </c>
      <c r="K816" s="16"/>
      <c r="L816" s="16">
        <f t="shared" ca="1" si="31"/>
        <v>842.8333333333336</v>
      </c>
      <c r="M816" s="16">
        <f t="shared" ca="1" si="32"/>
        <v>930.76666666666677</v>
      </c>
      <c r="N816" s="16">
        <f t="shared" ca="1" si="33"/>
        <v>826.96666666666681</v>
      </c>
    </row>
    <row r="817" spans="1:14" ht="24.75" customHeight="1" x14ac:dyDescent="0.8">
      <c r="A817" s="18" t="s">
        <v>780</v>
      </c>
      <c r="B817" s="10">
        <f ca="1">IFERROR(__xludf.DUMMYFUNCTION("GOOGLEFINANCE(A817,""PRICE"")"),117.2)</f>
        <v>117.2</v>
      </c>
      <c r="C817" s="11">
        <f ca="1">IFERROR(__xludf.DUMMYFUNCTION("GOOGLEFINANCE(A817,""PRICEOPEN"")"),115.4)</f>
        <v>115.4</v>
      </c>
      <c r="D817" s="11">
        <f ca="1">IFERROR(__xludf.DUMMYFUNCTION("GOOGLEFINANCE(A817,""HIGH"")"),117.4)</f>
        <v>117.4</v>
      </c>
      <c r="E817" s="11">
        <f ca="1">IFERROR(__xludf.DUMMYFUNCTION("GOOGLEFINANCE(A817,""LOW"")"),115.4)</f>
        <v>115.4</v>
      </c>
      <c r="F817" s="12" t="str">
        <f t="shared" ca="1" si="28"/>
        <v>BUY</v>
      </c>
      <c r="G817" s="13">
        <f ca="1">IFERROR(__xludf.DUMMYFUNCTION("GOOGLEFINANCE(A817,""CLOSEYEST"")"),115.2)</f>
        <v>115.2</v>
      </c>
      <c r="H817" s="14" t="str">
        <f t="shared" ca="1" si="34"/>
        <v/>
      </c>
      <c r="I817" s="15">
        <f t="shared" ca="1" si="29"/>
        <v>116</v>
      </c>
      <c r="J817" s="16">
        <f t="shared" ca="1" si="30"/>
        <v>116.6</v>
      </c>
      <c r="K817" s="16"/>
      <c r="L817" s="16">
        <f t="shared" ca="1" si="31"/>
        <v>114.6</v>
      </c>
      <c r="M817" s="16">
        <f t="shared" ca="1" si="32"/>
        <v>118</v>
      </c>
      <c r="N817" s="16">
        <f t="shared" ca="1" si="33"/>
        <v>114</v>
      </c>
    </row>
    <row r="818" spans="1:14" ht="24.75" customHeight="1" x14ac:dyDescent="0.8">
      <c r="A818" s="18" t="s">
        <v>781</v>
      </c>
      <c r="B818" s="10">
        <f ca="1">IFERROR(__xludf.DUMMYFUNCTION("GOOGLEFINANCE(A818,""PRICE"")"),121)</f>
        <v>121</v>
      </c>
      <c r="C818" s="11">
        <f ca="1">IFERROR(__xludf.DUMMYFUNCTION("GOOGLEFINANCE(A818,""PRICEOPEN"")"),120)</f>
        <v>120</v>
      </c>
      <c r="D818" s="11">
        <f ca="1">IFERROR(__xludf.DUMMYFUNCTION("GOOGLEFINANCE(A818,""HIGH"")"),124.48)</f>
        <v>124.48</v>
      </c>
      <c r="E818" s="11">
        <f ca="1">IFERROR(__xludf.DUMMYFUNCTION("GOOGLEFINANCE(A818,""LOW"")"),120)</f>
        <v>120</v>
      </c>
      <c r="F818" s="12" t="str">
        <f t="shared" ca="1" si="28"/>
        <v>BUY</v>
      </c>
      <c r="G818" s="13">
        <f ca="1">IFERROR(__xludf.DUMMYFUNCTION("GOOGLEFINANCE(A818,""CLOSEYEST"")"),121.14)</f>
        <v>121.14</v>
      </c>
      <c r="H818" s="14" t="str">
        <f t="shared" ca="1" si="34"/>
        <v/>
      </c>
      <c r="I818" s="15">
        <f t="shared" ca="1" si="29"/>
        <v>121.87333333333333</v>
      </c>
      <c r="J818" s="16">
        <f t="shared" ca="1" si="30"/>
        <v>123.74666666666667</v>
      </c>
      <c r="K818" s="16"/>
      <c r="L818" s="16">
        <f t="shared" ca="1" si="31"/>
        <v>119.26666666666667</v>
      </c>
      <c r="M818" s="16">
        <f t="shared" ca="1" si="32"/>
        <v>126.35333333333334</v>
      </c>
      <c r="N818" s="16">
        <f t="shared" ca="1" si="33"/>
        <v>117.39333333333333</v>
      </c>
    </row>
    <row r="819" spans="1:14" ht="24.75" customHeight="1" x14ac:dyDescent="0.8">
      <c r="A819" s="18" t="s">
        <v>782</v>
      </c>
      <c r="B819" s="10" t="str">
        <f ca="1">IFERROR(__xludf.DUMMYFUNCTION("GOOGLEFINANCE(A819,""PRICE"")"),"#N/A")</f>
        <v>#N/A</v>
      </c>
      <c r="C819" s="11" t="str">
        <f ca="1">IFERROR(__xludf.DUMMYFUNCTION("GOOGLEFINANCE(A819,""PRICEOPEN"")"),"#N/A")</f>
        <v>#N/A</v>
      </c>
      <c r="D819" s="11" t="str">
        <f ca="1">IFERROR(__xludf.DUMMYFUNCTION("GOOGLEFINANCE(A819,""HIGH"")"),"#N/A")</f>
        <v>#N/A</v>
      </c>
      <c r="E819" s="11" t="str">
        <f ca="1">IFERROR(__xludf.DUMMYFUNCTION("GOOGLEFINANCE(A819,""LOW"")"),"#N/A")</f>
        <v>#N/A</v>
      </c>
      <c r="F819" s="12" t="str">
        <f t="shared" ca="1" si="28"/>
        <v>SELL</v>
      </c>
      <c r="G819" s="13" t="str">
        <f ca="1">IFERROR(__xludf.DUMMYFUNCTION("GOOGLEFINANCE(A819,""CLOSEYEST"")"),"#N/A")</f>
        <v>#N/A</v>
      </c>
      <c r="H819" s="14" t="e">
        <f t="shared" ca="1" si="34"/>
        <v>#VALUE!</v>
      </c>
      <c r="I819" s="15" t="e">
        <f t="shared" ca="1" si="29"/>
        <v>#VALUE!</v>
      </c>
      <c r="J819" s="16" t="e">
        <f t="shared" ca="1" si="30"/>
        <v>#VALUE!</v>
      </c>
      <c r="K819" s="16"/>
      <c r="L819" s="16" t="e">
        <f t="shared" ca="1" si="31"/>
        <v>#VALUE!</v>
      </c>
      <c r="M819" s="16" t="e">
        <f t="shared" ca="1" si="32"/>
        <v>#VALUE!</v>
      </c>
      <c r="N819" s="16" t="e">
        <f t="shared" ca="1" si="33"/>
        <v>#VALUE!</v>
      </c>
    </row>
    <row r="820" spans="1:14" ht="24.75" customHeight="1" x14ac:dyDescent="0.8">
      <c r="A820" s="18" t="s">
        <v>783</v>
      </c>
      <c r="B820" s="10">
        <f ca="1">IFERROR(__xludf.DUMMYFUNCTION("GOOGLEFINANCE(A820,""PRICE"")"),12.1)</f>
        <v>12.1</v>
      </c>
      <c r="C820" s="11">
        <f ca="1">IFERROR(__xludf.DUMMYFUNCTION("GOOGLEFINANCE(A820,""PRICEOPEN"")"),12.02)</f>
        <v>12.02</v>
      </c>
      <c r="D820" s="11">
        <f ca="1">IFERROR(__xludf.DUMMYFUNCTION("GOOGLEFINANCE(A820,""HIGH"")"),12.25)</f>
        <v>12.25</v>
      </c>
      <c r="E820" s="11">
        <f ca="1">IFERROR(__xludf.DUMMYFUNCTION("GOOGLEFINANCE(A820,""LOW"")"),12)</f>
        <v>12</v>
      </c>
      <c r="F820" s="12" t="str">
        <f t="shared" ca="1" si="28"/>
        <v/>
      </c>
      <c r="G820" s="13">
        <f ca="1">IFERROR(__xludf.DUMMYFUNCTION("GOOGLEFINANCE(A820,""CLOSEYEST"")"),12.1)</f>
        <v>12.1</v>
      </c>
      <c r="H820" s="14" t="str">
        <f t="shared" ca="1" si="34"/>
        <v/>
      </c>
      <c r="I820" s="15">
        <f t="shared" ca="1" si="29"/>
        <v>12.116666666666667</v>
      </c>
      <c r="J820" s="16">
        <f t="shared" ca="1" si="30"/>
        <v>12.233333333333334</v>
      </c>
      <c r="K820" s="16"/>
      <c r="L820" s="16">
        <f t="shared" ca="1" si="31"/>
        <v>11.983333333333334</v>
      </c>
      <c r="M820" s="16">
        <f t="shared" ca="1" si="32"/>
        <v>12.366666666666667</v>
      </c>
      <c r="N820" s="16">
        <f t="shared" ca="1" si="33"/>
        <v>11.866666666666667</v>
      </c>
    </row>
    <row r="821" spans="1:14" ht="24.75" customHeight="1" x14ac:dyDescent="0.8">
      <c r="A821" s="18" t="s">
        <v>784</v>
      </c>
      <c r="B821" s="10">
        <f ca="1">IFERROR(__xludf.DUMMYFUNCTION("GOOGLEFINANCE(A821,""PRICE"")"),4575)</f>
        <v>4575</v>
      </c>
      <c r="C821" s="11">
        <f ca="1">IFERROR(__xludf.DUMMYFUNCTION("GOOGLEFINANCE(A821,""PRICEOPEN"")"),4490)</f>
        <v>4490</v>
      </c>
      <c r="D821" s="11">
        <f ca="1">IFERROR(__xludf.DUMMYFUNCTION("GOOGLEFINANCE(A821,""HIGH"")"),4587)</f>
        <v>4587</v>
      </c>
      <c r="E821" s="11">
        <f ca="1">IFERROR(__xludf.DUMMYFUNCTION("GOOGLEFINANCE(A821,""LOW"")"),4470.4)</f>
        <v>4470.3999999999996</v>
      </c>
      <c r="F821" s="12" t="str">
        <f t="shared" ca="1" si="28"/>
        <v/>
      </c>
      <c r="G821" s="13">
        <f ca="1">IFERROR(__xludf.DUMMYFUNCTION("GOOGLEFINANCE(A821,""CLOSEYEST"")"),4470.4)</f>
        <v>4470.3999999999996</v>
      </c>
      <c r="H821" s="14" t="str">
        <f t="shared" ca="1" si="34"/>
        <v/>
      </c>
      <c r="I821" s="15">
        <f t="shared" ca="1" si="29"/>
        <v>4509.2666666666664</v>
      </c>
      <c r="J821" s="16">
        <f t="shared" ca="1" si="30"/>
        <v>4548.1333333333332</v>
      </c>
      <c r="K821" s="16"/>
      <c r="L821" s="16">
        <f t="shared" ca="1" si="31"/>
        <v>4431.5333333333328</v>
      </c>
      <c r="M821" s="16">
        <f t="shared" ca="1" si="32"/>
        <v>4625.8666666666668</v>
      </c>
      <c r="N821" s="16">
        <f t="shared" ca="1" si="33"/>
        <v>4392.6666666666661</v>
      </c>
    </row>
    <row r="822" spans="1:14" ht="24.75" customHeight="1" x14ac:dyDescent="0.8">
      <c r="A822" s="18" t="s">
        <v>785</v>
      </c>
      <c r="B822" s="10" t="str">
        <f ca="1">IFERROR(__xludf.DUMMYFUNCTION("GOOGLEFINANCE(A822,""PRICE"")"),"#N/A")</f>
        <v>#N/A</v>
      </c>
      <c r="C822" s="11" t="str">
        <f ca="1">IFERROR(__xludf.DUMMYFUNCTION("GOOGLEFINANCE(A822,""PRICEOPEN"")"),"#N/A")</f>
        <v>#N/A</v>
      </c>
      <c r="D822" s="11" t="str">
        <f ca="1">IFERROR(__xludf.DUMMYFUNCTION("GOOGLEFINANCE(A822,""HIGH"")"),"#N/A")</f>
        <v>#N/A</v>
      </c>
      <c r="E822" s="11" t="str">
        <f ca="1">IFERROR(__xludf.DUMMYFUNCTION("GOOGLEFINANCE(A822,""LOW"")"),"#N/A")</f>
        <v>#N/A</v>
      </c>
      <c r="F822" s="12" t="str">
        <f t="shared" ca="1" si="28"/>
        <v>SELL</v>
      </c>
      <c r="G822" s="13" t="str">
        <f ca="1">IFERROR(__xludf.DUMMYFUNCTION("GOOGLEFINANCE(A822,""CLOSEYEST"")"),"#N/A")</f>
        <v>#N/A</v>
      </c>
      <c r="H822" s="14" t="e">
        <f t="shared" ca="1" si="34"/>
        <v>#VALUE!</v>
      </c>
      <c r="I822" s="15" t="e">
        <f t="shared" ca="1" si="29"/>
        <v>#VALUE!</v>
      </c>
      <c r="J822" s="16" t="e">
        <f t="shared" ca="1" si="30"/>
        <v>#VALUE!</v>
      </c>
      <c r="K822" s="16"/>
      <c r="L822" s="16" t="e">
        <f t="shared" ca="1" si="31"/>
        <v>#VALUE!</v>
      </c>
      <c r="M822" s="16" t="e">
        <f t="shared" ca="1" si="32"/>
        <v>#VALUE!</v>
      </c>
      <c r="N822" s="16" t="e">
        <f t="shared" ca="1" si="33"/>
        <v>#VALUE!</v>
      </c>
    </row>
    <row r="823" spans="1:14" ht="24.75" customHeight="1" x14ac:dyDescent="0.8">
      <c r="A823" s="18" t="s">
        <v>786</v>
      </c>
      <c r="B823" s="10">
        <f ca="1">IFERROR(__xludf.DUMMYFUNCTION("GOOGLEFINANCE(A823,""PRICE"")"),303)</f>
        <v>303</v>
      </c>
      <c r="C823" s="11">
        <f ca="1">IFERROR(__xludf.DUMMYFUNCTION("GOOGLEFINANCE(A823,""PRICEOPEN"")"),306.65)</f>
        <v>306.64999999999998</v>
      </c>
      <c r="D823" s="11">
        <f ca="1">IFERROR(__xludf.DUMMYFUNCTION("GOOGLEFINANCE(A823,""HIGH"")"),306.65)</f>
        <v>306.64999999999998</v>
      </c>
      <c r="E823" s="11">
        <f ca="1">IFERROR(__xludf.DUMMYFUNCTION("GOOGLEFINANCE(A823,""LOW"")"),299)</f>
        <v>299</v>
      </c>
      <c r="F823" s="12" t="str">
        <f t="shared" ca="1" si="28"/>
        <v>SELL</v>
      </c>
      <c r="G823" s="13">
        <f ca="1">IFERROR(__xludf.DUMMYFUNCTION("GOOGLEFINANCE(A823,""CLOSEYEST"")"),303.65)</f>
        <v>303.64999999999998</v>
      </c>
      <c r="H823" s="14" t="str">
        <f t="shared" ca="1" si="34"/>
        <v/>
      </c>
      <c r="I823" s="15">
        <f t="shared" ca="1" si="29"/>
        <v>303.09999999999997</v>
      </c>
      <c r="J823" s="16">
        <f t="shared" ca="1" si="30"/>
        <v>307.19999999999993</v>
      </c>
      <c r="K823" s="16"/>
      <c r="L823" s="16">
        <f t="shared" ca="1" si="31"/>
        <v>299.54999999999995</v>
      </c>
      <c r="M823" s="16">
        <f t="shared" ca="1" si="32"/>
        <v>310.74999999999994</v>
      </c>
      <c r="N823" s="16">
        <f t="shared" ca="1" si="33"/>
        <v>295.45</v>
      </c>
    </row>
    <row r="824" spans="1:14" ht="24.75" customHeight="1" x14ac:dyDescent="0.8">
      <c r="A824" s="18" t="s">
        <v>787</v>
      </c>
      <c r="B824" s="10">
        <f ca="1">IFERROR(__xludf.DUMMYFUNCTION("GOOGLEFINANCE(A824,""PRICE"")"),220.1)</f>
        <v>220.1</v>
      </c>
      <c r="C824" s="11">
        <f ca="1">IFERROR(__xludf.DUMMYFUNCTION("GOOGLEFINANCE(A824,""PRICEOPEN"")"),223.19)</f>
        <v>223.19</v>
      </c>
      <c r="D824" s="11">
        <f ca="1">IFERROR(__xludf.DUMMYFUNCTION("GOOGLEFINANCE(A824,""HIGH"")"),223.89)</f>
        <v>223.89</v>
      </c>
      <c r="E824" s="11">
        <f ca="1">IFERROR(__xludf.DUMMYFUNCTION("GOOGLEFINANCE(A824,""LOW"")"),217.5)</f>
        <v>217.5</v>
      </c>
      <c r="F824" s="12" t="str">
        <f t="shared" ca="1" si="28"/>
        <v/>
      </c>
      <c r="G824" s="13">
        <f ca="1">IFERROR(__xludf.DUMMYFUNCTION("GOOGLEFINANCE(A824,""CLOSEYEST"")"),221.71)</f>
        <v>221.71</v>
      </c>
      <c r="H824" s="14" t="str">
        <f t="shared" ca="1" si="34"/>
        <v/>
      </c>
      <c r="I824" s="15">
        <f t="shared" ca="1" si="29"/>
        <v>221.03333333333333</v>
      </c>
      <c r="J824" s="16">
        <f t="shared" ca="1" si="30"/>
        <v>224.56666666666666</v>
      </c>
      <c r="K824" s="16"/>
      <c r="L824" s="16">
        <f t="shared" ca="1" si="31"/>
        <v>218.17666666666668</v>
      </c>
      <c r="M824" s="16">
        <f t="shared" ca="1" si="32"/>
        <v>227.42333333333332</v>
      </c>
      <c r="N824" s="16">
        <f t="shared" ca="1" si="33"/>
        <v>214.64333333333335</v>
      </c>
    </row>
    <row r="825" spans="1:14" ht="24.75" customHeight="1" x14ac:dyDescent="0.8">
      <c r="A825" s="18" t="s">
        <v>788</v>
      </c>
      <c r="B825" s="10">
        <f ca="1">IFERROR(__xludf.DUMMYFUNCTION("GOOGLEFINANCE(A825,""PRICE"")"),13.25)</f>
        <v>13.25</v>
      </c>
      <c r="C825" s="11">
        <f ca="1">IFERROR(__xludf.DUMMYFUNCTION("GOOGLEFINANCE(A825,""PRICEOPEN"")"),13.33)</f>
        <v>13.33</v>
      </c>
      <c r="D825" s="11">
        <f ca="1">IFERROR(__xludf.DUMMYFUNCTION("GOOGLEFINANCE(A825,""HIGH"")"),13.39)</f>
        <v>13.39</v>
      </c>
      <c r="E825" s="11">
        <f ca="1">IFERROR(__xludf.DUMMYFUNCTION("GOOGLEFINANCE(A825,""LOW"")"),13.13)</f>
        <v>13.13</v>
      </c>
      <c r="F825" s="12" t="str">
        <f t="shared" ca="1" si="28"/>
        <v/>
      </c>
      <c r="G825" s="13">
        <f ca="1">IFERROR(__xludf.DUMMYFUNCTION("GOOGLEFINANCE(A825,""CLOSEYEST"")"),13.23)</f>
        <v>13.23</v>
      </c>
      <c r="H825" s="14" t="str">
        <f t="shared" ca="1" si="34"/>
        <v/>
      </c>
      <c r="I825" s="15">
        <f t="shared" ca="1" si="29"/>
        <v>13.25</v>
      </c>
      <c r="J825" s="16">
        <f t="shared" ca="1" si="30"/>
        <v>13.37</v>
      </c>
      <c r="K825" s="16"/>
      <c r="L825" s="16">
        <f t="shared" ca="1" si="31"/>
        <v>13.11</v>
      </c>
      <c r="M825" s="16">
        <f t="shared" ca="1" si="32"/>
        <v>13.51</v>
      </c>
      <c r="N825" s="16">
        <f t="shared" ca="1" si="33"/>
        <v>12.99</v>
      </c>
    </row>
    <row r="826" spans="1:14" ht="24.75" customHeight="1" x14ac:dyDescent="0.8">
      <c r="A826" s="18" t="s">
        <v>789</v>
      </c>
      <c r="B826" s="10">
        <f ca="1">IFERROR(__xludf.DUMMYFUNCTION("GOOGLEFINANCE(A826,""PRICE"")"),876)</f>
        <v>876</v>
      </c>
      <c r="C826" s="11">
        <f ca="1">IFERROR(__xludf.DUMMYFUNCTION("GOOGLEFINANCE(A826,""PRICEOPEN"")"),874)</f>
        <v>874</v>
      </c>
      <c r="D826" s="11">
        <f ca="1">IFERROR(__xludf.DUMMYFUNCTION("GOOGLEFINANCE(A826,""HIGH"")"),885.5)</f>
        <v>885.5</v>
      </c>
      <c r="E826" s="11">
        <f ca="1">IFERROR(__xludf.DUMMYFUNCTION("GOOGLEFINANCE(A826,""LOW"")"),865.2)</f>
        <v>865.2</v>
      </c>
      <c r="F826" s="12" t="str">
        <f t="shared" ca="1" si="28"/>
        <v/>
      </c>
      <c r="G826" s="13">
        <f ca="1">IFERROR(__xludf.DUMMYFUNCTION("GOOGLEFINANCE(A826,""CLOSEYEST"")"),876.55)</f>
        <v>876.55</v>
      </c>
      <c r="H826" s="14" t="str">
        <f t="shared" ca="1" si="34"/>
        <v/>
      </c>
      <c r="I826" s="15">
        <f t="shared" ca="1" si="29"/>
        <v>875.75</v>
      </c>
      <c r="J826" s="16">
        <f t="shared" ca="1" si="30"/>
        <v>886.3</v>
      </c>
      <c r="K826" s="16"/>
      <c r="L826" s="16">
        <f t="shared" ca="1" si="31"/>
        <v>866</v>
      </c>
      <c r="M826" s="16">
        <f t="shared" ca="1" si="32"/>
        <v>896.05</v>
      </c>
      <c r="N826" s="16">
        <f t="shared" ca="1" si="33"/>
        <v>855.45</v>
      </c>
    </row>
    <row r="827" spans="1:14" ht="24.75" customHeight="1" x14ac:dyDescent="0.8">
      <c r="A827" s="18" t="s">
        <v>790</v>
      </c>
      <c r="B827" s="10">
        <f ca="1">IFERROR(__xludf.DUMMYFUNCTION("GOOGLEFINANCE(A827,""PRICE"")"),514.55)</f>
        <v>514.54999999999995</v>
      </c>
      <c r="C827" s="11">
        <f ca="1">IFERROR(__xludf.DUMMYFUNCTION("GOOGLEFINANCE(A827,""PRICEOPEN"")"),515)</f>
        <v>515</v>
      </c>
      <c r="D827" s="11">
        <f ca="1">IFERROR(__xludf.DUMMYFUNCTION("GOOGLEFINANCE(A827,""HIGH"")"),518)</f>
        <v>518</v>
      </c>
      <c r="E827" s="11">
        <f ca="1">IFERROR(__xludf.DUMMYFUNCTION("GOOGLEFINANCE(A827,""LOW"")"),508.45)</f>
        <v>508.45</v>
      </c>
      <c r="F827" s="12" t="str">
        <f t="shared" ca="1" si="28"/>
        <v/>
      </c>
      <c r="G827" s="13">
        <f ca="1">IFERROR(__xludf.DUMMYFUNCTION("GOOGLEFINANCE(A827,""CLOSEYEST"")"),510.85)</f>
        <v>510.85</v>
      </c>
      <c r="H827" s="14" t="str">
        <f t="shared" ca="1" si="34"/>
        <v/>
      </c>
      <c r="I827" s="15">
        <f t="shared" ca="1" si="29"/>
        <v>512.43333333333339</v>
      </c>
      <c r="J827" s="16">
        <f t="shared" ca="1" si="30"/>
        <v>516.41666666666674</v>
      </c>
      <c r="K827" s="16"/>
      <c r="L827" s="16">
        <f t="shared" ca="1" si="31"/>
        <v>506.86666666666679</v>
      </c>
      <c r="M827" s="16">
        <f t="shared" ca="1" si="32"/>
        <v>521.98333333333335</v>
      </c>
      <c r="N827" s="16">
        <f t="shared" ca="1" si="33"/>
        <v>502.88333333333344</v>
      </c>
    </row>
    <row r="828" spans="1:14" ht="24.75" customHeight="1" x14ac:dyDescent="0.8">
      <c r="A828" s="18" t="s">
        <v>791</v>
      </c>
      <c r="B828" s="10">
        <f ca="1">IFERROR(__xludf.DUMMYFUNCTION("GOOGLEFINANCE(A828,""PRICE"")"),160.09)</f>
        <v>160.09</v>
      </c>
      <c r="C828" s="11">
        <f ca="1">IFERROR(__xludf.DUMMYFUNCTION("GOOGLEFINANCE(A828,""PRICEOPEN"")"),159.9)</f>
        <v>159.9</v>
      </c>
      <c r="D828" s="11">
        <f ca="1">IFERROR(__xludf.DUMMYFUNCTION("GOOGLEFINANCE(A828,""HIGH"")"),161.77)</f>
        <v>161.77000000000001</v>
      </c>
      <c r="E828" s="11">
        <f ca="1">IFERROR(__xludf.DUMMYFUNCTION("GOOGLEFINANCE(A828,""LOW"")"),156.77)</f>
        <v>156.77000000000001</v>
      </c>
      <c r="F828" s="12" t="str">
        <f t="shared" ca="1" si="28"/>
        <v/>
      </c>
      <c r="G828" s="13">
        <f ca="1">IFERROR(__xludf.DUMMYFUNCTION("GOOGLEFINANCE(A828,""CLOSEYEST"")"),158.76)</f>
        <v>158.76</v>
      </c>
      <c r="H828" s="14" t="str">
        <f t="shared" ca="1" si="34"/>
        <v/>
      </c>
      <c r="I828" s="15">
        <f t="shared" ca="1" si="29"/>
        <v>159.1</v>
      </c>
      <c r="J828" s="16">
        <f t="shared" ca="1" si="30"/>
        <v>161.42999999999998</v>
      </c>
      <c r="K828" s="16"/>
      <c r="L828" s="16">
        <f t="shared" ca="1" si="31"/>
        <v>156.42999999999998</v>
      </c>
      <c r="M828" s="16">
        <f t="shared" ca="1" si="32"/>
        <v>164.1</v>
      </c>
      <c r="N828" s="16">
        <f t="shared" ca="1" si="33"/>
        <v>154.1</v>
      </c>
    </row>
    <row r="829" spans="1:14" ht="24.75" customHeight="1" x14ac:dyDescent="0.8">
      <c r="A829" s="18" t="s">
        <v>792</v>
      </c>
      <c r="B829" s="10">
        <f ca="1">IFERROR(__xludf.DUMMYFUNCTION("GOOGLEFINANCE(A829,""PRICE"")"),403)</f>
        <v>403</v>
      </c>
      <c r="C829" s="11">
        <f ca="1">IFERROR(__xludf.DUMMYFUNCTION("GOOGLEFINANCE(A829,""PRICEOPEN"")"),401.85)</f>
        <v>401.85</v>
      </c>
      <c r="D829" s="11">
        <f ca="1">IFERROR(__xludf.DUMMYFUNCTION("GOOGLEFINANCE(A829,""HIGH"")"),405.85)</f>
        <v>405.85</v>
      </c>
      <c r="E829" s="11">
        <f ca="1">IFERROR(__xludf.DUMMYFUNCTION("GOOGLEFINANCE(A829,""LOW"")"),400.6)</f>
        <v>400.6</v>
      </c>
      <c r="F829" s="12" t="str">
        <f t="shared" ca="1" si="28"/>
        <v/>
      </c>
      <c r="G829" s="13">
        <f ca="1">IFERROR(__xludf.DUMMYFUNCTION("GOOGLEFINANCE(A829,""CLOSEYEST"")"),403.8)</f>
        <v>403.8</v>
      </c>
      <c r="H829" s="14" t="str">
        <f t="shared" ca="1" si="34"/>
        <v/>
      </c>
      <c r="I829" s="15">
        <f t="shared" ca="1" si="29"/>
        <v>403.41666666666669</v>
      </c>
      <c r="J829" s="16">
        <f t="shared" ca="1" si="30"/>
        <v>406.23333333333335</v>
      </c>
      <c r="K829" s="16"/>
      <c r="L829" s="16">
        <f t="shared" ca="1" si="31"/>
        <v>400.98333333333335</v>
      </c>
      <c r="M829" s="16">
        <f t="shared" ca="1" si="32"/>
        <v>408.66666666666669</v>
      </c>
      <c r="N829" s="16">
        <f t="shared" ca="1" si="33"/>
        <v>398.16666666666669</v>
      </c>
    </row>
    <row r="830" spans="1:14" ht="24.75" customHeight="1" x14ac:dyDescent="0.8">
      <c r="A830" s="18" t="s">
        <v>793</v>
      </c>
      <c r="B830" s="10">
        <f ca="1">IFERROR(__xludf.DUMMYFUNCTION("GOOGLEFINANCE(A830,""PRICE"")"),189.6)</f>
        <v>189.6</v>
      </c>
      <c r="C830" s="11">
        <f ca="1">IFERROR(__xludf.DUMMYFUNCTION("GOOGLEFINANCE(A830,""PRICEOPEN"")"),188.31)</f>
        <v>188.31</v>
      </c>
      <c r="D830" s="11">
        <f ca="1">IFERROR(__xludf.DUMMYFUNCTION("GOOGLEFINANCE(A830,""HIGH"")"),190.5)</f>
        <v>190.5</v>
      </c>
      <c r="E830" s="11">
        <f ca="1">IFERROR(__xludf.DUMMYFUNCTION("GOOGLEFINANCE(A830,""LOW"")"),184.64)</f>
        <v>184.64</v>
      </c>
      <c r="F830" s="12" t="str">
        <f t="shared" ca="1" si="28"/>
        <v/>
      </c>
      <c r="G830" s="13">
        <f ca="1">IFERROR(__xludf.DUMMYFUNCTION("GOOGLEFINANCE(A830,""CLOSEYEST"")"),188.31)</f>
        <v>188.31</v>
      </c>
      <c r="H830" s="14" t="str">
        <f t="shared" ca="1" si="34"/>
        <v/>
      </c>
      <c r="I830" s="15">
        <f t="shared" ca="1" si="29"/>
        <v>187.81666666666669</v>
      </c>
      <c r="J830" s="16">
        <f t="shared" ca="1" si="30"/>
        <v>190.9933333333334</v>
      </c>
      <c r="K830" s="16"/>
      <c r="L830" s="16">
        <f t="shared" ca="1" si="31"/>
        <v>185.13333333333338</v>
      </c>
      <c r="M830" s="16">
        <f t="shared" ca="1" si="32"/>
        <v>193.6766666666667</v>
      </c>
      <c r="N830" s="16">
        <f t="shared" ca="1" si="33"/>
        <v>181.95666666666668</v>
      </c>
    </row>
    <row r="831" spans="1:14" ht="24.75" customHeight="1" x14ac:dyDescent="0.8">
      <c r="A831" s="18" t="s">
        <v>794</v>
      </c>
      <c r="B831" s="10" t="str">
        <f ca="1">IFERROR(__xludf.DUMMYFUNCTION("GOOGLEFINANCE(A831,""PRICE"")"),"#N/A")</f>
        <v>#N/A</v>
      </c>
      <c r="C831" s="11" t="str">
        <f ca="1">IFERROR(__xludf.DUMMYFUNCTION("GOOGLEFINANCE(A831,""PRICEOPEN"")"),"#N/A")</f>
        <v>#N/A</v>
      </c>
      <c r="D831" s="11" t="str">
        <f ca="1">IFERROR(__xludf.DUMMYFUNCTION("GOOGLEFINANCE(A831,""HIGH"")"),"#N/A")</f>
        <v>#N/A</v>
      </c>
      <c r="E831" s="11" t="str">
        <f ca="1">IFERROR(__xludf.DUMMYFUNCTION("GOOGLEFINANCE(A831,""LOW"")"),"#N/A")</f>
        <v>#N/A</v>
      </c>
      <c r="F831" s="12" t="str">
        <f t="shared" ca="1" si="28"/>
        <v>SELL</v>
      </c>
      <c r="G831" s="13" t="str">
        <f ca="1">IFERROR(__xludf.DUMMYFUNCTION("GOOGLEFINANCE(A831,""CLOSEYEST"")"),"#N/A")</f>
        <v>#N/A</v>
      </c>
      <c r="H831" s="14" t="e">
        <f t="shared" ca="1" si="34"/>
        <v>#VALUE!</v>
      </c>
      <c r="I831" s="15" t="e">
        <f t="shared" ca="1" si="29"/>
        <v>#VALUE!</v>
      </c>
      <c r="J831" s="16" t="e">
        <f t="shared" ca="1" si="30"/>
        <v>#VALUE!</v>
      </c>
      <c r="K831" s="16"/>
      <c r="L831" s="16" t="e">
        <f t="shared" ca="1" si="31"/>
        <v>#VALUE!</v>
      </c>
      <c r="M831" s="16" t="e">
        <f t="shared" ca="1" si="32"/>
        <v>#VALUE!</v>
      </c>
      <c r="N831" s="16" t="e">
        <f t="shared" ca="1" si="33"/>
        <v>#VALUE!</v>
      </c>
    </row>
    <row r="832" spans="1:14" ht="24.75" customHeight="1" x14ac:dyDescent="0.8">
      <c r="A832" s="18" t="s">
        <v>795</v>
      </c>
      <c r="B832" s="10">
        <f ca="1">IFERROR(__xludf.DUMMYFUNCTION("GOOGLEFINANCE(A832,""PRICE"")"),295)</f>
        <v>295</v>
      </c>
      <c r="C832" s="11">
        <f ca="1">IFERROR(__xludf.DUMMYFUNCTION("GOOGLEFINANCE(A832,""PRICEOPEN"")"),283.75)</f>
        <v>283.75</v>
      </c>
      <c r="D832" s="11">
        <f ca="1">IFERROR(__xludf.DUMMYFUNCTION("GOOGLEFINANCE(A832,""HIGH"")"),296)</f>
        <v>296</v>
      </c>
      <c r="E832" s="11">
        <f ca="1">IFERROR(__xludf.DUMMYFUNCTION("GOOGLEFINANCE(A832,""LOW"")"),283.75)</f>
        <v>283.75</v>
      </c>
      <c r="F832" s="12" t="str">
        <f t="shared" ca="1" si="28"/>
        <v>BUY</v>
      </c>
      <c r="G832" s="13">
        <f ca="1">IFERROR(__xludf.DUMMYFUNCTION("GOOGLEFINANCE(A832,""CLOSEYEST"")"),285.75)</f>
        <v>285.75</v>
      </c>
      <c r="H832" s="14" t="str">
        <f t="shared" ca="1" si="34"/>
        <v/>
      </c>
      <c r="I832" s="15">
        <f t="shared" ca="1" si="29"/>
        <v>288.5</v>
      </c>
      <c r="J832" s="16">
        <f t="shared" ca="1" si="30"/>
        <v>293.25</v>
      </c>
      <c r="K832" s="16"/>
      <c r="L832" s="16">
        <f t="shared" ca="1" si="31"/>
        <v>281</v>
      </c>
      <c r="M832" s="16">
        <f t="shared" ca="1" si="32"/>
        <v>300.75</v>
      </c>
      <c r="N832" s="16">
        <f t="shared" ca="1" si="33"/>
        <v>276.25</v>
      </c>
    </row>
    <row r="833" spans="1:14" ht="24.75" customHeight="1" x14ac:dyDescent="0.8">
      <c r="A833" s="18" t="s">
        <v>796</v>
      </c>
      <c r="B833" s="10">
        <f ca="1">IFERROR(__xludf.DUMMYFUNCTION("GOOGLEFINANCE(A833,""PRICE"")"),323.6)</f>
        <v>323.60000000000002</v>
      </c>
      <c r="C833" s="11">
        <f ca="1">IFERROR(__xludf.DUMMYFUNCTION("GOOGLEFINANCE(A833,""PRICEOPEN"")"),325.4)</f>
        <v>325.39999999999998</v>
      </c>
      <c r="D833" s="11">
        <f ca="1">IFERROR(__xludf.DUMMYFUNCTION("GOOGLEFINANCE(A833,""HIGH"")"),329.5)</f>
        <v>329.5</v>
      </c>
      <c r="E833" s="11">
        <f ca="1">IFERROR(__xludf.DUMMYFUNCTION("GOOGLEFINANCE(A833,""LOW"")"),323.1)</f>
        <v>323.10000000000002</v>
      </c>
      <c r="F833" s="12" t="str">
        <f t="shared" ca="1" si="28"/>
        <v/>
      </c>
      <c r="G833" s="13">
        <f ca="1">IFERROR(__xludf.DUMMYFUNCTION("GOOGLEFINANCE(A833,""CLOSEYEST"")"),325.4)</f>
        <v>325.39999999999998</v>
      </c>
      <c r="H833" s="14" t="str">
        <f t="shared" ca="1" si="34"/>
        <v/>
      </c>
      <c r="I833" s="15">
        <f t="shared" ca="1" si="29"/>
        <v>326</v>
      </c>
      <c r="J833" s="16">
        <f t="shared" ca="1" si="30"/>
        <v>328.9</v>
      </c>
      <c r="K833" s="16"/>
      <c r="L833" s="16">
        <f t="shared" ca="1" si="31"/>
        <v>322.5</v>
      </c>
      <c r="M833" s="16">
        <f t="shared" ca="1" si="32"/>
        <v>332.4</v>
      </c>
      <c r="N833" s="16">
        <f t="shared" ca="1" si="33"/>
        <v>319.60000000000002</v>
      </c>
    </row>
    <row r="834" spans="1:14" ht="24.75" customHeight="1" x14ac:dyDescent="0.8">
      <c r="A834" s="18" t="s">
        <v>797</v>
      </c>
      <c r="B834" s="10">
        <f ca="1">IFERROR(__xludf.DUMMYFUNCTION("GOOGLEFINANCE(A834,""PRICE"")"),1001)</f>
        <v>1001</v>
      </c>
      <c r="C834" s="11">
        <f ca="1">IFERROR(__xludf.DUMMYFUNCTION("GOOGLEFINANCE(A834,""PRICEOPEN"")"),982.9)</f>
        <v>982.9</v>
      </c>
      <c r="D834" s="11">
        <f ca="1">IFERROR(__xludf.DUMMYFUNCTION("GOOGLEFINANCE(A834,""HIGH"")"),1014.95)</f>
        <v>1014.95</v>
      </c>
      <c r="E834" s="11">
        <f ca="1">IFERROR(__xludf.DUMMYFUNCTION("GOOGLEFINANCE(A834,""LOW"")"),980)</f>
        <v>980</v>
      </c>
      <c r="F834" s="12" t="str">
        <f t="shared" ca="1" si="28"/>
        <v/>
      </c>
      <c r="G834" s="13">
        <f ca="1">IFERROR(__xludf.DUMMYFUNCTION("GOOGLEFINANCE(A834,""CLOSEYEST"")"),982.9)</f>
        <v>982.9</v>
      </c>
      <c r="H834" s="14" t="str">
        <f t="shared" ca="1" si="34"/>
        <v/>
      </c>
      <c r="I834" s="15">
        <f t="shared" ca="1" si="29"/>
        <v>992.61666666666667</v>
      </c>
      <c r="J834" s="16">
        <f t="shared" ca="1" si="30"/>
        <v>1005.2333333333333</v>
      </c>
      <c r="K834" s="16"/>
      <c r="L834" s="16">
        <f t="shared" ca="1" si="31"/>
        <v>970.2833333333333</v>
      </c>
      <c r="M834" s="16">
        <f t="shared" ca="1" si="32"/>
        <v>1027.5666666666666</v>
      </c>
      <c r="N834" s="16">
        <f t="shared" ca="1" si="33"/>
        <v>957.66666666666663</v>
      </c>
    </row>
    <row r="835" spans="1:14" ht="24.75" customHeight="1" x14ac:dyDescent="0.8">
      <c r="A835" s="18" t="s">
        <v>798</v>
      </c>
      <c r="B835" s="10" t="str">
        <f ca="1">IFERROR(__xludf.DUMMYFUNCTION("GOOGLEFINANCE(A835,""PRICE"")"),"#N/A")</f>
        <v>#N/A</v>
      </c>
      <c r="C835" s="11" t="str">
        <f ca="1">IFERROR(__xludf.DUMMYFUNCTION("GOOGLEFINANCE(A835,""PRICEOPEN"")"),"#N/A")</f>
        <v>#N/A</v>
      </c>
      <c r="D835" s="11" t="str">
        <f ca="1">IFERROR(__xludf.DUMMYFUNCTION("GOOGLEFINANCE(A835,""HIGH"")"),"#N/A")</f>
        <v>#N/A</v>
      </c>
      <c r="E835" s="11" t="str">
        <f ca="1">IFERROR(__xludf.DUMMYFUNCTION("GOOGLEFINANCE(A835,""LOW"")"),"#N/A")</f>
        <v>#N/A</v>
      </c>
      <c r="F835" s="12" t="str">
        <f t="shared" ca="1" si="28"/>
        <v>SELL</v>
      </c>
      <c r="G835" s="13" t="str">
        <f ca="1">IFERROR(__xludf.DUMMYFUNCTION("GOOGLEFINANCE(A835,""CLOSEYEST"")"),"#N/A")</f>
        <v>#N/A</v>
      </c>
      <c r="H835" s="14" t="e">
        <f t="shared" ca="1" si="34"/>
        <v>#VALUE!</v>
      </c>
      <c r="I835" s="15" t="e">
        <f t="shared" ca="1" si="29"/>
        <v>#VALUE!</v>
      </c>
      <c r="J835" s="16" t="e">
        <f t="shared" ca="1" si="30"/>
        <v>#VALUE!</v>
      </c>
      <c r="K835" s="16"/>
      <c r="L835" s="16" t="e">
        <f t="shared" ca="1" si="31"/>
        <v>#VALUE!</v>
      </c>
      <c r="M835" s="16" t="e">
        <f t="shared" ca="1" si="32"/>
        <v>#VALUE!</v>
      </c>
      <c r="N835" s="16" t="e">
        <f t="shared" ca="1" si="33"/>
        <v>#VALUE!</v>
      </c>
    </row>
    <row r="836" spans="1:14" ht="24.75" customHeight="1" x14ac:dyDescent="0.8">
      <c r="A836" s="18" t="s">
        <v>799</v>
      </c>
      <c r="B836" s="10">
        <f ca="1">IFERROR(__xludf.DUMMYFUNCTION("GOOGLEFINANCE(A836,""PRICE"")"),313.5)</f>
        <v>313.5</v>
      </c>
      <c r="C836" s="11">
        <f ca="1">IFERROR(__xludf.DUMMYFUNCTION("GOOGLEFINANCE(A836,""PRICEOPEN"")"),306.45)</f>
        <v>306.45</v>
      </c>
      <c r="D836" s="11">
        <f ca="1">IFERROR(__xludf.DUMMYFUNCTION("GOOGLEFINANCE(A836,""HIGH"")"),328)</f>
        <v>328</v>
      </c>
      <c r="E836" s="11">
        <f ca="1">IFERROR(__xludf.DUMMYFUNCTION("GOOGLEFINANCE(A836,""LOW"")"),306.45)</f>
        <v>306.45</v>
      </c>
      <c r="F836" s="12" t="str">
        <f t="shared" ca="1" si="28"/>
        <v>BUY</v>
      </c>
      <c r="G836" s="13">
        <f ca="1">IFERROR(__xludf.DUMMYFUNCTION("GOOGLEFINANCE(A836,""CLOSEYEST"")"),311.1)</f>
        <v>311.10000000000002</v>
      </c>
      <c r="H836" s="14" t="str">
        <f t="shared" ca="1" si="34"/>
        <v>GAP DOWN</v>
      </c>
      <c r="I836" s="15">
        <f t="shared" ca="1" si="29"/>
        <v>315.18333333333334</v>
      </c>
      <c r="J836" s="16">
        <f t="shared" ca="1" si="30"/>
        <v>323.91666666666669</v>
      </c>
      <c r="K836" s="16"/>
      <c r="L836" s="16">
        <f t="shared" ca="1" si="31"/>
        <v>302.36666666666667</v>
      </c>
      <c r="M836" s="16">
        <f t="shared" ca="1" si="32"/>
        <v>336.73333333333335</v>
      </c>
      <c r="N836" s="16">
        <f t="shared" ca="1" si="33"/>
        <v>293.63333333333333</v>
      </c>
    </row>
    <row r="837" spans="1:14" ht="24.75" customHeight="1" x14ac:dyDescent="0.8">
      <c r="A837" s="18" t="s">
        <v>800</v>
      </c>
      <c r="B837" s="10">
        <f ca="1">IFERROR(__xludf.DUMMYFUNCTION("GOOGLEFINANCE(A837,""PRICE"")"),268)</f>
        <v>268</v>
      </c>
      <c r="C837" s="11">
        <f ca="1">IFERROR(__xludf.DUMMYFUNCTION("GOOGLEFINANCE(A837,""PRICEOPEN"")"),269.4)</f>
        <v>269.39999999999998</v>
      </c>
      <c r="D837" s="11">
        <f ca="1">IFERROR(__xludf.DUMMYFUNCTION("GOOGLEFINANCE(A837,""HIGH"")"),272.9)</f>
        <v>272.89999999999998</v>
      </c>
      <c r="E837" s="11">
        <f ca="1">IFERROR(__xludf.DUMMYFUNCTION("GOOGLEFINANCE(A837,""LOW"")"),267)</f>
        <v>267</v>
      </c>
      <c r="F837" s="12" t="str">
        <f t="shared" ca="1" si="28"/>
        <v/>
      </c>
      <c r="G837" s="13">
        <f ca="1">IFERROR(__xludf.DUMMYFUNCTION("GOOGLEFINANCE(A837,""CLOSEYEST"")"),269.4)</f>
        <v>269.39999999999998</v>
      </c>
      <c r="H837" s="14" t="str">
        <f t="shared" ca="1" si="34"/>
        <v/>
      </c>
      <c r="I837" s="15">
        <f t="shared" ca="1" si="29"/>
        <v>269.76666666666665</v>
      </c>
      <c r="J837" s="16">
        <f t="shared" ca="1" si="30"/>
        <v>272.5333333333333</v>
      </c>
      <c r="K837" s="16"/>
      <c r="L837" s="16">
        <f t="shared" ca="1" si="31"/>
        <v>266.63333333333333</v>
      </c>
      <c r="M837" s="16">
        <f t="shared" ca="1" si="32"/>
        <v>275.66666666666663</v>
      </c>
      <c r="N837" s="16">
        <f t="shared" ca="1" si="33"/>
        <v>263.86666666666667</v>
      </c>
    </row>
    <row r="838" spans="1:14" ht="24.75" customHeight="1" x14ac:dyDescent="0.8">
      <c r="A838" s="18" t="s">
        <v>801</v>
      </c>
      <c r="B838" s="10">
        <f ca="1">IFERROR(__xludf.DUMMYFUNCTION("GOOGLEFINANCE(A838,""PRICE"")"),1490.1)</f>
        <v>1490.1</v>
      </c>
      <c r="C838" s="11">
        <f ca="1">IFERROR(__xludf.DUMMYFUNCTION("GOOGLEFINANCE(A838,""PRICEOPEN"")"),1474.1)</f>
        <v>1474.1</v>
      </c>
      <c r="D838" s="11">
        <f ca="1">IFERROR(__xludf.DUMMYFUNCTION("GOOGLEFINANCE(A838,""HIGH"")"),1497.2)</f>
        <v>1497.2</v>
      </c>
      <c r="E838" s="11">
        <f ca="1">IFERROR(__xludf.DUMMYFUNCTION("GOOGLEFINANCE(A838,""LOW"")"),1464)</f>
        <v>1464</v>
      </c>
      <c r="F838" s="12" t="str">
        <f t="shared" ca="1" si="28"/>
        <v/>
      </c>
      <c r="G838" s="13">
        <f ca="1">IFERROR(__xludf.DUMMYFUNCTION("GOOGLEFINANCE(A838,""CLOSEYEST"")"),1467)</f>
        <v>1467</v>
      </c>
      <c r="H838" s="14" t="str">
        <f t="shared" ca="1" si="34"/>
        <v/>
      </c>
      <c r="I838" s="15">
        <f t="shared" ca="1" si="29"/>
        <v>1476.0666666666666</v>
      </c>
      <c r="J838" s="16">
        <f t="shared" ca="1" si="30"/>
        <v>1488.1333333333332</v>
      </c>
      <c r="K838" s="16"/>
      <c r="L838" s="16">
        <f t="shared" ca="1" si="31"/>
        <v>1454.9333333333332</v>
      </c>
      <c r="M838" s="16">
        <f t="shared" ca="1" si="32"/>
        <v>1509.2666666666667</v>
      </c>
      <c r="N838" s="16">
        <f t="shared" ca="1" si="33"/>
        <v>1442.8666666666666</v>
      </c>
    </row>
    <row r="839" spans="1:14" ht="24.75" customHeight="1" x14ac:dyDescent="0.8">
      <c r="A839" s="18" t="s">
        <v>802</v>
      </c>
      <c r="B839" s="10">
        <f ca="1">IFERROR(__xludf.DUMMYFUNCTION("GOOGLEFINANCE(A839,""PRICE"")"),16745)</f>
        <v>16745</v>
      </c>
      <c r="C839" s="11">
        <f ca="1">IFERROR(__xludf.DUMMYFUNCTION("GOOGLEFINANCE(A839,""PRICEOPEN"")"),16938)</f>
        <v>16938</v>
      </c>
      <c r="D839" s="11">
        <f ca="1">IFERROR(__xludf.DUMMYFUNCTION("GOOGLEFINANCE(A839,""HIGH"")"),17199)</f>
        <v>17199</v>
      </c>
      <c r="E839" s="11">
        <f ca="1">IFERROR(__xludf.DUMMYFUNCTION("GOOGLEFINANCE(A839,""LOW"")"),16623)</f>
        <v>16623</v>
      </c>
      <c r="F839" s="12" t="str">
        <f t="shared" ca="1" si="28"/>
        <v/>
      </c>
      <c r="G839" s="13">
        <f ca="1">IFERROR(__xludf.DUMMYFUNCTION("GOOGLEFINANCE(A839,""CLOSEYEST"")"),16854)</f>
        <v>16854</v>
      </c>
      <c r="H839" s="14" t="str">
        <f t="shared" ca="1" si="34"/>
        <v/>
      </c>
      <c r="I839" s="15">
        <f t="shared" ca="1" si="29"/>
        <v>16892</v>
      </c>
      <c r="J839" s="16">
        <f t="shared" ca="1" si="30"/>
        <v>17161</v>
      </c>
      <c r="K839" s="16"/>
      <c r="L839" s="16">
        <f t="shared" ca="1" si="31"/>
        <v>16585</v>
      </c>
      <c r="M839" s="16">
        <f t="shared" ca="1" si="32"/>
        <v>17468</v>
      </c>
      <c r="N839" s="16">
        <f t="shared" ca="1" si="33"/>
        <v>16316</v>
      </c>
    </row>
    <row r="840" spans="1:14" ht="24.75" customHeight="1" x14ac:dyDescent="0.8">
      <c r="A840" s="18" t="s">
        <v>803</v>
      </c>
      <c r="B840" s="10">
        <f ca="1">IFERROR(__xludf.DUMMYFUNCTION("GOOGLEFINANCE(A840,""PRICE"")"),218)</f>
        <v>218</v>
      </c>
      <c r="C840" s="11">
        <f ca="1">IFERROR(__xludf.DUMMYFUNCTION("GOOGLEFINANCE(A840,""PRICEOPEN"")"),221.39)</f>
        <v>221.39</v>
      </c>
      <c r="D840" s="11">
        <f ca="1">IFERROR(__xludf.DUMMYFUNCTION("GOOGLEFINANCE(A840,""HIGH"")"),221.39)</f>
        <v>221.39</v>
      </c>
      <c r="E840" s="11">
        <f ca="1">IFERROR(__xludf.DUMMYFUNCTION("GOOGLEFINANCE(A840,""LOW"")"),216.04)</f>
        <v>216.04</v>
      </c>
      <c r="F840" s="12" t="str">
        <f t="shared" ca="1" si="28"/>
        <v>SELL</v>
      </c>
      <c r="G840" s="13">
        <f ca="1">IFERROR(__xludf.DUMMYFUNCTION("GOOGLEFINANCE(A840,""CLOSEYEST"")"),220.54)</f>
        <v>220.54</v>
      </c>
      <c r="H840" s="14" t="str">
        <f t="shared" ca="1" si="34"/>
        <v/>
      </c>
      <c r="I840" s="15">
        <f t="shared" ca="1" si="29"/>
        <v>219.3233333333333</v>
      </c>
      <c r="J840" s="16">
        <f t="shared" ca="1" si="30"/>
        <v>222.6066666666666</v>
      </c>
      <c r="K840" s="16"/>
      <c r="L840" s="16">
        <f t="shared" ca="1" si="31"/>
        <v>217.2566666666666</v>
      </c>
      <c r="M840" s="16">
        <f t="shared" ca="1" si="32"/>
        <v>224.67333333333329</v>
      </c>
      <c r="N840" s="16">
        <f t="shared" ca="1" si="33"/>
        <v>213.9733333333333</v>
      </c>
    </row>
    <row r="841" spans="1:14" ht="24.75" customHeight="1" x14ac:dyDescent="0.8">
      <c r="A841" s="18" t="s">
        <v>804</v>
      </c>
      <c r="B841" s="10">
        <f ca="1">IFERROR(__xludf.DUMMYFUNCTION("GOOGLEFINANCE(A841,""PRICE"")"),41.79)</f>
        <v>41.79</v>
      </c>
      <c r="C841" s="11">
        <f ca="1">IFERROR(__xludf.DUMMYFUNCTION("GOOGLEFINANCE(A841,""PRICEOPEN"")"),41.61)</f>
        <v>41.61</v>
      </c>
      <c r="D841" s="11">
        <f ca="1">IFERROR(__xludf.DUMMYFUNCTION("GOOGLEFINANCE(A841,""HIGH"")"),41.88)</f>
        <v>41.88</v>
      </c>
      <c r="E841" s="11">
        <f ca="1">IFERROR(__xludf.DUMMYFUNCTION("GOOGLEFINANCE(A841,""LOW"")"),41.39)</f>
        <v>41.39</v>
      </c>
      <c r="F841" s="12" t="str">
        <f t="shared" ca="1" si="28"/>
        <v/>
      </c>
      <c r="G841" s="13">
        <f ca="1">IFERROR(__xludf.DUMMYFUNCTION("GOOGLEFINANCE(A841,""CLOSEYEST"")"),41.61)</f>
        <v>41.61</v>
      </c>
      <c r="H841" s="14" t="str">
        <f t="shared" ca="1" si="34"/>
        <v/>
      </c>
      <c r="I841" s="15">
        <f t="shared" ca="1" si="29"/>
        <v>41.626666666666672</v>
      </c>
      <c r="J841" s="16">
        <f t="shared" ca="1" si="30"/>
        <v>41.863333333333344</v>
      </c>
      <c r="K841" s="16"/>
      <c r="L841" s="16">
        <f t="shared" ca="1" si="31"/>
        <v>41.373333333333342</v>
      </c>
      <c r="M841" s="16">
        <f t="shared" ca="1" si="32"/>
        <v>42.116666666666674</v>
      </c>
      <c r="N841" s="16">
        <f t="shared" ca="1" si="33"/>
        <v>41.13666666666667</v>
      </c>
    </row>
    <row r="842" spans="1:14" ht="24.75" customHeight="1" x14ac:dyDescent="0.8">
      <c r="A842" s="18" t="s">
        <v>805</v>
      </c>
      <c r="B842" s="10">
        <f ca="1">IFERROR(__xludf.DUMMYFUNCTION("GOOGLEFINANCE(A842,""PRICE"")"),3.08)</f>
        <v>3.08</v>
      </c>
      <c r="C842" s="11">
        <f ca="1">IFERROR(__xludf.DUMMYFUNCTION("GOOGLEFINANCE(A842,""PRICEOPEN"")"),3.09)</f>
        <v>3.09</v>
      </c>
      <c r="D842" s="11">
        <f ca="1">IFERROR(__xludf.DUMMYFUNCTION("GOOGLEFINANCE(A842,""HIGH"")"),3.09)</f>
        <v>3.09</v>
      </c>
      <c r="E842" s="11">
        <f ca="1">IFERROR(__xludf.DUMMYFUNCTION("GOOGLEFINANCE(A842,""LOW"")"),2.96)</f>
        <v>2.96</v>
      </c>
      <c r="F842" s="12" t="str">
        <f t="shared" ca="1" si="28"/>
        <v>SELL</v>
      </c>
      <c r="G842" s="13">
        <f ca="1">IFERROR(__xludf.DUMMYFUNCTION("GOOGLEFINANCE(A842,""CLOSEYEST"")"),3.09)</f>
        <v>3.09</v>
      </c>
      <c r="H842" s="14" t="str">
        <f t="shared" ca="1" si="34"/>
        <v/>
      </c>
      <c r="I842" s="15">
        <f t="shared" ca="1" si="29"/>
        <v>3.0466666666666669</v>
      </c>
      <c r="J842" s="16">
        <f t="shared" ca="1" si="30"/>
        <v>3.1333333333333337</v>
      </c>
      <c r="K842" s="16"/>
      <c r="L842" s="16">
        <f t="shared" ca="1" si="31"/>
        <v>3.0033333333333339</v>
      </c>
      <c r="M842" s="16">
        <f t="shared" ca="1" si="32"/>
        <v>3.1766666666666667</v>
      </c>
      <c r="N842" s="16">
        <f t="shared" ca="1" si="33"/>
        <v>2.916666666666667</v>
      </c>
    </row>
    <row r="843" spans="1:14" ht="24.75" customHeight="1" x14ac:dyDescent="0.8">
      <c r="A843" s="18" t="s">
        <v>806</v>
      </c>
      <c r="B843" s="10" t="str">
        <f ca="1">IFERROR(__xludf.DUMMYFUNCTION("GOOGLEFINANCE(A843,""PRICE"")"),"#N/A")</f>
        <v>#N/A</v>
      </c>
      <c r="C843" s="11" t="str">
        <f ca="1">IFERROR(__xludf.DUMMYFUNCTION("GOOGLEFINANCE(A843,""PRICEOPEN"")"),"#N/A")</f>
        <v>#N/A</v>
      </c>
      <c r="D843" s="11" t="str">
        <f ca="1">IFERROR(__xludf.DUMMYFUNCTION("GOOGLEFINANCE(A843,""HIGH"")"),"#N/A")</f>
        <v>#N/A</v>
      </c>
      <c r="E843" s="11" t="str">
        <f ca="1">IFERROR(__xludf.DUMMYFUNCTION("GOOGLEFINANCE(A843,""LOW"")"),"#N/A")</f>
        <v>#N/A</v>
      </c>
      <c r="F843" s="12" t="str">
        <f t="shared" ca="1" si="28"/>
        <v>SELL</v>
      </c>
      <c r="G843" s="13" t="str">
        <f ca="1">IFERROR(__xludf.DUMMYFUNCTION("GOOGLEFINANCE(A843,""CLOSEYEST"")"),"#N/A")</f>
        <v>#N/A</v>
      </c>
      <c r="H843" s="14" t="e">
        <f t="shared" ca="1" si="34"/>
        <v>#VALUE!</v>
      </c>
      <c r="I843" s="15" t="e">
        <f t="shared" ca="1" si="29"/>
        <v>#VALUE!</v>
      </c>
      <c r="J843" s="16" t="e">
        <f t="shared" ca="1" si="30"/>
        <v>#VALUE!</v>
      </c>
      <c r="K843" s="16"/>
      <c r="L843" s="16" t="e">
        <f t="shared" ca="1" si="31"/>
        <v>#VALUE!</v>
      </c>
      <c r="M843" s="16" t="e">
        <f t="shared" ca="1" si="32"/>
        <v>#VALUE!</v>
      </c>
      <c r="N843" s="16" t="e">
        <f t="shared" ca="1" si="33"/>
        <v>#VALUE!</v>
      </c>
    </row>
    <row r="844" spans="1:14" ht="24.75" customHeight="1" x14ac:dyDescent="0.8">
      <c r="A844" s="18" t="s">
        <v>807</v>
      </c>
      <c r="B844" s="10">
        <f ca="1">IFERROR(__xludf.DUMMYFUNCTION("GOOGLEFINANCE(A844,""PRICE"")"),366)</f>
        <v>366</v>
      </c>
      <c r="C844" s="11">
        <f ca="1">IFERROR(__xludf.DUMMYFUNCTION("GOOGLEFINANCE(A844,""PRICEOPEN"")"),365)</f>
        <v>365</v>
      </c>
      <c r="D844" s="11">
        <f ca="1">IFERROR(__xludf.DUMMYFUNCTION("GOOGLEFINANCE(A844,""HIGH"")"),370)</f>
        <v>370</v>
      </c>
      <c r="E844" s="11">
        <f ca="1">IFERROR(__xludf.DUMMYFUNCTION("GOOGLEFINANCE(A844,""LOW"")"),362.45)</f>
        <v>362.45</v>
      </c>
      <c r="F844" s="12" t="str">
        <f t="shared" ca="1" si="28"/>
        <v/>
      </c>
      <c r="G844" s="13">
        <f ca="1">IFERROR(__xludf.DUMMYFUNCTION("GOOGLEFINANCE(A844,""CLOSEYEST"")"),363.1)</f>
        <v>363.1</v>
      </c>
      <c r="H844" s="14" t="str">
        <f t="shared" ca="1" si="34"/>
        <v/>
      </c>
      <c r="I844" s="15">
        <f t="shared" ca="1" si="29"/>
        <v>365.18333333333339</v>
      </c>
      <c r="J844" s="16">
        <f t="shared" ca="1" si="30"/>
        <v>367.9166666666668</v>
      </c>
      <c r="K844" s="16"/>
      <c r="L844" s="16">
        <f t="shared" ca="1" si="31"/>
        <v>360.36666666666679</v>
      </c>
      <c r="M844" s="16">
        <f t="shared" ca="1" si="32"/>
        <v>372.73333333333341</v>
      </c>
      <c r="N844" s="16">
        <f t="shared" ca="1" si="33"/>
        <v>357.63333333333338</v>
      </c>
    </row>
    <row r="845" spans="1:14" ht="24.75" customHeight="1" x14ac:dyDescent="0.8">
      <c r="A845" s="18" t="s">
        <v>808</v>
      </c>
      <c r="B845" s="10">
        <f ca="1">IFERROR(__xludf.DUMMYFUNCTION("GOOGLEFINANCE(A845,""PRICE"")"),425)</f>
        <v>425</v>
      </c>
      <c r="C845" s="11">
        <f ca="1">IFERROR(__xludf.DUMMYFUNCTION("GOOGLEFINANCE(A845,""PRICEOPEN"")"),415)</f>
        <v>415</v>
      </c>
      <c r="D845" s="11">
        <f ca="1">IFERROR(__xludf.DUMMYFUNCTION("GOOGLEFINANCE(A845,""HIGH"")"),425.7)</f>
        <v>425.7</v>
      </c>
      <c r="E845" s="11">
        <f ca="1">IFERROR(__xludf.DUMMYFUNCTION("GOOGLEFINANCE(A845,""LOW"")"),415)</f>
        <v>415</v>
      </c>
      <c r="F845" s="12" t="str">
        <f t="shared" ca="1" si="28"/>
        <v>BUY</v>
      </c>
      <c r="G845" s="13">
        <f ca="1">IFERROR(__xludf.DUMMYFUNCTION("GOOGLEFINANCE(A845,""CLOSEYEST"")"),420.85)</f>
        <v>420.85</v>
      </c>
      <c r="H845" s="14" t="str">
        <f t="shared" ca="1" si="34"/>
        <v>GAP DOWN</v>
      </c>
      <c r="I845" s="15">
        <f t="shared" ca="1" si="29"/>
        <v>420.51666666666671</v>
      </c>
      <c r="J845" s="16">
        <f t="shared" ca="1" si="30"/>
        <v>426.03333333333342</v>
      </c>
      <c r="K845" s="16"/>
      <c r="L845" s="16">
        <f t="shared" ca="1" si="31"/>
        <v>415.33333333333343</v>
      </c>
      <c r="M845" s="16">
        <f t="shared" ca="1" si="32"/>
        <v>431.2166666666667</v>
      </c>
      <c r="N845" s="16">
        <f t="shared" ca="1" si="33"/>
        <v>409.81666666666672</v>
      </c>
    </row>
    <row r="846" spans="1:14" ht="24.75" customHeight="1" x14ac:dyDescent="0.8">
      <c r="A846" s="18" t="s">
        <v>809</v>
      </c>
      <c r="B846" s="10">
        <f ca="1">IFERROR(__xludf.DUMMYFUNCTION("GOOGLEFINANCE(A846,""PRICE"")"),149.75)</f>
        <v>149.75</v>
      </c>
      <c r="C846" s="11">
        <f ca="1">IFERROR(__xludf.DUMMYFUNCTION("GOOGLEFINANCE(A846,""PRICEOPEN"")"),148.8)</f>
        <v>148.80000000000001</v>
      </c>
      <c r="D846" s="11">
        <f ca="1">IFERROR(__xludf.DUMMYFUNCTION("GOOGLEFINANCE(A846,""HIGH"")"),149.97)</f>
        <v>149.97</v>
      </c>
      <c r="E846" s="11">
        <f ca="1">IFERROR(__xludf.DUMMYFUNCTION("GOOGLEFINANCE(A846,""LOW"")"),147.4)</f>
        <v>147.4</v>
      </c>
      <c r="F846" s="12" t="str">
        <f t="shared" ca="1" si="28"/>
        <v/>
      </c>
      <c r="G846" s="13">
        <f ca="1">IFERROR(__xludf.DUMMYFUNCTION("GOOGLEFINANCE(A846,""CLOSEYEST"")"),146.6)</f>
        <v>146.6</v>
      </c>
      <c r="H846" s="14" t="str">
        <f t="shared" ca="1" si="34"/>
        <v>GAP UP</v>
      </c>
      <c r="I846" s="15">
        <f t="shared" ca="1" si="29"/>
        <v>147.99</v>
      </c>
      <c r="J846" s="16">
        <f t="shared" ca="1" si="30"/>
        <v>148.58000000000001</v>
      </c>
      <c r="K846" s="16"/>
      <c r="L846" s="16">
        <f t="shared" ca="1" si="31"/>
        <v>146.01000000000002</v>
      </c>
      <c r="M846" s="16">
        <f t="shared" ca="1" si="32"/>
        <v>150.56</v>
      </c>
      <c r="N846" s="16">
        <f t="shared" ca="1" si="33"/>
        <v>145.42000000000002</v>
      </c>
    </row>
    <row r="847" spans="1:14" ht="24.75" customHeight="1" x14ac:dyDescent="0.8">
      <c r="A847" s="18" t="s">
        <v>810</v>
      </c>
      <c r="B847" s="10">
        <f ca="1">IFERROR(__xludf.DUMMYFUNCTION("GOOGLEFINANCE(A847,""PRICE"")"),314)</f>
        <v>314</v>
      </c>
      <c r="C847" s="11">
        <f ca="1">IFERROR(__xludf.DUMMYFUNCTION("GOOGLEFINANCE(A847,""PRICEOPEN"")"),310.7)</f>
        <v>310.7</v>
      </c>
      <c r="D847" s="11">
        <f ca="1">IFERROR(__xludf.DUMMYFUNCTION("GOOGLEFINANCE(A847,""HIGH"")"),319.4)</f>
        <v>319.39999999999998</v>
      </c>
      <c r="E847" s="11">
        <f ca="1">IFERROR(__xludf.DUMMYFUNCTION("GOOGLEFINANCE(A847,""LOW"")"),309.45)</f>
        <v>309.45</v>
      </c>
      <c r="F847" s="12" t="str">
        <f t="shared" ca="1" si="28"/>
        <v/>
      </c>
      <c r="G847" s="13">
        <f ca="1">IFERROR(__xludf.DUMMYFUNCTION("GOOGLEFINANCE(A847,""CLOSEYEST"")"),308.8)</f>
        <v>308.8</v>
      </c>
      <c r="H847" s="14" t="str">
        <f t="shared" ca="1" si="34"/>
        <v/>
      </c>
      <c r="I847" s="15">
        <f t="shared" ca="1" si="29"/>
        <v>312.54999999999995</v>
      </c>
      <c r="J847" s="16">
        <f t="shared" ca="1" si="30"/>
        <v>315.64999999999992</v>
      </c>
      <c r="K847" s="16"/>
      <c r="L847" s="16">
        <f t="shared" ca="1" si="31"/>
        <v>305.69999999999993</v>
      </c>
      <c r="M847" s="16">
        <f t="shared" ca="1" si="32"/>
        <v>322.49999999999994</v>
      </c>
      <c r="N847" s="16">
        <f t="shared" ca="1" si="33"/>
        <v>302.59999999999997</v>
      </c>
    </row>
    <row r="848" spans="1:14" ht="24.75" customHeight="1" x14ac:dyDescent="0.8">
      <c r="A848" s="18" t="s">
        <v>811</v>
      </c>
      <c r="B848" s="10" t="str">
        <f ca="1">IFERROR(__xludf.DUMMYFUNCTION("GOOGLEFINANCE(A848,""PRICE"")"),"#N/A")</f>
        <v>#N/A</v>
      </c>
      <c r="C848" s="11" t="str">
        <f ca="1">IFERROR(__xludf.DUMMYFUNCTION("GOOGLEFINANCE(A848,""PRICEOPEN"")"),"#N/A")</f>
        <v>#N/A</v>
      </c>
      <c r="D848" s="11" t="str">
        <f ca="1">IFERROR(__xludf.DUMMYFUNCTION("GOOGLEFINANCE(A848,""HIGH"")"),"#N/A")</f>
        <v>#N/A</v>
      </c>
      <c r="E848" s="11" t="str">
        <f ca="1">IFERROR(__xludf.DUMMYFUNCTION("GOOGLEFINANCE(A848,""LOW"")"),"#N/A")</f>
        <v>#N/A</v>
      </c>
      <c r="F848" s="12" t="str">
        <f t="shared" ca="1" si="28"/>
        <v>SELL</v>
      </c>
      <c r="G848" s="13" t="str">
        <f ca="1">IFERROR(__xludf.DUMMYFUNCTION("GOOGLEFINANCE(A848,""CLOSEYEST"")"),"#N/A")</f>
        <v>#N/A</v>
      </c>
      <c r="H848" s="14" t="e">
        <f t="shared" ca="1" si="34"/>
        <v>#VALUE!</v>
      </c>
      <c r="I848" s="15" t="e">
        <f t="shared" ca="1" si="29"/>
        <v>#VALUE!</v>
      </c>
      <c r="J848" s="16" t="e">
        <f t="shared" ca="1" si="30"/>
        <v>#VALUE!</v>
      </c>
      <c r="K848" s="16"/>
      <c r="L848" s="16" t="e">
        <f t="shared" ca="1" si="31"/>
        <v>#VALUE!</v>
      </c>
      <c r="M848" s="16" t="e">
        <f t="shared" ca="1" si="32"/>
        <v>#VALUE!</v>
      </c>
      <c r="N848" s="16" t="e">
        <f t="shared" ca="1" si="33"/>
        <v>#VALUE!</v>
      </c>
    </row>
    <row r="849" spans="1:14" ht="24.75" customHeight="1" x14ac:dyDescent="0.8">
      <c r="A849" s="18" t="s">
        <v>812</v>
      </c>
      <c r="B849" s="10">
        <f ca="1">IFERROR(__xludf.DUMMYFUNCTION("GOOGLEFINANCE(A849,""PRICE"")"),1530)</f>
        <v>1530</v>
      </c>
      <c r="C849" s="11">
        <f ca="1">IFERROR(__xludf.DUMMYFUNCTION("GOOGLEFINANCE(A849,""PRICEOPEN"")"),1513.9)</f>
        <v>1513.9</v>
      </c>
      <c r="D849" s="11">
        <f ca="1">IFERROR(__xludf.DUMMYFUNCTION("GOOGLEFINANCE(A849,""HIGH"")"),1532.5)</f>
        <v>1532.5</v>
      </c>
      <c r="E849" s="11">
        <f ca="1">IFERROR(__xludf.DUMMYFUNCTION("GOOGLEFINANCE(A849,""LOW"")"),1505.3)</f>
        <v>1505.3</v>
      </c>
      <c r="F849" s="12" t="str">
        <f t="shared" ca="1" si="28"/>
        <v/>
      </c>
      <c r="G849" s="13">
        <f ca="1">IFERROR(__xludf.DUMMYFUNCTION("GOOGLEFINANCE(A849,""CLOSEYEST"")"),1514.8)</f>
        <v>1514.8</v>
      </c>
      <c r="H849" s="14" t="str">
        <f t="shared" ca="1" si="34"/>
        <v/>
      </c>
      <c r="I849" s="15">
        <f t="shared" ca="1" si="29"/>
        <v>1517.5333333333335</v>
      </c>
      <c r="J849" s="16">
        <f t="shared" ca="1" si="30"/>
        <v>1529.7666666666671</v>
      </c>
      <c r="K849" s="16"/>
      <c r="L849" s="16">
        <f t="shared" ca="1" si="31"/>
        <v>1502.5666666666671</v>
      </c>
      <c r="M849" s="16">
        <f t="shared" ca="1" si="32"/>
        <v>1544.7333333333336</v>
      </c>
      <c r="N849" s="16">
        <f t="shared" ca="1" si="33"/>
        <v>1490.3333333333335</v>
      </c>
    </row>
    <row r="850" spans="1:14" ht="24.75" customHeight="1" x14ac:dyDescent="0.8">
      <c r="A850" s="18" t="s">
        <v>813</v>
      </c>
      <c r="B850" s="10">
        <f ca="1">IFERROR(__xludf.DUMMYFUNCTION("GOOGLEFINANCE(A850,""PRICE"")"),1500)</f>
        <v>1500</v>
      </c>
      <c r="C850" s="11">
        <f ca="1">IFERROR(__xludf.DUMMYFUNCTION("GOOGLEFINANCE(A850,""PRICEOPEN"")"),1495)</f>
        <v>1495</v>
      </c>
      <c r="D850" s="11">
        <f ca="1">IFERROR(__xludf.DUMMYFUNCTION("GOOGLEFINANCE(A850,""HIGH"")"),1509.9)</f>
        <v>1509.9</v>
      </c>
      <c r="E850" s="11">
        <f ca="1">IFERROR(__xludf.DUMMYFUNCTION("GOOGLEFINANCE(A850,""LOW"")"),1490.1)</f>
        <v>1490.1</v>
      </c>
      <c r="F850" s="12" t="str">
        <f t="shared" ca="1" si="28"/>
        <v/>
      </c>
      <c r="G850" s="13">
        <f ca="1">IFERROR(__xludf.DUMMYFUNCTION("GOOGLEFINANCE(A850,""CLOSEYEST"")"),1485.7)</f>
        <v>1485.7</v>
      </c>
      <c r="H850" s="14" t="str">
        <f t="shared" ca="1" si="34"/>
        <v/>
      </c>
      <c r="I850" s="15">
        <f t="shared" ca="1" si="29"/>
        <v>1495.2333333333333</v>
      </c>
      <c r="J850" s="16">
        <f t="shared" ca="1" si="30"/>
        <v>1500.3666666666668</v>
      </c>
      <c r="K850" s="16"/>
      <c r="L850" s="16">
        <f t="shared" ca="1" si="31"/>
        <v>1480.5666666666666</v>
      </c>
      <c r="M850" s="16">
        <f t="shared" ca="1" si="32"/>
        <v>1515.0333333333335</v>
      </c>
      <c r="N850" s="16">
        <f t="shared" ca="1" si="33"/>
        <v>1475.4333333333332</v>
      </c>
    </row>
    <row r="851" spans="1:14" ht="24.75" customHeight="1" x14ac:dyDescent="0.8">
      <c r="A851" s="18" t="s">
        <v>814</v>
      </c>
      <c r="B851" s="10">
        <f ca="1">IFERROR(__xludf.DUMMYFUNCTION("GOOGLEFINANCE(A851,""PRICE"")"),5694.8)</f>
        <v>5694.8</v>
      </c>
      <c r="C851" s="11">
        <f ca="1">IFERROR(__xludf.DUMMYFUNCTION("GOOGLEFINANCE(A851,""PRICEOPEN"")"),4765)</f>
        <v>4765</v>
      </c>
      <c r="D851" s="11">
        <f ca="1">IFERROR(__xludf.DUMMYFUNCTION("GOOGLEFINANCE(A851,""HIGH"")"),5694.8)</f>
        <v>5694.8</v>
      </c>
      <c r="E851" s="11">
        <f ca="1">IFERROR(__xludf.DUMMYFUNCTION("GOOGLEFINANCE(A851,""LOW"")"),4752.2)</f>
        <v>4752.2</v>
      </c>
      <c r="F851" s="12" t="str">
        <f t="shared" ca="1" si="28"/>
        <v/>
      </c>
      <c r="G851" s="13">
        <f ca="1">IFERROR(__xludf.DUMMYFUNCTION("GOOGLEFINANCE(A851,""CLOSEYEST"")"),4745.7)</f>
        <v>4745.7</v>
      </c>
      <c r="H851" s="14" t="str">
        <f t="shared" ca="1" si="34"/>
        <v/>
      </c>
      <c r="I851" s="15">
        <f t="shared" ca="1" si="29"/>
        <v>5064.2333333333336</v>
      </c>
      <c r="J851" s="16">
        <f t="shared" ca="1" si="30"/>
        <v>5376.2666666666673</v>
      </c>
      <c r="K851" s="16"/>
      <c r="L851" s="16">
        <f t="shared" ca="1" si="31"/>
        <v>4433.666666666667</v>
      </c>
      <c r="M851" s="16">
        <f t="shared" ca="1" si="32"/>
        <v>6006.8333333333339</v>
      </c>
      <c r="N851" s="16">
        <f t="shared" ca="1" si="33"/>
        <v>4121.6333333333332</v>
      </c>
    </row>
    <row r="852" spans="1:14" ht="24.75" customHeight="1" x14ac:dyDescent="0.8">
      <c r="A852" s="18" t="s">
        <v>815</v>
      </c>
      <c r="B852" s="10">
        <f ca="1">IFERROR(__xludf.DUMMYFUNCTION("GOOGLEFINANCE(A852,""PRICE"")"),520.8)</f>
        <v>520.79999999999995</v>
      </c>
      <c r="C852" s="11">
        <f ca="1">IFERROR(__xludf.DUMMYFUNCTION("GOOGLEFINANCE(A852,""PRICEOPEN"")"),511)</f>
        <v>511</v>
      </c>
      <c r="D852" s="11">
        <f ca="1">IFERROR(__xludf.DUMMYFUNCTION("GOOGLEFINANCE(A852,""HIGH"")"),525)</f>
        <v>525</v>
      </c>
      <c r="E852" s="11">
        <f ca="1">IFERROR(__xludf.DUMMYFUNCTION("GOOGLEFINANCE(A852,""LOW"")"),511)</f>
        <v>511</v>
      </c>
      <c r="F852" s="12" t="str">
        <f t="shared" ca="1" si="28"/>
        <v>BUY</v>
      </c>
      <c r="G852" s="13">
        <f ca="1">IFERROR(__xludf.DUMMYFUNCTION("GOOGLEFINANCE(A852,""CLOSEYEST"")"),510.8)</f>
        <v>510.8</v>
      </c>
      <c r="H852" s="14" t="str">
        <f t="shared" ca="1" si="34"/>
        <v/>
      </c>
      <c r="I852" s="15">
        <f t="shared" ca="1" si="29"/>
        <v>515.6</v>
      </c>
      <c r="J852" s="16">
        <f t="shared" ca="1" si="30"/>
        <v>520.20000000000005</v>
      </c>
      <c r="K852" s="16"/>
      <c r="L852" s="16">
        <f t="shared" ca="1" si="31"/>
        <v>506.20000000000005</v>
      </c>
      <c r="M852" s="16">
        <f t="shared" ca="1" si="32"/>
        <v>529.6</v>
      </c>
      <c r="N852" s="16">
        <f t="shared" ca="1" si="33"/>
        <v>501.6</v>
      </c>
    </row>
    <row r="853" spans="1:14" ht="24.75" customHeight="1" x14ac:dyDescent="0.8">
      <c r="A853" s="18" t="s">
        <v>816</v>
      </c>
      <c r="B853" s="10">
        <f ca="1">IFERROR(__xludf.DUMMYFUNCTION("GOOGLEFINANCE(A853,""PRICE"")"),1002.9)</f>
        <v>1002.9</v>
      </c>
      <c r="C853" s="11">
        <f ca="1">IFERROR(__xludf.DUMMYFUNCTION("GOOGLEFINANCE(A853,""PRICEOPEN"")"),1004.15)</f>
        <v>1004.15</v>
      </c>
      <c r="D853" s="11">
        <f ca="1">IFERROR(__xludf.DUMMYFUNCTION("GOOGLEFINANCE(A853,""HIGH"")"),1012)</f>
        <v>1012</v>
      </c>
      <c r="E853" s="11">
        <f ca="1">IFERROR(__xludf.DUMMYFUNCTION("GOOGLEFINANCE(A853,""LOW"")"),1000)</f>
        <v>1000</v>
      </c>
      <c r="F853" s="12" t="str">
        <f t="shared" ca="1" si="28"/>
        <v/>
      </c>
      <c r="G853" s="13">
        <f ca="1">IFERROR(__xludf.DUMMYFUNCTION("GOOGLEFINANCE(A853,""CLOSEYEST"")"),1004.15)</f>
        <v>1004.15</v>
      </c>
      <c r="H853" s="14" t="str">
        <f t="shared" ca="1" si="34"/>
        <v/>
      </c>
      <c r="I853" s="15">
        <f t="shared" ca="1" si="29"/>
        <v>1005.3833333333333</v>
      </c>
      <c r="J853" s="16">
        <f t="shared" ca="1" si="30"/>
        <v>1010.7666666666667</v>
      </c>
      <c r="K853" s="16"/>
      <c r="L853" s="16">
        <f t="shared" ca="1" si="31"/>
        <v>998.76666666666665</v>
      </c>
      <c r="M853" s="16">
        <f t="shared" ca="1" si="32"/>
        <v>1017.3833333333333</v>
      </c>
      <c r="N853" s="16">
        <f t="shared" ca="1" si="33"/>
        <v>993.38333333333333</v>
      </c>
    </row>
    <row r="854" spans="1:14" ht="24.75" customHeight="1" x14ac:dyDescent="0.8">
      <c r="A854" s="18" t="s">
        <v>817</v>
      </c>
      <c r="B854" s="10">
        <f ca="1">IFERROR(__xludf.DUMMYFUNCTION("GOOGLEFINANCE(A854,""PRICE"")"),239)</f>
        <v>239</v>
      </c>
      <c r="C854" s="11">
        <f ca="1">IFERROR(__xludf.DUMMYFUNCTION("GOOGLEFINANCE(A854,""PRICEOPEN"")"),233.2)</f>
        <v>233.2</v>
      </c>
      <c r="D854" s="11">
        <f ca="1">IFERROR(__xludf.DUMMYFUNCTION("GOOGLEFINANCE(A854,""HIGH"")"),240)</f>
        <v>240</v>
      </c>
      <c r="E854" s="11">
        <f ca="1">IFERROR(__xludf.DUMMYFUNCTION("GOOGLEFINANCE(A854,""LOW"")"),233.2)</f>
        <v>233.2</v>
      </c>
      <c r="F854" s="12" t="str">
        <f t="shared" ca="1" si="28"/>
        <v>BUY</v>
      </c>
      <c r="G854" s="13">
        <f ca="1">IFERROR(__xludf.DUMMYFUNCTION("GOOGLEFINANCE(A854,""CLOSEYEST"")"),234.29)</f>
        <v>234.29</v>
      </c>
      <c r="H854" s="14" t="str">
        <f t="shared" ca="1" si="34"/>
        <v/>
      </c>
      <c r="I854" s="15">
        <f t="shared" ca="1" si="29"/>
        <v>235.83</v>
      </c>
      <c r="J854" s="16">
        <f t="shared" ca="1" si="30"/>
        <v>238.46000000000004</v>
      </c>
      <c r="K854" s="16"/>
      <c r="L854" s="16">
        <f t="shared" ca="1" si="31"/>
        <v>231.66000000000003</v>
      </c>
      <c r="M854" s="16">
        <f t="shared" ca="1" si="32"/>
        <v>242.63000000000002</v>
      </c>
      <c r="N854" s="16">
        <f t="shared" ca="1" si="33"/>
        <v>229.03</v>
      </c>
    </row>
    <row r="855" spans="1:14" ht="24.75" customHeight="1" x14ac:dyDescent="0.8">
      <c r="A855" s="18" t="s">
        <v>818</v>
      </c>
      <c r="B855" s="10">
        <f ca="1">IFERROR(__xludf.DUMMYFUNCTION("GOOGLEFINANCE(A855,""PRICE"")"),83.6)</f>
        <v>83.6</v>
      </c>
      <c r="C855" s="11">
        <f ca="1">IFERROR(__xludf.DUMMYFUNCTION("GOOGLEFINANCE(A855,""PRICEOPEN"")"),83.15)</f>
        <v>83.15</v>
      </c>
      <c r="D855" s="11">
        <f ca="1">IFERROR(__xludf.DUMMYFUNCTION("GOOGLEFINANCE(A855,""HIGH"")"),90.47)</f>
        <v>90.47</v>
      </c>
      <c r="E855" s="11">
        <f ca="1">IFERROR(__xludf.DUMMYFUNCTION("GOOGLEFINANCE(A855,""LOW"")"),82.71)</f>
        <v>82.71</v>
      </c>
      <c r="F855" s="12" t="str">
        <f t="shared" ca="1" si="28"/>
        <v/>
      </c>
      <c r="G855" s="13">
        <f ca="1">IFERROR(__xludf.DUMMYFUNCTION("GOOGLEFINANCE(A855,""CLOSEYEST"")"),81.9)</f>
        <v>81.900000000000006</v>
      </c>
      <c r="H855" s="14" t="str">
        <f t="shared" ca="1" si="34"/>
        <v>GAP UP</v>
      </c>
      <c r="I855" s="15">
        <f t="shared" ca="1" si="29"/>
        <v>85.026666666666671</v>
      </c>
      <c r="J855" s="16">
        <f t="shared" ca="1" si="30"/>
        <v>87.343333333333348</v>
      </c>
      <c r="K855" s="16"/>
      <c r="L855" s="16">
        <f t="shared" ca="1" si="31"/>
        <v>79.583333333333343</v>
      </c>
      <c r="M855" s="16">
        <f t="shared" ca="1" si="32"/>
        <v>92.786666666666676</v>
      </c>
      <c r="N855" s="16">
        <f t="shared" ca="1" si="33"/>
        <v>77.266666666666666</v>
      </c>
    </row>
    <row r="856" spans="1:14" ht="24.75" customHeight="1" x14ac:dyDescent="0.8">
      <c r="A856" s="18" t="s">
        <v>819</v>
      </c>
      <c r="B856" s="10">
        <f ca="1">IFERROR(__xludf.DUMMYFUNCTION("GOOGLEFINANCE(A856,""PRICE"")"),780.5)</f>
        <v>780.5</v>
      </c>
      <c r="C856" s="11">
        <f ca="1">IFERROR(__xludf.DUMMYFUNCTION("GOOGLEFINANCE(A856,""PRICEOPEN"")"),759.45)</f>
        <v>759.45</v>
      </c>
      <c r="D856" s="11">
        <f ca="1">IFERROR(__xludf.DUMMYFUNCTION("GOOGLEFINANCE(A856,""HIGH"")"),786.4)</f>
        <v>786.4</v>
      </c>
      <c r="E856" s="11">
        <f ca="1">IFERROR(__xludf.DUMMYFUNCTION("GOOGLEFINANCE(A856,""LOW"")"),759)</f>
        <v>759</v>
      </c>
      <c r="F856" s="12" t="str">
        <f t="shared" ca="1" si="28"/>
        <v/>
      </c>
      <c r="G856" s="13">
        <f ca="1">IFERROR(__xludf.DUMMYFUNCTION("GOOGLEFINANCE(A856,""CLOSEYEST"")"),757.1)</f>
        <v>757.1</v>
      </c>
      <c r="H856" s="14" t="str">
        <f t="shared" ca="1" si="34"/>
        <v/>
      </c>
      <c r="I856" s="15">
        <f t="shared" ca="1" si="29"/>
        <v>767.5</v>
      </c>
      <c r="J856" s="16">
        <f t="shared" ca="1" si="30"/>
        <v>776</v>
      </c>
      <c r="K856" s="16"/>
      <c r="L856" s="16">
        <f t="shared" ca="1" si="31"/>
        <v>748.6</v>
      </c>
      <c r="M856" s="16">
        <f t="shared" ca="1" si="32"/>
        <v>794.9</v>
      </c>
      <c r="N856" s="16">
        <f t="shared" ca="1" si="33"/>
        <v>740.1</v>
      </c>
    </row>
    <row r="857" spans="1:14" ht="24.75" customHeight="1" x14ac:dyDescent="0.8">
      <c r="A857" s="18" t="s">
        <v>820</v>
      </c>
      <c r="B857" s="10">
        <f ca="1">IFERROR(__xludf.DUMMYFUNCTION("GOOGLEFINANCE(A857,""PRICE"")"),499.95)</f>
        <v>499.95</v>
      </c>
      <c r="C857" s="11">
        <f ca="1">IFERROR(__xludf.DUMMYFUNCTION("GOOGLEFINANCE(A857,""PRICEOPEN"")"),487.5)</f>
        <v>487.5</v>
      </c>
      <c r="D857" s="11">
        <f ca="1">IFERROR(__xludf.DUMMYFUNCTION("GOOGLEFINANCE(A857,""HIGH"")"),508.05)</f>
        <v>508.05</v>
      </c>
      <c r="E857" s="11">
        <f ca="1">IFERROR(__xludf.DUMMYFUNCTION("GOOGLEFINANCE(A857,""LOW"")"),476.9)</f>
        <v>476.9</v>
      </c>
      <c r="F857" s="12" t="str">
        <f t="shared" ca="1" si="28"/>
        <v/>
      </c>
      <c r="G857" s="13">
        <f ca="1">IFERROR(__xludf.DUMMYFUNCTION("GOOGLEFINANCE(A857,""CLOSEYEST"")"),484.35)</f>
        <v>484.35</v>
      </c>
      <c r="H857" s="14" t="str">
        <f t="shared" ca="1" si="34"/>
        <v/>
      </c>
      <c r="I857" s="15">
        <f t="shared" ca="1" si="29"/>
        <v>489.76666666666671</v>
      </c>
      <c r="J857" s="16">
        <f t="shared" ca="1" si="30"/>
        <v>502.63333333333344</v>
      </c>
      <c r="K857" s="16"/>
      <c r="L857" s="16">
        <f t="shared" ca="1" si="31"/>
        <v>471.48333333333341</v>
      </c>
      <c r="M857" s="16">
        <f t="shared" ca="1" si="32"/>
        <v>520.91666666666674</v>
      </c>
      <c r="N857" s="16">
        <f t="shared" ca="1" si="33"/>
        <v>458.61666666666667</v>
      </c>
    </row>
    <row r="858" spans="1:14" ht="24.75" customHeight="1" x14ac:dyDescent="0.8">
      <c r="A858" s="18" t="s">
        <v>821</v>
      </c>
      <c r="B858" s="10">
        <f ca="1">IFERROR(__xludf.DUMMYFUNCTION("GOOGLEFINANCE(A858,""PRICE"")"),34.68)</f>
        <v>34.68</v>
      </c>
      <c r="C858" s="11">
        <f ca="1">IFERROR(__xludf.DUMMYFUNCTION("GOOGLEFINANCE(A858,""PRICEOPEN"")"),34.58)</f>
        <v>34.58</v>
      </c>
      <c r="D858" s="11">
        <f ca="1">IFERROR(__xludf.DUMMYFUNCTION("GOOGLEFINANCE(A858,""HIGH"")"),35.14)</f>
        <v>35.14</v>
      </c>
      <c r="E858" s="11">
        <f ca="1">IFERROR(__xludf.DUMMYFUNCTION("GOOGLEFINANCE(A858,""LOW"")"),34.11)</f>
        <v>34.11</v>
      </c>
      <c r="F858" s="12" t="str">
        <f t="shared" ca="1" si="28"/>
        <v/>
      </c>
      <c r="G858" s="13">
        <f ca="1">IFERROR(__xludf.DUMMYFUNCTION("GOOGLEFINANCE(A858,""CLOSEYEST"")"),34.1)</f>
        <v>34.1</v>
      </c>
      <c r="H858" s="14" t="str">
        <f t="shared" ca="1" si="34"/>
        <v>GAP UP</v>
      </c>
      <c r="I858" s="15">
        <f t="shared" ca="1" si="29"/>
        <v>34.449999999999996</v>
      </c>
      <c r="J858" s="16">
        <f t="shared" ca="1" si="30"/>
        <v>34.789999999999992</v>
      </c>
      <c r="K858" s="16"/>
      <c r="L858" s="16">
        <f t="shared" ca="1" si="31"/>
        <v>33.759999999999991</v>
      </c>
      <c r="M858" s="16">
        <f t="shared" ca="1" si="32"/>
        <v>35.479999999999997</v>
      </c>
      <c r="N858" s="16">
        <f t="shared" ca="1" si="33"/>
        <v>33.419999999999995</v>
      </c>
    </row>
    <row r="859" spans="1:14" ht="24.75" customHeight="1" x14ac:dyDescent="0.8">
      <c r="A859" s="18" t="s">
        <v>822</v>
      </c>
      <c r="B859" s="10">
        <f ca="1">IFERROR(__xludf.DUMMYFUNCTION("GOOGLEFINANCE(A859,""PRICE"")"),202.17)</f>
        <v>202.17</v>
      </c>
      <c r="C859" s="11">
        <f ca="1">IFERROR(__xludf.DUMMYFUNCTION("GOOGLEFINANCE(A859,""PRICEOPEN"")"),202.5)</f>
        <v>202.5</v>
      </c>
      <c r="D859" s="11">
        <f ca="1">IFERROR(__xludf.DUMMYFUNCTION("GOOGLEFINANCE(A859,""HIGH"")"),204.44)</f>
        <v>204.44</v>
      </c>
      <c r="E859" s="11">
        <f ca="1">IFERROR(__xludf.DUMMYFUNCTION("GOOGLEFINANCE(A859,""LOW"")"),196.94)</f>
        <v>196.94</v>
      </c>
      <c r="F859" s="12" t="str">
        <f t="shared" ca="1" si="28"/>
        <v/>
      </c>
      <c r="G859" s="13">
        <f ca="1">IFERROR(__xludf.DUMMYFUNCTION("GOOGLEFINANCE(A859,""CLOSEYEST"")"),199.4)</f>
        <v>199.4</v>
      </c>
      <c r="H859" s="14" t="str">
        <f t="shared" ca="1" si="34"/>
        <v>GAP UP</v>
      </c>
      <c r="I859" s="15">
        <f t="shared" ca="1" si="29"/>
        <v>200.26</v>
      </c>
      <c r="J859" s="16">
        <f t="shared" ca="1" si="30"/>
        <v>203.57999999999998</v>
      </c>
      <c r="K859" s="16"/>
      <c r="L859" s="16">
        <f t="shared" ca="1" si="31"/>
        <v>196.07999999999998</v>
      </c>
      <c r="M859" s="16">
        <f t="shared" ca="1" si="32"/>
        <v>207.76</v>
      </c>
      <c r="N859" s="16">
        <f t="shared" ca="1" si="33"/>
        <v>192.76</v>
      </c>
    </row>
    <row r="860" spans="1:14" ht="24.75" customHeight="1" x14ac:dyDescent="0.8">
      <c r="A860" s="18" t="s">
        <v>823</v>
      </c>
      <c r="B860" s="10">
        <f ca="1">IFERROR(__xludf.DUMMYFUNCTION("GOOGLEFINANCE(A860,""PRICE"")"),64.9)</f>
        <v>64.900000000000006</v>
      </c>
      <c r="C860" s="11">
        <f ca="1">IFERROR(__xludf.DUMMYFUNCTION("GOOGLEFINANCE(A860,""PRICEOPEN"")"),65.35)</f>
        <v>65.349999999999994</v>
      </c>
      <c r="D860" s="11">
        <f ca="1">IFERROR(__xludf.DUMMYFUNCTION("GOOGLEFINANCE(A860,""HIGH"")"),65.6)</f>
        <v>65.599999999999994</v>
      </c>
      <c r="E860" s="11">
        <f ca="1">IFERROR(__xludf.DUMMYFUNCTION("GOOGLEFINANCE(A860,""LOW"")"),64.7)</f>
        <v>64.7</v>
      </c>
      <c r="F860" s="12" t="str">
        <f t="shared" ca="1" si="28"/>
        <v/>
      </c>
      <c r="G860" s="13">
        <f ca="1">IFERROR(__xludf.DUMMYFUNCTION("GOOGLEFINANCE(A860,""CLOSEYEST"")"),64.4)</f>
        <v>64.400000000000006</v>
      </c>
      <c r="H860" s="14" t="str">
        <f t="shared" ca="1" si="34"/>
        <v>GAP UP</v>
      </c>
      <c r="I860" s="15">
        <f t="shared" ca="1" si="29"/>
        <v>64.900000000000006</v>
      </c>
      <c r="J860" s="16">
        <f t="shared" ca="1" si="30"/>
        <v>65.100000000000009</v>
      </c>
      <c r="K860" s="16"/>
      <c r="L860" s="16">
        <f t="shared" ca="1" si="31"/>
        <v>64.200000000000017</v>
      </c>
      <c r="M860" s="16">
        <f t="shared" ca="1" si="32"/>
        <v>65.8</v>
      </c>
      <c r="N860" s="16">
        <f t="shared" ca="1" si="33"/>
        <v>64.000000000000014</v>
      </c>
    </row>
    <row r="861" spans="1:14" ht="24.75" customHeight="1" x14ac:dyDescent="0.8">
      <c r="A861" s="18" t="s">
        <v>824</v>
      </c>
      <c r="B861" s="10">
        <f ca="1">IFERROR(__xludf.DUMMYFUNCTION("GOOGLEFINANCE(A861,""PRICE"")"),5.67)</f>
        <v>5.67</v>
      </c>
      <c r="C861" s="11">
        <f ca="1">IFERROR(__xludf.DUMMYFUNCTION("GOOGLEFINANCE(A861,""PRICEOPEN"")"),5.78)</f>
        <v>5.78</v>
      </c>
      <c r="D861" s="11">
        <f ca="1">IFERROR(__xludf.DUMMYFUNCTION("GOOGLEFINANCE(A861,""HIGH"")"),5.81)</f>
        <v>5.81</v>
      </c>
      <c r="E861" s="11">
        <f ca="1">IFERROR(__xludf.DUMMYFUNCTION("GOOGLEFINANCE(A861,""LOW"")"),5.53)</f>
        <v>5.53</v>
      </c>
      <c r="F861" s="12" t="str">
        <f t="shared" ca="1" si="28"/>
        <v/>
      </c>
      <c r="G861" s="13">
        <f ca="1">IFERROR(__xludf.DUMMYFUNCTION("GOOGLEFINANCE(A861,""CLOSEYEST"")"),5.56)</f>
        <v>5.56</v>
      </c>
      <c r="H861" s="14" t="str">
        <f t="shared" ca="1" si="34"/>
        <v>GAP UP</v>
      </c>
      <c r="I861" s="15">
        <f t="shared" ca="1" si="29"/>
        <v>5.6333333333333329</v>
      </c>
      <c r="J861" s="16">
        <f t="shared" ca="1" si="30"/>
        <v>5.7366666666666655</v>
      </c>
      <c r="K861" s="16"/>
      <c r="L861" s="16">
        <f t="shared" ca="1" si="31"/>
        <v>5.4566666666666661</v>
      </c>
      <c r="M861" s="16">
        <f t="shared" ca="1" si="32"/>
        <v>5.9133333333333322</v>
      </c>
      <c r="N861" s="16">
        <f t="shared" ca="1" si="33"/>
        <v>5.3533333333333335</v>
      </c>
    </row>
    <row r="862" spans="1:14" ht="24.75" customHeight="1" x14ac:dyDescent="0.8">
      <c r="A862" s="18" t="s">
        <v>825</v>
      </c>
      <c r="B862" s="10">
        <f ca="1">IFERROR(__xludf.DUMMYFUNCTION("GOOGLEFINANCE(A862,""PRICE"")"),266)</f>
        <v>266</v>
      </c>
      <c r="C862" s="11">
        <f ca="1">IFERROR(__xludf.DUMMYFUNCTION("GOOGLEFINANCE(A862,""PRICEOPEN"")"),265.65)</f>
        <v>265.64999999999998</v>
      </c>
      <c r="D862" s="11">
        <f ca="1">IFERROR(__xludf.DUMMYFUNCTION("GOOGLEFINANCE(A862,""HIGH"")"),269.05)</f>
        <v>269.05</v>
      </c>
      <c r="E862" s="11">
        <f ca="1">IFERROR(__xludf.DUMMYFUNCTION("GOOGLEFINANCE(A862,""LOW"")"),257.3)</f>
        <v>257.3</v>
      </c>
      <c r="F862" s="12" t="str">
        <f t="shared" ca="1" si="28"/>
        <v/>
      </c>
      <c r="G862" s="13">
        <f ca="1">IFERROR(__xludf.DUMMYFUNCTION("GOOGLEFINANCE(A862,""CLOSEYEST"")"),264.15)</f>
        <v>264.14999999999998</v>
      </c>
      <c r="H862" s="14" t="str">
        <f t="shared" ca="1" si="34"/>
        <v/>
      </c>
      <c r="I862" s="15">
        <f t="shared" ca="1" si="29"/>
        <v>263.5</v>
      </c>
      <c r="J862" s="16">
        <f t="shared" ca="1" si="30"/>
        <v>269.7</v>
      </c>
      <c r="K862" s="16"/>
      <c r="L862" s="16">
        <f t="shared" ca="1" si="31"/>
        <v>257.95</v>
      </c>
      <c r="M862" s="16">
        <f t="shared" ca="1" si="32"/>
        <v>275.25</v>
      </c>
      <c r="N862" s="16">
        <f t="shared" ca="1" si="33"/>
        <v>251.75</v>
      </c>
    </row>
    <row r="863" spans="1:14" ht="24.75" customHeight="1" x14ac:dyDescent="0.8">
      <c r="A863" s="18" t="s">
        <v>826</v>
      </c>
      <c r="B863" s="10">
        <f ca="1">IFERROR(__xludf.DUMMYFUNCTION("GOOGLEFINANCE(A863,""PRICE"")"),97)</f>
        <v>97</v>
      </c>
      <c r="C863" s="11">
        <f ca="1">IFERROR(__xludf.DUMMYFUNCTION("GOOGLEFINANCE(A863,""PRICEOPEN"")"),94.76)</f>
        <v>94.76</v>
      </c>
      <c r="D863" s="11">
        <f ca="1">IFERROR(__xludf.DUMMYFUNCTION("GOOGLEFINANCE(A863,""HIGH"")"),97.2)</f>
        <v>97.2</v>
      </c>
      <c r="E863" s="11">
        <f ca="1">IFERROR(__xludf.DUMMYFUNCTION("GOOGLEFINANCE(A863,""LOW"")"),93.91)</f>
        <v>93.91</v>
      </c>
      <c r="F863" s="12" t="str">
        <f t="shared" ca="1" si="28"/>
        <v/>
      </c>
      <c r="G863" s="13">
        <f ca="1">IFERROR(__xludf.DUMMYFUNCTION("GOOGLEFINANCE(A863,""CLOSEYEST"")"),94.75)</f>
        <v>94.75</v>
      </c>
      <c r="H863" s="14" t="str">
        <f t="shared" ca="1" si="34"/>
        <v/>
      </c>
      <c r="I863" s="15">
        <f t="shared" ca="1" si="29"/>
        <v>95.286666666666676</v>
      </c>
      <c r="J863" s="16">
        <f t="shared" ca="1" si="30"/>
        <v>96.663333333333355</v>
      </c>
      <c r="K863" s="16"/>
      <c r="L863" s="16">
        <f t="shared" ca="1" si="31"/>
        <v>93.373333333333349</v>
      </c>
      <c r="M863" s="16">
        <f t="shared" ca="1" si="32"/>
        <v>98.576666666666682</v>
      </c>
      <c r="N863" s="16">
        <f t="shared" ca="1" si="33"/>
        <v>91.99666666666667</v>
      </c>
    </row>
    <row r="864" spans="1:14" ht="24.75" customHeight="1" x14ac:dyDescent="0.8">
      <c r="A864" s="18" t="s">
        <v>827</v>
      </c>
      <c r="B864" s="10">
        <f ca="1">IFERROR(__xludf.DUMMYFUNCTION("GOOGLEFINANCE(A864,""PRICE"")"),814.6)</f>
        <v>814.6</v>
      </c>
      <c r="C864" s="11">
        <f ca="1">IFERROR(__xludf.DUMMYFUNCTION("GOOGLEFINANCE(A864,""PRICEOPEN"")"),800)</f>
        <v>800</v>
      </c>
      <c r="D864" s="11">
        <f ca="1">IFERROR(__xludf.DUMMYFUNCTION("GOOGLEFINANCE(A864,""HIGH"")"),828)</f>
        <v>828</v>
      </c>
      <c r="E864" s="11">
        <f ca="1">IFERROR(__xludf.DUMMYFUNCTION("GOOGLEFINANCE(A864,""LOW"")"),790.75)</f>
        <v>790.75</v>
      </c>
      <c r="F864" s="12" t="str">
        <f t="shared" ca="1" si="28"/>
        <v/>
      </c>
      <c r="G864" s="13">
        <f ca="1">IFERROR(__xludf.DUMMYFUNCTION("GOOGLEFINANCE(A864,""CLOSEYEST"")"),798.65)</f>
        <v>798.65</v>
      </c>
      <c r="H864" s="14" t="str">
        <f t="shared" ca="1" si="34"/>
        <v/>
      </c>
      <c r="I864" s="15">
        <f t="shared" ca="1" si="29"/>
        <v>805.80000000000007</v>
      </c>
      <c r="J864" s="16">
        <f t="shared" ca="1" si="30"/>
        <v>820.85000000000014</v>
      </c>
      <c r="K864" s="16"/>
      <c r="L864" s="16">
        <f t="shared" ca="1" si="31"/>
        <v>783.60000000000014</v>
      </c>
      <c r="M864" s="16">
        <f t="shared" ca="1" si="32"/>
        <v>843.05000000000007</v>
      </c>
      <c r="N864" s="16">
        <f t="shared" ca="1" si="33"/>
        <v>768.55000000000007</v>
      </c>
    </row>
    <row r="865" spans="1:14" ht="24.75" customHeight="1" x14ac:dyDescent="0.8">
      <c r="A865" s="18" t="s">
        <v>828</v>
      </c>
      <c r="B865" s="10">
        <f ca="1">IFERROR(__xludf.DUMMYFUNCTION("GOOGLEFINANCE(A865,""PRICE"")"),0.43)</f>
        <v>0.43</v>
      </c>
      <c r="C865" s="11">
        <f ca="1">IFERROR(__xludf.DUMMYFUNCTION("GOOGLEFINANCE(A865,""PRICEOPEN"")"),0.44)</f>
        <v>0.44</v>
      </c>
      <c r="D865" s="11">
        <f ca="1">IFERROR(__xludf.DUMMYFUNCTION("GOOGLEFINANCE(A865,""HIGH"")"),0.45)</f>
        <v>0.45</v>
      </c>
      <c r="E865" s="11">
        <f ca="1">IFERROR(__xludf.DUMMYFUNCTION("GOOGLEFINANCE(A865,""LOW"")"),0.43)</f>
        <v>0.43</v>
      </c>
      <c r="F865" s="12" t="str">
        <f t="shared" ca="1" si="28"/>
        <v/>
      </c>
      <c r="G865" s="13">
        <f ca="1">IFERROR(__xludf.DUMMYFUNCTION("GOOGLEFINANCE(A865,""CLOSEYEST"")"),0.44)</f>
        <v>0.44</v>
      </c>
      <c r="H865" s="14" t="str">
        <f t="shared" ca="1" si="34"/>
        <v/>
      </c>
      <c r="I865" s="15">
        <f t="shared" ca="1" si="29"/>
        <v>0.44</v>
      </c>
      <c r="J865" s="16">
        <f t="shared" ca="1" si="30"/>
        <v>0.45</v>
      </c>
      <c r="K865" s="16"/>
      <c r="L865" s="16">
        <f t="shared" ca="1" si="31"/>
        <v>0.43</v>
      </c>
      <c r="M865" s="16">
        <f t="shared" ca="1" si="32"/>
        <v>0.46</v>
      </c>
      <c r="N865" s="16">
        <f t="shared" ca="1" si="33"/>
        <v>0.42</v>
      </c>
    </row>
    <row r="866" spans="1:14" ht="24.75" customHeight="1" x14ac:dyDescent="0.8">
      <c r="A866" s="18" t="s">
        <v>829</v>
      </c>
      <c r="B866" s="10">
        <f ca="1">IFERROR(__xludf.DUMMYFUNCTION("GOOGLEFINANCE(A866,""PRICE"")"),3650)</f>
        <v>3650</v>
      </c>
      <c r="C866" s="11">
        <f ca="1">IFERROR(__xludf.DUMMYFUNCTION("GOOGLEFINANCE(A866,""PRICEOPEN"")"),3675.2)</f>
        <v>3675.2</v>
      </c>
      <c r="D866" s="11">
        <f ca="1">IFERROR(__xludf.DUMMYFUNCTION("GOOGLEFINANCE(A866,""HIGH"")"),3729.8)</f>
        <v>3729.8</v>
      </c>
      <c r="E866" s="11">
        <f ca="1">IFERROR(__xludf.DUMMYFUNCTION("GOOGLEFINANCE(A866,""LOW"")"),3559.2)</f>
        <v>3559.2</v>
      </c>
      <c r="F866" s="12" t="str">
        <f t="shared" ca="1" si="28"/>
        <v/>
      </c>
      <c r="G866" s="13">
        <f ca="1">IFERROR(__xludf.DUMMYFUNCTION("GOOGLEFINANCE(A866,""CLOSEYEST"")"),3701.1)</f>
        <v>3701.1</v>
      </c>
      <c r="H866" s="14" t="str">
        <f t="shared" ca="1" si="34"/>
        <v/>
      </c>
      <c r="I866" s="15">
        <f t="shared" ca="1" si="29"/>
        <v>3663.3666666666668</v>
      </c>
      <c r="J866" s="16">
        <f t="shared" ca="1" si="30"/>
        <v>3767.5333333333338</v>
      </c>
      <c r="K866" s="16"/>
      <c r="L866" s="16">
        <f t="shared" ca="1" si="31"/>
        <v>3596.9333333333334</v>
      </c>
      <c r="M866" s="16">
        <f t="shared" ca="1" si="32"/>
        <v>3833.9666666666672</v>
      </c>
      <c r="N866" s="16">
        <f t="shared" ca="1" si="33"/>
        <v>3492.7666666666664</v>
      </c>
    </row>
    <row r="867" spans="1:14" ht="24.75" customHeight="1" x14ac:dyDescent="0.8">
      <c r="A867" s="18" t="s">
        <v>830</v>
      </c>
      <c r="B867" s="10">
        <f ca="1">IFERROR(__xludf.DUMMYFUNCTION("GOOGLEFINANCE(A867,""PRICE"")"),150.5)</f>
        <v>150.5</v>
      </c>
      <c r="C867" s="11">
        <f ca="1">IFERROR(__xludf.DUMMYFUNCTION("GOOGLEFINANCE(A867,""PRICEOPEN"")"),155.99)</f>
        <v>155.99</v>
      </c>
      <c r="D867" s="11">
        <f ca="1">IFERROR(__xludf.DUMMYFUNCTION("GOOGLEFINANCE(A867,""HIGH"")"),159.49)</f>
        <v>159.49</v>
      </c>
      <c r="E867" s="11">
        <f ca="1">IFERROR(__xludf.DUMMYFUNCTION("GOOGLEFINANCE(A867,""LOW"")"),150.3)</f>
        <v>150.30000000000001</v>
      </c>
      <c r="F867" s="12" t="str">
        <f t="shared" ca="1" si="28"/>
        <v/>
      </c>
      <c r="G867" s="13">
        <f ca="1">IFERROR(__xludf.DUMMYFUNCTION("GOOGLEFINANCE(A867,""CLOSEYEST"")"),155.59)</f>
        <v>155.59</v>
      </c>
      <c r="H867" s="14" t="str">
        <f t="shared" ca="1" si="34"/>
        <v/>
      </c>
      <c r="I867" s="15">
        <f t="shared" ca="1" si="29"/>
        <v>155.12666666666667</v>
      </c>
      <c r="J867" s="16">
        <f t="shared" ca="1" si="30"/>
        <v>159.95333333333332</v>
      </c>
      <c r="K867" s="16"/>
      <c r="L867" s="16">
        <f t="shared" ca="1" si="31"/>
        <v>150.76333333333332</v>
      </c>
      <c r="M867" s="16">
        <f t="shared" ca="1" si="32"/>
        <v>164.31666666666666</v>
      </c>
      <c r="N867" s="16">
        <f t="shared" ca="1" si="33"/>
        <v>145.93666666666667</v>
      </c>
    </row>
    <row r="868" spans="1:14" ht="24.75" customHeight="1" x14ac:dyDescent="0.8">
      <c r="A868" s="18" t="s">
        <v>831</v>
      </c>
      <c r="B868" s="10">
        <f ca="1">IFERROR(__xludf.DUMMYFUNCTION("GOOGLEFINANCE(A868,""PRICE"")"),360.3)</f>
        <v>360.3</v>
      </c>
      <c r="C868" s="11">
        <f ca="1">IFERROR(__xludf.DUMMYFUNCTION("GOOGLEFINANCE(A868,""PRICEOPEN"")"),360)</f>
        <v>360</v>
      </c>
      <c r="D868" s="11">
        <f ca="1">IFERROR(__xludf.DUMMYFUNCTION("GOOGLEFINANCE(A868,""HIGH"")"),366.9)</f>
        <v>366.9</v>
      </c>
      <c r="E868" s="11">
        <f ca="1">IFERROR(__xludf.DUMMYFUNCTION("GOOGLEFINANCE(A868,""LOW"")"),358.55)</f>
        <v>358.55</v>
      </c>
      <c r="F868" s="12" t="str">
        <f t="shared" ca="1" si="28"/>
        <v/>
      </c>
      <c r="G868" s="13">
        <f ca="1">IFERROR(__xludf.DUMMYFUNCTION("GOOGLEFINANCE(A868,""CLOSEYEST"")"),359.85)</f>
        <v>359.85</v>
      </c>
      <c r="H868" s="14" t="str">
        <f t="shared" ca="1" si="34"/>
        <v/>
      </c>
      <c r="I868" s="15">
        <f t="shared" ca="1" si="29"/>
        <v>361.76666666666671</v>
      </c>
      <c r="J868" s="16">
        <f t="shared" ca="1" si="30"/>
        <v>364.98333333333341</v>
      </c>
      <c r="K868" s="16"/>
      <c r="L868" s="16">
        <f t="shared" ca="1" si="31"/>
        <v>356.63333333333344</v>
      </c>
      <c r="M868" s="16">
        <f t="shared" ca="1" si="32"/>
        <v>370.11666666666667</v>
      </c>
      <c r="N868" s="16">
        <f t="shared" ca="1" si="33"/>
        <v>353.41666666666674</v>
      </c>
    </row>
    <row r="869" spans="1:14" ht="24.75" customHeight="1" x14ac:dyDescent="0.8">
      <c r="A869" s="18" t="s">
        <v>832</v>
      </c>
      <c r="B869" s="10">
        <f ca="1">IFERROR(__xludf.DUMMYFUNCTION("GOOGLEFINANCE(A869,""PRICE"")"),1938)</f>
        <v>1938</v>
      </c>
      <c r="C869" s="11">
        <f ca="1">IFERROR(__xludf.DUMMYFUNCTION("GOOGLEFINANCE(A869,""PRICEOPEN"")"),1980)</f>
        <v>1980</v>
      </c>
      <c r="D869" s="11">
        <f ca="1">IFERROR(__xludf.DUMMYFUNCTION("GOOGLEFINANCE(A869,""HIGH"")"),1981.3)</f>
        <v>1981.3</v>
      </c>
      <c r="E869" s="11">
        <f ca="1">IFERROR(__xludf.DUMMYFUNCTION("GOOGLEFINANCE(A869,""LOW"")"),1921.1)</f>
        <v>1921.1</v>
      </c>
      <c r="F869" s="12" t="str">
        <f t="shared" ca="1" si="28"/>
        <v/>
      </c>
      <c r="G869" s="13">
        <f ca="1">IFERROR(__xludf.DUMMYFUNCTION("GOOGLEFINANCE(A869,""CLOSEYEST"")"),1963.8)</f>
        <v>1963.8</v>
      </c>
      <c r="H869" s="14" t="str">
        <f t="shared" ca="1" si="34"/>
        <v/>
      </c>
      <c r="I869" s="15">
        <f t="shared" ca="1" si="29"/>
        <v>1955.3999999999999</v>
      </c>
      <c r="J869" s="16">
        <f t="shared" ca="1" si="30"/>
        <v>1989.6999999999998</v>
      </c>
      <c r="K869" s="16"/>
      <c r="L869" s="16">
        <f t="shared" ca="1" si="31"/>
        <v>1929.4999999999998</v>
      </c>
      <c r="M869" s="16">
        <f t="shared" ca="1" si="32"/>
        <v>2015.6</v>
      </c>
      <c r="N869" s="16">
        <f t="shared" ca="1" si="33"/>
        <v>1895.1999999999998</v>
      </c>
    </row>
    <row r="870" spans="1:14" ht="24.75" customHeight="1" x14ac:dyDescent="0.8">
      <c r="A870" s="18" t="s">
        <v>833</v>
      </c>
      <c r="B870" s="10">
        <f ca="1">IFERROR(__xludf.DUMMYFUNCTION("GOOGLEFINANCE(A870,""PRICE"")"),37.9)</f>
        <v>37.9</v>
      </c>
      <c r="C870" s="11">
        <f ca="1">IFERROR(__xludf.DUMMYFUNCTION("GOOGLEFINANCE(A870,""PRICEOPEN"")"),37.7)</f>
        <v>37.700000000000003</v>
      </c>
      <c r="D870" s="11">
        <f ca="1">IFERROR(__xludf.DUMMYFUNCTION("GOOGLEFINANCE(A870,""HIGH"")"),38.09)</f>
        <v>38.090000000000003</v>
      </c>
      <c r="E870" s="11">
        <f ca="1">IFERROR(__xludf.DUMMYFUNCTION("GOOGLEFINANCE(A870,""LOW"")"),37.42)</f>
        <v>37.42</v>
      </c>
      <c r="F870" s="12" t="str">
        <f t="shared" ca="1" si="28"/>
        <v/>
      </c>
      <c r="G870" s="13">
        <f ca="1">IFERROR(__xludf.DUMMYFUNCTION("GOOGLEFINANCE(A870,""CLOSEYEST"")"),37.69)</f>
        <v>37.69</v>
      </c>
      <c r="H870" s="14" t="str">
        <f t="shared" ca="1" si="34"/>
        <v/>
      </c>
      <c r="I870" s="15">
        <f t="shared" ca="1" si="29"/>
        <v>37.733333333333334</v>
      </c>
      <c r="J870" s="16">
        <f t="shared" ca="1" si="30"/>
        <v>38.046666666666667</v>
      </c>
      <c r="K870" s="16"/>
      <c r="L870" s="16">
        <f t="shared" ca="1" si="31"/>
        <v>37.376666666666665</v>
      </c>
      <c r="M870" s="16">
        <f t="shared" ca="1" si="32"/>
        <v>38.403333333333336</v>
      </c>
      <c r="N870" s="16">
        <f t="shared" ca="1" si="33"/>
        <v>37.063333333333333</v>
      </c>
    </row>
    <row r="871" spans="1:14" ht="24.75" customHeight="1" x14ac:dyDescent="0.8">
      <c r="A871" s="18" t="s">
        <v>834</v>
      </c>
      <c r="B871" s="10">
        <f ca="1">IFERROR(__xludf.DUMMYFUNCTION("GOOGLEFINANCE(A871,""PRICE"")"),456.4)</f>
        <v>456.4</v>
      </c>
      <c r="C871" s="11">
        <f ca="1">IFERROR(__xludf.DUMMYFUNCTION("GOOGLEFINANCE(A871,""PRICEOPEN"")"),455.5)</f>
        <v>455.5</v>
      </c>
      <c r="D871" s="11">
        <f ca="1">IFERROR(__xludf.DUMMYFUNCTION("GOOGLEFINANCE(A871,""HIGH"")"),461.95)</f>
        <v>461.95</v>
      </c>
      <c r="E871" s="11">
        <f ca="1">IFERROR(__xludf.DUMMYFUNCTION("GOOGLEFINANCE(A871,""LOW"")"),453.15)</f>
        <v>453.15</v>
      </c>
      <c r="F871" s="12" t="str">
        <f t="shared" ca="1" si="28"/>
        <v/>
      </c>
      <c r="G871" s="13">
        <f ca="1">IFERROR(__xludf.DUMMYFUNCTION("GOOGLEFINANCE(A871,""CLOSEYEST"")"),455.5)</f>
        <v>455.5</v>
      </c>
      <c r="H871" s="14" t="str">
        <f t="shared" ca="1" si="34"/>
        <v/>
      </c>
      <c r="I871" s="15">
        <f t="shared" ca="1" si="29"/>
        <v>456.86666666666662</v>
      </c>
      <c r="J871" s="16">
        <f t="shared" ca="1" si="30"/>
        <v>460.58333333333326</v>
      </c>
      <c r="K871" s="16"/>
      <c r="L871" s="16">
        <f t="shared" ca="1" si="31"/>
        <v>451.78333333333325</v>
      </c>
      <c r="M871" s="16">
        <f t="shared" ca="1" si="32"/>
        <v>465.66666666666663</v>
      </c>
      <c r="N871" s="16">
        <f t="shared" ca="1" si="33"/>
        <v>448.06666666666661</v>
      </c>
    </row>
    <row r="872" spans="1:14" ht="24.75" customHeight="1" x14ac:dyDescent="0.8">
      <c r="A872" s="18" t="s">
        <v>835</v>
      </c>
      <c r="B872" s="10">
        <f ca="1">IFERROR(__xludf.DUMMYFUNCTION("GOOGLEFINANCE(A872,""PRICE"")"),161.83)</f>
        <v>161.83000000000001</v>
      </c>
      <c r="C872" s="11">
        <f ca="1">IFERROR(__xludf.DUMMYFUNCTION("GOOGLEFINANCE(A872,""PRICEOPEN"")"),164)</f>
        <v>164</v>
      </c>
      <c r="D872" s="11">
        <f ca="1">IFERROR(__xludf.DUMMYFUNCTION("GOOGLEFINANCE(A872,""HIGH"")"),164.6)</f>
        <v>164.6</v>
      </c>
      <c r="E872" s="11">
        <f ca="1">IFERROR(__xludf.DUMMYFUNCTION("GOOGLEFINANCE(A872,""LOW"")"),159.85)</f>
        <v>159.85</v>
      </c>
      <c r="F872" s="12" t="str">
        <f t="shared" ca="1" si="28"/>
        <v/>
      </c>
      <c r="G872" s="13">
        <f ca="1">IFERROR(__xludf.DUMMYFUNCTION("GOOGLEFINANCE(A872,""CLOSEYEST"")"),163.21)</f>
        <v>163.21</v>
      </c>
      <c r="H872" s="14" t="str">
        <f t="shared" ca="1" si="34"/>
        <v/>
      </c>
      <c r="I872" s="15">
        <f t="shared" ca="1" si="29"/>
        <v>162.55333333333331</v>
      </c>
      <c r="J872" s="16">
        <f t="shared" ca="1" si="30"/>
        <v>165.25666666666663</v>
      </c>
      <c r="K872" s="16"/>
      <c r="L872" s="16">
        <f t="shared" ca="1" si="31"/>
        <v>160.50666666666663</v>
      </c>
      <c r="M872" s="16">
        <f t="shared" ca="1" si="32"/>
        <v>167.30333333333331</v>
      </c>
      <c r="N872" s="16">
        <f t="shared" ca="1" si="33"/>
        <v>157.80333333333331</v>
      </c>
    </row>
    <row r="873" spans="1:14" ht="24.75" customHeight="1" x14ac:dyDescent="0.8">
      <c r="A873" s="18" t="s">
        <v>836</v>
      </c>
      <c r="B873" s="10" t="str">
        <f ca="1">IFERROR(__xludf.DUMMYFUNCTION("GOOGLEFINANCE(A873,""PRICE"")"),"#N/A")</f>
        <v>#N/A</v>
      </c>
      <c r="C873" s="11" t="str">
        <f ca="1">IFERROR(__xludf.DUMMYFUNCTION("GOOGLEFINANCE(A873,""PRICEOPEN"")"),"#N/A")</f>
        <v>#N/A</v>
      </c>
      <c r="D873" s="11" t="str">
        <f ca="1">IFERROR(__xludf.DUMMYFUNCTION("GOOGLEFINANCE(A873,""HIGH"")"),"#N/A")</f>
        <v>#N/A</v>
      </c>
      <c r="E873" s="11" t="str">
        <f ca="1">IFERROR(__xludf.DUMMYFUNCTION("GOOGLEFINANCE(A873,""LOW"")"),"#N/A")</f>
        <v>#N/A</v>
      </c>
      <c r="F873" s="12" t="str">
        <f t="shared" ca="1" si="28"/>
        <v>SELL</v>
      </c>
      <c r="G873" s="13" t="str">
        <f ca="1">IFERROR(__xludf.DUMMYFUNCTION("GOOGLEFINANCE(A873,""CLOSEYEST"")"),"#N/A")</f>
        <v>#N/A</v>
      </c>
      <c r="H873" s="14" t="e">
        <f t="shared" ca="1" si="34"/>
        <v>#VALUE!</v>
      </c>
      <c r="I873" s="15" t="e">
        <f t="shared" ca="1" si="29"/>
        <v>#VALUE!</v>
      </c>
      <c r="J873" s="16" t="e">
        <f t="shared" ca="1" si="30"/>
        <v>#VALUE!</v>
      </c>
      <c r="K873" s="16"/>
      <c r="L873" s="16" t="e">
        <f t="shared" ca="1" si="31"/>
        <v>#VALUE!</v>
      </c>
      <c r="M873" s="16" t="e">
        <f t="shared" ca="1" si="32"/>
        <v>#VALUE!</v>
      </c>
      <c r="N873" s="16" t="e">
        <f t="shared" ca="1" si="33"/>
        <v>#VALUE!</v>
      </c>
    </row>
    <row r="874" spans="1:14" ht="24.75" customHeight="1" x14ac:dyDescent="0.8">
      <c r="A874" s="18" t="s">
        <v>837</v>
      </c>
      <c r="B874" s="10">
        <f ca="1">IFERROR(__xludf.DUMMYFUNCTION("GOOGLEFINANCE(A874,""PRICE"")"),577.2)</f>
        <v>577.20000000000005</v>
      </c>
      <c r="C874" s="11">
        <f ca="1">IFERROR(__xludf.DUMMYFUNCTION("GOOGLEFINANCE(A874,""PRICEOPEN"")"),585.9)</f>
        <v>585.9</v>
      </c>
      <c r="D874" s="11">
        <f ca="1">IFERROR(__xludf.DUMMYFUNCTION("GOOGLEFINANCE(A874,""HIGH"")"),585.9)</f>
        <v>585.9</v>
      </c>
      <c r="E874" s="11">
        <f ca="1">IFERROR(__xludf.DUMMYFUNCTION("GOOGLEFINANCE(A874,""LOW"")"),571.95)</f>
        <v>571.95000000000005</v>
      </c>
      <c r="F874" s="12" t="str">
        <f t="shared" ca="1" si="28"/>
        <v>SELL</v>
      </c>
      <c r="G874" s="13">
        <f ca="1">IFERROR(__xludf.DUMMYFUNCTION("GOOGLEFINANCE(A874,""CLOSEYEST"")"),582.25)</f>
        <v>582.25</v>
      </c>
      <c r="H874" s="14" t="str">
        <f t="shared" ca="1" si="34"/>
        <v/>
      </c>
      <c r="I874" s="15">
        <f t="shared" ca="1" si="29"/>
        <v>580.0333333333333</v>
      </c>
      <c r="J874" s="16">
        <f t="shared" ca="1" si="30"/>
        <v>588.11666666666656</v>
      </c>
      <c r="K874" s="16"/>
      <c r="L874" s="16">
        <f t="shared" ca="1" si="31"/>
        <v>574.16666666666663</v>
      </c>
      <c r="M874" s="16">
        <f t="shared" ca="1" si="32"/>
        <v>593.98333333333323</v>
      </c>
      <c r="N874" s="16">
        <f t="shared" ca="1" si="33"/>
        <v>566.08333333333337</v>
      </c>
    </row>
    <row r="875" spans="1:14" ht="24.75" customHeight="1" x14ac:dyDescent="0.8">
      <c r="A875" s="18" t="s">
        <v>838</v>
      </c>
      <c r="B875" s="10" t="str">
        <f ca="1">IFERROR(__xludf.DUMMYFUNCTION("GOOGLEFINANCE(A875,""PRICE"")"),"#N/A")</f>
        <v>#N/A</v>
      </c>
      <c r="C875" s="11" t="str">
        <f ca="1">IFERROR(__xludf.DUMMYFUNCTION("GOOGLEFINANCE(A875,""PRICEOPEN"")"),"#N/A")</f>
        <v>#N/A</v>
      </c>
      <c r="D875" s="11" t="str">
        <f ca="1">IFERROR(__xludf.DUMMYFUNCTION("GOOGLEFINANCE(A875,""HIGH"")"),"#N/A")</f>
        <v>#N/A</v>
      </c>
      <c r="E875" s="11" t="str">
        <f ca="1">IFERROR(__xludf.DUMMYFUNCTION("GOOGLEFINANCE(A875,""LOW"")"),"#N/A")</f>
        <v>#N/A</v>
      </c>
      <c r="F875" s="12" t="str">
        <f t="shared" ca="1" si="28"/>
        <v>SELL</v>
      </c>
      <c r="G875" s="13" t="str">
        <f ca="1">IFERROR(__xludf.DUMMYFUNCTION("GOOGLEFINANCE(A875,""CLOSEYEST"")"),"#N/A")</f>
        <v>#N/A</v>
      </c>
      <c r="H875" s="14" t="e">
        <f t="shared" ca="1" si="34"/>
        <v>#VALUE!</v>
      </c>
      <c r="I875" s="15" t="e">
        <f t="shared" ca="1" si="29"/>
        <v>#VALUE!</v>
      </c>
      <c r="J875" s="16" t="e">
        <f t="shared" ca="1" si="30"/>
        <v>#VALUE!</v>
      </c>
      <c r="K875" s="16"/>
      <c r="L875" s="16" t="e">
        <f t="shared" ca="1" si="31"/>
        <v>#VALUE!</v>
      </c>
      <c r="M875" s="16" t="e">
        <f t="shared" ca="1" si="32"/>
        <v>#VALUE!</v>
      </c>
      <c r="N875" s="16" t="e">
        <f t="shared" ca="1" si="33"/>
        <v>#VALUE!</v>
      </c>
    </row>
    <row r="876" spans="1:14" ht="24.75" customHeight="1" x14ac:dyDescent="0.8">
      <c r="A876" s="18" t="s">
        <v>839</v>
      </c>
      <c r="B876" s="10">
        <f ca="1">IFERROR(__xludf.DUMMYFUNCTION("GOOGLEFINANCE(A876,""PRICE"")"),187.35)</f>
        <v>187.35</v>
      </c>
      <c r="C876" s="11">
        <f ca="1">IFERROR(__xludf.DUMMYFUNCTION("GOOGLEFINANCE(A876,""PRICEOPEN"")"),183.1)</f>
        <v>183.1</v>
      </c>
      <c r="D876" s="11">
        <f ca="1">IFERROR(__xludf.DUMMYFUNCTION("GOOGLEFINANCE(A876,""HIGH"")"),190)</f>
        <v>190</v>
      </c>
      <c r="E876" s="11">
        <f ca="1">IFERROR(__xludf.DUMMYFUNCTION("GOOGLEFINANCE(A876,""LOW"")"),182.06)</f>
        <v>182.06</v>
      </c>
      <c r="F876" s="12" t="str">
        <f t="shared" ca="1" si="28"/>
        <v/>
      </c>
      <c r="G876" s="13">
        <f ca="1">IFERROR(__xludf.DUMMYFUNCTION("GOOGLEFINANCE(A876,""CLOSEYEST"")"),183.1)</f>
        <v>183.1</v>
      </c>
      <c r="H876" s="14" t="str">
        <f t="shared" ca="1" si="34"/>
        <v/>
      </c>
      <c r="I876" s="15">
        <f t="shared" ca="1" si="29"/>
        <v>185.05333333333331</v>
      </c>
      <c r="J876" s="16">
        <f t="shared" ca="1" si="30"/>
        <v>188.04666666666662</v>
      </c>
      <c r="K876" s="16"/>
      <c r="L876" s="16">
        <f t="shared" ca="1" si="31"/>
        <v>180.10666666666663</v>
      </c>
      <c r="M876" s="16">
        <f t="shared" ca="1" si="32"/>
        <v>192.99333333333331</v>
      </c>
      <c r="N876" s="16">
        <f t="shared" ca="1" si="33"/>
        <v>177.11333333333332</v>
      </c>
    </row>
    <row r="877" spans="1:14" ht="24.75" customHeight="1" x14ac:dyDescent="0.8">
      <c r="A877" s="18" t="s">
        <v>840</v>
      </c>
      <c r="B877" s="10" t="str">
        <f ca="1">IFERROR(__xludf.DUMMYFUNCTION("GOOGLEFINANCE(A877,""PRICE"")"),"#N/A")</f>
        <v>#N/A</v>
      </c>
      <c r="C877" s="11" t="str">
        <f ca="1">IFERROR(__xludf.DUMMYFUNCTION("GOOGLEFINANCE(A877,""PRICEOPEN"")"),"#N/A")</f>
        <v>#N/A</v>
      </c>
      <c r="D877" s="11" t="str">
        <f ca="1">IFERROR(__xludf.DUMMYFUNCTION("GOOGLEFINANCE(A877,""HIGH"")"),"#N/A")</f>
        <v>#N/A</v>
      </c>
      <c r="E877" s="11" t="str">
        <f ca="1">IFERROR(__xludf.DUMMYFUNCTION("GOOGLEFINANCE(A877,""LOW"")"),"#N/A")</f>
        <v>#N/A</v>
      </c>
      <c r="F877" s="12" t="str">
        <f t="shared" ca="1" si="28"/>
        <v>SELL</v>
      </c>
      <c r="G877" s="13" t="str">
        <f ca="1">IFERROR(__xludf.DUMMYFUNCTION("GOOGLEFINANCE(A877,""CLOSEYEST"")"),"#N/A")</f>
        <v>#N/A</v>
      </c>
      <c r="H877" s="14" t="e">
        <f t="shared" ca="1" si="34"/>
        <v>#VALUE!</v>
      </c>
      <c r="I877" s="15" t="e">
        <f t="shared" ca="1" si="29"/>
        <v>#VALUE!</v>
      </c>
      <c r="J877" s="16" t="e">
        <f t="shared" ca="1" si="30"/>
        <v>#VALUE!</v>
      </c>
      <c r="K877" s="16"/>
      <c r="L877" s="16" t="e">
        <f t="shared" ca="1" si="31"/>
        <v>#VALUE!</v>
      </c>
      <c r="M877" s="16" t="e">
        <f t="shared" ca="1" si="32"/>
        <v>#VALUE!</v>
      </c>
      <c r="N877" s="16" t="e">
        <f t="shared" ca="1" si="33"/>
        <v>#VALUE!</v>
      </c>
    </row>
    <row r="878" spans="1:14" ht="24.75" customHeight="1" x14ac:dyDescent="0.8">
      <c r="A878" s="18" t="s">
        <v>841</v>
      </c>
      <c r="B878" s="10" t="str">
        <f ca="1">IFERROR(__xludf.DUMMYFUNCTION("GOOGLEFINANCE(A878,""PRICE"")"),"#N/A")</f>
        <v>#N/A</v>
      </c>
      <c r="C878" s="11" t="str">
        <f ca="1">IFERROR(__xludf.DUMMYFUNCTION("GOOGLEFINANCE(A878,""PRICEOPEN"")"),"#N/A")</f>
        <v>#N/A</v>
      </c>
      <c r="D878" s="11" t="str">
        <f ca="1">IFERROR(__xludf.DUMMYFUNCTION("GOOGLEFINANCE(A878,""HIGH"")"),"#N/A")</f>
        <v>#N/A</v>
      </c>
      <c r="E878" s="11" t="str">
        <f ca="1">IFERROR(__xludf.DUMMYFUNCTION("GOOGLEFINANCE(A878,""LOW"")"),"#N/A")</f>
        <v>#N/A</v>
      </c>
      <c r="F878" s="12" t="str">
        <f t="shared" ca="1" si="28"/>
        <v>SELL</v>
      </c>
      <c r="G878" s="13" t="str">
        <f ca="1">IFERROR(__xludf.DUMMYFUNCTION("GOOGLEFINANCE(A878,""CLOSEYEST"")"),"#N/A")</f>
        <v>#N/A</v>
      </c>
      <c r="H878" s="14" t="e">
        <f t="shared" ca="1" si="34"/>
        <v>#VALUE!</v>
      </c>
      <c r="I878" s="15" t="e">
        <f t="shared" ca="1" si="29"/>
        <v>#VALUE!</v>
      </c>
      <c r="J878" s="16" t="e">
        <f t="shared" ca="1" si="30"/>
        <v>#VALUE!</v>
      </c>
      <c r="K878" s="16"/>
      <c r="L878" s="16" t="e">
        <f t="shared" ca="1" si="31"/>
        <v>#VALUE!</v>
      </c>
      <c r="M878" s="16" t="e">
        <f t="shared" ca="1" si="32"/>
        <v>#VALUE!</v>
      </c>
      <c r="N878" s="16" t="e">
        <f t="shared" ca="1" si="33"/>
        <v>#VALUE!</v>
      </c>
    </row>
    <row r="879" spans="1:14" ht="24.75" customHeight="1" x14ac:dyDescent="0.8">
      <c r="A879" s="18" t="s">
        <v>842</v>
      </c>
      <c r="B879" s="10">
        <f ca="1">IFERROR(__xludf.DUMMYFUNCTION("GOOGLEFINANCE(A879,""PRICE"")"),891.8)</f>
        <v>891.8</v>
      </c>
      <c r="C879" s="11">
        <f ca="1">IFERROR(__xludf.DUMMYFUNCTION("GOOGLEFINANCE(A879,""PRICEOPEN"")"),878)</f>
        <v>878</v>
      </c>
      <c r="D879" s="11">
        <f ca="1">IFERROR(__xludf.DUMMYFUNCTION("GOOGLEFINANCE(A879,""HIGH"")"),897.2)</f>
        <v>897.2</v>
      </c>
      <c r="E879" s="11">
        <f ca="1">IFERROR(__xludf.DUMMYFUNCTION("GOOGLEFINANCE(A879,""LOW"")"),877)</f>
        <v>877</v>
      </c>
      <c r="F879" s="12" t="str">
        <f t="shared" ca="1" si="28"/>
        <v/>
      </c>
      <c r="G879" s="13">
        <f ca="1">IFERROR(__xludf.DUMMYFUNCTION("GOOGLEFINANCE(A879,""CLOSEYEST"")"),876.95)</f>
        <v>876.95</v>
      </c>
      <c r="H879" s="14" t="str">
        <f t="shared" ca="1" si="34"/>
        <v/>
      </c>
      <c r="I879" s="15">
        <f t="shared" ca="1" si="29"/>
        <v>883.7166666666667</v>
      </c>
      <c r="J879" s="16">
        <f t="shared" ca="1" si="30"/>
        <v>890.43333333333339</v>
      </c>
      <c r="K879" s="16"/>
      <c r="L879" s="16">
        <f t="shared" ca="1" si="31"/>
        <v>870.23333333333335</v>
      </c>
      <c r="M879" s="16">
        <f t="shared" ca="1" si="32"/>
        <v>903.91666666666674</v>
      </c>
      <c r="N879" s="16">
        <f t="shared" ca="1" si="33"/>
        <v>863.51666666666665</v>
      </c>
    </row>
    <row r="880" spans="1:14" ht="24.75" customHeight="1" x14ac:dyDescent="0.8">
      <c r="A880" s="18" t="s">
        <v>843</v>
      </c>
      <c r="B880" s="10">
        <f ca="1">IFERROR(__xludf.DUMMYFUNCTION("GOOGLEFINANCE(A880,""PRICE"")"),1.24)</f>
        <v>1.24</v>
      </c>
      <c r="C880" s="11">
        <f ca="1">IFERROR(__xludf.DUMMYFUNCTION("GOOGLEFINANCE(A880,""PRICEOPEN"")"),1.24)</f>
        <v>1.24</v>
      </c>
      <c r="D880" s="11">
        <f ca="1">IFERROR(__xludf.DUMMYFUNCTION("GOOGLEFINANCE(A880,""HIGH"")"),1.24)</f>
        <v>1.24</v>
      </c>
      <c r="E880" s="11">
        <f ca="1">IFERROR(__xludf.DUMMYFUNCTION("GOOGLEFINANCE(A880,""LOW"")"),1.23)</f>
        <v>1.23</v>
      </c>
      <c r="F880" s="12" t="str">
        <f t="shared" ca="1" si="28"/>
        <v>SELL</v>
      </c>
      <c r="G880" s="13">
        <f ca="1">IFERROR(__xludf.DUMMYFUNCTION("GOOGLEFINANCE(A880,""CLOSEYEST"")"),1.23)</f>
        <v>1.23</v>
      </c>
      <c r="H880" s="14" t="str">
        <f t="shared" ca="1" si="34"/>
        <v/>
      </c>
      <c r="I880" s="15">
        <f t="shared" ca="1" si="29"/>
        <v>1.2333333333333332</v>
      </c>
      <c r="J880" s="16">
        <f t="shared" ca="1" si="30"/>
        <v>1.2366666666666664</v>
      </c>
      <c r="K880" s="16"/>
      <c r="L880" s="16">
        <f t="shared" ca="1" si="31"/>
        <v>1.2266666666666663</v>
      </c>
      <c r="M880" s="16">
        <f t="shared" ca="1" si="32"/>
        <v>1.2433333333333332</v>
      </c>
      <c r="N880" s="16">
        <f t="shared" ca="1" si="33"/>
        <v>1.2233333333333332</v>
      </c>
    </row>
    <row r="881" spans="1:14" ht="24.75" customHeight="1" x14ac:dyDescent="0.8">
      <c r="A881" s="18" t="s">
        <v>844</v>
      </c>
      <c r="B881" s="10">
        <f ca="1">IFERROR(__xludf.DUMMYFUNCTION("GOOGLEFINANCE(A881,""PRICE"")"),34.94)</f>
        <v>34.94</v>
      </c>
      <c r="C881" s="11">
        <f ca="1">IFERROR(__xludf.DUMMYFUNCTION("GOOGLEFINANCE(A881,""PRICEOPEN"")"),33)</f>
        <v>33</v>
      </c>
      <c r="D881" s="11">
        <f ca="1">IFERROR(__xludf.DUMMYFUNCTION("GOOGLEFINANCE(A881,""HIGH"")"),34.94)</f>
        <v>34.94</v>
      </c>
      <c r="E881" s="11">
        <f ca="1">IFERROR(__xludf.DUMMYFUNCTION("GOOGLEFINANCE(A881,""LOW"")"),33)</f>
        <v>33</v>
      </c>
      <c r="F881" s="12" t="str">
        <f t="shared" ca="1" si="28"/>
        <v>BUY</v>
      </c>
      <c r="G881" s="13">
        <f ca="1">IFERROR(__xludf.DUMMYFUNCTION("GOOGLEFINANCE(A881,""CLOSEYEST"")"),33.28)</f>
        <v>33.28</v>
      </c>
      <c r="H881" s="14" t="str">
        <f t="shared" ca="1" si="34"/>
        <v/>
      </c>
      <c r="I881" s="15">
        <f t="shared" ca="1" si="29"/>
        <v>33.74</v>
      </c>
      <c r="J881" s="16">
        <f t="shared" ca="1" si="30"/>
        <v>34.480000000000004</v>
      </c>
      <c r="K881" s="16"/>
      <c r="L881" s="16">
        <f t="shared" ca="1" si="31"/>
        <v>32.540000000000006</v>
      </c>
      <c r="M881" s="16">
        <f t="shared" ca="1" si="32"/>
        <v>35.68</v>
      </c>
      <c r="N881" s="16">
        <f t="shared" ca="1" si="33"/>
        <v>31.800000000000004</v>
      </c>
    </row>
    <row r="882" spans="1:14" ht="24.75" customHeight="1" x14ac:dyDescent="0.8">
      <c r="A882" s="18" t="s">
        <v>845</v>
      </c>
      <c r="B882" s="10">
        <f ca="1">IFERROR(__xludf.DUMMYFUNCTION("GOOGLEFINANCE(A882,""PRICE"")"),1442.7)</f>
        <v>1442.7</v>
      </c>
      <c r="C882" s="11">
        <f ca="1">IFERROR(__xludf.DUMMYFUNCTION("GOOGLEFINANCE(A882,""PRICEOPEN"")"),1412)</f>
        <v>1412</v>
      </c>
      <c r="D882" s="11">
        <f ca="1">IFERROR(__xludf.DUMMYFUNCTION("GOOGLEFINANCE(A882,""HIGH"")"),1451.9)</f>
        <v>1451.9</v>
      </c>
      <c r="E882" s="11">
        <f ca="1">IFERROR(__xludf.DUMMYFUNCTION("GOOGLEFINANCE(A882,""LOW"")"),1412)</f>
        <v>1412</v>
      </c>
      <c r="F882" s="12" t="str">
        <f t="shared" ca="1" si="28"/>
        <v>BUY</v>
      </c>
      <c r="G882" s="13">
        <f ca="1">IFERROR(__xludf.DUMMYFUNCTION("GOOGLEFINANCE(A882,""CLOSEYEST"")"),1414.1)</f>
        <v>1414.1</v>
      </c>
      <c r="H882" s="14" t="str">
        <f t="shared" ca="1" si="34"/>
        <v/>
      </c>
      <c r="I882" s="15">
        <f t="shared" ca="1" si="29"/>
        <v>1426</v>
      </c>
      <c r="J882" s="16">
        <f t="shared" ca="1" si="30"/>
        <v>1440</v>
      </c>
      <c r="K882" s="16"/>
      <c r="L882" s="16">
        <f t="shared" ca="1" si="31"/>
        <v>1400.1</v>
      </c>
      <c r="M882" s="16">
        <f t="shared" ca="1" si="32"/>
        <v>1465.9</v>
      </c>
      <c r="N882" s="16">
        <f t="shared" ca="1" si="33"/>
        <v>1386.1</v>
      </c>
    </row>
    <row r="883" spans="1:14" ht="24.75" customHeight="1" x14ac:dyDescent="0.8">
      <c r="A883" s="18" t="s">
        <v>846</v>
      </c>
      <c r="B883" s="10">
        <f ca="1">IFERROR(__xludf.DUMMYFUNCTION("GOOGLEFINANCE(A883,""PRICE"")"),63.2)</f>
        <v>63.2</v>
      </c>
      <c r="C883" s="11">
        <f ca="1">IFERROR(__xludf.DUMMYFUNCTION("GOOGLEFINANCE(A883,""PRICEOPEN"")"),62.1)</f>
        <v>62.1</v>
      </c>
      <c r="D883" s="11">
        <f ca="1">IFERROR(__xludf.DUMMYFUNCTION("GOOGLEFINANCE(A883,""HIGH"")"),63.2)</f>
        <v>63.2</v>
      </c>
      <c r="E883" s="11">
        <f ca="1">IFERROR(__xludf.DUMMYFUNCTION("GOOGLEFINANCE(A883,""LOW"")"),61.56)</f>
        <v>61.56</v>
      </c>
      <c r="F883" s="12" t="str">
        <f t="shared" ca="1" si="28"/>
        <v/>
      </c>
      <c r="G883" s="13">
        <f ca="1">IFERROR(__xludf.DUMMYFUNCTION("GOOGLEFINANCE(A883,""CLOSEYEST"")"),61.84)</f>
        <v>61.84</v>
      </c>
      <c r="H883" s="14" t="str">
        <f t="shared" ca="1" si="34"/>
        <v/>
      </c>
      <c r="I883" s="15">
        <f t="shared" ca="1" si="29"/>
        <v>62.20000000000001</v>
      </c>
      <c r="J883" s="16">
        <f t="shared" ca="1" si="30"/>
        <v>62.840000000000018</v>
      </c>
      <c r="K883" s="16"/>
      <c r="L883" s="16">
        <f t="shared" ca="1" si="31"/>
        <v>61.200000000000017</v>
      </c>
      <c r="M883" s="16">
        <f t="shared" ca="1" si="32"/>
        <v>63.840000000000011</v>
      </c>
      <c r="N883" s="16">
        <f t="shared" ca="1" si="33"/>
        <v>60.560000000000009</v>
      </c>
    </row>
    <row r="884" spans="1:14" ht="24.75" customHeight="1" x14ac:dyDescent="0.8">
      <c r="A884" s="18" t="s">
        <v>847</v>
      </c>
      <c r="B884" s="10">
        <f ca="1">IFERROR(__xludf.DUMMYFUNCTION("GOOGLEFINANCE(A884,""PRICE"")"),22.17)</f>
        <v>22.17</v>
      </c>
      <c r="C884" s="11">
        <f ca="1">IFERROR(__xludf.DUMMYFUNCTION("GOOGLEFINANCE(A884,""PRICEOPEN"")"),21.58)</f>
        <v>21.58</v>
      </c>
      <c r="D884" s="11">
        <f ca="1">IFERROR(__xludf.DUMMYFUNCTION("GOOGLEFINANCE(A884,""HIGH"")"),22.25)</f>
        <v>22.25</v>
      </c>
      <c r="E884" s="11">
        <f ca="1">IFERROR(__xludf.DUMMYFUNCTION("GOOGLEFINANCE(A884,""LOW"")"),21.55)</f>
        <v>21.55</v>
      </c>
      <c r="F884" s="12" t="str">
        <f t="shared" ca="1" si="28"/>
        <v/>
      </c>
      <c r="G884" s="13">
        <f ca="1">IFERROR(__xludf.DUMMYFUNCTION("GOOGLEFINANCE(A884,""CLOSEYEST"")"),21.58)</f>
        <v>21.58</v>
      </c>
      <c r="H884" s="14" t="str">
        <f t="shared" ca="1" si="34"/>
        <v/>
      </c>
      <c r="I884" s="15">
        <f t="shared" ca="1" si="29"/>
        <v>21.793333333333333</v>
      </c>
      <c r="J884" s="16">
        <f t="shared" ca="1" si="30"/>
        <v>22.036666666666665</v>
      </c>
      <c r="K884" s="16"/>
      <c r="L884" s="16">
        <f t="shared" ca="1" si="31"/>
        <v>21.336666666666666</v>
      </c>
      <c r="M884" s="16">
        <f t="shared" ca="1" si="32"/>
        <v>22.493333333333332</v>
      </c>
      <c r="N884" s="16">
        <f t="shared" ca="1" si="33"/>
        <v>21.093333333333334</v>
      </c>
    </row>
    <row r="885" spans="1:14" ht="24.75" customHeight="1" x14ac:dyDescent="0.8">
      <c r="A885" s="18" t="s">
        <v>848</v>
      </c>
      <c r="B885" s="10">
        <f ca="1">IFERROR(__xludf.DUMMYFUNCTION("GOOGLEFINANCE(A885,""PRICE"")"),520.05)</f>
        <v>520.04999999999995</v>
      </c>
      <c r="C885" s="11">
        <f ca="1">IFERROR(__xludf.DUMMYFUNCTION("GOOGLEFINANCE(A885,""PRICEOPEN"")"),507)</f>
        <v>507</v>
      </c>
      <c r="D885" s="11">
        <f ca="1">IFERROR(__xludf.DUMMYFUNCTION("GOOGLEFINANCE(A885,""HIGH"")"),523.55)</f>
        <v>523.54999999999995</v>
      </c>
      <c r="E885" s="11">
        <f ca="1">IFERROR(__xludf.DUMMYFUNCTION("GOOGLEFINANCE(A885,""LOW"")"),506.35)</f>
        <v>506.35</v>
      </c>
      <c r="F885" s="12" t="str">
        <f t="shared" ca="1" si="28"/>
        <v/>
      </c>
      <c r="G885" s="13">
        <f ca="1">IFERROR(__xludf.DUMMYFUNCTION("GOOGLEFINANCE(A885,""CLOSEYEST"")"),506.35)</f>
        <v>506.35</v>
      </c>
      <c r="H885" s="14" t="str">
        <f t="shared" ca="1" si="34"/>
        <v/>
      </c>
      <c r="I885" s="15">
        <f t="shared" ca="1" si="29"/>
        <v>512.08333333333337</v>
      </c>
      <c r="J885" s="16">
        <f t="shared" ca="1" si="30"/>
        <v>517.81666666666672</v>
      </c>
      <c r="K885" s="16"/>
      <c r="L885" s="16">
        <f t="shared" ca="1" si="31"/>
        <v>500.61666666666679</v>
      </c>
      <c r="M885" s="16">
        <f t="shared" ca="1" si="32"/>
        <v>529.2833333333333</v>
      </c>
      <c r="N885" s="16">
        <f t="shared" ca="1" si="33"/>
        <v>494.88333333333344</v>
      </c>
    </row>
    <row r="886" spans="1:14" ht="24.75" customHeight="1" x14ac:dyDescent="0.8">
      <c r="A886" s="18" t="s">
        <v>849</v>
      </c>
      <c r="B886" s="10">
        <f ca="1">IFERROR(__xludf.DUMMYFUNCTION("GOOGLEFINANCE(A886,""PRICE"")"),257)</f>
        <v>257</v>
      </c>
      <c r="C886" s="11">
        <f ca="1">IFERROR(__xludf.DUMMYFUNCTION("GOOGLEFINANCE(A886,""PRICEOPEN"")"),262)</f>
        <v>262</v>
      </c>
      <c r="D886" s="11">
        <f ca="1">IFERROR(__xludf.DUMMYFUNCTION("GOOGLEFINANCE(A886,""HIGH"")"),263)</f>
        <v>263</v>
      </c>
      <c r="E886" s="11">
        <f ca="1">IFERROR(__xludf.DUMMYFUNCTION("GOOGLEFINANCE(A886,""LOW"")"),253.55)</f>
        <v>253.55</v>
      </c>
      <c r="F886" s="12" t="str">
        <f t="shared" ca="1" si="28"/>
        <v/>
      </c>
      <c r="G886" s="13">
        <f ca="1">IFERROR(__xludf.DUMMYFUNCTION("GOOGLEFINANCE(A886,""CLOSEYEST"")"),257.15)</f>
        <v>257.14999999999998</v>
      </c>
      <c r="H886" s="14" t="str">
        <f t="shared" ca="1" si="34"/>
        <v>GAP UP</v>
      </c>
      <c r="I886" s="15">
        <f t="shared" ca="1" si="29"/>
        <v>257.89999999999998</v>
      </c>
      <c r="J886" s="16">
        <f t="shared" ca="1" si="30"/>
        <v>262.24999999999994</v>
      </c>
      <c r="K886" s="16"/>
      <c r="L886" s="16">
        <f t="shared" ca="1" si="31"/>
        <v>252.79999999999995</v>
      </c>
      <c r="M886" s="16">
        <f t="shared" ca="1" si="32"/>
        <v>267.34999999999997</v>
      </c>
      <c r="N886" s="16">
        <f t="shared" ca="1" si="33"/>
        <v>248.45</v>
      </c>
    </row>
    <row r="887" spans="1:14" ht="24.75" customHeight="1" x14ac:dyDescent="0.8">
      <c r="A887" s="18" t="s">
        <v>850</v>
      </c>
      <c r="B887" s="10">
        <f ca="1">IFERROR(__xludf.DUMMYFUNCTION("GOOGLEFINANCE(A887,""PRICE"")"),4130)</f>
        <v>4130</v>
      </c>
      <c r="C887" s="11">
        <f ca="1">IFERROR(__xludf.DUMMYFUNCTION("GOOGLEFINANCE(A887,""PRICEOPEN"")"),4124)</f>
        <v>4124</v>
      </c>
      <c r="D887" s="11">
        <f ca="1">IFERROR(__xludf.DUMMYFUNCTION("GOOGLEFINANCE(A887,""HIGH"")"),4199.9)</f>
        <v>4199.8999999999996</v>
      </c>
      <c r="E887" s="11">
        <f ca="1">IFERROR(__xludf.DUMMYFUNCTION("GOOGLEFINANCE(A887,""LOW"")"),4074.6)</f>
        <v>4074.6</v>
      </c>
      <c r="F887" s="12" t="str">
        <f t="shared" ca="1" si="28"/>
        <v/>
      </c>
      <c r="G887" s="13">
        <f ca="1">IFERROR(__xludf.DUMMYFUNCTION("GOOGLEFINANCE(A887,""CLOSEYEST"")"),4074.6)</f>
        <v>4074.6</v>
      </c>
      <c r="H887" s="14" t="str">
        <f t="shared" ca="1" si="34"/>
        <v>GAP UP</v>
      </c>
      <c r="I887" s="15">
        <f t="shared" ca="1" si="29"/>
        <v>4116.3666666666668</v>
      </c>
      <c r="J887" s="16">
        <f t="shared" ca="1" si="30"/>
        <v>4158.1333333333332</v>
      </c>
      <c r="K887" s="16"/>
      <c r="L887" s="16">
        <f t="shared" ca="1" si="31"/>
        <v>4032.8333333333339</v>
      </c>
      <c r="M887" s="16">
        <f t="shared" ca="1" si="32"/>
        <v>4241.6666666666661</v>
      </c>
      <c r="N887" s="16">
        <f t="shared" ca="1" si="33"/>
        <v>3991.0666666666675</v>
      </c>
    </row>
    <row r="888" spans="1:14" ht="24.75" customHeight="1" x14ac:dyDescent="0.8">
      <c r="A888" s="18" t="s">
        <v>851</v>
      </c>
      <c r="B888" s="10">
        <f ca="1">IFERROR(__xludf.DUMMYFUNCTION("GOOGLEFINANCE(A888,""PRICE"")"),529.1)</f>
        <v>529.1</v>
      </c>
      <c r="C888" s="11">
        <f ca="1">IFERROR(__xludf.DUMMYFUNCTION("GOOGLEFINANCE(A888,""PRICEOPEN"")"),524.95)</f>
        <v>524.95000000000005</v>
      </c>
      <c r="D888" s="11">
        <f ca="1">IFERROR(__xludf.DUMMYFUNCTION("GOOGLEFINANCE(A888,""HIGH"")"),530)</f>
        <v>530</v>
      </c>
      <c r="E888" s="11">
        <f ca="1">IFERROR(__xludf.DUMMYFUNCTION("GOOGLEFINANCE(A888,""LOW"")"),523.55)</f>
        <v>523.54999999999995</v>
      </c>
      <c r="F888" s="12" t="str">
        <f t="shared" ca="1" si="28"/>
        <v/>
      </c>
      <c r="G888" s="13">
        <f ca="1">IFERROR(__xludf.DUMMYFUNCTION("GOOGLEFINANCE(A888,""CLOSEYEST"")"),523.5)</f>
        <v>523.5</v>
      </c>
      <c r="H888" s="14" t="str">
        <f t="shared" ca="1" si="34"/>
        <v/>
      </c>
      <c r="I888" s="15">
        <f t="shared" ca="1" si="29"/>
        <v>525.68333333333328</v>
      </c>
      <c r="J888" s="16">
        <f t="shared" ca="1" si="30"/>
        <v>527.81666666666661</v>
      </c>
      <c r="K888" s="16"/>
      <c r="L888" s="16">
        <f t="shared" ca="1" si="31"/>
        <v>521.36666666666656</v>
      </c>
      <c r="M888" s="16">
        <f t="shared" ca="1" si="32"/>
        <v>532.13333333333333</v>
      </c>
      <c r="N888" s="16">
        <f t="shared" ca="1" si="33"/>
        <v>519.23333333333323</v>
      </c>
    </row>
    <row r="889" spans="1:14" ht="24.75" customHeight="1" x14ac:dyDescent="0.8">
      <c r="A889" s="18" t="s">
        <v>852</v>
      </c>
      <c r="B889" s="10">
        <f ca="1">IFERROR(__xludf.DUMMYFUNCTION("GOOGLEFINANCE(A889,""PRICE"")"),2771.2)</f>
        <v>2771.2</v>
      </c>
      <c r="C889" s="11">
        <f ca="1">IFERROR(__xludf.DUMMYFUNCTION("GOOGLEFINANCE(A889,""PRICEOPEN"")"),2749.5)</f>
        <v>2749.5</v>
      </c>
      <c r="D889" s="11">
        <f ca="1">IFERROR(__xludf.DUMMYFUNCTION("GOOGLEFINANCE(A889,""HIGH"")"),2800)</f>
        <v>2800</v>
      </c>
      <c r="E889" s="11">
        <f ca="1">IFERROR(__xludf.DUMMYFUNCTION("GOOGLEFINANCE(A889,""LOW"")"),2730.7)</f>
        <v>2730.7</v>
      </c>
      <c r="F889" s="12" t="str">
        <f t="shared" ca="1" si="28"/>
        <v/>
      </c>
      <c r="G889" s="13">
        <f ca="1">IFERROR(__xludf.DUMMYFUNCTION("GOOGLEFINANCE(A889,""CLOSEYEST"")"),2730.7)</f>
        <v>2730.7</v>
      </c>
      <c r="H889" s="14" t="str">
        <f t="shared" ca="1" si="34"/>
        <v/>
      </c>
      <c r="I889" s="15">
        <f t="shared" ca="1" si="29"/>
        <v>2753.7999999999997</v>
      </c>
      <c r="J889" s="16">
        <f t="shared" ca="1" si="30"/>
        <v>2776.8999999999996</v>
      </c>
      <c r="K889" s="16"/>
      <c r="L889" s="16">
        <f t="shared" ca="1" si="31"/>
        <v>2707.5999999999995</v>
      </c>
      <c r="M889" s="16">
        <f t="shared" ca="1" si="32"/>
        <v>2823.1</v>
      </c>
      <c r="N889" s="16">
        <f t="shared" ca="1" si="33"/>
        <v>2684.4999999999995</v>
      </c>
    </row>
    <row r="890" spans="1:14" ht="24.75" customHeight="1" x14ac:dyDescent="0.8">
      <c r="A890" s="18" t="s">
        <v>853</v>
      </c>
      <c r="B890" s="10">
        <f ca="1">IFERROR(__xludf.DUMMYFUNCTION("GOOGLEFINANCE(A890,""PRICE"")"),1129.1)</f>
        <v>1129.0999999999999</v>
      </c>
      <c r="C890" s="11">
        <f ca="1">IFERROR(__xludf.DUMMYFUNCTION("GOOGLEFINANCE(A890,""PRICEOPEN"")"),1129)</f>
        <v>1129</v>
      </c>
      <c r="D890" s="11">
        <f ca="1">IFERROR(__xludf.DUMMYFUNCTION("GOOGLEFINANCE(A890,""HIGH"")"),1139.8)</f>
        <v>1139.8</v>
      </c>
      <c r="E890" s="11">
        <f ca="1">IFERROR(__xludf.DUMMYFUNCTION("GOOGLEFINANCE(A890,""LOW"")"),1120.8)</f>
        <v>1120.8</v>
      </c>
      <c r="F890" s="12" t="str">
        <f t="shared" ca="1" si="28"/>
        <v/>
      </c>
      <c r="G890" s="13">
        <f ca="1">IFERROR(__xludf.DUMMYFUNCTION("GOOGLEFINANCE(A890,""CLOSEYEST"")"),1131.5)</f>
        <v>1131.5</v>
      </c>
      <c r="H890" s="14" t="str">
        <f t="shared" ca="1" si="34"/>
        <v/>
      </c>
      <c r="I890" s="15">
        <f t="shared" ca="1" si="29"/>
        <v>1130.7</v>
      </c>
      <c r="J890" s="16">
        <f t="shared" ca="1" si="30"/>
        <v>1140.6000000000001</v>
      </c>
      <c r="K890" s="16"/>
      <c r="L890" s="16">
        <f t="shared" ca="1" si="31"/>
        <v>1121.6000000000001</v>
      </c>
      <c r="M890" s="16">
        <f t="shared" ca="1" si="32"/>
        <v>1149.7</v>
      </c>
      <c r="N890" s="16">
        <f t="shared" ca="1" si="33"/>
        <v>1111.7</v>
      </c>
    </row>
    <row r="891" spans="1:14" ht="24.75" customHeight="1" x14ac:dyDescent="0.8">
      <c r="A891" s="18" t="s">
        <v>854</v>
      </c>
      <c r="B891" s="10" t="str">
        <f ca="1">IFERROR(__xludf.DUMMYFUNCTION("GOOGLEFINANCE(A891,""PRICE"")"),"#N/A")</f>
        <v>#N/A</v>
      </c>
      <c r="C891" s="11" t="str">
        <f ca="1">IFERROR(__xludf.DUMMYFUNCTION("GOOGLEFINANCE(A891,""PRICEOPEN"")"),"#N/A")</f>
        <v>#N/A</v>
      </c>
      <c r="D891" s="11" t="str">
        <f ca="1">IFERROR(__xludf.DUMMYFUNCTION("GOOGLEFINANCE(A891,""HIGH"")"),"#N/A")</f>
        <v>#N/A</v>
      </c>
      <c r="E891" s="11" t="str">
        <f ca="1">IFERROR(__xludf.DUMMYFUNCTION("GOOGLEFINANCE(A891,""LOW"")"),"#N/A")</f>
        <v>#N/A</v>
      </c>
      <c r="F891" s="12" t="str">
        <f t="shared" ca="1" si="28"/>
        <v>SELL</v>
      </c>
      <c r="G891" s="13" t="str">
        <f ca="1">IFERROR(__xludf.DUMMYFUNCTION("GOOGLEFINANCE(A891,""CLOSEYEST"")"),"#N/A")</f>
        <v>#N/A</v>
      </c>
      <c r="H891" s="14" t="e">
        <f t="shared" ca="1" si="34"/>
        <v>#VALUE!</v>
      </c>
      <c r="I891" s="15" t="e">
        <f t="shared" ca="1" si="29"/>
        <v>#VALUE!</v>
      </c>
      <c r="J891" s="16" t="e">
        <f t="shared" ca="1" si="30"/>
        <v>#VALUE!</v>
      </c>
      <c r="K891" s="16"/>
      <c r="L891" s="16" t="e">
        <f t="shared" ca="1" si="31"/>
        <v>#VALUE!</v>
      </c>
      <c r="M891" s="16" t="e">
        <f t="shared" ca="1" si="32"/>
        <v>#VALUE!</v>
      </c>
      <c r="N891" s="16" t="e">
        <f t="shared" ca="1" si="33"/>
        <v>#VALUE!</v>
      </c>
    </row>
    <row r="892" spans="1:14" ht="24.75" customHeight="1" x14ac:dyDescent="0.8">
      <c r="A892" s="18" t="s">
        <v>855</v>
      </c>
      <c r="B892" s="10">
        <f ca="1">IFERROR(__xludf.DUMMYFUNCTION("GOOGLEFINANCE(A892,""PRICE"")"),530.55)</f>
        <v>530.54999999999995</v>
      </c>
      <c r="C892" s="11">
        <f ca="1">IFERROR(__xludf.DUMMYFUNCTION("GOOGLEFINANCE(A892,""PRICEOPEN"")"),515.8)</f>
        <v>515.79999999999995</v>
      </c>
      <c r="D892" s="11">
        <f ca="1">IFERROR(__xludf.DUMMYFUNCTION("GOOGLEFINANCE(A892,""HIGH"")"),533.9)</f>
        <v>533.9</v>
      </c>
      <c r="E892" s="11">
        <f ca="1">IFERROR(__xludf.DUMMYFUNCTION("GOOGLEFINANCE(A892,""LOW"")"),508)</f>
        <v>508</v>
      </c>
      <c r="F892" s="12" t="str">
        <f t="shared" ca="1" si="28"/>
        <v/>
      </c>
      <c r="G892" s="13">
        <f ca="1">IFERROR(__xludf.DUMMYFUNCTION("GOOGLEFINANCE(A892,""CLOSEYEST"")"),510.4)</f>
        <v>510.4</v>
      </c>
      <c r="H892" s="14" t="str">
        <f t="shared" ca="1" si="34"/>
        <v>GAP UP</v>
      </c>
      <c r="I892" s="15">
        <f t="shared" ca="1" si="29"/>
        <v>517.43333333333339</v>
      </c>
      <c r="J892" s="16">
        <f t="shared" ca="1" si="30"/>
        <v>526.86666666666679</v>
      </c>
      <c r="K892" s="16"/>
      <c r="L892" s="16">
        <f t="shared" ca="1" si="31"/>
        <v>500.96666666666681</v>
      </c>
      <c r="M892" s="16">
        <f t="shared" ca="1" si="32"/>
        <v>543.33333333333337</v>
      </c>
      <c r="N892" s="16">
        <f t="shared" ca="1" si="33"/>
        <v>491.53333333333342</v>
      </c>
    </row>
    <row r="893" spans="1:14" ht="24.75" customHeight="1" x14ac:dyDescent="0.8">
      <c r="A893" s="18" t="s">
        <v>856</v>
      </c>
      <c r="B893" s="10" t="str">
        <f ca="1">IFERROR(__xludf.DUMMYFUNCTION("GOOGLEFINANCE(A893,""PRICE"")"),"#N/A")</f>
        <v>#N/A</v>
      </c>
      <c r="C893" s="11" t="str">
        <f ca="1">IFERROR(__xludf.DUMMYFUNCTION("GOOGLEFINANCE(A893,""PRICEOPEN"")"),"#N/A")</f>
        <v>#N/A</v>
      </c>
      <c r="D893" s="11" t="str">
        <f ca="1">IFERROR(__xludf.DUMMYFUNCTION("GOOGLEFINANCE(A893,""HIGH"")"),"#N/A")</f>
        <v>#N/A</v>
      </c>
      <c r="E893" s="11" t="str">
        <f ca="1">IFERROR(__xludf.DUMMYFUNCTION("GOOGLEFINANCE(A893,""LOW"")"),"#N/A")</f>
        <v>#N/A</v>
      </c>
      <c r="F893" s="12" t="str">
        <f t="shared" ca="1" si="28"/>
        <v>SELL</v>
      </c>
      <c r="G893" s="13" t="str">
        <f ca="1">IFERROR(__xludf.DUMMYFUNCTION("GOOGLEFINANCE(A893,""CLOSEYEST"")"),"#N/A")</f>
        <v>#N/A</v>
      </c>
      <c r="H893" s="14" t="e">
        <f t="shared" ca="1" si="34"/>
        <v>#VALUE!</v>
      </c>
      <c r="I893" s="15" t="e">
        <f t="shared" ca="1" si="29"/>
        <v>#VALUE!</v>
      </c>
      <c r="J893" s="16" t="e">
        <f t="shared" ca="1" si="30"/>
        <v>#VALUE!</v>
      </c>
      <c r="K893" s="16"/>
      <c r="L893" s="16" t="e">
        <f t="shared" ca="1" si="31"/>
        <v>#VALUE!</v>
      </c>
      <c r="M893" s="16" t="e">
        <f t="shared" ca="1" si="32"/>
        <v>#VALUE!</v>
      </c>
      <c r="N893" s="16" t="e">
        <f t="shared" ca="1" si="33"/>
        <v>#VALUE!</v>
      </c>
    </row>
    <row r="894" spans="1:14" ht="24.75" customHeight="1" x14ac:dyDescent="0.8">
      <c r="A894" s="18" t="s">
        <v>857</v>
      </c>
      <c r="B894" s="10">
        <f ca="1">IFERROR(__xludf.DUMMYFUNCTION("GOOGLEFINANCE(A894,""PRICE"")"),630)</f>
        <v>630</v>
      </c>
      <c r="C894" s="11">
        <f ca="1">IFERROR(__xludf.DUMMYFUNCTION("GOOGLEFINANCE(A894,""PRICEOPEN"")"),616.9)</f>
        <v>616.9</v>
      </c>
      <c r="D894" s="11">
        <f ca="1">IFERROR(__xludf.DUMMYFUNCTION("GOOGLEFINANCE(A894,""HIGH"")"),653)</f>
        <v>653</v>
      </c>
      <c r="E894" s="11">
        <f ca="1">IFERROR(__xludf.DUMMYFUNCTION("GOOGLEFINANCE(A894,""LOW"")"),616.9)</f>
        <v>616.9</v>
      </c>
      <c r="F894" s="12" t="str">
        <f t="shared" ca="1" si="28"/>
        <v>BUY</v>
      </c>
      <c r="G894" s="13">
        <f ca="1">IFERROR(__xludf.DUMMYFUNCTION("GOOGLEFINANCE(A894,""CLOSEYEST"")"),616.9)</f>
        <v>616.9</v>
      </c>
      <c r="H894" s="14" t="str">
        <f t="shared" ca="1" si="34"/>
        <v/>
      </c>
      <c r="I894" s="15">
        <f t="shared" ca="1" si="29"/>
        <v>628.93333333333339</v>
      </c>
      <c r="J894" s="16">
        <f t="shared" ca="1" si="30"/>
        <v>640.96666666666681</v>
      </c>
      <c r="K894" s="16"/>
      <c r="L894" s="16">
        <f t="shared" ca="1" si="31"/>
        <v>604.86666666666679</v>
      </c>
      <c r="M894" s="16">
        <f t="shared" ca="1" si="32"/>
        <v>665.03333333333342</v>
      </c>
      <c r="N894" s="16">
        <f t="shared" ca="1" si="33"/>
        <v>592.83333333333337</v>
      </c>
    </row>
    <row r="895" spans="1:14" ht="24.75" customHeight="1" x14ac:dyDescent="0.8">
      <c r="A895" s="18" t="s">
        <v>858</v>
      </c>
      <c r="B895" s="10">
        <f ca="1">IFERROR(__xludf.DUMMYFUNCTION("GOOGLEFINANCE(A895,""PRICE"")"),745)</f>
        <v>745</v>
      </c>
      <c r="C895" s="11">
        <f ca="1">IFERROR(__xludf.DUMMYFUNCTION("GOOGLEFINANCE(A895,""PRICEOPEN"")"),747.7)</f>
        <v>747.7</v>
      </c>
      <c r="D895" s="11">
        <f ca="1">IFERROR(__xludf.DUMMYFUNCTION("GOOGLEFINANCE(A895,""HIGH"")"),754.8)</f>
        <v>754.8</v>
      </c>
      <c r="E895" s="11">
        <f ca="1">IFERROR(__xludf.DUMMYFUNCTION("GOOGLEFINANCE(A895,""LOW"")"),741)</f>
        <v>741</v>
      </c>
      <c r="F895" s="12" t="str">
        <f t="shared" ca="1" si="28"/>
        <v/>
      </c>
      <c r="G895" s="13">
        <f ca="1">IFERROR(__xludf.DUMMYFUNCTION("GOOGLEFINANCE(A895,""CLOSEYEST"")"),747.7)</f>
        <v>747.7</v>
      </c>
      <c r="H895" s="14" t="str">
        <f t="shared" ca="1" si="34"/>
        <v/>
      </c>
      <c r="I895" s="15">
        <f t="shared" ca="1" si="29"/>
        <v>747.83333333333337</v>
      </c>
      <c r="J895" s="16">
        <f t="shared" ca="1" si="30"/>
        <v>754.66666666666674</v>
      </c>
      <c r="K895" s="16"/>
      <c r="L895" s="16">
        <f t="shared" ca="1" si="31"/>
        <v>740.86666666666679</v>
      </c>
      <c r="M895" s="16">
        <f t="shared" ca="1" si="32"/>
        <v>761.63333333333333</v>
      </c>
      <c r="N895" s="16">
        <f t="shared" ca="1" si="33"/>
        <v>734.03333333333342</v>
      </c>
    </row>
    <row r="896" spans="1:14" ht="24.75" customHeight="1" x14ac:dyDescent="0.8">
      <c r="A896" s="18" t="s">
        <v>859</v>
      </c>
      <c r="B896" s="10">
        <f ca="1">IFERROR(__xludf.DUMMYFUNCTION("GOOGLEFINANCE(A896,""PRICE"")"),1.99)</f>
        <v>1.99</v>
      </c>
      <c r="C896" s="11">
        <f ca="1">IFERROR(__xludf.DUMMYFUNCTION("GOOGLEFINANCE(A896,""PRICEOPEN"")"),2.02)</f>
        <v>2.02</v>
      </c>
      <c r="D896" s="11">
        <f ca="1">IFERROR(__xludf.DUMMYFUNCTION("GOOGLEFINANCE(A896,""HIGH"")"),2.13)</f>
        <v>2.13</v>
      </c>
      <c r="E896" s="11">
        <f ca="1">IFERROR(__xludf.DUMMYFUNCTION("GOOGLEFINANCE(A896,""LOW"")"),1.97)</f>
        <v>1.97</v>
      </c>
      <c r="F896" s="12" t="str">
        <f t="shared" ca="1" si="28"/>
        <v/>
      </c>
      <c r="G896" s="13">
        <f ca="1">IFERROR(__xludf.DUMMYFUNCTION("GOOGLEFINANCE(A896,""CLOSEYEST"")"),2)</f>
        <v>2</v>
      </c>
      <c r="H896" s="14" t="str">
        <f t="shared" ca="1" si="34"/>
        <v>GAP UP</v>
      </c>
      <c r="I896" s="15">
        <f t="shared" ca="1" si="29"/>
        <v>2.0333333333333332</v>
      </c>
      <c r="J896" s="16">
        <f t="shared" ca="1" si="30"/>
        <v>2.0966666666666667</v>
      </c>
      <c r="K896" s="16"/>
      <c r="L896" s="16">
        <f t="shared" ca="1" si="31"/>
        <v>1.9366666666666665</v>
      </c>
      <c r="M896" s="16">
        <f t="shared" ca="1" si="32"/>
        <v>2.1933333333333334</v>
      </c>
      <c r="N896" s="16">
        <f t="shared" ca="1" si="33"/>
        <v>1.8733333333333331</v>
      </c>
    </row>
    <row r="897" spans="1:14" ht="24.75" customHeight="1" x14ac:dyDescent="0.8">
      <c r="A897" s="18" t="s">
        <v>860</v>
      </c>
      <c r="B897" s="10">
        <f ca="1">IFERROR(__xludf.DUMMYFUNCTION("GOOGLEFINANCE(A897,""PRICE"")"),687)</f>
        <v>687</v>
      </c>
      <c r="C897" s="11">
        <f ca="1">IFERROR(__xludf.DUMMYFUNCTION("GOOGLEFINANCE(A897,""PRICEOPEN"")"),693)</f>
        <v>693</v>
      </c>
      <c r="D897" s="11">
        <f ca="1">IFERROR(__xludf.DUMMYFUNCTION("GOOGLEFINANCE(A897,""HIGH"")"),696.3)</f>
        <v>696.3</v>
      </c>
      <c r="E897" s="11">
        <f ca="1">IFERROR(__xludf.DUMMYFUNCTION("GOOGLEFINANCE(A897,""LOW"")"),685.5)</f>
        <v>685.5</v>
      </c>
      <c r="F897" s="12" t="str">
        <f t="shared" ca="1" si="28"/>
        <v/>
      </c>
      <c r="G897" s="13">
        <f ca="1">IFERROR(__xludf.DUMMYFUNCTION("GOOGLEFINANCE(A897,""CLOSEYEST"")"),690.5)</f>
        <v>690.5</v>
      </c>
      <c r="H897" s="14" t="str">
        <f t="shared" ca="1" si="34"/>
        <v/>
      </c>
      <c r="I897" s="15">
        <f t="shared" ca="1" si="29"/>
        <v>690.76666666666677</v>
      </c>
      <c r="J897" s="16">
        <f t="shared" ca="1" si="30"/>
        <v>696.03333333333353</v>
      </c>
      <c r="K897" s="16"/>
      <c r="L897" s="16">
        <f t="shared" ca="1" si="31"/>
        <v>685.23333333333358</v>
      </c>
      <c r="M897" s="16">
        <f t="shared" ca="1" si="32"/>
        <v>701.56666666666672</v>
      </c>
      <c r="N897" s="16">
        <f t="shared" ca="1" si="33"/>
        <v>679.96666666666681</v>
      </c>
    </row>
    <row r="898" spans="1:14" ht="24.75" customHeight="1" x14ac:dyDescent="0.8">
      <c r="A898" s="18" t="s">
        <v>861</v>
      </c>
      <c r="B898" s="10">
        <f ca="1">IFERROR(__xludf.DUMMYFUNCTION("GOOGLEFINANCE(A898,""PRICE"")"),488)</f>
        <v>488</v>
      </c>
      <c r="C898" s="11">
        <f ca="1">IFERROR(__xludf.DUMMYFUNCTION("GOOGLEFINANCE(A898,""PRICEOPEN"")"),482.75)</f>
        <v>482.75</v>
      </c>
      <c r="D898" s="11">
        <f ca="1">IFERROR(__xludf.DUMMYFUNCTION("GOOGLEFINANCE(A898,""HIGH"")"),494)</f>
        <v>494</v>
      </c>
      <c r="E898" s="11">
        <f ca="1">IFERROR(__xludf.DUMMYFUNCTION("GOOGLEFINANCE(A898,""LOW"")"),479.7)</f>
        <v>479.7</v>
      </c>
      <c r="F898" s="12" t="str">
        <f t="shared" ca="1" si="28"/>
        <v/>
      </c>
      <c r="G898" s="13">
        <f ca="1">IFERROR(__xludf.DUMMYFUNCTION("GOOGLEFINANCE(A898,""CLOSEYEST"")"),481.95)</f>
        <v>481.95</v>
      </c>
      <c r="H898" s="14" t="str">
        <f t="shared" ca="1" si="34"/>
        <v/>
      </c>
      <c r="I898" s="15">
        <f t="shared" ca="1" si="29"/>
        <v>485.2166666666667</v>
      </c>
      <c r="J898" s="16">
        <f t="shared" ca="1" si="30"/>
        <v>490.73333333333341</v>
      </c>
      <c r="K898" s="16"/>
      <c r="L898" s="16">
        <f t="shared" ca="1" si="31"/>
        <v>476.43333333333339</v>
      </c>
      <c r="M898" s="16">
        <f t="shared" ca="1" si="32"/>
        <v>499.51666666666671</v>
      </c>
      <c r="N898" s="16">
        <f t="shared" ca="1" si="33"/>
        <v>470.91666666666669</v>
      </c>
    </row>
    <row r="899" spans="1:14" ht="24.75" customHeight="1" x14ac:dyDescent="0.8">
      <c r="A899" s="18" t="s">
        <v>862</v>
      </c>
      <c r="B899" s="10">
        <f ca="1">IFERROR(__xludf.DUMMYFUNCTION("GOOGLEFINANCE(A899,""PRICE"")"),314)</f>
        <v>314</v>
      </c>
      <c r="C899" s="11">
        <f ca="1">IFERROR(__xludf.DUMMYFUNCTION("GOOGLEFINANCE(A899,""PRICEOPEN"")"),314.8)</f>
        <v>314.8</v>
      </c>
      <c r="D899" s="11">
        <f ca="1">IFERROR(__xludf.DUMMYFUNCTION("GOOGLEFINANCE(A899,""HIGH"")"),314.8)</f>
        <v>314.8</v>
      </c>
      <c r="E899" s="11">
        <f ca="1">IFERROR(__xludf.DUMMYFUNCTION("GOOGLEFINANCE(A899,""LOW"")"),310.05)</f>
        <v>310.05</v>
      </c>
      <c r="F899" s="12" t="str">
        <f t="shared" ca="1" si="28"/>
        <v>SELL</v>
      </c>
      <c r="G899" s="13">
        <f ca="1">IFERROR(__xludf.DUMMYFUNCTION("GOOGLEFINANCE(A899,""CLOSEYEST"")"),313.3)</f>
        <v>313.3</v>
      </c>
      <c r="H899" s="14" t="str">
        <f t="shared" ca="1" si="34"/>
        <v/>
      </c>
      <c r="I899" s="15">
        <f t="shared" ca="1" si="29"/>
        <v>312.7166666666667</v>
      </c>
      <c r="J899" s="16">
        <f t="shared" ca="1" si="30"/>
        <v>315.38333333333338</v>
      </c>
      <c r="K899" s="16"/>
      <c r="L899" s="16">
        <f t="shared" ca="1" si="31"/>
        <v>310.63333333333338</v>
      </c>
      <c r="M899" s="16">
        <f t="shared" ca="1" si="32"/>
        <v>317.4666666666667</v>
      </c>
      <c r="N899" s="16">
        <f t="shared" ca="1" si="33"/>
        <v>307.9666666666667</v>
      </c>
    </row>
    <row r="900" spans="1:14" ht="24.75" customHeight="1" x14ac:dyDescent="0.8">
      <c r="A900" s="18" t="s">
        <v>863</v>
      </c>
      <c r="B900" s="10">
        <f ca="1">IFERROR(__xludf.DUMMYFUNCTION("GOOGLEFINANCE(A900,""PRICE"")"),0.03)</f>
        <v>0.03</v>
      </c>
      <c r="C900" s="11">
        <f ca="1">IFERROR(__xludf.DUMMYFUNCTION("GOOGLEFINANCE(A900,""PRICEOPEN"")"),0.03)</f>
        <v>0.03</v>
      </c>
      <c r="D900" s="11">
        <f ca="1">IFERROR(__xludf.DUMMYFUNCTION("GOOGLEFINANCE(A900,""HIGH"")"),0.03)</f>
        <v>0.03</v>
      </c>
      <c r="E900" s="11">
        <f ca="1">IFERROR(__xludf.DUMMYFUNCTION("GOOGLEFINANCE(A900,""LOW"")"),0.03)</f>
        <v>0.03</v>
      </c>
      <c r="F900" s="12" t="str">
        <f t="shared" ca="1" si="28"/>
        <v>SELL</v>
      </c>
      <c r="G900" s="13">
        <f ca="1">IFERROR(__xludf.DUMMYFUNCTION("GOOGLEFINANCE(A900,""CLOSEYEST"")"),0.03)</f>
        <v>0.03</v>
      </c>
      <c r="H900" s="14" t="str">
        <f t="shared" ca="1" si="34"/>
        <v/>
      </c>
      <c r="I900" s="15">
        <f t="shared" ca="1" si="29"/>
        <v>0.03</v>
      </c>
      <c r="J900" s="16">
        <f t="shared" ca="1" si="30"/>
        <v>0.03</v>
      </c>
      <c r="K900" s="16"/>
      <c r="L900" s="16">
        <f t="shared" ca="1" si="31"/>
        <v>0.03</v>
      </c>
      <c r="M900" s="16">
        <f t="shared" ca="1" si="32"/>
        <v>0.03</v>
      </c>
      <c r="N900" s="16">
        <f t="shared" ca="1" si="33"/>
        <v>0.03</v>
      </c>
    </row>
    <row r="901" spans="1:14" ht="24.75" customHeight="1" x14ac:dyDescent="0.8">
      <c r="A901" s="18" t="s">
        <v>864</v>
      </c>
      <c r="B901" s="10">
        <f ca="1">IFERROR(__xludf.DUMMYFUNCTION("GOOGLEFINANCE(A901,""PRICE"")"),559)</f>
        <v>559</v>
      </c>
      <c r="C901" s="11">
        <f ca="1">IFERROR(__xludf.DUMMYFUNCTION("GOOGLEFINANCE(A901,""PRICEOPEN"")"),541.7)</f>
        <v>541.70000000000005</v>
      </c>
      <c r="D901" s="11">
        <f ca="1">IFERROR(__xludf.DUMMYFUNCTION("GOOGLEFINANCE(A901,""HIGH"")"),559.45)</f>
        <v>559.45000000000005</v>
      </c>
      <c r="E901" s="11">
        <f ca="1">IFERROR(__xludf.DUMMYFUNCTION("GOOGLEFINANCE(A901,""LOW"")"),536.6)</f>
        <v>536.6</v>
      </c>
      <c r="F901" s="12" t="str">
        <f t="shared" ca="1" si="28"/>
        <v/>
      </c>
      <c r="G901" s="13">
        <f ca="1">IFERROR(__xludf.DUMMYFUNCTION("GOOGLEFINANCE(A901,""CLOSEYEST"")"),540.65)</f>
        <v>540.65</v>
      </c>
      <c r="H901" s="14" t="str">
        <f t="shared" ca="1" si="34"/>
        <v/>
      </c>
      <c r="I901" s="15">
        <f t="shared" ca="1" si="29"/>
        <v>545.56666666666672</v>
      </c>
      <c r="J901" s="16">
        <f t="shared" ca="1" si="30"/>
        <v>554.53333333333342</v>
      </c>
      <c r="K901" s="16"/>
      <c r="L901" s="16">
        <f t="shared" ca="1" si="31"/>
        <v>531.68333333333339</v>
      </c>
      <c r="M901" s="16">
        <f t="shared" ca="1" si="32"/>
        <v>568.41666666666674</v>
      </c>
      <c r="N901" s="16">
        <f t="shared" ca="1" si="33"/>
        <v>522.7166666666667</v>
      </c>
    </row>
    <row r="902" spans="1:14" ht="24.75" customHeight="1" x14ac:dyDescent="0.8">
      <c r="A902" s="18" t="s">
        <v>865</v>
      </c>
      <c r="B902" s="10">
        <f ca="1">IFERROR(__xludf.DUMMYFUNCTION("GOOGLEFINANCE(A902,""PRICE"")"),641.8)</f>
        <v>641.79999999999995</v>
      </c>
      <c r="C902" s="11">
        <f ca="1">IFERROR(__xludf.DUMMYFUNCTION("GOOGLEFINANCE(A902,""PRICEOPEN"")"),604)</f>
        <v>604</v>
      </c>
      <c r="D902" s="11">
        <f ca="1">IFERROR(__xludf.DUMMYFUNCTION("GOOGLEFINANCE(A902,""HIGH"")"),659.75)</f>
        <v>659.75</v>
      </c>
      <c r="E902" s="11">
        <f ca="1">IFERROR(__xludf.DUMMYFUNCTION("GOOGLEFINANCE(A902,""LOW"")"),603.45)</f>
        <v>603.45000000000005</v>
      </c>
      <c r="F902" s="12" t="str">
        <f t="shared" ca="1" si="28"/>
        <v/>
      </c>
      <c r="G902" s="13">
        <f ca="1">IFERROR(__xludf.DUMMYFUNCTION("GOOGLEFINANCE(A902,""CLOSEYEST"")"),598.35)</f>
        <v>598.35</v>
      </c>
      <c r="H902" s="14" t="str">
        <f t="shared" ca="1" si="34"/>
        <v/>
      </c>
      <c r="I902" s="15">
        <f t="shared" ca="1" si="29"/>
        <v>620.51666666666677</v>
      </c>
      <c r="J902" s="16">
        <f t="shared" ca="1" si="30"/>
        <v>637.58333333333348</v>
      </c>
      <c r="K902" s="16"/>
      <c r="L902" s="16">
        <f t="shared" ca="1" si="31"/>
        <v>581.28333333333353</v>
      </c>
      <c r="M902" s="16">
        <f t="shared" ca="1" si="32"/>
        <v>676.81666666666672</v>
      </c>
      <c r="N902" s="16">
        <f t="shared" ca="1" si="33"/>
        <v>564.21666666666681</v>
      </c>
    </row>
    <row r="903" spans="1:14" ht="24.75" customHeight="1" x14ac:dyDescent="0.8">
      <c r="A903" s="18" t="s">
        <v>866</v>
      </c>
      <c r="B903" s="10">
        <f ca="1">IFERROR(__xludf.DUMMYFUNCTION("GOOGLEFINANCE(A903,""PRICE"")"),268.1)</f>
        <v>268.10000000000002</v>
      </c>
      <c r="C903" s="11">
        <f ca="1">IFERROR(__xludf.DUMMYFUNCTION("GOOGLEFINANCE(A903,""PRICEOPEN"")"),263.7)</f>
        <v>263.7</v>
      </c>
      <c r="D903" s="11">
        <f ca="1">IFERROR(__xludf.DUMMYFUNCTION("GOOGLEFINANCE(A903,""HIGH"")"),275.6)</f>
        <v>275.60000000000002</v>
      </c>
      <c r="E903" s="11">
        <f ca="1">IFERROR(__xludf.DUMMYFUNCTION("GOOGLEFINANCE(A903,""LOW"")"),260.5)</f>
        <v>260.5</v>
      </c>
      <c r="F903" s="12" t="str">
        <f t="shared" ca="1" si="28"/>
        <v/>
      </c>
      <c r="G903" s="13">
        <f ca="1">IFERROR(__xludf.DUMMYFUNCTION("GOOGLEFINANCE(A903,""CLOSEYEST"")"),262.25)</f>
        <v>262.25</v>
      </c>
      <c r="H903" s="14" t="str">
        <f t="shared" ca="1" si="34"/>
        <v/>
      </c>
      <c r="I903" s="15">
        <f t="shared" ca="1" si="29"/>
        <v>266.11666666666667</v>
      </c>
      <c r="J903" s="16">
        <f t="shared" ca="1" si="30"/>
        <v>271.73333333333335</v>
      </c>
      <c r="K903" s="16"/>
      <c r="L903" s="16">
        <f t="shared" ca="1" si="31"/>
        <v>256.63333333333333</v>
      </c>
      <c r="M903" s="16">
        <f t="shared" ca="1" si="32"/>
        <v>281.2166666666667</v>
      </c>
      <c r="N903" s="16">
        <f t="shared" ca="1" si="33"/>
        <v>251.01666666666665</v>
      </c>
    </row>
    <row r="904" spans="1:14" ht="24.75" customHeight="1" x14ac:dyDescent="0.8">
      <c r="A904" s="18" t="s">
        <v>867</v>
      </c>
      <c r="B904" s="10">
        <f ca="1">IFERROR(__xludf.DUMMYFUNCTION("GOOGLEFINANCE(A904,""PRICE"")"),6985)</f>
        <v>6985</v>
      </c>
      <c r="C904" s="11">
        <f ca="1">IFERROR(__xludf.DUMMYFUNCTION("GOOGLEFINANCE(A904,""PRICEOPEN"")"),7194)</f>
        <v>7194</v>
      </c>
      <c r="D904" s="11">
        <f ca="1">IFERROR(__xludf.DUMMYFUNCTION("GOOGLEFINANCE(A904,""HIGH"")"),7213)</f>
        <v>7213</v>
      </c>
      <c r="E904" s="11">
        <f ca="1">IFERROR(__xludf.DUMMYFUNCTION("GOOGLEFINANCE(A904,""LOW"")"),6984)</f>
        <v>6984</v>
      </c>
      <c r="F904" s="12" t="str">
        <f t="shared" ca="1" si="28"/>
        <v/>
      </c>
      <c r="G904" s="13">
        <f ca="1">IFERROR(__xludf.DUMMYFUNCTION("GOOGLEFINANCE(A904,""CLOSEYEST"")"),7101.5)</f>
        <v>7101.5</v>
      </c>
      <c r="H904" s="14" t="str">
        <f t="shared" ca="1" si="34"/>
        <v>GAP UP</v>
      </c>
      <c r="I904" s="15">
        <f t="shared" ca="1" si="29"/>
        <v>7099.5</v>
      </c>
      <c r="J904" s="16">
        <f t="shared" ca="1" si="30"/>
        <v>7215</v>
      </c>
      <c r="K904" s="16"/>
      <c r="L904" s="16">
        <f t="shared" ca="1" si="31"/>
        <v>6986</v>
      </c>
      <c r="M904" s="16">
        <f t="shared" ca="1" si="32"/>
        <v>7328.5</v>
      </c>
      <c r="N904" s="16">
        <f t="shared" ca="1" si="33"/>
        <v>6870.5</v>
      </c>
    </row>
    <row r="905" spans="1:14" ht="24.75" customHeight="1" x14ac:dyDescent="0.8">
      <c r="A905" s="18" t="s">
        <v>868</v>
      </c>
      <c r="B905" s="10">
        <f ca="1">IFERROR(__xludf.DUMMYFUNCTION("GOOGLEFINANCE(A905,""PRICE"")"),587.5)</f>
        <v>587.5</v>
      </c>
      <c r="C905" s="11">
        <f ca="1">IFERROR(__xludf.DUMMYFUNCTION("GOOGLEFINANCE(A905,""PRICEOPEN"")"),590.05)</f>
        <v>590.04999999999995</v>
      </c>
      <c r="D905" s="11">
        <f ca="1">IFERROR(__xludf.DUMMYFUNCTION("GOOGLEFINANCE(A905,""HIGH"")"),606.2)</f>
        <v>606.20000000000005</v>
      </c>
      <c r="E905" s="11">
        <f ca="1">IFERROR(__xludf.DUMMYFUNCTION("GOOGLEFINANCE(A905,""LOW"")"),581.6)</f>
        <v>581.6</v>
      </c>
      <c r="F905" s="12" t="str">
        <f t="shared" ca="1" si="28"/>
        <v/>
      </c>
      <c r="G905" s="13">
        <f ca="1">IFERROR(__xludf.DUMMYFUNCTION("GOOGLEFINANCE(A905,""CLOSEYEST"")"),593.25)</f>
        <v>593.25</v>
      </c>
      <c r="H905" s="14" t="str">
        <f t="shared" ca="1" si="34"/>
        <v/>
      </c>
      <c r="I905" s="15">
        <f t="shared" ca="1" si="29"/>
        <v>593.68333333333339</v>
      </c>
      <c r="J905" s="16">
        <f t="shared" ca="1" si="30"/>
        <v>605.76666666666677</v>
      </c>
      <c r="K905" s="16"/>
      <c r="L905" s="16">
        <f t="shared" ca="1" si="31"/>
        <v>581.16666666666674</v>
      </c>
      <c r="M905" s="16">
        <f t="shared" ca="1" si="32"/>
        <v>618.28333333333342</v>
      </c>
      <c r="N905" s="16">
        <f t="shared" ca="1" si="33"/>
        <v>569.08333333333337</v>
      </c>
    </row>
    <row r="906" spans="1:14" ht="24.75" customHeight="1" x14ac:dyDescent="0.8">
      <c r="A906" s="18" t="s">
        <v>869</v>
      </c>
      <c r="B906" s="10" t="str">
        <f ca="1">IFERROR(__xludf.DUMMYFUNCTION("GOOGLEFINANCE(A906,""PRICE"")"),"#N/A")</f>
        <v>#N/A</v>
      </c>
      <c r="C906" s="11" t="str">
        <f ca="1">IFERROR(__xludf.DUMMYFUNCTION("GOOGLEFINANCE(A906,""PRICEOPEN"")"),"#N/A")</f>
        <v>#N/A</v>
      </c>
      <c r="D906" s="11" t="str">
        <f ca="1">IFERROR(__xludf.DUMMYFUNCTION("GOOGLEFINANCE(A906,""HIGH"")"),"#N/A")</f>
        <v>#N/A</v>
      </c>
      <c r="E906" s="11" t="str">
        <f ca="1">IFERROR(__xludf.DUMMYFUNCTION("GOOGLEFINANCE(A906,""LOW"")"),"#N/A")</f>
        <v>#N/A</v>
      </c>
      <c r="F906" s="12" t="str">
        <f t="shared" ca="1" si="28"/>
        <v>SELL</v>
      </c>
      <c r="G906" s="13" t="str">
        <f ca="1">IFERROR(__xludf.DUMMYFUNCTION("GOOGLEFINANCE(A906,""CLOSEYEST"")"),"#N/A")</f>
        <v>#N/A</v>
      </c>
      <c r="H906" s="14" t="e">
        <f t="shared" ca="1" si="34"/>
        <v>#VALUE!</v>
      </c>
      <c r="I906" s="15" t="e">
        <f t="shared" ca="1" si="29"/>
        <v>#VALUE!</v>
      </c>
      <c r="J906" s="16" t="e">
        <f t="shared" ca="1" si="30"/>
        <v>#VALUE!</v>
      </c>
      <c r="K906" s="16"/>
      <c r="L906" s="16" t="e">
        <f t="shared" ca="1" si="31"/>
        <v>#VALUE!</v>
      </c>
      <c r="M906" s="16" t="e">
        <f t="shared" ca="1" si="32"/>
        <v>#VALUE!</v>
      </c>
      <c r="N906" s="16" t="e">
        <f t="shared" ca="1" si="33"/>
        <v>#VALUE!</v>
      </c>
    </row>
    <row r="907" spans="1:14" ht="24.75" customHeight="1" x14ac:dyDescent="0.8">
      <c r="A907" s="18" t="s">
        <v>870</v>
      </c>
      <c r="B907" s="10">
        <f ca="1">IFERROR(__xludf.DUMMYFUNCTION("GOOGLEFINANCE(A907,""PRICE"")"),730.7)</f>
        <v>730.7</v>
      </c>
      <c r="C907" s="11">
        <f ca="1">IFERROR(__xludf.DUMMYFUNCTION("GOOGLEFINANCE(A907,""PRICEOPEN"")"),739.85)</f>
        <v>739.85</v>
      </c>
      <c r="D907" s="11">
        <f ca="1">IFERROR(__xludf.DUMMYFUNCTION("GOOGLEFINANCE(A907,""HIGH"")"),752.8)</f>
        <v>752.8</v>
      </c>
      <c r="E907" s="11">
        <f ca="1">IFERROR(__xludf.DUMMYFUNCTION("GOOGLEFINANCE(A907,""LOW"")"),727.2)</f>
        <v>727.2</v>
      </c>
      <c r="F907" s="12" t="str">
        <f t="shared" ca="1" si="28"/>
        <v/>
      </c>
      <c r="G907" s="13">
        <f ca="1">IFERROR(__xludf.DUMMYFUNCTION("GOOGLEFINANCE(A907,""CLOSEYEST"")"),733.35)</f>
        <v>733.35</v>
      </c>
      <c r="H907" s="14" t="str">
        <f t="shared" ca="1" si="34"/>
        <v/>
      </c>
      <c r="I907" s="15">
        <f t="shared" ca="1" si="29"/>
        <v>737.7833333333333</v>
      </c>
      <c r="J907" s="16">
        <f t="shared" ca="1" si="30"/>
        <v>748.36666666666656</v>
      </c>
      <c r="K907" s="16"/>
      <c r="L907" s="16">
        <f t="shared" ca="1" si="31"/>
        <v>722.76666666666665</v>
      </c>
      <c r="M907" s="16">
        <f t="shared" ca="1" si="32"/>
        <v>763.38333333333321</v>
      </c>
      <c r="N907" s="16">
        <f t="shared" ca="1" si="33"/>
        <v>712.18333333333339</v>
      </c>
    </row>
    <row r="908" spans="1:14" ht="24.75" customHeight="1" x14ac:dyDescent="0.8">
      <c r="A908" s="18" t="s">
        <v>871</v>
      </c>
      <c r="B908" s="10" t="str">
        <f ca="1">IFERROR(__xludf.DUMMYFUNCTION("GOOGLEFINANCE(A908,""PRICE"")"),"#N/A")</f>
        <v>#N/A</v>
      </c>
      <c r="C908" s="11" t="str">
        <f ca="1">IFERROR(__xludf.DUMMYFUNCTION("GOOGLEFINANCE(A908,""PRICEOPEN"")"),"#N/A")</f>
        <v>#N/A</v>
      </c>
      <c r="D908" s="11" t="str">
        <f ca="1">IFERROR(__xludf.DUMMYFUNCTION("GOOGLEFINANCE(A908,""HIGH"")"),"#N/A")</f>
        <v>#N/A</v>
      </c>
      <c r="E908" s="11" t="str">
        <f ca="1">IFERROR(__xludf.DUMMYFUNCTION("GOOGLEFINANCE(A908,""LOW"")"),"#N/A")</f>
        <v>#N/A</v>
      </c>
      <c r="F908" s="12" t="str">
        <f t="shared" ca="1" si="28"/>
        <v>SELL</v>
      </c>
      <c r="G908" s="13" t="str">
        <f ca="1">IFERROR(__xludf.DUMMYFUNCTION("GOOGLEFINANCE(A908,""CLOSEYEST"")"),"#N/A")</f>
        <v>#N/A</v>
      </c>
      <c r="H908" s="14" t="e">
        <f t="shared" ca="1" si="34"/>
        <v>#VALUE!</v>
      </c>
      <c r="I908" s="15" t="e">
        <f t="shared" ca="1" si="29"/>
        <v>#VALUE!</v>
      </c>
      <c r="J908" s="16" t="e">
        <f t="shared" ca="1" si="30"/>
        <v>#VALUE!</v>
      </c>
      <c r="K908" s="16"/>
      <c r="L908" s="16" t="e">
        <f t="shared" ca="1" si="31"/>
        <v>#VALUE!</v>
      </c>
      <c r="M908" s="16" t="e">
        <f t="shared" ca="1" si="32"/>
        <v>#VALUE!</v>
      </c>
      <c r="N908" s="16" t="e">
        <f t="shared" ca="1" si="33"/>
        <v>#VALUE!</v>
      </c>
    </row>
    <row r="909" spans="1:14" ht="24.75" customHeight="1" x14ac:dyDescent="0.8">
      <c r="A909" s="18" t="s">
        <v>872</v>
      </c>
      <c r="B909" s="10">
        <f ca="1">IFERROR(__xludf.DUMMYFUNCTION("GOOGLEFINANCE(A909,""PRICE"")"),5.4)</f>
        <v>5.4</v>
      </c>
      <c r="C909" s="11">
        <f ca="1">IFERROR(__xludf.DUMMYFUNCTION("GOOGLEFINANCE(A909,""PRICEOPEN"")"),5.4)</f>
        <v>5.4</v>
      </c>
      <c r="D909" s="11">
        <f ca="1">IFERROR(__xludf.DUMMYFUNCTION("GOOGLEFINANCE(A909,""HIGH"")"),5.4)</f>
        <v>5.4</v>
      </c>
      <c r="E909" s="11">
        <f ca="1">IFERROR(__xludf.DUMMYFUNCTION("GOOGLEFINANCE(A909,""LOW"")"),5.3)</f>
        <v>5.3</v>
      </c>
      <c r="F909" s="12" t="str">
        <f t="shared" ca="1" si="28"/>
        <v>SELL</v>
      </c>
      <c r="G909" s="13">
        <f ca="1">IFERROR(__xludf.DUMMYFUNCTION("GOOGLEFINANCE(A909,""CLOSEYEST"")"),5.5)</f>
        <v>5.5</v>
      </c>
      <c r="H909" s="14" t="str">
        <f t="shared" ca="1" si="34"/>
        <v>GAP DOWN</v>
      </c>
      <c r="I909" s="15">
        <f t="shared" ca="1" si="29"/>
        <v>5.3999999999999995</v>
      </c>
      <c r="J909" s="16">
        <f t="shared" ca="1" si="30"/>
        <v>5.4999999999999991</v>
      </c>
      <c r="K909" s="16"/>
      <c r="L909" s="16">
        <f t="shared" ca="1" si="31"/>
        <v>5.3999999999999986</v>
      </c>
      <c r="M909" s="16">
        <f t="shared" ca="1" si="32"/>
        <v>5.5</v>
      </c>
      <c r="N909" s="16">
        <f t="shared" ca="1" si="33"/>
        <v>5.2999999999999989</v>
      </c>
    </row>
    <row r="910" spans="1:14" ht="24.75" customHeight="1" x14ac:dyDescent="0.8">
      <c r="A910" s="18" t="s">
        <v>873</v>
      </c>
      <c r="B910" s="10">
        <f ca="1">IFERROR(__xludf.DUMMYFUNCTION("GOOGLEFINANCE(A910,""PRICE"")"),523.9)</f>
        <v>523.9</v>
      </c>
      <c r="C910" s="11">
        <f ca="1">IFERROR(__xludf.DUMMYFUNCTION("GOOGLEFINANCE(A910,""PRICEOPEN"")"),503.45)</f>
        <v>503.45</v>
      </c>
      <c r="D910" s="11">
        <f ca="1">IFERROR(__xludf.DUMMYFUNCTION("GOOGLEFINANCE(A910,""HIGH"")"),525.4)</f>
        <v>525.4</v>
      </c>
      <c r="E910" s="11">
        <f ca="1">IFERROR(__xludf.DUMMYFUNCTION("GOOGLEFINANCE(A910,""LOW"")"),502.1)</f>
        <v>502.1</v>
      </c>
      <c r="F910" s="12" t="str">
        <f t="shared" ca="1" si="28"/>
        <v/>
      </c>
      <c r="G910" s="13">
        <f ca="1">IFERROR(__xludf.DUMMYFUNCTION("GOOGLEFINANCE(A910,""CLOSEYEST"")"),503.8)</f>
        <v>503.8</v>
      </c>
      <c r="H910" s="14" t="str">
        <f t="shared" ca="1" si="34"/>
        <v/>
      </c>
      <c r="I910" s="15">
        <f t="shared" ca="1" si="29"/>
        <v>510.43333333333334</v>
      </c>
      <c r="J910" s="16">
        <f t="shared" ca="1" si="30"/>
        <v>518.76666666666665</v>
      </c>
      <c r="K910" s="16"/>
      <c r="L910" s="16">
        <f t="shared" ca="1" si="31"/>
        <v>495.4666666666667</v>
      </c>
      <c r="M910" s="16">
        <f t="shared" ca="1" si="32"/>
        <v>533.73333333333335</v>
      </c>
      <c r="N910" s="16">
        <f t="shared" ca="1" si="33"/>
        <v>487.13333333333338</v>
      </c>
    </row>
    <row r="911" spans="1:14" ht="24.75" customHeight="1" x14ac:dyDescent="0.8">
      <c r="A911" s="18" t="s">
        <v>874</v>
      </c>
      <c r="B911" s="10">
        <f ca="1">IFERROR(__xludf.DUMMYFUNCTION("GOOGLEFINANCE(A911,""PRICE"")"),308.1)</f>
        <v>308.10000000000002</v>
      </c>
      <c r="C911" s="11">
        <f ca="1">IFERROR(__xludf.DUMMYFUNCTION("GOOGLEFINANCE(A911,""PRICEOPEN"")"),301.8)</f>
        <v>301.8</v>
      </c>
      <c r="D911" s="11">
        <f ca="1">IFERROR(__xludf.DUMMYFUNCTION("GOOGLEFINANCE(A911,""HIGH"")"),310.55)</f>
        <v>310.55</v>
      </c>
      <c r="E911" s="11">
        <f ca="1">IFERROR(__xludf.DUMMYFUNCTION("GOOGLEFINANCE(A911,""LOW"")"),301.8)</f>
        <v>301.8</v>
      </c>
      <c r="F911" s="12" t="str">
        <f t="shared" ca="1" si="28"/>
        <v>BUY</v>
      </c>
      <c r="G911" s="13">
        <f ca="1">IFERROR(__xludf.DUMMYFUNCTION("GOOGLEFINANCE(A911,""CLOSEYEST"")"),300.95)</f>
        <v>300.95</v>
      </c>
      <c r="H911" s="14" t="str">
        <f t="shared" ca="1" si="34"/>
        <v/>
      </c>
      <c r="I911" s="15">
        <f t="shared" ca="1" si="29"/>
        <v>304.43333333333334</v>
      </c>
      <c r="J911" s="16">
        <f t="shared" ca="1" si="30"/>
        <v>307.06666666666666</v>
      </c>
      <c r="K911" s="16"/>
      <c r="L911" s="16">
        <f t="shared" ca="1" si="31"/>
        <v>298.31666666666666</v>
      </c>
      <c r="M911" s="16">
        <f t="shared" ca="1" si="32"/>
        <v>313.18333333333334</v>
      </c>
      <c r="N911" s="16">
        <f t="shared" ca="1" si="33"/>
        <v>295.68333333333334</v>
      </c>
    </row>
    <row r="912" spans="1:14" ht="24.75" customHeight="1" x14ac:dyDescent="0.8">
      <c r="A912" s="18" t="s">
        <v>875</v>
      </c>
      <c r="B912" s="10">
        <f ca="1">IFERROR(__xludf.DUMMYFUNCTION("GOOGLEFINANCE(A912,""PRICE"")"),183)</f>
        <v>183</v>
      </c>
      <c r="C912" s="11">
        <f ca="1">IFERROR(__xludf.DUMMYFUNCTION("GOOGLEFINANCE(A912,""PRICEOPEN"")"),175.62)</f>
        <v>175.62</v>
      </c>
      <c r="D912" s="11">
        <f ca="1">IFERROR(__xludf.DUMMYFUNCTION("GOOGLEFINANCE(A912,""HIGH"")"),184)</f>
        <v>184</v>
      </c>
      <c r="E912" s="11">
        <f ca="1">IFERROR(__xludf.DUMMYFUNCTION("GOOGLEFINANCE(A912,""LOW"")"),174.62)</f>
        <v>174.62</v>
      </c>
      <c r="F912" s="12" t="str">
        <f t="shared" ca="1" si="28"/>
        <v/>
      </c>
      <c r="G912" s="13">
        <f ca="1">IFERROR(__xludf.DUMMYFUNCTION("GOOGLEFINANCE(A912,""CLOSEYEST"")"),175.62)</f>
        <v>175.62</v>
      </c>
      <c r="H912" s="14" t="str">
        <f t="shared" ca="1" si="34"/>
        <v/>
      </c>
      <c r="I912" s="15">
        <f t="shared" ca="1" si="29"/>
        <v>178.08</v>
      </c>
      <c r="J912" s="16">
        <f t="shared" ca="1" si="30"/>
        <v>181.54000000000002</v>
      </c>
      <c r="K912" s="16"/>
      <c r="L912" s="16">
        <f t="shared" ca="1" si="31"/>
        <v>172.16000000000003</v>
      </c>
      <c r="M912" s="16">
        <f t="shared" ca="1" si="32"/>
        <v>187.46</v>
      </c>
      <c r="N912" s="16">
        <f t="shared" ca="1" si="33"/>
        <v>168.70000000000002</v>
      </c>
    </row>
    <row r="913" spans="1:14" ht="24.75" customHeight="1" x14ac:dyDescent="0.8">
      <c r="A913" s="18" t="s">
        <v>876</v>
      </c>
      <c r="B913" s="10">
        <f ca="1">IFERROR(__xludf.DUMMYFUNCTION("GOOGLEFINANCE(A913,""PRICE"")"),487.9)</f>
        <v>487.9</v>
      </c>
      <c r="C913" s="11">
        <f ca="1">IFERROR(__xludf.DUMMYFUNCTION("GOOGLEFINANCE(A913,""PRICEOPEN"")"),469.7)</f>
        <v>469.7</v>
      </c>
      <c r="D913" s="11">
        <f ca="1">IFERROR(__xludf.DUMMYFUNCTION("GOOGLEFINANCE(A913,""HIGH"")"),487.9)</f>
        <v>487.9</v>
      </c>
      <c r="E913" s="11">
        <f ca="1">IFERROR(__xludf.DUMMYFUNCTION("GOOGLEFINANCE(A913,""LOW"")"),464.1)</f>
        <v>464.1</v>
      </c>
      <c r="F913" s="12" t="str">
        <f t="shared" ca="1" si="28"/>
        <v/>
      </c>
      <c r="G913" s="13">
        <f ca="1">IFERROR(__xludf.DUMMYFUNCTION("GOOGLEFINANCE(A913,""CLOSEYEST"")"),465.65)</f>
        <v>465.65</v>
      </c>
      <c r="H913" s="14" t="str">
        <f t="shared" ca="1" si="34"/>
        <v/>
      </c>
      <c r="I913" s="15">
        <f t="shared" ca="1" si="29"/>
        <v>472.55</v>
      </c>
      <c r="J913" s="16">
        <f t="shared" ca="1" si="30"/>
        <v>481</v>
      </c>
      <c r="K913" s="16"/>
      <c r="L913" s="16">
        <f t="shared" ca="1" si="31"/>
        <v>457.20000000000005</v>
      </c>
      <c r="M913" s="16">
        <f t="shared" ca="1" si="32"/>
        <v>496.34999999999997</v>
      </c>
      <c r="N913" s="16">
        <f t="shared" ca="1" si="33"/>
        <v>448.75000000000006</v>
      </c>
    </row>
    <row r="914" spans="1:14" ht="24.75" customHeight="1" x14ac:dyDescent="0.8">
      <c r="A914" s="18" t="s">
        <v>877</v>
      </c>
      <c r="B914" s="10">
        <f ca="1">IFERROR(__xludf.DUMMYFUNCTION("GOOGLEFINANCE(A914,""PRICE"")"),849.3)</f>
        <v>849.3</v>
      </c>
      <c r="C914" s="11">
        <f ca="1">IFERROR(__xludf.DUMMYFUNCTION("GOOGLEFINANCE(A914,""PRICEOPEN"")"),864)</f>
        <v>864</v>
      </c>
      <c r="D914" s="11">
        <f ca="1">IFERROR(__xludf.DUMMYFUNCTION("GOOGLEFINANCE(A914,""HIGH"")"),869.55)</f>
        <v>869.55</v>
      </c>
      <c r="E914" s="11">
        <f ca="1">IFERROR(__xludf.DUMMYFUNCTION("GOOGLEFINANCE(A914,""LOW"")"),835.55)</f>
        <v>835.55</v>
      </c>
      <c r="F914" s="12" t="str">
        <f t="shared" ca="1" si="28"/>
        <v/>
      </c>
      <c r="G914" s="13">
        <f ca="1">IFERROR(__xludf.DUMMYFUNCTION("GOOGLEFINANCE(A914,""CLOSEYEST"")"),859.85)</f>
        <v>859.85</v>
      </c>
      <c r="H914" s="14" t="str">
        <f t="shared" ca="1" si="34"/>
        <v/>
      </c>
      <c r="I914" s="15">
        <f t="shared" ca="1" si="29"/>
        <v>854.98333333333323</v>
      </c>
      <c r="J914" s="16">
        <f t="shared" ca="1" si="30"/>
        <v>874.41666666666652</v>
      </c>
      <c r="K914" s="16"/>
      <c r="L914" s="16">
        <f t="shared" ca="1" si="31"/>
        <v>840.41666666666652</v>
      </c>
      <c r="M914" s="16">
        <f t="shared" ca="1" si="32"/>
        <v>888.98333333333323</v>
      </c>
      <c r="N914" s="16">
        <f t="shared" ca="1" si="33"/>
        <v>820.98333333333323</v>
      </c>
    </row>
    <row r="915" spans="1:14" ht="24.75" customHeight="1" x14ac:dyDescent="0.8">
      <c r="A915" s="18" t="s">
        <v>878</v>
      </c>
      <c r="B915" s="10">
        <f ca="1">IFERROR(__xludf.DUMMYFUNCTION("GOOGLEFINANCE(A915,""PRICE"")"),19.69)</f>
        <v>19.690000000000001</v>
      </c>
      <c r="C915" s="11">
        <f ca="1">IFERROR(__xludf.DUMMYFUNCTION("GOOGLEFINANCE(A915,""PRICEOPEN"")"),19.57)</f>
        <v>19.57</v>
      </c>
      <c r="D915" s="11">
        <f ca="1">IFERROR(__xludf.DUMMYFUNCTION("GOOGLEFINANCE(A915,""HIGH"")"),19.88)</f>
        <v>19.88</v>
      </c>
      <c r="E915" s="11">
        <f ca="1">IFERROR(__xludf.DUMMYFUNCTION("GOOGLEFINANCE(A915,""LOW"")"),19.56)</f>
        <v>19.559999999999999</v>
      </c>
      <c r="F915" s="12" t="str">
        <f t="shared" ca="1" si="28"/>
        <v/>
      </c>
      <c r="G915" s="13">
        <f ca="1">IFERROR(__xludf.DUMMYFUNCTION("GOOGLEFINANCE(A915,""CLOSEYEST"")"),19.48)</f>
        <v>19.48</v>
      </c>
      <c r="H915" s="14" t="str">
        <f t="shared" ca="1" si="34"/>
        <v/>
      </c>
      <c r="I915" s="15">
        <f t="shared" ca="1" si="29"/>
        <v>19.64</v>
      </c>
      <c r="J915" s="16">
        <f t="shared" ca="1" si="30"/>
        <v>19.720000000000002</v>
      </c>
      <c r="K915" s="16"/>
      <c r="L915" s="16">
        <f t="shared" ca="1" si="31"/>
        <v>19.400000000000002</v>
      </c>
      <c r="M915" s="16">
        <f t="shared" ca="1" si="32"/>
        <v>19.96</v>
      </c>
      <c r="N915" s="16">
        <f t="shared" ca="1" si="33"/>
        <v>19.32</v>
      </c>
    </row>
    <row r="916" spans="1:14" ht="24.75" customHeight="1" x14ac:dyDescent="0.8">
      <c r="A916" s="18" t="s">
        <v>879</v>
      </c>
      <c r="B916" s="10">
        <f ca="1">IFERROR(__xludf.DUMMYFUNCTION("GOOGLEFINANCE(A916,""PRICE"")"),865)</f>
        <v>865</v>
      </c>
      <c r="C916" s="11">
        <f ca="1">IFERROR(__xludf.DUMMYFUNCTION("GOOGLEFINANCE(A916,""PRICEOPEN"")"),850)</f>
        <v>850</v>
      </c>
      <c r="D916" s="11">
        <f ca="1">IFERROR(__xludf.DUMMYFUNCTION("GOOGLEFINANCE(A916,""HIGH"")"),865)</f>
        <v>865</v>
      </c>
      <c r="E916" s="11">
        <f ca="1">IFERROR(__xludf.DUMMYFUNCTION("GOOGLEFINANCE(A916,""LOW"")"),839.85)</f>
        <v>839.85</v>
      </c>
      <c r="F916" s="12" t="str">
        <f t="shared" ca="1" si="28"/>
        <v/>
      </c>
      <c r="G916" s="13">
        <f ca="1">IFERROR(__xludf.DUMMYFUNCTION("GOOGLEFINANCE(A916,""CLOSEYEST"")"),843.55)</f>
        <v>843.55</v>
      </c>
      <c r="H916" s="14" t="str">
        <f t="shared" ca="1" si="34"/>
        <v/>
      </c>
      <c r="I916" s="15">
        <f t="shared" ca="1" si="29"/>
        <v>849.46666666666658</v>
      </c>
      <c r="J916" s="16">
        <f t="shared" ca="1" si="30"/>
        <v>859.08333333333314</v>
      </c>
      <c r="K916" s="16"/>
      <c r="L916" s="16">
        <f t="shared" ca="1" si="31"/>
        <v>833.93333333333317</v>
      </c>
      <c r="M916" s="16">
        <f t="shared" ca="1" si="32"/>
        <v>874.61666666666656</v>
      </c>
      <c r="N916" s="16">
        <f t="shared" ca="1" si="33"/>
        <v>824.31666666666661</v>
      </c>
    </row>
    <row r="917" spans="1:14" ht="24.75" customHeight="1" x14ac:dyDescent="0.8">
      <c r="A917" s="18" t="s">
        <v>880</v>
      </c>
      <c r="B917" s="10" t="str">
        <f ca="1">IFERROR(__xludf.DUMMYFUNCTION("GOOGLEFINANCE(A917,""PRICE"")"),"#N/A")</f>
        <v>#N/A</v>
      </c>
      <c r="C917" s="11" t="str">
        <f ca="1">IFERROR(__xludf.DUMMYFUNCTION("GOOGLEFINANCE(A917,""PRICEOPEN"")"),"#N/A")</f>
        <v>#N/A</v>
      </c>
      <c r="D917" s="11" t="str">
        <f ca="1">IFERROR(__xludf.DUMMYFUNCTION("GOOGLEFINANCE(A917,""HIGH"")"),"#N/A")</f>
        <v>#N/A</v>
      </c>
      <c r="E917" s="11" t="str">
        <f ca="1">IFERROR(__xludf.DUMMYFUNCTION("GOOGLEFINANCE(A917,""LOW"")"),"#N/A")</f>
        <v>#N/A</v>
      </c>
      <c r="F917" s="12" t="str">
        <f t="shared" ca="1" si="28"/>
        <v>SELL</v>
      </c>
      <c r="G917" s="13" t="str">
        <f ca="1">IFERROR(__xludf.DUMMYFUNCTION("GOOGLEFINANCE(A917,""CLOSEYEST"")"),"#N/A")</f>
        <v>#N/A</v>
      </c>
      <c r="H917" s="14" t="e">
        <f t="shared" ca="1" si="34"/>
        <v>#VALUE!</v>
      </c>
      <c r="I917" s="15" t="e">
        <f t="shared" ca="1" si="29"/>
        <v>#VALUE!</v>
      </c>
      <c r="J917" s="16" t="e">
        <f t="shared" ca="1" si="30"/>
        <v>#VALUE!</v>
      </c>
      <c r="K917" s="16"/>
      <c r="L917" s="16" t="e">
        <f t="shared" ca="1" si="31"/>
        <v>#VALUE!</v>
      </c>
      <c r="M917" s="16" t="e">
        <f t="shared" ca="1" si="32"/>
        <v>#VALUE!</v>
      </c>
      <c r="N917" s="16" t="e">
        <f t="shared" ca="1" si="33"/>
        <v>#VALUE!</v>
      </c>
    </row>
    <row r="918" spans="1:14" ht="24.75" customHeight="1" x14ac:dyDescent="0.8">
      <c r="A918" s="18" t="s">
        <v>881</v>
      </c>
      <c r="B918" s="10">
        <f ca="1">IFERROR(__xludf.DUMMYFUNCTION("GOOGLEFINANCE(A918,""PRICE"")"),735.75)</f>
        <v>735.75</v>
      </c>
      <c r="C918" s="11">
        <f ca="1">IFERROR(__xludf.DUMMYFUNCTION("GOOGLEFINANCE(A918,""PRICEOPEN"")"),728.8)</f>
        <v>728.8</v>
      </c>
      <c r="D918" s="11">
        <f ca="1">IFERROR(__xludf.DUMMYFUNCTION("GOOGLEFINANCE(A918,""HIGH"")"),738.9)</f>
        <v>738.9</v>
      </c>
      <c r="E918" s="11">
        <f ca="1">IFERROR(__xludf.DUMMYFUNCTION("GOOGLEFINANCE(A918,""LOW"")"),728.8)</f>
        <v>728.8</v>
      </c>
      <c r="F918" s="12" t="str">
        <f t="shared" ca="1" si="28"/>
        <v>BUY</v>
      </c>
      <c r="G918" s="13">
        <f ca="1">IFERROR(__xludf.DUMMYFUNCTION("GOOGLEFINANCE(A918,""CLOSEYEST"")"),727.45)</f>
        <v>727.45</v>
      </c>
      <c r="H918" s="14" t="str">
        <f t="shared" ca="1" si="34"/>
        <v/>
      </c>
      <c r="I918" s="15">
        <f t="shared" ca="1" si="29"/>
        <v>731.71666666666658</v>
      </c>
      <c r="J918" s="16">
        <f t="shared" ca="1" si="30"/>
        <v>734.63333333333321</v>
      </c>
      <c r="K918" s="16"/>
      <c r="L918" s="16">
        <f t="shared" ca="1" si="31"/>
        <v>724.53333333333319</v>
      </c>
      <c r="M918" s="16">
        <f t="shared" ca="1" si="32"/>
        <v>741.81666666666661</v>
      </c>
      <c r="N918" s="16">
        <f t="shared" ca="1" si="33"/>
        <v>721.61666666666656</v>
      </c>
    </row>
    <row r="919" spans="1:14" ht="24.75" customHeight="1" x14ac:dyDescent="0.8">
      <c r="A919" s="18" t="s">
        <v>882</v>
      </c>
      <c r="B919" s="10">
        <f ca="1">IFERROR(__xludf.DUMMYFUNCTION("GOOGLEFINANCE(A919,""PRICE"")"),1007.5)</f>
        <v>1007.5</v>
      </c>
      <c r="C919" s="11">
        <f ca="1">IFERROR(__xludf.DUMMYFUNCTION("GOOGLEFINANCE(A919,""PRICEOPEN"")"),1010.95)</f>
        <v>1010.95</v>
      </c>
      <c r="D919" s="11">
        <f ca="1">IFERROR(__xludf.DUMMYFUNCTION("GOOGLEFINANCE(A919,""HIGH"")"),1020)</f>
        <v>1020</v>
      </c>
      <c r="E919" s="11">
        <f ca="1">IFERROR(__xludf.DUMMYFUNCTION("GOOGLEFINANCE(A919,""LOW"")"),992.4)</f>
        <v>992.4</v>
      </c>
      <c r="F919" s="12" t="str">
        <f t="shared" ca="1" si="28"/>
        <v/>
      </c>
      <c r="G919" s="13">
        <f ca="1">IFERROR(__xludf.DUMMYFUNCTION("GOOGLEFINANCE(A919,""CLOSEYEST"")"),1003.35)</f>
        <v>1003.35</v>
      </c>
      <c r="H919" s="14" t="str">
        <f t="shared" ca="1" si="34"/>
        <v/>
      </c>
      <c r="I919" s="15">
        <f t="shared" ca="1" si="29"/>
        <v>1005.25</v>
      </c>
      <c r="J919" s="16">
        <f t="shared" ca="1" si="30"/>
        <v>1018.1</v>
      </c>
      <c r="K919" s="16"/>
      <c r="L919" s="16">
        <f t="shared" ca="1" si="31"/>
        <v>990.5</v>
      </c>
      <c r="M919" s="16">
        <f t="shared" ca="1" si="32"/>
        <v>1032.8499999999999</v>
      </c>
      <c r="N919" s="16">
        <f t="shared" ca="1" si="33"/>
        <v>977.65</v>
      </c>
    </row>
    <row r="920" spans="1:14" ht="24.75" customHeight="1" x14ac:dyDescent="0.8">
      <c r="A920" s="18" t="s">
        <v>883</v>
      </c>
      <c r="B920" s="10">
        <f ca="1">IFERROR(__xludf.DUMMYFUNCTION("GOOGLEFINANCE(A920,""PRICE"")"),503.75)</f>
        <v>503.75</v>
      </c>
      <c r="C920" s="11">
        <f ca="1">IFERROR(__xludf.DUMMYFUNCTION("GOOGLEFINANCE(A920,""PRICEOPEN"")"),504)</f>
        <v>504</v>
      </c>
      <c r="D920" s="11">
        <f ca="1">IFERROR(__xludf.DUMMYFUNCTION("GOOGLEFINANCE(A920,""HIGH"")"),515.95)</f>
        <v>515.95000000000005</v>
      </c>
      <c r="E920" s="11">
        <f ca="1">IFERROR(__xludf.DUMMYFUNCTION("GOOGLEFINANCE(A920,""LOW"")"),501)</f>
        <v>501</v>
      </c>
      <c r="F920" s="12" t="str">
        <f t="shared" ca="1" si="28"/>
        <v/>
      </c>
      <c r="G920" s="13">
        <f ca="1">IFERROR(__xludf.DUMMYFUNCTION("GOOGLEFINANCE(A920,""CLOSEYEST"")"),510.8)</f>
        <v>510.8</v>
      </c>
      <c r="H920" s="14" t="str">
        <f t="shared" ca="1" si="34"/>
        <v>GAP DOWN</v>
      </c>
      <c r="I920" s="15">
        <f t="shared" ca="1" si="29"/>
        <v>509.25</v>
      </c>
      <c r="J920" s="16">
        <f t="shared" ca="1" si="30"/>
        <v>517.5</v>
      </c>
      <c r="K920" s="16"/>
      <c r="L920" s="16">
        <f t="shared" ca="1" si="31"/>
        <v>502.54999999999995</v>
      </c>
      <c r="M920" s="16">
        <f t="shared" ca="1" si="32"/>
        <v>524.20000000000005</v>
      </c>
      <c r="N920" s="16">
        <f t="shared" ca="1" si="33"/>
        <v>494.29999999999995</v>
      </c>
    </row>
    <row r="921" spans="1:14" ht="24.75" customHeight="1" x14ac:dyDescent="0.8">
      <c r="A921" s="18" t="s">
        <v>884</v>
      </c>
      <c r="B921" s="10">
        <f ca="1">IFERROR(__xludf.DUMMYFUNCTION("GOOGLEFINANCE(A921,""PRICE"")"),2780)</f>
        <v>2780</v>
      </c>
      <c r="C921" s="11">
        <f ca="1">IFERROR(__xludf.DUMMYFUNCTION("GOOGLEFINANCE(A921,""PRICEOPEN"")"),2759)</f>
        <v>2759</v>
      </c>
      <c r="D921" s="11">
        <f ca="1">IFERROR(__xludf.DUMMYFUNCTION("GOOGLEFINANCE(A921,""HIGH"")"),2780)</f>
        <v>2780</v>
      </c>
      <c r="E921" s="11">
        <f ca="1">IFERROR(__xludf.DUMMYFUNCTION("GOOGLEFINANCE(A921,""LOW"")"),2732.2)</f>
        <v>2732.2</v>
      </c>
      <c r="F921" s="12" t="str">
        <f t="shared" ca="1" si="28"/>
        <v/>
      </c>
      <c r="G921" s="13">
        <f ca="1">IFERROR(__xludf.DUMMYFUNCTION("GOOGLEFINANCE(A921,""CLOSEYEST"")"),2739.9)</f>
        <v>2739.9</v>
      </c>
      <c r="H921" s="14" t="str">
        <f t="shared" ca="1" si="34"/>
        <v/>
      </c>
      <c r="I921" s="15">
        <f t="shared" ca="1" si="29"/>
        <v>2750.7000000000003</v>
      </c>
      <c r="J921" s="16">
        <f t="shared" ca="1" si="30"/>
        <v>2769.2000000000007</v>
      </c>
      <c r="K921" s="16"/>
      <c r="L921" s="16">
        <f t="shared" ca="1" si="31"/>
        <v>2721.4000000000005</v>
      </c>
      <c r="M921" s="16">
        <f t="shared" ca="1" si="32"/>
        <v>2798.5000000000005</v>
      </c>
      <c r="N921" s="16">
        <f t="shared" ca="1" si="33"/>
        <v>2702.9</v>
      </c>
    </row>
    <row r="922" spans="1:14" ht="24.75" customHeight="1" x14ac:dyDescent="0.8">
      <c r="A922" s="18" t="s">
        <v>885</v>
      </c>
      <c r="B922" s="10">
        <f ca="1">IFERROR(__xludf.DUMMYFUNCTION("GOOGLEFINANCE(A922,""PRICE"")"),256.5)</f>
        <v>256.5</v>
      </c>
      <c r="C922" s="11">
        <f ca="1">IFERROR(__xludf.DUMMYFUNCTION("GOOGLEFINANCE(A922,""PRICEOPEN"")"),258.55)</f>
        <v>258.55</v>
      </c>
      <c r="D922" s="11">
        <f ca="1">IFERROR(__xludf.DUMMYFUNCTION("GOOGLEFINANCE(A922,""HIGH"")"),262.2)</f>
        <v>262.2</v>
      </c>
      <c r="E922" s="11">
        <f ca="1">IFERROR(__xludf.DUMMYFUNCTION("GOOGLEFINANCE(A922,""LOW"")"),255.25)</f>
        <v>255.25</v>
      </c>
      <c r="F922" s="12" t="str">
        <f t="shared" ca="1" si="28"/>
        <v/>
      </c>
      <c r="G922" s="13">
        <f ca="1">IFERROR(__xludf.DUMMYFUNCTION("GOOGLEFINANCE(A922,""CLOSEYEST"")"),258.55)</f>
        <v>258.55</v>
      </c>
      <c r="H922" s="14" t="str">
        <f t="shared" ca="1" si="34"/>
        <v/>
      </c>
      <c r="I922" s="15">
        <f t="shared" ca="1" si="29"/>
        <v>258.66666666666669</v>
      </c>
      <c r="J922" s="16">
        <f t="shared" ca="1" si="30"/>
        <v>262.08333333333337</v>
      </c>
      <c r="K922" s="16"/>
      <c r="L922" s="16">
        <f t="shared" ca="1" si="31"/>
        <v>255.13333333333338</v>
      </c>
      <c r="M922" s="16">
        <f t="shared" ca="1" si="32"/>
        <v>265.61666666666667</v>
      </c>
      <c r="N922" s="16">
        <f t="shared" ca="1" si="33"/>
        <v>251.7166666666667</v>
      </c>
    </row>
    <row r="923" spans="1:14" ht="24.75" customHeight="1" x14ac:dyDescent="0.8">
      <c r="A923" s="18" t="s">
        <v>886</v>
      </c>
      <c r="B923" s="10">
        <f ca="1">IFERROR(__xludf.DUMMYFUNCTION("GOOGLEFINANCE(A923,""PRICE"")"),99.85)</f>
        <v>99.85</v>
      </c>
      <c r="C923" s="11">
        <f ca="1">IFERROR(__xludf.DUMMYFUNCTION("GOOGLEFINANCE(A923,""PRICEOPEN"")"),99.3)</f>
        <v>99.3</v>
      </c>
      <c r="D923" s="11">
        <f ca="1">IFERROR(__xludf.DUMMYFUNCTION("GOOGLEFINANCE(A923,""HIGH"")"),100.41)</f>
        <v>100.41</v>
      </c>
      <c r="E923" s="11">
        <f ca="1">IFERROR(__xludf.DUMMYFUNCTION("GOOGLEFINANCE(A923,""LOW"")"),98.1)</f>
        <v>98.1</v>
      </c>
      <c r="F923" s="12" t="str">
        <f t="shared" ca="1" si="28"/>
        <v/>
      </c>
      <c r="G923" s="13">
        <f ca="1">IFERROR(__xludf.DUMMYFUNCTION("GOOGLEFINANCE(A923,""CLOSEYEST"")"),100.1)</f>
        <v>100.1</v>
      </c>
      <c r="H923" s="14" t="str">
        <f t="shared" ca="1" si="34"/>
        <v/>
      </c>
      <c r="I923" s="15">
        <f t="shared" ca="1" si="29"/>
        <v>99.536666666666676</v>
      </c>
      <c r="J923" s="16">
        <f t="shared" ca="1" si="30"/>
        <v>100.97333333333336</v>
      </c>
      <c r="K923" s="16"/>
      <c r="L923" s="16">
        <f t="shared" ca="1" si="31"/>
        <v>98.663333333333355</v>
      </c>
      <c r="M923" s="16">
        <f t="shared" ca="1" si="32"/>
        <v>101.84666666666668</v>
      </c>
      <c r="N923" s="16">
        <f t="shared" ca="1" si="33"/>
        <v>97.226666666666674</v>
      </c>
    </row>
    <row r="924" spans="1:14" ht="24.75" customHeight="1" x14ac:dyDescent="0.8">
      <c r="A924" s="18" t="s">
        <v>887</v>
      </c>
      <c r="B924" s="10">
        <f ca="1">IFERROR(__xludf.DUMMYFUNCTION("GOOGLEFINANCE(A924,""PRICE"")"),86.5)</f>
        <v>86.5</v>
      </c>
      <c r="C924" s="11">
        <f ca="1">IFERROR(__xludf.DUMMYFUNCTION("GOOGLEFINANCE(A924,""PRICEOPEN"")"),85.02)</f>
        <v>85.02</v>
      </c>
      <c r="D924" s="11">
        <f ca="1">IFERROR(__xludf.DUMMYFUNCTION("GOOGLEFINANCE(A924,""HIGH"")"),87.84)</f>
        <v>87.84</v>
      </c>
      <c r="E924" s="11">
        <f ca="1">IFERROR(__xludf.DUMMYFUNCTION("GOOGLEFINANCE(A924,""LOW"")"),85.02)</f>
        <v>85.02</v>
      </c>
      <c r="F924" s="12" t="str">
        <f t="shared" ca="1" si="28"/>
        <v>BUY</v>
      </c>
      <c r="G924" s="13">
        <f ca="1">IFERROR(__xludf.DUMMYFUNCTION("GOOGLEFINANCE(A924,""CLOSEYEST"")"),85.7)</f>
        <v>85.7</v>
      </c>
      <c r="H924" s="14" t="str">
        <f t="shared" ca="1" si="34"/>
        <v/>
      </c>
      <c r="I924" s="15">
        <f t="shared" ca="1" si="29"/>
        <v>86.186666666666667</v>
      </c>
      <c r="J924" s="16">
        <f t="shared" ca="1" si="30"/>
        <v>87.353333333333339</v>
      </c>
      <c r="K924" s="16"/>
      <c r="L924" s="16">
        <f t="shared" ca="1" si="31"/>
        <v>84.533333333333331</v>
      </c>
      <c r="M924" s="16">
        <f t="shared" ca="1" si="32"/>
        <v>89.006666666666675</v>
      </c>
      <c r="N924" s="16">
        <f t="shared" ca="1" si="33"/>
        <v>83.36666666666666</v>
      </c>
    </row>
    <row r="925" spans="1:14" ht="24.75" customHeight="1" x14ac:dyDescent="0.8">
      <c r="A925" s="18" t="s">
        <v>888</v>
      </c>
      <c r="B925" s="10">
        <f ca="1">IFERROR(__xludf.DUMMYFUNCTION("GOOGLEFINANCE(A925,""PRICE"")"),274)</f>
        <v>274</v>
      </c>
      <c r="C925" s="11">
        <f ca="1">IFERROR(__xludf.DUMMYFUNCTION("GOOGLEFINANCE(A925,""PRICEOPEN"")"),268.45)</f>
        <v>268.45</v>
      </c>
      <c r="D925" s="11">
        <f ca="1">IFERROR(__xludf.DUMMYFUNCTION("GOOGLEFINANCE(A925,""HIGH"")"),277.1)</f>
        <v>277.10000000000002</v>
      </c>
      <c r="E925" s="11">
        <f ca="1">IFERROR(__xludf.DUMMYFUNCTION("GOOGLEFINANCE(A925,""LOW"")"),263.85)</f>
        <v>263.85000000000002</v>
      </c>
      <c r="F925" s="12" t="str">
        <f t="shared" ca="1" si="28"/>
        <v/>
      </c>
      <c r="G925" s="13">
        <f ca="1">IFERROR(__xludf.DUMMYFUNCTION("GOOGLEFINANCE(A925,""CLOSEYEST"")"),265.9)</f>
        <v>265.89999999999998</v>
      </c>
      <c r="H925" s="14" t="str">
        <f t="shared" ca="1" si="34"/>
        <v/>
      </c>
      <c r="I925" s="15">
        <f t="shared" ca="1" si="29"/>
        <v>268.95</v>
      </c>
      <c r="J925" s="16">
        <f t="shared" ca="1" si="30"/>
        <v>274.04999999999995</v>
      </c>
      <c r="K925" s="16"/>
      <c r="L925" s="16">
        <f t="shared" ca="1" si="31"/>
        <v>260.79999999999995</v>
      </c>
      <c r="M925" s="16">
        <f t="shared" ca="1" si="32"/>
        <v>282.2</v>
      </c>
      <c r="N925" s="16">
        <f t="shared" ca="1" si="33"/>
        <v>255.7</v>
      </c>
    </row>
    <row r="926" spans="1:14" ht="24.75" customHeight="1" x14ac:dyDescent="0.8">
      <c r="A926" s="18" t="s">
        <v>889</v>
      </c>
      <c r="B926" s="10">
        <f ca="1">IFERROR(__xludf.DUMMYFUNCTION("GOOGLEFINANCE(A926,""PRICE"")"),648)</f>
        <v>648</v>
      </c>
      <c r="C926" s="11">
        <f ca="1">IFERROR(__xludf.DUMMYFUNCTION("GOOGLEFINANCE(A926,""PRICEOPEN"")"),645.65)</f>
        <v>645.65</v>
      </c>
      <c r="D926" s="11">
        <f ca="1">IFERROR(__xludf.DUMMYFUNCTION("GOOGLEFINANCE(A926,""HIGH"")"),648)</f>
        <v>648</v>
      </c>
      <c r="E926" s="11">
        <f ca="1">IFERROR(__xludf.DUMMYFUNCTION("GOOGLEFINANCE(A926,""LOW"")"),637.3)</f>
        <v>637.29999999999995</v>
      </c>
      <c r="F926" s="12" t="str">
        <f t="shared" ca="1" si="28"/>
        <v/>
      </c>
      <c r="G926" s="13">
        <f ca="1">IFERROR(__xludf.DUMMYFUNCTION("GOOGLEFINANCE(A926,""CLOSEYEST"")"),644.45)</f>
        <v>644.45000000000005</v>
      </c>
      <c r="H926" s="14" t="str">
        <f t="shared" ca="1" si="34"/>
        <v/>
      </c>
      <c r="I926" s="15">
        <f t="shared" ca="1" si="29"/>
        <v>643.25</v>
      </c>
      <c r="J926" s="16">
        <f t="shared" ca="1" si="30"/>
        <v>649.20000000000005</v>
      </c>
      <c r="K926" s="16"/>
      <c r="L926" s="16">
        <f t="shared" ca="1" si="31"/>
        <v>638.5</v>
      </c>
      <c r="M926" s="16">
        <f t="shared" ca="1" si="32"/>
        <v>653.95000000000005</v>
      </c>
      <c r="N926" s="16">
        <f t="shared" ca="1" si="33"/>
        <v>632.54999999999995</v>
      </c>
    </row>
    <row r="927" spans="1:14" ht="24.75" customHeight="1" x14ac:dyDescent="0.8">
      <c r="A927" s="18" t="s">
        <v>890</v>
      </c>
      <c r="B927" s="10">
        <f ca="1">IFERROR(__xludf.DUMMYFUNCTION("GOOGLEFINANCE(A927,""PRICE"")"),185.45)</f>
        <v>185.45</v>
      </c>
      <c r="C927" s="11">
        <f ca="1">IFERROR(__xludf.DUMMYFUNCTION("GOOGLEFINANCE(A927,""PRICEOPEN"")"),181.57)</f>
        <v>181.57</v>
      </c>
      <c r="D927" s="11">
        <f ca="1">IFERROR(__xludf.DUMMYFUNCTION("GOOGLEFINANCE(A927,""HIGH"")"),185.45)</f>
        <v>185.45</v>
      </c>
      <c r="E927" s="11">
        <f ca="1">IFERROR(__xludf.DUMMYFUNCTION("GOOGLEFINANCE(A927,""LOW"")"),181.57)</f>
        <v>181.57</v>
      </c>
      <c r="F927" s="12" t="str">
        <f t="shared" ca="1" si="28"/>
        <v>BUY</v>
      </c>
      <c r="G927" s="13">
        <f ca="1">IFERROR(__xludf.DUMMYFUNCTION("GOOGLEFINANCE(A927,""CLOSEYEST"")"),181.99)</f>
        <v>181.99</v>
      </c>
      <c r="H927" s="14" t="str">
        <f t="shared" ca="1" si="34"/>
        <v/>
      </c>
      <c r="I927" s="15">
        <f t="shared" ca="1" si="29"/>
        <v>183.00333333333333</v>
      </c>
      <c r="J927" s="16">
        <f t="shared" ca="1" si="30"/>
        <v>184.43666666666667</v>
      </c>
      <c r="K927" s="16"/>
      <c r="L927" s="16">
        <f t="shared" ca="1" si="31"/>
        <v>180.55666666666667</v>
      </c>
      <c r="M927" s="16">
        <f t="shared" ca="1" si="32"/>
        <v>186.88333333333333</v>
      </c>
      <c r="N927" s="16">
        <f t="shared" ca="1" si="33"/>
        <v>179.12333333333333</v>
      </c>
    </row>
    <row r="928" spans="1:14" ht="24.75" customHeight="1" x14ac:dyDescent="0.8">
      <c r="A928" s="18" t="s">
        <v>891</v>
      </c>
      <c r="B928" s="10">
        <f ca="1">IFERROR(__xludf.DUMMYFUNCTION("GOOGLEFINANCE(A928,""PRICE"")"),13.39)</f>
        <v>13.39</v>
      </c>
      <c r="C928" s="11">
        <f ca="1">IFERROR(__xludf.DUMMYFUNCTION("GOOGLEFINANCE(A928,""PRICEOPEN"")"),13.12)</f>
        <v>13.12</v>
      </c>
      <c r="D928" s="11">
        <f ca="1">IFERROR(__xludf.DUMMYFUNCTION("GOOGLEFINANCE(A928,""HIGH"")"),13.64)</f>
        <v>13.64</v>
      </c>
      <c r="E928" s="11">
        <f ca="1">IFERROR(__xludf.DUMMYFUNCTION("GOOGLEFINANCE(A928,""LOW"")"),13.02)</f>
        <v>13.02</v>
      </c>
      <c r="F928" s="12" t="str">
        <f t="shared" ca="1" si="28"/>
        <v/>
      </c>
      <c r="G928" s="13">
        <f ca="1">IFERROR(__xludf.DUMMYFUNCTION("GOOGLEFINANCE(A928,""CLOSEYEST"")"),12.68)</f>
        <v>12.68</v>
      </c>
      <c r="H928" s="14" t="str">
        <f t="shared" ca="1" si="34"/>
        <v>GAP UP</v>
      </c>
      <c r="I928" s="15">
        <f t="shared" ca="1" si="29"/>
        <v>13.113333333333335</v>
      </c>
      <c r="J928" s="16">
        <f t="shared" ca="1" si="30"/>
        <v>13.206666666666671</v>
      </c>
      <c r="K928" s="16"/>
      <c r="L928" s="16">
        <f t="shared" ca="1" si="31"/>
        <v>12.58666666666667</v>
      </c>
      <c r="M928" s="16">
        <f t="shared" ca="1" si="32"/>
        <v>13.733333333333336</v>
      </c>
      <c r="N928" s="16">
        <f t="shared" ca="1" si="33"/>
        <v>12.493333333333334</v>
      </c>
    </row>
    <row r="929" spans="1:14" ht="24.75" customHeight="1" x14ac:dyDescent="0.8">
      <c r="A929" s="18" t="s">
        <v>892</v>
      </c>
      <c r="B929" s="10">
        <f ca="1">IFERROR(__xludf.DUMMYFUNCTION("GOOGLEFINANCE(A929,""PRICE"")"),2192.8)</f>
        <v>2192.8000000000002</v>
      </c>
      <c r="C929" s="11">
        <f ca="1">IFERROR(__xludf.DUMMYFUNCTION("GOOGLEFINANCE(A929,""PRICEOPEN"")"),2204.4)</f>
        <v>2204.4</v>
      </c>
      <c r="D929" s="11">
        <f ca="1">IFERROR(__xludf.DUMMYFUNCTION("GOOGLEFINANCE(A929,""HIGH"")"),2210.4)</f>
        <v>2210.4</v>
      </c>
      <c r="E929" s="11">
        <f ca="1">IFERROR(__xludf.DUMMYFUNCTION("GOOGLEFINANCE(A929,""LOW"")"),2157.2)</f>
        <v>2157.1999999999998</v>
      </c>
      <c r="F929" s="12" t="str">
        <f t="shared" ca="1" si="28"/>
        <v/>
      </c>
      <c r="G929" s="13">
        <f ca="1">IFERROR(__xludf.DUMMYFUNCTION("GOOGLEFINANCE(A929,""CLOSEYEST"")"),2192.9)</f>
        <v>2192.9</v>
      </c>
      <c r="H929" s="14" t="str">
        <f t="shared" ca="1" si="34"/>
        <v/>
      </c>
      <c r="I929" s="15">
        <f t="shared" ca="1" si="29"/>
        <v>2186.8333333333335</v>
      </c>
      <c r="J929" s="16">
        <f t="shared" ca="1" si="30"/>
        <v>2216.4666666666672</v>
      </c>
      <c r="K929" s="16"/>
      <c r="L929" s="16">
        <f t="shared" ca="1" si="31"/>
        <v>2163.2666666666669</v>
      </c>
      <c r="M929" s="16">
        <f t="shared" ca="1" si="32"/>
        <v>2240.0333333333338</v>
      </c>
      <c r="N929" s="16">
        <f t="shared" ca="1" si="33"/>
        <v>2133.6333333333332</v>
      </c>
    </row>
    <row r="930" spans="1:14" ht="24.75" customHeight="1" x14ac:dyDescent="0.8">
      <c r="A930" s="18" t="s">
        <v>893</v>
      </c>
      <c r="B930" s="10">
        <f ca="1">IFERROR(__xludf.DUMMYFUNCTION("GOOGLEFINANCE(A930,""PRICE"")"),68.99)</f>
        <v>68.989999999999995</v>
      </c>
      <c r="C930" s="11">
        <f ca="1">IFERROR(__xludf.DUMMYFUNCTION("GOOGLEFINANCE(A930,""PRICEOPEN"")"),68.21)</f>
        <v>68.209999999999994</v>
      </c>
      <c r="D930" s="11">
        <f ca="1">IFERROR(__xludf.DUMMYFUNCTION("GOOGLEFINANCE(A930,""HIGH"")"),70.95)</f>
        <v>70.95</v>
      </c>
      <c r="E930" s="11">
        <f ca="1">IFERROR(__xludf.DUMMYFUNCTION("GOOGLEFINANCE(A930,""LOW"")"),67.5)</f>
        <v>67.5</v>
      </c>
      <c r="F930" s="12" t="str">
        <f t="shared" ca="1" si="28"/>
        <v/>
      </c>
      <c r="G930" s="13">
        <f ca="1">IFERROR(__xludf.DUMMYFUNCTION("GOOGLEFINANCE(A930,""CLOSEYEST"")"),68.21)</f>
        <v>68.209999999999994</v>
      </c>
      <c r="H930" s="14" t="str">
        <f t="shared" ca="1" si="34"/>
        <v/>
      </c>
      <c r="I930" s="15">
        <f t="shared" ca="1" si="29"/>
        <v>68.886666666666656</v>
      </c>
      <c r="J930" s="16">
        <f t="shared" ca="1" si="30"/>
        <v>70.273333333333312</v>
      </c>
      <c r="K930" s="16"/>
      <c r="L930" s="16">
        <f t="shared" ca="1" si="31"/>
        <v>66.823333333333309</v>
      </c>
      <c r="M930" s="16">
        <f t="shared" ca="1" si="32"/>
        <v>72.336666666666659</v>
      </c>
      <c r="N930" s="16">
        <f t="shared" ca="1" si="33"/>
        <v>65.436666666666653</v>
      </c>
    </row>
    <row r="931" spans="1:14" ht="24.75" customHeight="1" x14ac:dyDescent="0.8">
      <c r="A931" s="18" t="s">
        <v>894</v>
      </c>
      <c r="B931" s="10">
        <f ca="1">IFERROR(__xludf.DUMMYFUNCTION("GOOGLEFINANCE(A931,""PRICE"")"),140.64)</f>
        <v>140.63999999999999</v>
      </c>
      <c r="C931" s="11">
        <f ca="1">IFERROR(__xludf.DUMMYFUNCTION("GOOGLEFINANCE(A931,""PRICEOPEN"")"),140.5)</f>
        <v>140.5</v>
      </c>
      <c r="D931" s="11">
        <f ca="1">IFERROR(__xludf.DUMMYFUNCTION("GOOGLEFINANCE(A931,""HIGH"")"),140.87)</f>
        <v>140.87</v>
      </c>
      <c r="E931" s="11">
        <f ca="1">IFERROR(__xludf.DUMMYFUNCTION("GOOGLEFINANCE(A931,""LOW"")"),139.01)</f>
        <v>139.01</v>
      </c>
      <c r="F931" s="12" t="str">
        <f t="shared" ca="1" si="28"/>
        <v/>
      </c>
      <c r="G931" s="13">
        <f ca="1">IFERROR(__xludf.DUMMYFUNCTION("GOOGLEFINANCE(A931,""CLOSEYEST"")"),139.84)</f>
        <v>139.84</v>
      </c>
      <c r="H931" s="14" t="str">
        <f t="shared" ca="1" si="34"/>
        <v/>
      </c>
      <c r="I931" s="15">
        <f t="shared" ca="1" si="29"/>
        <v>139.90666666666667</v>
      </c>
      <c r="J931" s="16">
        <f t="shared" ca="1" si="30"/>
        <v>140.80333333333334</v>
      </c>
      <c r="K931" s="16"/>
      <c r="L931" s="16">
        <f t="shared" ca="1" si="31"/>
        <v>138.94333333333333</v>
      </c>
      <c r="M931" s="16">
        <f t="shared" ca="1" si="32"/>
        <v>141.76666666666668</v>
      </c>
      <c r="N931" s="16">
        <f t="shared" ca="1" si="33"/>
        <v>138.04666666666665</v>
      </c>
    </row>
    <row r="932" spans="1:14" ht="24.75" customHeight="1" x14ac:dyDescent="0.8">
      <c r="A932" s="18" t="s">
        <v>895</v>
      </c>
      <c r="B932" s="10">
        <f ca="1">IFERROR(__xludf.DUMMYFUNCTION("GOOGLEFINANCE(A932,""PRICE"")"),730)</f>
        <v>730</v>
      </c>
      <c r="C932" s="11">
        <f ca="1">IFERROR(__xludf.DUMMYFUNCTION("GOOGLEFINANCE(A932,""PRICEOPEN"")"),725)</f>
        <v>725</v>
      </c>
      <c r="D932" s="11">
        <f ca="1">IFERROR(__xludf.DUMMYFUNCTION("GOOGLEFINANCE(A932,""HIGH"")"),739.4)</f>
        <v>739.4</v>
      </c>
      <c r="E932" s="11">
        <f ca="1">IFERROR(__xludf.DUMMYFUNCTION("GOOGLEFINANCE(A932,""LOW"")"),718.65)</f>
        <v>718.65</v>
      </c>
      <c r="F932" s="12" t="str">
        <f t="shared" ca="1" si="28"/>
        <v/>
      </c>
      <c r="G932" s="13">
        <f ca="1">IFERROR(__xludf.DUMMYFUNCTION("GOOGLEFINANCE(A932,""CLOSEYEST"")"),722)</f>
        <v>722</v>
      </c>
      <c r="H932" s="14" t="str">
        <f t="shared" ca="1" si="34"/>
        <v/>
      </c>
      <c r="I932" s="15">
        <f t="shared" ca="1" si="29"/>
        <v>726.68333333333339</v>
      </c>
      <c r="J932" s="16">
        <f t="shared" ca="1" si="30"/>
        <v>734.71666666666681</v>
      </c>
      <c r="K932" s="16"/>
      <c r="L932" s="16">
        <f t="shared" ca="1" si="31"/>
        <v>713.96666666666681</v>
      </c>
      <c r="M932" s="16">
        <f t="shared" ca="1" si="32"/>
        <v>747.43333333333339</v>
      </c>
      <c r="N932" s="16">
        <f t="shared" ca="1" si="33"/>
        <v>705.93333333333339</v>
      </c>
    </row>
    <row r="933" spans="1:14" ht="24.75" customHeight="1" x14ac:dyDescent="0.8">
      <c r="A933" s="18" t="s">
        <v>896</v>
      </c>
      <c r="B933" s="10">
        <f ca="1">IFERROR(__xludf.DUMMYFUNCTION("GOOGLEFINANCE(A933,""PRICE"")"),525)</f>
        <v>525</v>
      </c>
      <c r="C933" s="11">
        <f ca="1">IFERROR(__xludf.DUMMYFUNCTION("GOOGLEFINANCE(A933,""PRICEOPEN"")"),523.65)</f>
        <v>523.65</v>
      </c>
      <c r="D933" s="11">
        <f ca="1">IFERROR(__xludf.DUMMYFUNCTION("GOOGLEFINANCE(A933,""HIGH"")"),529.45)</f>
        <v>529.45000000000005</v>
      </c>
      <c r="E933" s="11">
        <f ca="1">IFERROR(__xludf.DUMMYFUNCTION("GOOGLEFINANCE(A933,""LOW"")"),520.2)</f>
        <v>520.20000000000005</v>
      </c>
      <c r="F933" s="12" t="str">
        <f t="shared" ca="1" si="28"/>
        <v/>
      </c>
      <c r="G933" s="13">
        <f ca="1">IFERROR(__xludf.DUMMYFUNCTION("GOOGLEFINANCE(A933,""CLOSEYEST"")"),524.45)</f>
        <v>524.45000000000005</v>
      </c>
      <c r="H933" s="14" t="str">
        <f t="shared" ca="1" si="34"/>
        <v/>
      </c>
      <c r="I933" s="15">
        <f t="shared" ca="1" si="29"/>
        <v>524.70000000000005</v>
      </c>
      <c r="J933" s="16">
        <f t="shared" ca="1" si="30"/>
        <v>529.20000000000005</v>
      </c>
      <c r="K933" s="16"/>
      <c r="L933" s="16">
        <f t="shared" ca="1" si="31"/>
        <v>519.95000000000005</v>
      </c>
      <c r="M933" s="16">
        <f t="shared" ca="1" si="32"/>
        <v>533.95000000000005</v>
      </c>
      <c r="N933" s="16">
        <f t="shared" ca="1" si="33"/>
        <v>515.45000000000005</v>
      </c>
    </row>
    <row r="934" spans="1:14" ht="24.75" customHeight="1" x14ac:dyDescent="0.8">
      <c r="A934" s="18" t="s">
        <v>897</v>
      </c>
      <c r="B934" s="10">
        <f ca="1">IFERROR(__xludf.DUMMYFUNCTION("GOOGLEFINANCE(A934,""PRICE"")"),356.9)</f>
        <v>356.9</v>
      </c>
      <c r="C934" s="11">
        <f ca="1">IFERROR(__xludf.DUMMYFUNCTION("GOOGLEFINANCE(A934,""PRICEOPEN"")"),349.3)</f>
        <v>349.3</v>
      </c>
      <c r="D934" s="11">
        <f ca="1">IFERROR(__xludf.DUMMYFUNCTION("GOOGLEFINANCE(A934,""HIGH"")"),357)</f>
        <v>357</v>
      </c>
      <c r="E934" s="11">
        <f ca="1">IFERROR(__xludf.DUMMYFUNCTION("GOOGLEFINANCE(A934,""LOW"")"),349.2)</f>
        <v>349.2</v>
      </c>
      <c r="F934" s="12" t="str">
        <f t="shared" ca="1" si="28"/>
        <v/>
      </c>
      <c r="G934" s="13">
        <f ca="1">IFERROR(__xludf.DUMMYFUNCTION("GOOGLEFINANCE(A934,""CLOSEYEST"")"),349.2)</f>
        <v>349.2</v>
      </c>
      <c r="H934" s="14" t="str">
        <f t="shared" ca="1" si="34"/>
        <v/>
      </c>
      <c r="I934" s="15">
        <f t="shared" ca="1" si="29"/>
        <v>351.8</v>
      </c>
      <c r="J934" s="16">
        <f t="shared" ca="1" si="30"/>
        <v>354.40000000000003</v>
      </c>
      <c r="K934" s="16"/>
      <c r="L934" s="16">
        <f t="shared" ca="1" si="31"/>
        <v>346.6</v>
      </c>
      <c r="M934" s="16">
        <f t="shared" ca="1" si="32"/>
        <v>359.6</v>
      </c>
      <c r="N934" s="16">
        <f t="shared" ca="1" si="33"/>
        <v>344</v>
      </c>
    </row>
    <row r="935" spans="1:14" ht="24.75" customHeight="1" x14ac:dyDescent="0.8">
      <c r="A935" s="18" t="s">
        <v>898</v>
      </c>
      <c r="B935" s="10">
        <f ca="1">IFERROR(__xludf.DUMMYFUNCTION("GOOGLEFINANCE(A935,""PRICE"")"),178.15)</f>
        <v>178.15</v>
      </c>
      <c r="C935" s="11">
        <f ca="1">IFERROR(__xludf.DUMMYFUNCTION("GOOGLEFINANCE(A935,""PRICEOPEN"")"),178.15)</f>
        <v>178.15</v>
      </c>
      <c r="D935" s="11">
        <f ca="1">IFERROR(__xludf.DUMMYFUNCTION("GOOGLEFINANCE(A935,""HIGH"")"),178.15)</f>
        <v>178.15</v>
      </c>
      <c r="E935" s="11">
        <f ca="1">IFERROR(__xludf.DUMMYFUNCTION("GOOGLEFINANCE(A935,""LOW"")"),178.15)</f>
        <v>178.15</v>
      </c>
      <c r="F935" s="12" t="str">
        <f t="shared" ca="1" si="28"/>
        <v>SELL</v>
      </c>
      <c r="G935" s="13">
        <f ca="1">IFERROR(__xludf.DUMMYFUNCTION("GOOGLEFINANCE(A935,""CLOSEYEST"")"),187.53)</f>
        <v>187.53</v>
      </c>
      <c r="H935" s="14" t="str">
        <f t="shared" ca="1" si="34"/>
        <v>GAP DOWN</v>
      </c>
      <c r="I935" s="15">
        <f t="shared" ca="1" si="29"/>
        <v>181.27666666666667</v>
      </c>
      <c r="J935" s="16">
        <f t="shared" ca="1" si="30"/>
        <v>184.40333333333334</v>
      </c>
      <c r="K935" s="16"/>
      <c r="L935" s="16">
        <f t="shared" ca="1" si="31"/>
        <v>184.40333333333334</v>
      </c>
      <c r="M935" s="16">
        <f t="shared" ca="1" si="32"/>
        <v>181.27666666666667</v>
      </c>
      <c r="N935" s="16">
        <f t="shared" ca="1" si="33"/>
        <v>181.27666666666667</v>
      </c>
    </row>
    <row r="936" spans="1:14" ht="24.75" customHeight="1" x14ac:dyDescent="0.8">
      <c r="A936" s="18" t="s">
        <v>899</v>
      </c>
      <c r="B936" s="10">
        <f ca="1">IFERROR(__xludf.DUMMYFUNCTION("GOOGLEFINANCE(A936,""PRICE"")"),2675)</f>
        <v>2675</v>
      </c>
      <c r="C936" s="11">
        <f ca="1">IFERROR(__xludf.DUMMYFUNCTION("GOOGLEFINANCE(A936,""PRICEOPEN"")"),2699.9)</f>
        <v>2699.9</v>
      </c>
      <c r="D936" s="11">
        <f ca="1">IFERROR(__xludf.DUMMYFUNCTION("GOOGLEFINANCE(A936,""HIGH"")"),2699.9)</f>
        <v>2699.9</v>
      </c>
      <c r="E936" s="11">
        <f ca="1">IFERROR(__xludf.DUMMYFUNCTION("GOOGLEFINANCE(A936,""LOW"")"),2665)</f>
        <v>2665</v>
      </c>
      <c r="F936" s="12" t="str">
        <f t="shared" ca="1" si="28"/>
        <v>SELL</v>
      </c>
      <c r="G936" s="13">
        <f ca="1">IFERROR(__xludf.DUMMYFUNCTION("GOOGLEFINANCE(A936,""CLOSEYEST"")"),2664.5)</f>
        <v>2664.5</v>
      </c>
      <c r="H936" s="14" t="str">
        <f t="shared" ca="1" si="34"/>
        <v>GAP UP</v>
      </c>
      <c r="I936" s="15">
        <f t="shared" ca="1" si="29"/>
        <v>2676.4666666666667</v>
      </c>
      <c r="J936" s="16">
        <f t="shared" ca="1" si="30"/>
        <v>2687.9333333333334</v>
      </c>
      <c r="K936" s="16"/>
      <c r="L936" s="16">
        <f t="shared" ca="1" si="31"/>
        <v>2653.0333333333333</v>
      </c>
      <c r="M936" s="16">
        <f t="shared" ca="1" si="32"/>
        <v>2711.3666666666668</v>
      </c>
      <c r="N936" s="16">
        <f t="shared" ca="1" si="33"/>
        <v>2641.5666666666666</v>
      </c>
    </row>
    <row r="937" spans="1:14" ht="24.75" customHeight="1" x14ac:dyDescent="0.8">
      <c r="A937" s="18" t="s">
        <v>900</v>
      </c>
      <c r="B937" s="10">
        <f ca="1">IFERROR(__xludf.DUMMYFUNCTION("GOOGLEFINANCE(A937,""PRICE"")"),1425)</f>
        <v>1425</v>
      </c>
      <c r="C937" s="11">
        <f ca="1">IFERROR(__xludf.DUMMYFUNCTION("GOOGLEFINANCE(A937,""PRICEOPEN"")"),1440)</f>
        <v>1440</v>
      </c>
      <c r="D937" s="11">
        <f ca="1">IFERROR(__xludf.DUMMYFUNCTION("GOOGLEFINANCE(A937,""HIGH"")"),1449)</f>
        <v>1449</v>
      </c>
      <c r="E937" s="11">
        <f ca="1">IFERROR(__xludf.DUMMYFUNCTION("GOOGLEFINANCE(A937,""LOW"")"),1405.4)</f>
        <v>1405.4</v>
      </c>
      <c r="F937" s="12" t="str">
        <f t="shared" ca="1" si="28"/>
        <v/>
      </c>
      <c r="G937" s="13">
        <f ca="1">IFERROR(__xludf.DUMMYFUNCTION("GOOGLEFINANCE(A937,""CLOSEYEST"")"),1433.6)</f>
        <v>1433.6</v>
      </c>
      <c r="H937" s="14" t="str">
        <f t="shared" ca="1" si="34"/>
        <v/>
      </c>
      <c r="I937" s="15">
        <f t="shared" ca="1" si="29"/>
        <v>1429.3333333333333</v>
      </c>
      <c r="J937" s="16">
        <f t="shared" ca="1" si="30"/>
        <v>1453.2666666666664</v>
      </c>
      <c r="K937" s="16"/>
      <c r="L937" s="16">
        <f t="shared" ca="1" si="31"/>
        <v>1409.6666666666665</v>
      </c>
      <c r="M937" s="16">
        <f t="shared" ca="1" si="32"/>
        <v>1472.9333333333332</v>
      </c>
      <c r="N937" s="16">
        <f t="shared" ca="1" si="33"/>
        <v>1385.7333333333333</v>
      </c>
    </row>
    <row r="938" spans="1:14" ht="24.75" customHeight="1" x14ac:dyDescent="0.8">
      <c r="A938" s="18" t="s">
        <v>901</v>
      </c>
      <c r="B938" s="10">
        <f ca="1">IFERROR(__xludf.DUMMYFUNCTION("GOOGLEFINANCE(A938,""PRICE"")"),147.7)</f>
        <v>147.69999999999999</v>
      </c>
      <c r="C938" s="11">
        <f ca="1">IFERROR(__xludf.DUMMYFUNCTION("GOOGLEFINANCE(A938,""PRICEOPEN"")"),147.01)</f>
        <v>147.01</v>
      </c>
      <c r="D938" s="11">
        <f ca="1">IFERROR(__xludf.DUMMYFUNCTION("GOOGLEFINANCE(A938,""HIGH"")"),150.78)</f>
        <v>150.78</v>
      </c>
      <c r="E938" s="11">
        <f ca="1">IFERROR(__xludf.DUMMYFUNCTION("GOOGLEFINANCE(A938,""LOW"")"),147)</f>
        <v>147</v>
      </c>
      <c r="F938" s="12" t="str">
        <f t="shared" ca="1" si="28"/>
        <v/>
      </c>
      <c r="G938" s="13">
        <f ca="1">IFERROR(__xludf.DUMMYFUNCTION("GOOGLEFINANCE(A938,""CLOSEYEST"")"),148.11)</f>
        <v>148.11000000000001</v>
      </c>
      <c r="H938" s="14" t="str">
        <f t="shared" ca="1" si="34"/>
        <v/>
      </c>
      <c r="I938" s="15">
        <f t="shared" ca="1" si="29"/>
        <v>148.63</v>
      </c>
      <c r="J938" s="16">
        <f t="shared" ca="1" si="30"/>
        <v>150.26</v>
      </c>
      <c r="K938" s="16"/>
      <c r="L938" s="16">
        <f t="shared" ca="1" si="31"/>
        <v>146.47999999999999</v>
      </c>
      <c r="M938" s="16">
        <f t="shared" ca="1" si="32"/>
        <v>152.41</v>
      </c>
      <c r="N938" s="16">
        <f t="shared" ca="1" si="33"/>
        <v>144.85</v>
      </c>
    </row>
    <row r="939" spans="1:14" ht="24.75" customHeight="1" x14ac:dyDescent="0.8">
      <c r="A939" s="18" t="s">
        <v>902</v>
      </c>
      <c r="B939" s="10">
        <f ca="1">IFERROR(__xludf.DUMMYFUNCTION("GOOGLEFINANCE(A939,""PRICE"")"),1218)</f>
        <v>1218</v>
      </c>
      <c r="C939" s="11">
        <f ca="1">IFERROR(__xludf.DUMMYFUNCTION("GOOGLEFINANCE(A939,""PRICEOPEN"")"),1211.1)</f>
        <v>1211.0999999999999</v>
      </c>
      <c r="D939" s="11">
        <f ca="1">IFERROR(__xludf.DUMMYFUNCTION("GOOGLEFINANCE(A939,""HIGH"")"),1238.2)</f>
        <v>1238.2</v>
      </c>
      <c r="E939" s="11">
        <f ca="1">IFERROR(__xludf.DUMMYFUNCTION("GOOGLEFINANCE(A939,""LOW"")"),1206.6)</f>
        <v>1206.5999999999999</v>
      </c>
      <c r="F939" s="12" t="str">
        <f t="shared" ca="1" si="28"/>
        <v/>
      </c>
      <c r="G939" s="13">
        <f ca="1">IFERROR(__xludf.DUMMYFUNCTION("GOOGLEFINANCE(A939,""CLOSEYEST"")"),1206.3)</f>
        <v>1206.3</v>
      </c>
      <c r="H939" s="14" t="str">
        <f t="shared" ca="1" si="34"/>
        <v/>
      </c>
      <c r="I939" s="15">
        <f t="shared" ca="1" si="29"/>
        <v>1217.0333333333335</v>
      </c>
      <c r="J939" s="16">
        <f t="shared" ca="1" si="30"/>
        <v>1227.4666666666672</v>
      </c>
      <c r="K939" s="16"/>
      <c r="L939" s="16">
        <f t="shared" ca="1" si="31"/>
        <v>1195.866666666667</v>
      </c>
      <c r="M939" s="16">
        <f t="shared" ca="1" si="32"/>
        <v>1248.6333333333337</v>
      </c>
      <c r="N939" s="16">
        <f t="shared" ca="1" si="33"/>
        <v>1185.4333333333334</v>
      </c>
    </row>
    <row r="940" spans="1:14" ht="24.75" customHeight="1" x14ac:dyDescent="0.8">
      <c r="A940" s="18" t="s">
        <v>903</v>
      </c>
      <c r="B940" s="10">
        <f ca="1">IFERROR(__xludf.DUMMYFUNCTION("GOOGLEFINANCE(A940,""PRICE"")"),71.2)</f>
        <v>71.2</v>
      </c>
      <c r="C940" s="11">
        <f ca="1">IFERROR(__xludf.DUMMYFUNCTION("GOOGLEFINANCE(A940,""PRICEOPEN"")"),72.59)</f>
        <v>72.59</v>
      </c>
      <c r="D940" s="11">
        <f ca="1">IFERROR(__xludf.DUMMYFUNCTION("GOOGLEFINANCE(A940,""HIGH"")"),72.79)</f>
        <v>72.790000000000006</v>
      </c>
      <c r="E940" s="11">
        <f ca="1">IFERROR(__xludf.DUMMYFUNCTION("GOOGLEFINANCE(A940,""LOW"")"),71)</f>
        <v>71</v>
      </c>
      <c r="F940" s="12" t="str">
        <f t="shared" ca="1" si="28"/>
        <v/>
      </c>
      <c r="G940" s="13">
        <f ca="1">IFERROR(__xludf.DUMMYFUNCTION("GOOGLEFINANCE(A940,""CLOSEYEST"")"),72.35)</f>
        <v>72.349999999999994</v>
      </c>
      <c r="H940" s="14" t="str">
        <f t="shared" ca="1" si="34"/>
        <v/>
      </c>
      <c r="I940" s="15">
        <f t="shared" ca="1" si="29"/>
        <v>72.046666666666667</v>
      </c>
      <c r="J940" s="16">
        <f t="shared" ca="1" si="30"/>
        <v>73.093333333333334</v>
      </c>
      <c r="K940" s="16"/>
      <c r="L940" s="16">
        <f t="shared" ca="1" si="31"/>
        <v>71.303333333333327</v>
      </c>
      <c r="M940" s="16">
        <f t="shared" ca="1" si="32"/>
        <v>73.836666666666673</v>
      </c>
      <c r="N940" s="16">
        <f t="shared" ca="1" si="33"/>
        <v>70.256666666666661</v>
      </c>
    </row>
    <row r="941" spans="1:14" ht="24.75" customHeight="1" x14ac:dyDescent="0.8">
      <c r="A941" s="18" t="s">
        <v>904</v>
      </c>
      <c r="B941" s="10">
        <f ca="1">IFERROR(__xludf.DUMMYFUNCTION("GOOGLEFINANCE(A941,""PRICE"")"),209)</f>
        <v>209</v>
      </c>
      <c r="C941" s="11">
        <f ca="1">IFERROR(__xludf.DUMMYFUNCTION("GOOGLEFINANCE(A941,""PRICEOPEN"")"),208.79)</f>
        <v>208.79</v>
      </c>
      <c r="D941" s="11">
        <f ca="1">IFERROR(__xludf.DUMMYFUNCTION("GOOGLEFINANCE(A941,""HIGH"")"),211)</f>
        <v>211</v>
      </c>
      <c r="E941" s="11">
        <f ca="1">IFERROR(__xludf.DUMMYFUNCTION("GOOGLEFINANCE(A941,""LOW"")"),204.5)</f>
        <v>204.5</v>
      </c>
      <c r="F941" s="12" t="str">
        <f t="shared" ca="1" si="28"/>
        <v/>
      </c>
      <c r="G941" s="13">
        <f ca="1">IFERROR(__xludf.DUMMYFUNCTION("GOOGLEFINANCE(A941,""CLOSEYEST"")"),207.05)</f>
        <v>207.05</v>
      </c>
      <c r="H941" s="14" t="str">
        <f t="shared" ca="1" si="34"/>
        <v/>
      </c>
      <c r="I941" s="15">
        <f t="shared" ca="1" si="29"/>
        <v>207.51666666666665</v>
      </c>
      <c r="J941" s="16">
        <f t="shared" ca="1" si="30"/>
        <v>210.5333333333333</v>
      </c>
      <c r="K941" s="16"/>
      <c r="L941" s="16">
        <f t="shared" ca="1" si="31"/>
        <v>204.0333333333333</v>
      </c>
      <c r="M941" s="16">
        <f t="shared" ca="1" si="32"/>
        <v>214.01666666666665</v>
      </c>
      <c r="N941" s="16">
        <f t="shared" ca="1" si="33"/>
        <v>201.01666666666665</v>
      </c>
    </row>
    <row r="942" spans="1:14" ht="24.75" customHeight="1" x14ac:dyDescent="0.8">
      <c r="A942" s="18" t="s">
        <v>905</v>
      </c>
      <c r="B942" s="10">
        <f ca="1">IFERROR(__xludf.DUMMYFUNCTION("GOOGLEFINANCE(A942,""PRICE"")"),823.5)</f>
        <v>823.5</v>
      </c>
      <c r="C942" s="11">
        <f ca="1">IFERROR(__xludf.DUMMYFUNCTION("GOOGLEFINANCE(A942,""PRICEOPEN"")"),827.9)</f>
        <v>827.9</v>
      </c>
      <c r="D942" s="11">
        <f ca="1">IFERROR(__xludf.DUMMYFUNCTION("GOOGLEFINANCE(A942,""HIGH"")"),831.05)</f>
        <v>831.05</v>
      </c>
      <c r="E942" s="11">
        <f ca="1">IFERROR(__xludf.DUMMYFUNCTION("GOOGLEFINANCE(A942,""LOW"")"),819)</f>
        <v>819</v>
      </c>
      <c r="F942" s="12" t="str">
        <f t="shared" ca="1" si="28"/>
        <v/>
      </c>
      <c r="G942" s="13">
        <f ca="1">IFERROR(__xludf.DUMMYFUNCTION("GOOGLEFINANCE(A942,""CLOSEYEST"")"),823.55)</f>
        <v>823.55</v>
      </c>
      <c r="H942" s="14" t="str">
        <f t="shared" ca="1" si="34"/>
        <v/>
      </c>
      <c r="I942" s="15">
        <f t="shared" ca="1" si="29"/>
        <v>824.5333333333333</v>
      </c>
      <c r="J942" s="16">
        <f t="shared" ca="1" si="30"/>
        <v>830.06666666666661</v>
      </c>
      <c r="K942" s="16"/>
      <c r="L942" s="16">
        <f t="shared" ca="1" si="31"/>
        <v>818.01666666666665</v>
      </c>
      <c r="M942" s="16">
        <f t="shared" ca="1" si="32"/>
        <v>836.58333333333326</v>
      </c>
      <c r="N942" s="16">
        <f t="shared" ca="1" si="33"/>
        <v>812.48333333333335</v>
      </c>
    </row>
    <row r="943" spans="1:14" ht="24.75" customHeight="1" x14ac:dyDescent="0.8">
      <c r="A943" s="18" t="s">
        <v>906</v>
      </c>
      <c r="B943" s="10">
        <f ca="1">IFERROR(__xludf.DUMMYFUNCTION("GOOGLEFINANCE(A943,""PRICE"")"),289)</f>
        <v>289</v>
      </c>
      <c r="C943" s="11">
        <f ca="1">IFERROR(__xludf.DUMMYFUNCTION("GOOGLEFINANCE(A943,""PRICEOPEN"")"),279)</f>
        <v>279</v>
      </c>
      <c r="D943" s="11">
        <f ca="1">IFERROR(__xludf.DUMMYFUNCTION("GOOGLEFINANCE(A943,""HIGH"")"),290)</f>
        <v>290</v>
      </c>
      <c r="E943" s="11">
        <f ca="1">IFERROR(__xludf.DUMMYFUNCTION("GOOGLEFINANCE(A943,""LOW"")"),278.05)</f>
        <v>278.05</v>
      </c>
      <c r="F943" s="12" t="str">
        <f t="shared" ca="1" si="28"/>
        <v/>
      </c>
      <c r="G943" s="13">
        <f ca="1">IFERROR(__xludf.DUMMYFUNCTION("GOOGLEFINANCE(A943,""CLOSEYEST"")"),282.85)</f>
        <v>282.85000000000002</v>
      </c>
      <c r="H943" s="14" t="str">
        <f t="shared" ca="1" si="34"/>
        <v>GAP DOWN</v>
      </c>
      <c r="I943" s="15">
        <f t="shared" ca="1" si="29"/>
        <v>283.63333333333333</v>
      </c>
      <c r="J943" s="16">
        <f t="shared" ca="1" si="30"/>
        <v>289.21666666666664</v>
      </c>
      <c r="K943" s="16"/>
      <c r="L943" s="16">
        <f t="shared" ca="1" si="31"/>
        <v>277.26666666666665</v>
      </c>
      <c r="M943" s="16">
        <f t="shared" ca="1" si="32"/>
        <v>295.58333333333331</v>
      </c>
      <c r="N943" s="16">
        <f t="shared" ca="1" si="33"/>
        <v>271.68333333333334</v>
      </c>
    </row>
    <row r="944" spans="1:14" ht="24.75" customHeight="1" x14ac:dyDescent="0.8">
      <c r="A944" s="18" t="s">
        <v>907</v>
      </c>
      <c r="B944" s="10">
        <f ca="1">IFERROR(__xludf.DUMMYFUNCTION("GOOGLEFINANCE(A944,""PRICE"")"),414.4)</f>
        <v>414.4</v>
      </c>
      <c r="C944" s="11">
        <f ca="1">IFERROR(__xludf.DUMMYFUNCTION("GOOGLEFINANCE(A944,""PRICEOPEN"")"),403)</f>
        <v>403</v>
      </c>
      <c r="D944" s="11">
        <f ca="1">IFERROR(__xludf.DUMMYFUNCTION("GOOGLEFINANCE(A944,""HIGH"")"),425)</f>
        <v>425</v>
      </c>
      <c r="E944" s="11">
        <f ca="1">IFERROR(__xludf.DUMMYFUNCTION("GOOGLEFINANCE(A944,""LOW"")"),398.5)</f>
        <v>398.5</v>
      </c>
      <c r="F944" s="12" t="str">
        <f t="shared" ca="1" si="28"/>
        <v/>
      </c>
      <c r="G944" s="13">
        <f ca="1">IFERROR(__xludf.DUMMYFUNCTION("GOOGLEFINANCE(A944,""CLOSEYEST"")"),401)</f>
        <v>401</v>
      </c>
      <c r="H944" s="14" t="str">
        <f t="shared" ca="1" si="34"/>
        <v/>
      </c>
      <c r="I944" s="15">
        <f t="shared" ca="1" si="29"/>
        <v>408.16666666666669</v>
      </c>
      <c r="J944" s="16">
        <f t="shared" ca="1" si="30"/>
        <v>417.83333333333337</v>
      </c>
      <c r="K944" s="16"/>
      <c r="L944" s="16">
        <f t="shared" ca="1" si="31"/>
        <v>391.33333333333337</v>
      </c>
      <c r="M944" s="16">
        <f t="shared" ca="1" si="32"/>
        <v>434.66666666666669</v>
      </c>
      <c r="N944" s="16">
        <f t="shared" ca="1" si="33"/>
        <v>381.66666666666669</v>
      </c>
    </row>
    <row r="945" spans="1:14" ht="24.75" customHeight="1" x14ac:dyDescent="0.8">
      <c r="A945" s="18" t="s">
        <v>908</v>
      </c>
      <c r="B945" s="10">
        <f ca="1">IFERROR(__xludf.DUMMYFUNCTION("GOOGLEFINANCE(A945,""PRICE"")"),41)</f>
        <v>41</v>
      </c>
      <c r="C945" s="11">
        <f ca="1">IFERROR(__xludf.DUMMYFUNCTION("GOOGLEFINANCE(A945,""PRICEOPEN"")"),41.42)</f>
        <v>41.42</v>
      </c>
      <c r="D945" s="11">
        <f ca="1">IFERROR(__xludf.DUMMYFUNCTION("GOOGLEFINANCE(A945,""HIGH"")"),42.2)</f>
        <v>42.2</v>
      </c>
      <c r="E945" s="11">
        <f ca="1">IFERROR(__xludf.DUMMYFUNCTION("GOOGLEFINANCE(A945,""LOW"")"),40.8)</f>
        <v>40.799999999999997</v>
      </c>
      <c r="F945" s="12" t="str">
        <f t="shared" ca="1" si="28"/>
        <v/>
      </c>
      <c r="G945" s="13">
        <f ca="1">IFERROR(__xludf.DUMMYFUNCTION("GOOGLEFINANCE(A945,""CLOSEYEST"")"),41.42)</f>
        <v>41.42</v>
      </c>
      <c r="H945" s="14" t="str">
        <f t="shared" ca="1" si="34"/>
        <v/>
      </c>
      <c r="I945" s="15">
        <f t="shared" ca="1" si="29"/>
        <v>41.473333333333336</v>
      </c>
      <c r="J945" s="16">
        <f t="shared" ca="1" si="30"/>
        <v>42.146666666666675</v>
      </c>
      <c r="K945" s="16"/>
      <c r="L945" s="16">
        <f t="shared" ca="1" si="31"/>
        <v>40.74666666666667</v>
      </c>
      <c r="M945" s="16">
        <f t="shared" ca="1" si="32"/>
        <v>42.873333333333342</v>
      </c>
      <c r="N945" s="16">
        <f t="shared" ca="1" si="33"/>
        <v>40.073333333333331</v>
      </c>
    </row>
    <row r="946" spans="1:14" ht="24.75" customHeight="1" x14ac:dyDescent="0.8">
      <c r="A946" s="18" t="s">
        <v>909</v>
      </c>
      <c r="B946" s="10">
        <f ca="1">IFERROR(__xludf.DUMMYFUNCTION("GOOGLEFINANCE(A946,""PRICE"")"),1050)</f>
        <v>1050</v>
      </c>
      <c r="C946" s="11">
        <f ca="1">IFERROR(__xludf.DUMMYFUNCTION("GOOGLEFINANCE(A946,""PRICEOPEN"")"),1008.75)</f>
        <v>1008.75</v>
      </c>
      <c r="D946" s="11">
        <f ca="1">IFERROR(__xludf.DUMMYFUNCTION("GOOGLEFINANCE(A946,""HIGH"")"),1050)</f>
        <v>1050</v>
      </c>
      <c r="E946" s="11">
        <f ca="1">IFERROR(__xludf.DUMMYFUNCTION("GOOGLEFINANCE(A946,""LOW"")"),1008.05)</f>
        <v>1008.05</v>
      </c>
      <c r="F946" s="12" t="str">
        <f t="shared" ca="1" si="28"/>
        <v/>
      </c>
      <c r="G946" s="13">
        <f ca="1">IFERROR(__xludf.DUMMYFUNCTION("GOOGLEFINANCE(A946,""CLOSEYEST"")"),1003.85)</f>
        <v>1003.85</v>
      </c>
      <c r="H946" s="14" t="str">
        <f t="shared" ca="1" si="34"/>
        <v/>
      </c>
      <c r="I946" s="15">
        <f t="shared" ca="1" si="29"/>
        <v>1020.6333333333333</v>
      </c>
      <c r="J946" s="16">
        <f t="shared" ca="1" si="30"/>
        <v>1033.2166666666667</v>
      </c>
      <c r="K946" s="16"/>
      <c r="L946" s="16">
        <f t="shared" ca="1" si="31"/>
        <v>991.26666666666665</v>
      </c>
      <c r="M946" s="16">
        <f t="shared" ca="1" si="32"/>
        <v>1062.5833333333335</v>
      </c>
      <c r="N946" s="16">
        <f t="shared" ca="1" si="33"/>
        <v>978.68333333333328</v>
      </c>
    </row>
    <row r="947" spans="1:14" ht="24.75" customHeight="1" x14ac:dyDescent="0.8">
      <c r="A947" s="18" t="s">
        <v>910</v>
      </c>
      <c r="B947" s="10">
        <f ca="1">IFERROR(__xludf.DUMMYFUNCTION("GOOGLEFINANCE(A947,""PRICE"")"),2.24)</f>
        <v>2.2400000000000002</v>
      </c>
      <c r="C947" s="11">
        <f ca="1">IFERROR(__xludf.DUMMYFUNCTION("GOOGLEFINANCE(A947,""PRICEOPEN"")"),2.26)</f>
        <v>2.2599999999999998</v>
      </c>
      <c r="D947" s="11">
        <f ca="1">IFERROR(__xludf.DUMMYFUNCTION("GOOGLEFINANCE(A947,""HIGH"")"),2.3)</f>
        <v>2.2999999999999998</v>
      </c>
      <c r="E947" s="11">
        <f ca="1">IFERROR(__xludf.DUMMYFUNCTION("GOOGLEFINANCE(A947,""LOW"")"),2.22)</f>
        <v>2.2200000000000002</v>
      </c>
      <c r="F947" s="12" t="str">
        <f t="shared" ca="1" si="28"/>
        <v/>
      </c>
      <c r="G947" s="13">
        <f ca="1">IFERROR(__xludf.DUMMYFUNCTION("GOOGLEFINANCE(A947,""CLOSEYEST"")"),2.26)</f>
        <v>2.2599999999999998</v>
      </c>
      <c r="H947" s="14" t="str">
        <f t="shared" ca="1" si="34"/>
        <v/>
      </c>
      <c r="I947" s="15">
        <f t="shared" ca="1" si="29"/>
        <v>2.2599999999999998</v>
      </c>
      <c r="J947" s="16">
        <f t="shared" ca="1" si="30"/>
        <v>2.2999999999999994</v>
      </c>
      <c r="K947" s="16"/>
      <c r="L947" s="16">
        <f t="shared" ca="1" si="31"/>
        <v>2.2199999999999998</v>
      </c>
      <c r="M947" s="16">
        <f t="shared" ca="1" si="32"/>
        <v>2.3399999999999994</v>
      </c>
      <c r="N947" s="16">
        <f t="shared" ca="1" si="33"/>
        <v>2.1800000000000002</v>
      </c>
    </row>
    <row r="948" spans="1:14" ht="24.75" customHeight="1" x14ac:dyDescent="0.8">
      <c r="A948" s="18" t="s">
        <v>911</v>
      </c>
      <c r="B948" s="10">
        <f ca="1">IFERROR(__xludf.DUMMYFUNCTION("GOOGLEFINANCE(A948,""PRICE"")"),1136)</f>
        <v>1136</v>
      </c>
      <c r="C948" s="11">
        <f ca="1">IFERROR(__xludf.DUMMYFUNCTION("GOOGLEFINANCE(A948,""PRICEOPEN"")"),1135.2)</f>
        <v>1135.2</v>
      </c>
      <c r="D948" s="11">
        <f ca="1">IFERROR(__xludf.DUMMYFUNCTION("GOOGLEFINANCE(A948,""HIGH"")"),1158.3)</f>
        <v>1158.3</v>
      </c>
      <c r="E948" s="11">
        <f ca="1">IFERROR(__xludf.DUMMYFUNCTION("GOOGLEFINANCE(A948,""LOW"")"),1122.2)</f>
        <v>1122.2</v>
      </c>
      <c r="F948" s="12" t="str">
        <f t="shared" ca="1" si="28"/>
        <v/>
      </c>
      <c r="G948" s="13">
        <f ca="1">IFERROR(__xludf.DUMMYFUNCTION("GOOGLEFINANCE(A948,""CLOSEYEST"")"),1131)</f>
        <v>1131</v>
      </c>
      <c r="H948" s="14" t="str">
        <f t="shared" ca="1" si="34"/>
        <v/>
      </c>
      <c r="I948" s="15">
        <f t="shared" ca="1" si="29"/>
        <v>1137.1666666666667</v>
      </c>
      <c r="J948" s="16">
        <f t="shared" ca="1" si="30"/>
        <v>1152.1333333333334</v>
      </c>
      <c r="K948" s="16"/>
      <c r="L948" s="16">
        <f t="shared" ca="1" si="31"/>
        <v>1116.0333333333335</v>
      </c>
      <c r="M948" s="16">
        <f t="shared" ca="1" si="32"/>
        <v>1173.2666666666667</v>
      </c>
      <c r="N948" s="16">
        <f t="shared" ca="1" si="33"/>
        <v>1101.0666666666668</v>
      </c>
    </row>
    <row r="949" spans="1:14" ht="24.75" customHeight="1" x14ac:dyDescent="0.8">
      <c r="A949" s="18" t="s">
        <v>912</v>
      </c>
      <c r="B949" s="10">
        <f ca="1">IFERROR(__xludf.DUMMYFUNCTION("GOOGLEFINANCE(A949,""PRICE"")"),1299.8)</f>
        <v>1299.8</v>
      </c>
      <c r="C949" s="11">
        <f ca="1">IFERROR(__xludf.DUMMYFUNCTION("GOOGLEFINANCE(A949,""PRICEOPEN"")"),1336.5)</f>
        <v>1336.5</v>
      </c>
      <c r="D949" s="11">
        <f ca="1">IFERROR(__xludf.DUMMYFUNCTION("GOOGLEFINANCE(A949,""HIGH"")"),1336.5)</f>
        <v>1336.5</v>
      </c>
      <c r="E949" s="11">
        <f ca="1">IFERROR(__xludf.DUMMYFUNCTION("GOOGLEFINANCE(A949,""LOW"")"),1291)</f>
        <v>1291</v>
      </c>
      <c r="F949" s="12" t="str">
        <f t="shared" ca="1" si="28"/>
        <v>SELL</v>
      </c>
      <c r="G949" s="13">
        <f ca="1">IFERROR(__xludf.DUMMYFUNCTION("GOOGLEFINANCE(A949,""CLOSEYEST"")"),1318.1)</f>
        <v>1318.1</v>
      </c>
      <c r="H949" s="14" t="str">
        <f t="shared" ca="1" si="34"/>
        <v>GAP UP</v>
      </c>
      <c r="I949" s="15">
        <f t="shared" ca="1" si="29"/>
        <v>1315.2</v>
      </c>
      <c r="J949" s="16">
        <f t="shared" ca="1" si="30"/>
        <v>1339.4</v>
      </c>
      <c r="K949" s="16"/>
      <c r="L949" s="16">
        <f t="shared" ca="1" si="31"/>
        <v>1293.9000000000001</v>
      </c>
      <c r="M949" s="16">
        <f t="shared" ca="1" si="32"/>
        <v>1360.7</v>
      </c>
      <c r="N949" s="16">
        <f t="shared" ca="1" si="33"/>
        <v>1269.7</v>
      </c>
    </row>
    <row r="950" spans="1:14" ht="24.75" customHeight="1" x14ac:dyDescent="0.8">
      <c r="A950" s="18" t="s">
        <v>913</v>
      </c>
      <c r="B950" s="10">
        <f ca="1">IFERROR(__xludf.DUMMYFUNCTION("GOOGLEFINANCE(A950,""PRICE"")"),594.95)</f>
        <v>594.95000000000005</v>
      </c>
      <c r="C950" s="11">
        <f ca="1">IFERROR(__xludf.DUMMYFUNCTION("GOOGLEFINANCE(A950,""PRICEOPEN"")"),588.35)</f>
        <v>588.35</v>
      </c>
      <c r="D950" s="11">
        <f ca="1">IFERROR(__xludf.DUMMYFUNCTION("GOOGLEFINANCE(A950,""HIGH"")"),595.55)</f>
        <v>595.54999999999995</v>
      </c>
      <c r="E950" s="11">
        <f ca="1">IFERROR(__xludf.DUMMYFUNCTION("GOOGLEFINANCE(A950,""LOW"")"),584.85)</f>
        <v>584.85</v>
      </c>
      <c r="F950" s="12" t="str">
        <f t="shared" ca="1" si="28"/>
        <v/>
      </c>
      <c r="G950" s="13">
        <f ca="1">IFERROR(__xludf.DUMMYFUNCTION("GOOGLEFINANCE(A950,""CLOSEYEST"")"),588.35)</f>
        <v>588.35</v>
      </c>
      <c r="H950" s="14" t="str">
        <f t="shared" ca="1" si="34"/>
        <v/>
      </c>
      <c r="I950" s="15">
        <f t="shared" ca="1" si="29"/>
        <v>589.58333333333337</v>
      </c>
      <c r="J950" s="16">
        <f t="shared" ca="1" si="30"/>
        <v>594.31666666666672</v>
      </c>
      <c r="K950" s="16"/>
      <c r="L950" s="16">
        <f t="shared" ca="1" si="31"/>
        <v>583.61666666666679</v>
      </c>
      <c r="M950" s="16">
        <f t="shared" ca="1" si="32"/>
        <v>600.2833333333333</v>
      </c>
      <c r="N950" s="16">
        <f t="shared" ca="1" si="33"/>
        <v>578.88333333333344</v>
      </c>
    </row>
    <row r="951" spans="1:14" ht="24.75" customHeight="1" x14ac:dyDescent="0.8">
      <c r="A951" s="18" t="s">
        <v>914</v>
      </c>
      <c r="B951" s="10">
        <f ca="1">IFERROR(__xludf.DUMMYFUNCTION("GOOGLEFINANCE(A951,""PRICE"")"),516)</f>
        <v>516</v>
      </c>
      <c r="C951" s="11">
        <f ca="1">IFERROR(__xludf.DUMMYFUNCTION("GOOGLEFINANCE(A951,""PRICEOPEN"")"),497.85)</f>
        <v>497.85</v>
      </c>
      <c r="D951" s="11">
        <f ca="1">IFERROR(__xludf.DUMMYFUNCTION("GOOGLEFINANCE(A951,""HIGH"")"),516)</f>
        <v>516</v>
      </c>
      <c r="E951" s="11">
        <f ca="1">IFERROR(__xludf.DUMMYFUNCTION("GOOGLEFINANCE(A951,""LOW"")"),494)</f>
        <v>494</v>
      </c>
      <c r="F951" s="12" t="str">
        <f t="shared" ca="1" si="28"/>
        <v/>
      </c>
      <c r="G951" s="13">
        <f ca="1">IFERROR(__xludf.DUMMYFUNCTION("GOOGLEFINANCE(A951,""CLOSEYEST"")"),493.45)</f>
        <v>493.45</v>
      </c>
      <c r="H951" s="14" t="str">
        <f t="shared" ca="1" si="34"/>
        <v/>
      </c>
      <c r="I951" s="15">
        <f t="shared" ca="1" si="29"/>
        <v>501.15000000000003</v>
      </c>
      <c r="J951" s="16">
        <f t="shared" ca="1" si="30"/>
        <v>508.30000000000007</v>
      </c>
      <c r="K951" s="16"/>
      <c r="L951" s="16">
        <f t="shared" ca="1" si="31"/>
        <v>486.30000000000007</v>
      </c>
      <c r="M951" s="16">
        <f t="shared" ca="1" si="32"/>
        <v>523.15000000000009</v>
      </c>
      <c r="N951" s="16">
        <f t="shared" ca="1" si="33"/>
        <v>479.15000000000003</v>
      </c>
    </row>
    <row r="952" spans="1:14" ht="24.75" customHeight="1" x14ac:dyDescent="0.8">
      <c r="A952" s="18" t="s">
        <v>915</v>
      </c>
      <c r="B952" s="10">
        <f ca="1">IFERROR(__xludf.DUMMYFUNCTION("GOOGLEFINANCE(A952,""PRICE"")"),69.73)</f>
        <v>69.73</v>
      </c>
      <c r="C952" s="11">
        <f ca="1">IFERROR(__xludf.DUMMYFUNCTION("GOOGLEFINANCE(A952,""PRICEOPEN"")"),69.4)</f>
        <v>69.400000000000006</v>
      </c>
      <c r="D952" s="11">
        <f ca="1">IFERROR(__xludf.DUMMYFUNCTION("GOOGLEFINANCE(A952,""HIGH"")"),69.9)</f>
        <v>69.900000000000006</v>
      </c>
      <c r="E952" s="11">
        <f ca="1">IFERROR(__xludf.DUMMYFUNCTION("GOOGLEFINANCE(A952,""LOW"")"),68.81)</f>
        <v>68.81</v>
      </c>
      <c r="F952" s="12" t="str">
        <f t="shared" ca="1" si="28"/>
        <v/>
      </c>
      <c r="G952" s="13">
        <f ca="1">IFERROR(__xludf.DUMMYFUNCTION("GOOGLEFINANCE(A952,""CLOSEYEST"")"),69.37)</f>
        <v>69.37</v>
      </c>
      <c r="H952" s="14" t="str">
        <f t="shared" ca="1" si="34"/>
        <v/>
      </c>
      <c r="I952" s="15">
        <f t="shared" ca="1" si="29"/>
        <v>69.36</v>
      </c>
      <c r="J952" s="16">
        <f t="shared" ca="1" si="30"/>
        <v>69.91</v>
      </c>
      <c r="K952" s="16"/>
      <c r="L952" s="16">
        <f t="shared" ca="1" si="31"/>
        <v>68.819999999999993</v>
      </c>
      <c r="M952" s="16">
        <f t="shared" ca="1" si="32"/>
        <v>70.45</v>
      </c>
      <c r="N952" s="16">
        <f t="shared" ca="1" si="33"/>
        <v>68.27</v>
      </c>
    </row>
    <row r="953" spans="1:14" ht="24.75" customHeight="1" x14ac:dyDescent="0.8">
      <c r="A953" s="18" t="s">
        <v>916</v>
      </c>
      <c r="B953" s="10">
        <f ca="1">IFERROR(__xludf.DUMMYFUNCTION("GOOGLEFINANCE(A953,""PRICE"")"),282.1)</f>
        <v>282.10000000000002</v>
      </c>
      <c r="C953" s="11">
        <f ca="1">IFERROR(__xludf.DUMMYFUNCTION("GOOGLEFINANCE(A953,""PRICEOPEN"")"),277.45)</f>
        <v>277.45</v>
      </c>
      <c r="D953" s="11">
        <f ca="1">IFERROR(__xludf.DUMMYFUNCTION("GOOGLEFINANCE(A953,""HIGH"")"),284.4)</f>
        <v>284.39999999999998</v>
      </c>
      <c r="E953" s="11">
        <f ca="1">IFERROR(__xludf.DUMMYFUNCTION("GOOGLEFINANCE(A953,""LOW"")"),275.15)</f>
        <v>275.14999999999998</v>
      </c>
      <c r="F953" s="12" t="str">
        <f t="shared" ca="1" si="28"/>
        <v/>
      </c>
      <c r="G953" s="13">
        <f ca="1">IFERROR(__xludf.DUMMYFUNCTION("GOOGLEFINANCE(A953,""CLOSEYEST"")"),276.75)</f>
        <v>276.75</v>
      </c>
      <c r="H953" s="14" t="str">
        <f t="shared" ca="1" si="34"/>
        <v/>
      </c>
      <c r="I953" s="15">
        <f t="shared" ca="1" si="29"/>
        <v>278.76666666666665</v>
      </c>
      <c r="J953" s="16">
        <f t="shared" ca="1" si="30"/>
        <v>282.38333333333333</v>
      </c>
      <c r="K953" s="16"/>
      <c r="L953" s="16">
        <f t="shared" ca="1" si="31"/>
        <v>273.13333333333333</v>
      </c>
      <c r="M953" s="16">
        <f t="shared" ca="1" si="32"/>
        <v>288.01666666666665</v>
      </c>
      <c r="N953" s="16">
        <f t="shared" ca="1" si="33"/>
        <v>269.51666666666665</v>
      </c>
    </row>
    <row r="954" spans="1:14" ht="24.75" customHeight="1" x14ac:dyDescent="0.8">
      <c r="A954" s="18" t="s">
        <v>917</v>
      </c>
      <c r="B954" s="10">
        <f ca="1">IFERROR(__xludf.DUMMYFUNCTION("GOOGLEFINANCE(A954,""PRICE"")"),111.99)</f>
        <v>111.99</v>
      </c>
      <c r="C954" s="11">
        <f ca="1">IFERROR(__xludf.DUMMYFUNCTION("GOOGLEFINANCE(A954,""PRICEOPEN"")"),111.6)</f>
        <v>111.6</v>
      </c>
      <c r="D954" s="11">
        <f ca="1">IFERROR(__xludf.DUMMYFUNCTION("GOOGLEFINANCE(A954,""HIGH"")"),113.04)</f>
        <v>113.04</v>
      </c>
      <c r="E954" s="11">
        <f ca="1">IFERROR(__xludf.DUMMYFUNCTION("GOOGLEFINANCE(A954,""LOW"")"),110.73)</f>
        <v>110.73</v>
      </c>
      <c r="F954" s="12" t="str">
        <f t="shared" ca="1" si="28"/>
        <v/>
      </c>
      <c r="G954" s="13">
        <f ca="1">IFERROR(__xludf.DUMMYFUNCTION("GOOGLEFINANCE(A954,""CLOSEYEST"")"),111.32)</f>
        <v>111.32</v>
      </c>
      <c r="H954" s="14" t="str">
        <f t="shared" ca="1" si="34"/>
        <v/>
      </c>
      <c r="I954" s="15">
        <f t="shared" ca="1" si="29"/>
        <v>111.69666666666667</v>
      </c>
      <c r="J954" s="16">
        <f t="shared" ca="1" si="30"/>
        <v>112.66333333333334</v>
      </c>
      <c r="K954" s="16"/>
      <c r="L954" s="16">
        <f t="shared" ca="1" si="31"/>
        <v>110.35333333333334</v>
      </c>
      <c r="M954" s="16">
        <f t="shared" ca="1" si="32"/>
        <v>114.00666666666667</v>
      </c>
      <c r="N954" s="16">
        <f t="shared" ca="1" si="33"/>
        <v>109.38666666666667</v>
      </c>
    </row>
    <row r="955" spans="1:14" ht="24.75" customHeight="1" x14ac:dyDescent="0.8">
      <c r="A955" s="18" t="s">
        <v>918</v>
      </c>
      <c r="B955" s="10" t="str">
        <f ca="1">IFERROR(__xludf.DUMMYFUNCTION("GOOGLEFINANCE(A955,""PRICE"")"),"#N/A")</f>
        <v>#N/A</v>
      </c>
      <c r="C955" s="11" t="str">
        <f ca="1">IFERROR(__xludf.DUMMYFUNCTION("GOOGLEFINANCE(A955,""PRICEOPEN"")"),"#N/A")</f>
        <v>#N/A</v>
      </c>
      <c r="D955" s="11" t="str">
        <f ca="1">IFERROR(__xludf.DUMMYFUNCTION("GOOGLEFINANCE(A955,""HIGH"")"),"#N/A")</f>
        <v>#N/A</v>
      </c>
      <c r="E955" s="11" t="str">
        <f ca="1">IFERROR(__xludf.DUMMYFUNCTION("GOOGLEFINANCE(A955,""LOW"")"),"#N/A")</f>
        <v>#N/A</v>
      </c>
      <c r="F955" s="12" t="str">
        <f t="shared" ca="1" si="28"/>
        <v>SELL</v>
      </c>
      <c r="G955" s="13" t="str">
        <f ca="1">IFERROR(__xludf.DUMMYFUNCTION("GOOGLEFINANCE(A955,""CLOSEYEST"")"),"#N/A")</f>
        <v>#N/A</v>
      </c>
      <c r="H955" s="14" t="e">
        <f t="shared" ca="1" si="34"/>
        <v>#VALUE!</v>
      </c>
      <c r="I955" s="15" t="e">
        <f t="shared" ca="1" si="29"/>
        <v>#VALUE!</v>
      </c>
      <c r="J955" s="16" t="e">
        <f t="shared" ca="1" si="30"/>
        <v>#VALUE!</v>
      </c>
      <c r="K955" s="16"/>
      <c r="L955" s="16" t="e">
        <f t="shared" ca="1" si="31"/>
        <v>#VALUE!</v>
      </c>
      <c r="M955" s="16" t="e">
        <f t="shared" ca="1" si="32"/>
        <v>#VALUE!</v>
      </c>
      <c r="N955" s="16" t="e">
        <f t="shared" ca="1" si="33"/>
        <v>#VALUE!</v>
      </c>
    </row>
    <row r="956" spans="1:14" ht="24.75" customHeight="1" x14ac:dyDescent="0.8">
      <c r="A956" s="18" t="s">
        <v>919</v>
      </c>
      <c r="B956" s="10">
        <f ca="1">IFERROR(__xludf.DUMMYFUNCTION("GOOGLEFINANCE(A956,""PRICE"")"),288.25)</f>
        <v>288.25</v>
      </c>
      <c r="C956" s="11">
        <f ca="1">IFERROR(__xludf.DUMMYFUNCTION("GOOGLEFINANCE(A956,""PRICEOPEN"")"),284.4)</f>
        <v>284.39999999999998</v>
      </c>
      <c r="D956" s="11">
        <f ca="1">IFERROR(__xludf.DUMMYFUNCTION("GOOGLEFINANCE(A956,""HIGH"")"),288.8)</f>
        <v>288.8</v>
      </c>
      <c r="E956" s="11">
        <f ca="1">IFERROR(__xludf.DUMMYFUNCTION("GOOGLEFINANCE(A956,""LOW"")"),282.7)</f>
        <v>282.7</v>
      </c>
      <c r="F956" s="12" t="str">
        <f t="shared" ca="1" si="28"/>
        <v/>
      </c>
      <c r="G956" s="13">
        <f ca="1">IFERROR(__xludf.DUMMYFUNCTION("GOOGLEFINANCE(A956,""CLOSEYEST"")"),283.05)</f>
        <v>283.05</v>
      </c>
      <c r="H956" s="14" t="str">
        <f t="shared" ca="1" si="34"/>
        <v/>
      </c>
      <c r="I956" s="15">
        <f t="shared" ca="1" si="29"/>
        <v>284.84999999999997</v>
      </c>
      <c r="J956" s="16">
        <f t="shared" ca="1" si="30"/>
        <v>286.99999999999994</v>
      </c>
      <c r="K956" s="16"/>
      <c r="L956" s="16">
        <f t="shared" ca="1" si="31"/>
        <v>280.89999999999992</v>
      </c>
      <c r="M956" s="16">
        <f t="shared" ca="1" si="32"/>
        <v>290.95</v>
      </c>
      <c r="N956" s="16">
        <f t="shared" ca="1" si="33"/>
        <v>278.74999999999994</v>
      </c>
    </row>
    <row r="957" spans="1:14" ht="24.75" customHeight="1" x14ac:dyDescent="0.8">
      <c r="A957" s="18" t="s">
        <v>920</v>
      </c>
      <c r="B957" s="10">
        <f ca="1">IFERROR(__xludf.DUMMYFUNCTION("GOOGLEFINANCE(A957,""PRICE"")"),11.6)</f>
        <v>11.6</v>
      </c>
      <c r="C957" s="11">
        <f ca="1">IFERROR(__xludf.DUMMYFUNCTION("GOOGLEFINANCE(A957,""PRICEOPEN"")"),11.56)</f>
        <v>11.56</v>
      </c>
      <c r="D957" s="11">
        <f ca="1">IFERROR(__xludf.DUMMYFUNCTION("GOOGLEFINANCE(A957,""HIGH"")"),11.65)</f>
        <v>11.65</v>
      </c>
      <c r="E957" s="11">
        <f ca="1">IFERROR(__xludf.DUMMYFUNCTION("GOOGLEFINANCE(A957,""LOW"")"),11.45)</f>
        <v>11.45</v>
      </c>
      <c r="F957" s="12" t="str">
        <f t="shared" ca="1" si="28"/>
        <v/>
      </c>
      <c r="G957" s="13">
        <f ca="1">IFERROR(__xludf.DUMMYFUNCTION("GOOGLEFINANCE(A957,""CLOSEYEST"")"),11.57)</f>
        <v>11.57</v>
      </c>
      <c r="H957" s="14" t="str">
        <f t="shared" ca="1" si="34"/>
        <v/>
      </c>
      <c r="I957" s="15">
        <f t="shared" ca="1" si="29"/>
        <v>11.556666666666667</v>
      </c>
      <c r="J957" s="16">
        <f t="shared" ca="1" si="30"/>
        <v>11.663333333333334</v>
      </c>
      <c r="K957" s="16"/>
      <c r="L957" s="16">
        <f t="shared" ca="1" si="31"/>
        <v>11.463333333333333</v>
      </c>
      <c r="M957" s="16">
        <f t="shared" ca="1" si="32"/>
        <v>11.756666666666668</v>
      </c>
      <c r="N957" s="16">
        <f t="shared" ca="1" si="33"/>
        <v>11.356666666666666</v>
      </c>
    </row>
    <row r="958" spans="1:14" ht="24.75" customHeight="1" x14ac:dyDescent="0.8">
      <c r="A958" s="18" t="s">
        <v>921</v>
      </c>
      <c r="B958" s="10">
        <f ca="1">IFERROR(__xludf.DUMMYFUNCTION("GOOGLEFINANCE(A958,""PRICE"")"),1.86)</f>
        <v>1.86</v>
      </c>
      <c r="C958" s="11">
        <f ca="1">IFERROR(__xludf.DUMMYFUNCTION("GOOGLEFINANCE(A958,""PRICEOPEN"")"),1.85)</f>
        <v>1.85</v>
      </c>
      <c r="D958" s="11">
        <f ca="1">IFERROR(__xludf.DUMMYFUNCTION("GOOGLEFINANCE(A958,""HIGH"")"),1.87)</f>
        <v>1.87</v>
      </c>
      <c r="E958" s="11">
        <f ca="1">IFERROR(__xludf.DUMMYFUNCTION("GOOGLEFINANCE(A958,""LOW"")"),1.73)</f>
        <v>1.73</v>
      </c>
      <c r="F958" s="12" t="str">
        <f t="shared" ca="1" si="28"/>
        <v/>
      </c>
      <c r="G958" s="13">
        <f ca="1">IFERROR(__xludf.DUMMYFUNCTION("GOOGLEFINANCE(A958,""CLOSEYEST"")"),1.79)</f>
        <v>1.79</v>
      </c>
      <c r="H958" s="14" t="str">
        <f t="shared" ca="1" si="34"/>
        <v>GAP UP</v>
      </c>
      <c r="I958" s="15">
        <f t="shared" ca="1" si="29"/>
        <v>1.7966666666666669</v>
      </c>
      <c r="J958" s="16">
        <f t="shared" ca="1" si="30"/>
        <v>1.8633333333333337</v>
      </c>
      <c r="K958" s="16"/>
      <c r="L958" s="16">
        <f t="shared" ca="1" si="31"/>
        <v>1.7233333333333336</v>
      </c>
      <c r="M958" s="16">
        <f t="shared" ca="1" si="32"/>
        <v>1.936666666666667</v>
      </c>
      <c r="N958" s="16">
        <f t="shared" ca="1" si="33"/>
        <v>1.6566666666666667</v>
      </c>
    </row>
    <row r="959" spans="1:14" ht="24.75" customHeight="1" x14ac:dyDescent="0.8">
      <c r="A959" s="18" t="s">
        <v>922</v>
      </c>
      <c r="B959" s="10">
        <f ca="1">IFERROR(__xludf.DUMMYFUNCTION("GOOGLEFINANCE(A959,""PRICE"")"),387.85)</f>
        <v>387.85</v>
      </c>
      <c r="C959" s="11">
        <f ca="1">IFERROR(__xludf.DUMMYFUNCTION("GOOGLEFINANCE(A959,""PRICEOPEN"")"),375)</f>
        <v>375</v>
      </c>
      <c r="D959" s="11">
        <f ca="1">IFERROR(__xludf.DUMMYFUNCTION("GOOGLEFINANCE(A959,""HIGH"")"),393.3)</f>
        <v>393.3</v>
      </c>
      <c r="E959" s="11">
        <f ca="1">IFERROR(__xludf.DUMMYFUNCTION("GOOGLEFINANCE(A959,""LOW"")"),375)</f>
        <v>375</v>
      </c>
      <c r="F959" s="12" t="str">
        <f t="shared" ca="1" si="28"/>
        <v>BUY</v>
      </c>
      <c r="G959" s="13">
        <f ca="1">IFERROR(__xludf.DUMMYFUNCTION("GOOGLEFINANCE(A959,""CLOSEYEST"")"),376.65)</f>
        <v>376.65</v>
      </c>
      <c r="H959" s="14" t="str">
        <f t="shared" ca="1" si="34"/>
        <v/>
      </c>
      <c r="I959" s="15">
        <f t="shared" ca="1" si="29"/>
        <v>381.64999999999992</v>
      </c>
      <c r="J959" s="16">
        <f t="shared" ca="1" si="30"/>
        <v>388.29999999999984</v>
      </c>
      <c r="K959" s="16"/>
      <c r="L959" s="16">
        <f t="shared" ca="1" si="31"/>
        <v>369.99999999999983</v>
      </c>
      <c r="M959" s="16">
        <f t="shared" ca="1" si="32"/>
        <v>399.94999999999993</v>
      </c>
      <c r="N959" s="16">
        <f t="shared" ca="1" si="33"/>
        <v>363.34999999999991</v>
      </c>
    </row>
    <row r="960" spans="1:14" ht="24.75" customHeight="1" x14ac:dyDescent="0.8">
      <c r="A960" s="18" t="s">
        <v>923</v>
      </c>
      <c r="B960" s="10">
        <f ca="1">IFERROR(__xludf.DUMMYFUNCTION("GOOGLEFINANCE(A960,""PRICE"")"),268)</f>
        <v>268</v>
      </c>
      <c r="C960" s="11">
        <f ca="1">IFERROR(__xludf.DUMMYFUNCTION("GOOGLEFINANCE(A960,""PRICEOPEN"")"),260)</f>
        <v>260</v>
      </c>
      <c r="D960" s="11">
        <f ca="1">IFERROR(__xludf.DUMMYFUNCTION("GOOGLEFINANCE(A960,""HIGH"")"),270)</f>
        <v>270</v>
      </c>
      <c r="E960" s="11">
        <f ca="1">IFERROR(__xludf.DUMMYFUNCTION("GOOGLEFINANCE(A960,""LOW"")"),257.29)</f>
        <v>257.29000000000002</v>
      </c>
      <c r="F960" s="12" t="str">
        <f t="shared" ca="1" si="28"/>
        <v/>
      </c>
      <c r="G960" s="13">
        <f ca="1">IFERROR(__xludf.DUMMYFUNCTION("GOOGLEFINANCE(A960,""CLOSEYEST"")"),257.97)</f>
        <v>257.97000000000003</v>
      </c>
      <c r="H960" s="14" t="str">
        <f t="shared" ca="1" si="34"/>
        <v/>
      </c>
      <c r="I960" s="15">
        <f t="shared" ca="1" si="29"/>
        <v>261.75333333333333</v>
      </c>
      <c r="J960" s="16">
        <f t="shared" ca="1" si="30"/>
        <v>266.21666666666664</v>
      </c>
      <c r="K960" s="16"/>
      <c r="L960" s="16">
        <f t="shared" ca="1" si="31"/>
        <v>253.50666666666666</v>
      </c>
      <c r="M960" s="16">
        <f t="shared" ca="1" si="32"/>
        <v>274.46333333333331</v>
      </c>
      <c r="N960" s="16">
        <f t="shared" ca="1" si="33"/>
        <v>249.04333333333335</v>
      </c>
    </row>
    <row r="961" spans="1:14" ht="24.75" customHeight="1" x14ac:dyDescent="0.8">
      <c r="A961" s="18" t="s">
        <v>924</v>
      </c>
      <c r="B961" s="10">
        <f ca="1">IFERROR(__xludf.DUMMYFUNCTION("GOOGLEFINANCE(A961,""PRICE"")"),487)</f>
        <v>487</v>
      </c>
      <c r="C961" s="11">
        <f ca="1">IFERROR(__xludf.DUMMYFUNCTION("GOOGLEFINANCE(A961,""PRICEOPEN"")"),482)</f>
        <v>482</v>
      </c>
      <c r="D961" s="11">
        <f ca="1">IFERROR(__xludf.DUMMYFUNCTION("GOOGLEFINANCE(A961,""HIGH"")"),487.25)</f>
        <v>487.25</v>
      </c>
      <c r="E961" s="11">
        <f ca="1">IFERROR(__xludf.DUMMYFUNCTION("GOOGLEFINANCE(A961,""LOW"")"),475.15)</f>
        <v>475.15</v>
      </c>
      <c r="F961" s="12" t="str">
        <f t="shared" ca="1" si="28"/>
        <v/>
      </c>
      <c r="G961" s="13">
        <f ca="1">IFERROR(__xludf.DUMMYFUNCTION("GOOGLEFINANCE(A961,""CLOSEYEST"")"),477.75)</f>
        <v>477.75</v>
      </c>
      <c r="H961" s="14" t="str">
        <f t="shared" ca="1" si="34"/>
        <v/>
      </c>
      <c r="I961" s="15">
        <f t="shared" ca="1" si="29"/>
        <v>480.05</v>
      </c>
      <c r="J961" s="16">
        <f t="shared" ca="1" si="30"/>
        <v>484.95000000000005</v>
      </c>
      <c r="K961" s="16"/>
      <c r="L961" s="16">
        <f t="shared" ca="1" si="31"/>
        <v>472.85</v>
      </c>
      <c r="M961" s="16">
        <f t="shared" ca="1" si="32"/>
        <v>492.15000000000003</v>
      </c>
      <c r="N961" s="16">
        <f t="shared" ca="1" si="33"/>
        <v>467.95</v>
      </c>
    </row>
    <row r="962" spans="1:14" ht="24.75" customHeight="1" x14ac:dyDescent="0.8">
      <c r="A962" s="18" t="s">
        <v>925</v>
      </c>
      <c r="B962" s="10">
        <f ca="1">IFERROR(__xludf.DUMMYFUNCTION("GOOGLEFINANCE(A962,""PRICE"")"),498.9)</f>
        <v>498.9</v>
      </c>
      <c r="C962" s="11">
        <f ca="1">IFERROR(__xludf.DUMMYFUNCTION("GOOGLEFINANCE(A962,""PRICEOPEN"")"),504.95)</f>
        <v>504.95</v>
      </c>
      <c r="D962" s="11">
        <f ca="1">IFERROR(__xludf.DUMMYFUNCTION("GOOGLEFINANCE(A962,""HIGH"")"),509.7)</f>
        <v>509.7</v>
      </c>
      <c r="E962" s="11">
        <f ca="1">IFERROR(__xludf.DUMMYFUNCTION("GOOGLEFINANCE(A962,""LOW"")"),491.3)</f>
        <v>491.3</v>
      </c>
      <c r="F962" s="12" t="str">
        <f t="shared" ca="1" si="28"/>
        <v/>
      </c>
      <c r="G962" s="13">
        <f ca="1">IFERROR(__xludf.DUMMYFUNCTION("GOOGLEFINANCE(A962,""CLOSEYEST"")"),504.1)</f>
        <v>504.1</v>
      </c>
      <c r="H962" s="14" t="str">
        <f t="shared" ca="1" si="34"/>
        <v/>
      </c>
      <c r="I962" s="15">
        <f t="shared" ca="1" si="29"/>
        <v>501.7</v>
      </c>
      <c r="J962" s="16">
        <f t="shared" ca="1" si="30"/>
        <v>512.09999999999991</v>
      </c>
      <c r="K962" s="16"/>
      <c r="L962" s="16">
        <f t="shared" ca="1" si="31"/>
        <v>493.7</v>
      </c>
      <c r="M962" s="16">
        <f t="shared" ca="1" si="32"/>
        <v>520.09999999999991</v>
      </c>
      <c r="N962" s="16">
        <f t="shared" ca="1" si="33"/>
        <v>483.30000000000007</v>
      </c>
    </row>
    <row r="963" spans="1:14" ht="24.75" customHeight="1" x14ac:dyDescent="0.8">
      <c r="A963" s="18" t="s">
        <v>926</v>
      </c>
      <c r="B963" s="10">
        <f ca="1">IFERROR(__xludf.DUMMYFUNCTION("GOOGLEFINANCE(A963,""PRICE"")"),90.42)</f>
        <v>90.42</v>
      </c>
      <c r="C963" s="11">
        <f ca="1">IFERROR(__xludf.DUMMYFUNCTION("GOOGLEFINANCE(A963,""PRICEOPEN"")"),91.7)</f>
        <v>91.7</v>
      </c>
      <c r="D963" s="11">
        <f ca="1">IFERROR(__xludf.DUMMYFUNCTION("GOOGLEFINANCE(A963,""HIGH"")"),92.32)</f>
        <v>92.32</v>
      </c>
      <c r="E963" s="11">
        <f ca="1">IFERROR(__xludf.DUMMYFUNCTION("GOOGLEFINANCE(A963,""LOW"")"),90.4)</f>
        <v>90.4</v>
      </c>
      <c r="F963" s="12" t="str">
        <f t="shared" ca="1" si="28"/>
        <v/>
      </c>
      <c r="G963" s="13">
        <f ca="1">IFERROR(__xludf.DUMMYFUNCTION("GOOGLEFINANCE(A963,""CLOSEYEST"")"),91.64)</f>
        <v>91.64</v>
      </c>
      <c r="H963" s="14" t="str">
        <f t="shared" ca="1" si="34"/>
        <v/>
      </c>
      <c r="I963" s="15">
        <f t="shared" ca="1" si="29"/>
        <v>91.453333333333333</v>
      </c>
      <c r="J963" s="16">
        <f t="shared" ca="1" si="30"/>
        <v>92.506666666666661</v>
      </c>
      <c r="K963" s="16"/>
      <c r="L963" s="16">
        <f t="shared" ca="1" si="31"/>
        <v>90.586666666666673</v>
      </c>
      <c r="M963" s="16">
        <f t="shared" ca="1" si="32"/>
        <v>93.373333333333321</v>
      </c>
      <c r="N963" s="16">
        <f t="shared" ca="1" si="33"/>
        <v>89.533333333333346</v>
      </c>
    </row>
    <row r="964" spans="1:14" ht="24.75" customHeight="1" x14ac:dyDescent="0.8">
      <c r="A964" s="18" t="s">
        <v>927</v>
      </c>
      <c r="B964" s="10">
        <f ca="1">IFERROR(__xludf.DUMMYFUNCTION("GOOGLEFINANCE(A964,""PRICE"")"),8.72)</f>
        <v>8.7200000000000006</v>
      </c>
      <c r="C964" s="11">
        <f ca="1">IFERROR(__xludf.DUMMYFUNCTION("GOOGLEFINANCE(A964,""PRICEOPEN"")"),8.58)</f>
        <v>8.58</v>
      </c>
      <c r="D964" s="11">
        <f ca="1">IFERROR(__xludf.DUMMYFUNCTION("GOOGLEFINANCE(A964,""HIGH"")"),8.82)</f>
        <v>8.82</v>
      </c>
      <c r="E964" s="11">
        <f ca="1">IFERROR(__xludf.DUMMYFUNCTION("GOOGLEFINANCE(A964,""LOW"")"),8.57)</f>
        <v>8.57</v>
      </c>
      <c r="F964" s="12" t="str">
        <f t="shared" ca="1" si="28"/>
        <v/>
      </c>
      <c r="G964" s="13">
        <f ca="1">IFERROR(__xludf.DUMMYFUNCTION("GOOGLEFINANCE(A964,""CLOSEYEST"")"),8.4)</f>
        <v>8.4</v>
      </c>
      <c r="H964" s="14" t="str">
        <f t="shared" ca="1" si="34"/>
        <v>GAP UP</v>
      </c>
      <c r="I964" s="15">
        <f t="shared" ca="1" si="29"/>
        <v>8.5966666666666658</v>
      </c>
      <c r="J964" s="16">
        <f t="shared" ca="1" si="30"/>
        <v>8.6233333333333313</v>
      </c>
      <c r="K964" s="16"/>
      <c r="L964" s="16">
        <f t="shared" ca="1" si="31"/>
        <v>8.3733333333333313</v>
      </c>
      <c r="M964" s="16">
        <f t="shared" ca="1" si="32"/>
        <v>8.8466666666666658</v>
      </c>
      <c r="N964" s="16">
        <f t="shared" ca="1" si="33"/>
        <v>8.3466666666666658</v>
      </c>
    </row>
    <row r="965" spans="1:14" ht="24.75" customHeight="1" x14ac:dyDescent="0.8">
      <c r="A965" s="18" t="s">
        <v>928</v>
      </c>
      <c r="B965" s="10">
        <f ca="1">IFERROR(__xludf.DUMMYFUNCTION("GOOGLEFINANCE(A965,""PRICE"")"),199.85)</f>
        <v>199.85</v>
      </c>
      <c r="C965" s="11">
        <f ca="1">IFERROR(__xludf.DUMMYFUNCTION("GOOGLEFINANCE(A965,""PRICEOPEN"")"),199.89)</f>
        <v>199.89</v>
      </c>
      <c r="D965" s="11">
        <f ca="1">IFERROR(__xludf.DUMMYFUNCTION("GOOGLEFINANCE(A965,""HIGH"")"),200.5)</f>
        <v>200.5</v>
      </c>
      <c r="E965" s="11">
        <f ca="1">IFERROR(__xludf.DUMMYFUNCTION("GOOGLEFINANCE(A965,""LOW"")"),197.75)</f>
        <v>197.75</v>
      </c>
      <c r="F965" s="12" t="str">
        <f t="shared" ca="1" si="28"/>
        <v/>
      </c>
      <c r="G965" s="13">
        <f ca="1">IFERROR(__xludf.DUMMYFUNCTION("GOOGLEFINANCE(A965,""CLOSEYEST"")"),198.2)</f>
        <v>198.2</v>
      </c>
      <c r="H965" s="14" t="str">
        <f t="shared" ca="1" si="34"/>
        <v/>
      </c>
      <c r="I965" s="15">
        <f t="shared" ca="1" si="29"/>
        <v>198.81666666666669</v>
      </c>
      <c r="J965" s="16">
        <f t="shared" ca="1" si="30"/>
        <v>199.88333333333338</v>
      </c>
      <c r="K965" s="16"/>
      <c r="L965" s="16">
        <f t="shared" ca="1" si="31"/>
        <v>197.13333333333338</v>
      </c>
      <c r="M965" s="16">
        <f t="shared" ca="1" si="32"/>
        <v>201.56666666666669</v>
      </c>
      <c r="N965" s="16">
        <f t="shared" ca="1" si="33"/>
        <v>196.06666666666669</v>
      </c>
    </row>
    <row r="966" spans="1:14" ht="24.75" customHeight="1" x14ac:dyDescent="0.8">
      <c r="A966" s="18" t="s">
        <v>929</v>
      </c>
      <c r="B966" s="10">
        <f ca="1">IFERROR(__xludf.DUMMYFUNCTION("GOOGLEFINANCE(A966,""PRICE"")"),178.8)</f>
        <v>178.8</v>
      </c>
      <c r="C966" s="11">
        <f ca="1">IFERROR(__xludf.DUMMYFUNCTION("GOOGLEFINANCE(A966,""PRICEOPEN"")"),173.29)</f>
        <v>173.29</v>
      </c>
      <c r="D966" s="11">
        <f ca="1">IFERROR(__xludf.DUMMYFUNCTION("GOOGLEFINANCE(A966,""HIGH"")"),181.9)</f>
        <v>181.9</v>
      </c>
      <c r="E966" s="11">
        <f ca="1">IFERROR(__xludf.DUMMYFUNCTION("GOOGLEFINANCE(A966,""LOW"")"),173.29)</f>
        <v>173.29</v>
      </c>
      <c r="F966" s="12" t="str">
        <f t="shared" ca="1" si="28"/>
        <v>BUY</v>
      </c>
      <c r="G966" s="13">
        <f ca="1">IFERROR(__xludf.DUMMYFUNCTION("GOOGLEFINANCE(A966,""CLOSEYEST"")"),173.29)</f>
        <v>173.29</v>
      </c>
      <c r="H966" s="14" t="str">
        <f t="shared" ca="1" si="34"/>
        <v/>
      </c>
      <c r="I966" s="15">
        <f t="shared" ca="1" si="29"/>
        <v>176.16</v>
      </c>
      <c r="J966" s="16">
        <f t="shared" ca="1" si="30"/>
        <v>179.03</v>
      </c>
      <c r="K966" s="16"/>
      <c r="L966" s="16">
        <f t="shared" ca="1" si="31"/>
        <v>170.42</v>
      </c>
      <c r="M966" s="16">
        <f t="shared" ca="1" si="32"/>
        <v>184.77</v>
      </c>
      <c r="N966" s="16">
        <f t="shared" ca="1" si="33"/>
        <v>167.54999999999998</v>
      </c>
    </row>
    <row r="967" spans="1:14" ht="24.75" customHeight="1" x14ac:dyDescent="0.8">
      <c r="A967" s="18" t="s">
        <v>930</v>
      </c>
      <c r="B967" s="10">
        <f ca="1">IFERROR(__xludf.DUMMYFUNCTION("GOOGLEFINANCE(A967,""PRICE"")"),169.5)</f>
        <v>169.5</v>
      </c>
      <c r="C967" s="11">
        <f ca="1">IFERROR(__xludf.DUMMYFUNCTION("GOOGLEFINANCE(A967,""PRICEOPEN"")"),166.95)</f>
        <v>166.95</v>
      </c>
      <c r="D967" s="11">
        <f ca="1">IFERROR(__xludf.DUMMYFUNCTION("GOOGLEFINANCE(A967,""HIGH"")"),171.04)</f>
        <v>171.04</v>
      </c>
      <c r="E967" s="11">
        <f ca="1">IFERROR(__xludf.DUMMYFUNCTION("GOOGLEFINANCE(A967,""LOW"")"),165.73)</f>
        <v>165.73</v>
      </c>
      <c r="F967" s="12" t="str">
        <f t="shared" ca="1" si="28"/>
        <v/>
      </c>
      <c r="G967" s="13">
        <f ca="1">IFERROR(__xludf.DUMMYFUNCTION("GOOGLEFINANCE(A967,""CLOSEYEST"")"),166.19)</f>
        <v>166.19</v>
      </c>
      <c r="H967" s="14" t="str">
        <f t="shared" ca="1" si="34"/>
        <v/>
      </c>
      <c r="I967" s="15">
        <f t="shared" ca="1" si="29"/>
        <v>167.65333333333334</v>
      </c>
      <c r="J967" s="16">
        <f t="shared" ca="1" si="30"/>
        <v>169.57666666666668</v>
      </c>
      <c r="K967" s="16"/>
      <c r="L967" s="16">
        <f t="shared" ca="1" si="31"/>
        <v>164.26666666666668</v>
      </c>
      <c r="M967" s="16">
        <f t="shared" ca="1" si="32"/>
        <v>172.96333333333334</v>
      </c>
      <c r="N967" s="16">
        <f t="shared" ca="1" si="33"/>
        <v>162.34333333333333</v>
      </c>
    </row>
    <row r="968" spans="1:14" ht="24.75" customHeight="1" x14ac:dyDescent="0.8">
      <c r="A968" s="18" t="s">
        <v>931</v>
      </c>
      <c r="B968" s="10">
        <f ca="1">IFERROR(__xludf.DUMMYFUNCTION("GOOGLEFINANCE(A968,""PRICE"")"),81.35)</f>
        <v>81.349999999999994</v>
      </c>
      <c r="C968" s="11">
        <f ca="1">IFERROR(__xludf.DUMMYFUNCTION("GOOGLEFINANCE(A968,""PRICEOPEN"")"),78.45)</f>
        <v>78.45</v>
      </c>
      <c r="D968" s="11">
        <f ca="1">IFERROR(__xludf.DUMMYFUNCTION("GOOGLEFINANCE(A968,""HIGH"")"),82.15)</f>
        <v>82.15</v>
      </c>
      <c r="E968" s="11">
        <f ca="1">IFERROR(__xludf.DUMMYFUNCTION("GOOGLEFINANCE(A968,""LOW"")"),78.45)</f>
        <v>78.45</v>
      </c>
      <c r="F968" s="12" t="str">
        <f t="shared" ca="1" si="28"/>
        <v>BUY</v>
      </c>
      <c r="G968" s="13">
        <f ca="1">IFERROR(__xludf.DUMMYFUNCTION("GOOGLEFINANCE(A968,""CLOSEYEST"")"),78.45)</f>
        <v>78.45</v>
      </c>
      <c r="H968" s="14" t="str">
        <f t="shared" ca="1" si="34"/>
        <v/>
      </c>
      <c r="I968" s="15">
        <f t="shared" ca="1" si="29"/>
        <v>79.683333333333337</v>
      </c>
      <c r="J968" s="16">
        <f t="shared" ca="1" si="30"/>
        <v>80.916666666666671</v>
      </c>
      <c r="K968" s="16"/>
      <c r="L968" s="16">
        <f t="shared" ca="1" si="31"/>
        <v>77.216666666666669</v>
      </c>
      <c r="M968" s="16">
        <f t="shared" ca="1" si="32"/>
        <v>83.38333333333334</v>
      </c>
      <c r="N968" s="16">
        <f t="shared" ca="1" si="33"/>
        <v>75.983333333333334</v>
      </c>
    </row>
    <row r="969" spans="1:14" ht="24.75" customHeight="1" x14ac:dyDescent="0.8">
      <c r="A969" s="18" t="s">
        <v>932</v>
      </c>
      <c r="B969" s="10">
        <f ca="1">IFERROR(__xludf.DUMMYFUNCTION("GOOGLEFINANCE(A969,""PRICE"")"),196.16)</f>
        <v>196.16</v>
      </c>
      <c r="C969" s="11">
        <f ca="1">IFERROR(__xludf.DUMMYFUNCTION("GOOGLEFINANCE(A969,""PRICEOPEN"")"),203.7)</f>
        <v>203.7</v>
      </c>
      <c r="D969" s="11">
        <f ca="1">IFERROR(__xludf.DUMMYFUNCTION("GOOGLEFINANCE(A969,""HIGH"")"),203.7)</f>
        <v>203.7</v>
      </c>
      <c r="E969" s="11">
        <f ca="1">IFERROR(__xludf.DUMMYFUNCTION("GOOGLEFINANCE(A969,""LOW"")"),196.01)</f>
        <v>196.01</v>
      </c>
      <c r="F969" s="12" t="str">
        <f t="shared" ca="1" si="28"/>
        <v>SELL</v>
      </c>
      <c r="G969" s="13">
        <f ca="1">IFERROR(__xludf.DUMMYFUNCTION("GOOGLEFINANCE(A969,""CLOSEYEST"")"),198.9)</f>
        <v>198.9</v>
      </c>
      <c r="H969" s="14" t="str">
        <f t="shared" ca="1" si="34"/>
        <v>GAP UP</v>
      </c>
      <c r="I969" s="15">
        <f t="shared" ca="1" si="29"/>
        <v>199.53666666666666</v>
      </c>
      <c r="J969" s="16">
        <f t="shared" ca="1" si="30"/>
        <v>203.06333333333333</v>
      </c>
      <c r="K969" s="16"/>
      <c r="L969" s="16">
        <f t="shared" ca="1" si="31"/>
        <v>195.37333333333333</v>
      </c>
      <c r="M969" s="16">
        <f t="shared" ca="1" si="32"/>
        <v>207.22666666666666</v>
      </c>
      <c r="N969" s="16">
        <f t="shared" ca="1" si="33"/>
        <v>191.84666666666666</v>
      </c>
    </row>
    <row r="970" spans="1:14" ht="24.75" customHeight="1" x14ac:dyDescent="0.8">
      <c r="A970" s="18" t="s">
        <v>933</v>
      </c>
      <c r="B970" s="10">
        <f ca="1">IFERROR(__xludf.DUMMYFUNCTION("GOOGLEFINANCE(A970,""PRICE"")"),1.45)</f>
        <v>1.45</v>
      </c>
      <c r="C970" s="11">
        <f ca="1">IFERROR(__xludf.DUMMYFUNCTION("GOOGLEFINANCE(A970,""PRICEOPEN"")"),1.4)</f>
        <v>1.4</v>
      </c>
      <c r="D970" s="11">
        <f ca="1">IFERROR(__xludf.DUMMYFUNCTION("GOOGLEFINANCE(A970,""HIGH"")"),1.45)</f>
        <v>1.45</v>
      </c>
      <c r="E970" s="11">
        <f ca="1">IFERROR(__xludf.DUMMYFUNCTION("GOOGLEFINANCE(A970,""LOW"")"),1.38)</f>
        <v>1.38</v>
      </c>
      <c r="F970" s="12" t="str">
        <f t="shared" ca="1" si="28"/>
        <v/>
      </c>
      <c r="G970" s="13">
        <f ca="1">IFERROR(__xludf.DUMMYFUNCTION("GOOGLEFINANCE(A970,""CLOSEYEST"")"),1.39)</f>
        <v>1.39</v>
      </c>
      <c r="H970" s="14" t="str">
        <f t="shared" ca="1" si="34"/>
        <v/>
      </c>
      <c r="I970" s="15">
        <f t="shared" ca="1" si="29"/>
        <v>1.4066666666666665</v>
      </c>
      <c r="J970" s="16">
        <f t="shared" ca="1" si="30"/>
        <v>1.4333333333333331</v>
      </c>
      <c r="K970" s="16"/>
      <c r="L970" s="16">
        <f t="shared" ca="1" si="31"/>
        <v>1.3633333333333331</v>
      </c>
      <c r="M970" s="16">
        <f t="shared" ca="1" si="32"/>
        <v>1.4766666666666666</v>
      </c>
      <c r="N970" s="16">
        <f t="shared" ca="1" si="33"/>
        <v>1.3366666666666664</v>
      </c>
    </row>
    <row r="971" spans="1:14" ht="24.75" customHeight="1" x14ac:dyDescent="0.8">
      <c r="A971" s="18" t="s">
        <v>934</v>
      </c>
      <c r="B971" s="10" t="str">
        <f ca="1">IFERROR(__xludf.DUMMYFUNCTION("GOOGLEFINANCE(A971,""PRICE"")"),"#N/A")</f>
        <v>#N/A</v>
      </c>
      <c r="C971" s="11" t="str">
        <f ca="1">IFERROR(__xludf.DUMMYFUNCTION("GOOGLEFINANCE(A971,""PRICEOPEN"")"),"#N/A")</f>
        <v>#N/A</v>
      </c>
      <c r="D971" s="11" t="str">
        <f ca="1">IFERROR(__xludf.DUMMYFUNCTION("GOOGLEFINANCE(A971,""HIGH"")"),"#N/A")</f>
        <v>#N/A</v>
      </c>
      <c r="E971" s="11" t="str">
        <f ca="1">IFERROR(__xludf.DUMMYFUNCTION("GOOGLEFINANCE(A971,""LOW"")"),"#N/A")</f>
        <v>#N/A</v>
      </c>
      <c r="F971" s="12" t="str">
        <f t="shared" ca="1" si="28"/>
        <v>SELL</v>
      </c>
      <c r="G971" s="13" t="str">
        <f ca="1">IFERROR(__xludf.DUMMYFUNCTION("GOOGLEFINANCE(A971,""CLOSEYEST"")"),"#N/A")</f>
        <v>#N/A</v>
      </c>
      <c r="H971" s="14" t="e">
        <f t="shared" ca="1" si="34"/>
        <v>#VALUE!</v>
      </c>
      <c r="I971" s="15" t="e">
        <f t="shared" ca="1" si="29"/>
        <v>#VALUE!</v>
      </c>
      <c r="J971" s="16" t="e">
        <f t="shared" ca="1" si="30"/>
        <v>#VALUE!</v>
      </c>
      <c r="K971" s="16"/>
      <c r="L971" s="16" t="e">
        <f t="shared" ca="1" si="31"/>
        <v>#VALUE!</v>
      </c>
      <c r="M971" s="16" t="e">
        <f t="shared" ca="1" si="32"/>
        <v>#VALUE!</v>
      </c>
      <c r="N971" s="16" t="e">
        <f t="shared" ca="1" si="33"/>
        <v>#VALUE!</v>
      </c>
    </row>
    <row r="972" spans="1:14" ht="24.75" customHeight="1" x14ac:dyDescent="0.8">
      <c r="A972" s="18" t="s">
        <v>935</v>
      </c>
      <c r="B972" s="10">
        <f ca="1">IFERROR(__xludf.DUMMYFUNCTION("GOOGLEFINANCE(A972,""PRICE"")"),95.66)</f>
        <v>95.66</v>
      </c>
      <c r="C972" s="11">
        <f ca="1">IFERROR(__xludf.DUMMYFUNCTION("GOOGLEFINANCE(A972,""PRICEOPEN"")"),93.1)</f>
        <v>93.1</v>
      </c>
      <c r="D972" s="11">
        <f ca="1">IFERROR(__xludf.DUMMYFUNCTION("GOOGLEFINANCE(A972,""HIGH"")"),96.5)</f>
        <v>96.5</v>
      </c>
      <c r="E972" s="11">
        <f ca="1">IFERROR(__xludf.DUMMYFUNCTION("GOOGLEFINANCE(A972,""LOW"")"),91.66)</f>
        <v>91.66</v>
      </c>
      <c r="F972" s="12" t="str">
        <f t="shared" ca="1" si="28"/>
        <v/>
      </c>
      <c r="G972" s="13">
        <f ca="1">IFERROR(__xludf.DUMMYFUNCTION("GOOGLEFINANCE(A972,""CLOSEYEST"")"),92.11)</f>
        <v>92.11</v>
      </c>
      <c r="H972" s="14" t="str">
        <f t="shared" ca="1" si="34"/>
        <v>GAP UP</v>
      </c>
      <c r="I972" s="15">
        <f t="shared" ca="1" si="29"/>
        <v>93.423333333333332</v>
      </c>
      <c r="J972" s="16">
        <f t="shared" ca="1" si="30"/>
        <v>95.186666666666667</v>
      </c>
      <c r="K972" s="16"/>
      <c r="L972" s="16">
        <f t="shared" ca="1" si="31"/>
        <v>90.346666666666664</v>
      </c>
      <c r="M972" s="16">
        <f t="shared" ca="1" si="32"/>
        <v>98.263333333333335</v>
      </c>
      <c r="N972" s="16">
        <f t="shared" ca="1" si="33"/>
        <v>88.583333333333329</v>
      </c>
    </row>
    <row r="973" spans="1:14" ht="24.75" customHeight="1" x14ac:dyDescent="0.8">
      <c r="A973" s="18" t="s">
        <v>936</v>
      </c>
      <c r="B973" s="10">
        <f ca="1">IFERROR(__xludf.DUMMYFUNCTION("GOOGLEFINANCE(A973,""PRICE"")"),652.5)</f>
        <v>652.5</v>
      </c>
      <c r="C973" s="11">
        <f ca="1">IFERROR(__xludf.DUMMYFUNCTION("GOOGLEFINANCE(A973,""PRICEOPEN"")"),666.35)</f>
        <v>666.35</v>
      </c>
      <c r="D973" s="11">
        <f ca="1">IFERROR(__xludf.DUMMYFUNCTION("GOOGLEFINANCE(A973,""HIGH"")"),666.8)</f>
        <v>666.8</v>
      </c>
      <c r="E973" s="11">
        <f ca="1">IFERROR(__xludf.DUMMYFUNCTION("GOOGLEFINANCE(A973,""LOW"")"),650.5)</f>
        <v>650.5</v>
      </c>
      <c r="F973" s="12" t="str">
        <f t="shared" ca="1" si="28"/>
        <v/>
      </c>
      <c r="G973" s="13">
        <f ca="1">IFERROR(__xludf.DUMMYFUNCTION("GOOGLEFINANCE(A973,""CLOSEYEST"")"),663.05)</f>
        <v>663.05</v>
      </c>
      <c r="H973" s="14" t="str">
        <f t="shared" ca="1" si="34"/>
        <v/>
      </c>
      <c r="I973" s="15">
        <f t="shared" ca="1" si="29"/>
        <v>660.11666666666667</v>
      </c>
      <c r="J973" s="16">
        <f t="shared" ca="1" si="30"/>
        <v>669.73333333333335</v>
      </c>
      <c r="K973" s="16"/>
      <c r="L973" s="16">
        <f t="shared" ca="1" si="31"/>
        <v>653.43333333333339</v>
      </c>
      <c r="M973" s="16">
        <f t="shared" ca="1" si="32"/>
        <v>676.41666666666663</v>
      </c>
      <c r="N973" s="16">
        <f t="shared" ca="1" si="33"/>
        <v>643.81666666666672</v>
      </c>
    </row>
    <row r="974" spans="1:14" ht="24.75" customHeight="1" x14ac:dyDescent="0.8">
      <c r="A974" s="18" t="s">
        <v>937</v>
      </c>
      <c r="B974" s="10">
        <f ca="1">IFERROR(__xludf.DUMMYFUNCTION("GOOGLEFINANCE(A974,""PRICE"")"),403)</f>
        <v>403</v>
      </c>
      <c r="C974" s="11">
        <f ca="1">IFERROR(__xludf.DUMMYFUNCTION("GOOGLEFINANCE(A974,""PRICEOPEN"")"),415)</f>
        <v>415</v>
      </c>
      <c r="D974" s="11">
        <f ca="1">IFERROR(__xludf.DUMMYFUNCTION("GOOGLEFINANCE(A974,""HIGH"")"),416.05)</f>
        <v>416.05</v>
      </c>
      <c r="E974" s="11">
        <f ca="1">IFERROR(__xludf.DUMMYFUNCTION("GOOGLEFINANCE(A974,""LOW"")"),401.55)</f>
        <v>401.55</v>
      </c>
      <c r="F974" s="12" t="str">
        <f t="shared" ca="1" si="28"/>
        <v/>
      </c>
      <c r="G974" s="13">
        <f ca="1">IFERROR(__xludf.DUMMYFUNCTION("GOOGLEFINANCE(A974,""CLOSEYEST"")"),410.25)</f>
        <v>410.25</v>
      </c>
      <c r="H974" s="14" t="str">
        <f t="shared" ca="1" si="34"/>
        <v>GAP UP</v>
      </c>
      <c r="I974" s="15">
        <f t="shared" ca="1" si="29"/>
        <v>409.2833333333333</v>
      </c>
      <c r="J974" s="16">
        <f t="shared" ca="1" si="30"/>
        <v>417.01666666666659</v>
      </c>
      <c r="K974" s="16"/>
      <c r="L974" s="16">
        <f t="shared" ca="1" si="31"/>
        <v>402.51666666666659</v>
      </c>
      <c r="M974" s="16">
        <f t="shared" ca="1" si="32"/>
        <v>423.7833333333333</v>
      </c>
      <c r="N974" s="16">
        <f t="shared" ca="1" si="33"/>
        <v>394.7833333333333</v>
      </c>
    </row>
    <row r="975" spans="1:14" ht="24.75" customHeight="1" x14ac:dyDescent="0.8">
      <c r="A975" s="18" t="s">
        <v>938</v>
      </c>
      <c r="B975" s="10">
        <f ca="1">IFERROR(__xludf.DUMMYFUNCTION("GOOGLEFINANCE(A975,""PRICE"")"),433)</f>
        <v>433</v>
      </c>
      <c r="C975" s="11">
        <f ca="1">IFERROR(__xludf.DUMMYFUNCTION("GOOGLEFINANCE(A975,""PRICEOPEN"")"),432)</f>
        <v>432</v>
      </c>
      <c r="D975" s="11">
        <f ca="1">IFERROR(__xludf.DUMMYFUNCTION("GOOGLEFINANCE(A975,""HIGH"")"),433.45)</f>
        <v>433.45</v>
      </c>
      <c r="E975" s="11">
        <f ca="1">IFERROR(__xludf.DUMMYFUNCTION("GOOGLEFINANCE(A975,""LOW"")"),426.45)</f>
        <v>426.45</v>
      </c>
      <c r="F975" s="12" t="str">
        <f t="shared" ca="1" si="28"/>
        <v/>
      </c>
      <c r="G975" s="13">
        <f ca="1">IFERROR(__xludf.DUMMYFUNCTION("GOOGLEFINANCE(A975,""CLOSEYEST"")"),426.5)</f>
        <v>426.5</v>
      </c>
      <c r="H975" s="14" t="str">
        <f t="shared" ca="1" si="34"/>
        <v>GAP UP</v>
      </c>
      <c r="I975" s="15">
        <f t="shared" ca="1" si="29"/>
        <v>428.8</v>
      </c>
      <c r="J975" s="16">
        <f t="shared" ca="1" si="30"/>
        <v>431.15000000000003</v>
      </c>
      <c r="K975" s="16"/>
      <c r="L975" s="16">
        <f t="shared" ca="1" si="31"/>
        <v>424.15000000000003</v>
      </c>
      <c r="M975" s="16">
        <f t="shared" ca="1" si="32"/>
        <v>435.8</v>
      </c>
      <c r="N975" s="16">
        <f t="shared" ca="1" si="33"/>
        <v>421.8</v>
      </c>
    </row>
    <row r="976" spans="1:14" ht="24.75" customHeight="1" x14ac:dyDescent="0.8">
      <c r="A976" s="18" t="s">
        <v>939</v>
      </c>
      <c r="B976" s="10">
        <f ca="1">IFERROR(__xludf.DUMMYFUNCTION("GOOGLEFINANCE(A976,""PRICE"")"),1.32)</f>
        <v>1.32</v>
      </c>
      <c r="C976" s="11">
        <f ca="1">IFERROR(__xludf.DUMMYFUNCTION("GOOGLEFINANCE(A976,""PRICEOPEN"")"),1.32)</f>
        <v>1.32</v>
      </c>
      <c r="D976" s="11">
        <f ca="1">IFERROR(__xludf.DUMMYFUNCTION("GOOGLEFINANCE(A976,""HIGH"")"),1.32)</f>
        <v>1.32</v>
      </c>
      <c r="E976" s="11">
        <f ca="1">IFERROR(__xludf.DUMMYFUNCTION("GOOGLEFINANCE(A976,""LOW"")"),1.32)</f>
        <v>1.32</v>
      </c>
      <c r="F976" s="12" t="str">
        <f t="shared" ca="1" si="28"/>
        <v>SELL</v>
      </c>
      <c r="G976" s="13">
        <f ca="1">IFERROR(__xludf.DUMMYFUNCTION("GOOGLEFINANCE(A976,""CLOSEYEST"")"),1.32)</f>
        <v>1.32</v>
      </c>
      <c r="H976" s="14" t="str">
        <f t="shared" ca="1" si="34"/>
        <v/>
      </c>
      <c r="I976" s="15">
        <f t="shared" ca="1" si="29"/>
        <v>1.32</v>
      </c>
      <c r="J976" s="16">
        <f t="shared" ca="1" si="30"/>
        <v>1.32</v>
      </c>
      <c r="K976" s="16"/>
      <c r="L976" s="16">
        <f t="shared" ca="1" si="31"/>
        <v>1.32</v>
      </c>
      <c r="M976" s="16">
        <f t="shared" ca="1" si="32"/>
        <v>1.32</v>
      </c>
      <c r="N976" s="16">
        <f t="shared" ca="1" si="33"/>
        <v>1.32</v>
      </c>
    </row>
    <row r="977" spans="1:14" ht="24.75" customHeight="1" x14ac:dyDescent="0.8">
      <c r="A977" s="18" t="s">
        <v>940</v>
      </c>
      <c r="B977" s="10">
        <f ca="1">IFERROR(__xludf.DUMMYFUNCTION("GOOGLEFINANCE(A977,""PRICE"")"),5310)</f>
        <v>5310</v>
      </c>
      <c r="C977" s="11">
        <f ca="1">IFERROR(__xludf.DUMMYFUNCTION("GOOGLEFINANCE(A977,""PRICEOPEN"")"),5140)</f>
        <v>5140</v>
      </c>
      <c r="D977" s="11">
        <f ca="1">IFERROR(__xludf.DUMMYFUNCTION("GOOGLEFINANCE(A977,""HIGH"")"),5345)</f>
        <v>5345</v>
      </c>
      <c r="E977" s="11">
        <f ca="1">IFERROR(__xludf.DUMMYFUNCTION("GOOGLEFINANCE(A977,""LOW"")"),5076.5)</f>
        <v>5076.5</v>
      </c>
      <c r="F977" s="12" t="str">
        <f t="shared" ca="1" si="28"/>
        <v/>
      </c>
      <c r="G977" s="13">
        <f ca="1">IFERROR(__xludf.DUMMYFUNCTION("GOOGLEFINANCE(A977,""CLOSEYEST"")"),5118)</f>
        <v>5118</v>
      </c>
      <c r="H977" s="14" t="str">
        <f t="shared" ca="1" si="34"/>
        <v/>
      </c>
      <c r="I977" s="15">
        <f t="shared" ca="1" si="29"/>
        <v>5179.833333333333</v>
      </c>
      <c r="J977" s="16">
        <f t="shared" ca="1" si="30"/>
        <v>5283.1666666666661</v>
      </c>
      <c r="K977" s="16"/>
      <c r="L977" s="16">
        <f t="shared" ca="1" si="31"/>
        <v>5014.6666666666661</v>
      </c>
      <c r="M977" s="16">
        <f t="shared" ca="1" si="32"/>
        <v>5448.333333333333</v>
      </c>
      <c r="N977" s="16">
        <f t="shared" ca="1" si="33"/>
        <v>4911.333333333333</v>
      </c>
    </row>
    <row r="978" spans="1:14" ht="24.75" customHeight="1" x14ac:dyDescent="0.8">
      <c r="A978" s="18" t="s">
        <v>941</v>
      </c>
      <c r="B978" s="10">
        <f ca="1">IFERROR(__xludf.DUMMYFUNCTION("GOOGLEFINANCE(A978,""PRICE"")"),294.5)</f>
        <v>294.5</v>
      </c>
      <c r="C978" s="11">
        <f ca="1">IFERROR(__xludf.DUMMYFUNCTION("GOOGLEFINANCE(A978,""PRICEOPEN"")"),295.85)</f>
        <v>295.85000000000002</v>
      </c>
      <c r="D978" s="11">
        <f ca="1">IFERROR(__xludf.DUMMYFUNCTION("GOOGLEFINANCE(A978,""HIGH"")"),303)</f>
        <v>303</v>
      </c>
      <c r="E978" s="11">
        <f ca="1">IFERROR(__xludf.DUMMYFUNCTION("GOOGLEFINANCE(A978,""LOW"")"),291.05)</f>
        <v>291.05</v>
      </c>
      <c r="F978" s="12" t="str">
        <f t="shared" ca="1" si="28"/>
        <v/>
      </c>
      <c r="G978" s="13">
        <f ca="1">IFERROR(__xludf.DUMMYFUNCTION("GOOGLEFINANCE(A978,""CLOSEYEST"")"),295.85)</f>
        <v>295.85000000000002</v>
      </c>
      <c r="H978" s="14" t="str">
        <f t="shared" ca="1" si="34"/>
        <v/>
      </c>
      <c r="I978" s="15">
        <f t="shared" ca="1" si="29"/>
        <v>296.63333333333333</v>
      </c>
      <c r="J978" s="16">
        <f t="shared" ca="1" si="30"/>
        <v>302.21666666666664</v>
      </c>
      <c r="K978" s="16"/>
      <c r="L978" s="16">
        <f t="shared" ca="1" si="31"/>
        <v>290.26666666666665</v>
      </c>
      <c r="M978" s="16">
        <f t="shared" ca="1" si="32"/>
        <v>308.58333333333331</v>
      </c>
      <c r="N978" s="16">
        <f t="shared" ca="1" si="33"/>
        <v>284.68333333333334</v>
      </c>
    </row>
    <row r="979" spans="1:14" ht="24.75" customHeight="1" x14ac:dyDescent="0.8">
      <c r="A979" s="18" t="s">
        <v>942</v>
      </c>
      <c r="B979" s="10" t="str">
        <f ca="1">IFERROR(__xludf.DUMMYFUNCTION("GOOGLEFINANCE(A979,""PRICE"")"),"#N/A")</f>
        <v>#N/A</v>
      </c>
      <c r="C979" s="11" t="str">
        <f ca="1">IFERROR(__xludf.DUMMYFUNCTION("GOOGLEFINANCE(A979,""PRICEOPEN"")"),"#N/A")</f>
        <v>#N/A</v>
      </c>
      <c r="D979" s="11" t="str">
        <f ca="1">IFERROR(__xludf.DUMMYFUNCTION("GOOGLEFINANCE(A979,""HIGH"")"),"#N/A")</f>
        <v>#N/A</v>
      </c>
      <c r="E979" s="11" t="str">
        <f ca="1">IFERROR(__xludf.DUMMYFUNCTION("GOOGLEFINANCE(A979,""LOW"")"),"#N/A")</f>
        <v>#N/A</v>
      </c>
      <c r="F979" s="12" t="str">
        <f t="shared" ca="1" si="28"/>
        <v>SELL</v>
      </c>
      <c r="G979" s="13" t="str">
        <f ca="1">IFERROR(__xludf.DUMMYFUNCTION("GOOGLEFINANCE(A979,""CLOSEYEST"")"),"#N/A")</f>
        <v>#N/A</v>
      </c>
      <c r="H979" s="14" t="e">
        <f t="shared" ca="1" si="34"/>
        <v>#VALUE!</v>
      </c>
      <c r="I979" s="15" t="e">
        <f t="shared" ca="1" si="29"/>
        <v>#VALUE!</v>
      </c>
      <c r="J979" s="16" t="e">
        <f t="shared" ca="1" si="30"/>
        <v>#VALUE!</v>
      </c>
      <c r="K979" s="16"/>
      <c r="L979" s="16" t="e">
        <f t="shared" ca="1" si="31"/>
        <v>#VALUE!</v>
      </c>
      <c r="M979" s="16" t="e">
        <f t="shared" ca="1" si="32"/>
        <v>#VALUE!</v>
      </c>
      <c r="N979" s="16" t="e">
        <f t="shared" ca="1" si="33"/>
        <v>#VALUE!</v>
      </c>
    </row>
    <row r="980" spans="1:14" ht="24.75" customHeight="1" x14ac:dyDescent="0.8">
      <c r="A980" s="18" t="s">
        <v>943</v>
      </c>
      <c r="B980" s="10">
        <f ca="1">IFERROR(__xludf.DUMMYFUNCTION("GOOGLEFINANCE(A980,""PRICE"")"),9155)</f>
        <v>9155</v>
      </c>
      <c r="C980" s="11">
        <f ca="1">IFERROR(__xludf.DUMMYFUNCTION("GOOGLEFINANCE(A980,""PRICEOPEN"")"),8880)</f>
        <v>8880</v>
      </c>
      <c r="D980" s="11">
        <f ca="1">IFERROR(__xludf.DUMMYFUNCTION("GOOGLEFINANCE(A980,""HIGH"")"),9270.5)</f>
        <v>9270.5</v>
      </c>
      <c r="E980" s="11">
        <f ca="1">IFERROR(__xludf.DUMMYFUNCTION("GOOGLEFINANCE(A980,""LOW"")"),8800)</f>
        <v>8800</v>
      </c>
      <c r="F980" s="12" t="str">
        <f t="shared" ca="1" si="28"/>
        <v/>
      </c>
      <c r="G980" s="13">
        <f ca="1">IFERROR(__xludf.DUMMYFUNCTION("GOOGLEFINANCE(A980,""CLOSEYEST"")"),8882.5)</f>
        <v>8882.5</v>
      </c>
      <c r="H980" s="14" t="str">
        <f t="shared" ca="1" si="34"/>
        <v/>
      </c>
      <c r="I980" s="15">
        <f t="shared" ca="1" si="29"/>
        <v>8984.3333333333339</v>
      </c>
      <c r="J980" s="16">
        <f t="shared" ca="1" si="30"/>
        <v>9168.6666666666679</v>
      </c>
      <c r="K980" s="16"/>
      <c r="L980" s="16">
        <f t="shared" ca="1" si="31"/>
        <v>8698.1666666666679</v>
      </c>
      <c r="M980" s="16">
        <f t="shared" ca="1" si="32"/>
        <v>9454.8333333333339</v>
      </c>
      <c r="N980" s="16">
        <f t="shared" ca="1" si="33"/>
        <v>8513.8333333333339</v>
      </c>
    </row>
    <row r="981" spans="1:14" ht="24.75" customHeight="1" x14ac:dyDescent="0.8">
      <c r="A981" s="18" t="s">
        <v>944</v>
      </c>
      <c r="B981" s="10">
        <f ca="1">IFERROR(__xludf.DUMMYFUNCTION("GOOGLEFINANCE(A981,""PRICE"")"),751)</f>
        <v>751</v>
      </c>
      <c r="C981" s="11">
        <f ca="1">IFERROR(__xludf.DUMMYFUNCTION("GOOGLEFINANCE(A981,""PRICEOPEN"")"),740)</f>
        <v>740</v>
      </c>
      <c r="D981" s="11">
        <f ca="1">IFERROR(__xludf.DUMMYFUNCTION("GOOGLEFINANCE(A981,""HIGH"")"),757.9)</f>
        <v>757.9</v>
      </c>
      <c r="E981" s="11">
        <f ca="1">IFERROR(__xludf.DUMMYFUNCTION("GOOGLEFINANCE(A981,""LOW"")"),740)</f>
        <v>740</v>
      </c>
      <c r="F981" s="12" t="str">
        <f t="shared" ca="1" si="28"/>
        <v>BUY</v>
      </c>
      <c r="G981" s="13">
        <f ca="1">IFERROR(__xludf.DUMMYFUNCTION("GOOGLEFINANCE(A981,""CLOSEYEST"")"),744.15)</f>
        <v>744.15</v>
      </c>
      <c r="H981" s="14" t="str">
        <f t="shared" ca="1" si="34"/>
        <v/>
      </c>
      <c r="I981" s="15">
        <f t="shared" ca="1" si="29"/>
        <v>747.35</v>
      </c>
      <c r="J981" s="16">
        <f t="shared" ca="1" si="30"/>
        <v>754.7</v>
      </c>
      <c r="K981" s="16"/>
      <c r="L981" s="16">
        <f t="shared" ca="1" si="31"/>
        <v>736.80000000000007</v>
      </c>
      <c r="M981" s="16">
        <f t="shared" ca="1" si="32"/>
        <v>765.25</v>
      </c>
      <c r="N981" s="16">
        <f t="shared" ca="1" si="33"/>
        <v>729.45</v>
      </c>
    </row>
    <row r="982" spans="1:14" ht="24.75" customHeight="1" x14ac:dyDescent="0.8">
      <c r="A982" s="18" t="s">
        <v>945</v>
      </c>
      <c r="B982" s="10">
        <f ca="1">IFERROR(__xludf.DUMMYFUNCTION("GOOGLEFINANCE(A982,""PRICE"")"),484)</f>
        <v>484</v>
      </c>
      <c r="C982" s="11">
        <f ca="1">IFERROR(__xludf.DUMMYFUNCTION("GOOGLEFINANCE(A982,""PRICEOPEN"")"),489.75)</f>
        <v>489.75</v>
      </c>
      <c r="D982" s="11">
        <f ca="1">IFERROR(__xludf.DUMMYFUNCTION("GOOGLEFINANCE(A982,""HIGH"")"),489.75)</f>
        <v>489.75</v>
      </c>
      <c r="E982" s="11">
        <f ca="1">IFERROR(__xludf.DUMMYFUNCTION("GOOGLEFINANCE(A982,""LOW"")"),480.95)</f>
        <v>480.95</v>
      </c>
      <c r="F982" s="12" t="str">
        <f t="shared" ca="1" si="28"/>
        <v>SELL</v>
      </c>
      <c r="G982" s="13">
        <f ca="1">IFERROR(__xludf.DUMMYFUNCTION("GOOGLEFINANCE(A982,""CLOSEYEST"")"),487.2)</f>
        <v>487.2</v>
      </c>
      <c r="H982" s="14" t="str">
        <f t="shared" ca="1" si="34"/>
        <v/>
      </c>
      <c r="I982" s="15">
        <f t="shared" ca="1" si="29"/>
        <v>485.9666666666667</v>
      </c>
      <c r="J982" s="16">
        <f t="shared" ca="1" si="30"/>
        <v>490.98333333333341</v>
      </c>
      <c r="K982" s="16"/>
      <c r="L982" s="16">
        <f t="shared" ca="1" si="31"/>
        <v>482.18333333333339</v>
      </c>
      <c r="M982" s="16">
        <f t="shared" ca="1" si="32"/>
        <v>494.76666666666671</v>
      </c>
      <c r="N982" s="16">
        <f t="shared" ca="1" si="33"/>
        <v>477.16666666666669</v>
      </c>
    </row>
    <row r="983" spans="1:14" ht="24.75" customHeight="1" x14ac:dyDescent="0.8">
      <c r="A983" s="18" t="s">
        <v>946</v>
      </c>
      <c r="B983" s="10">
        <f ca="1">IFERROR(__xludf.DUMMYFUNCTION("GOOGLEFINANCE(A983,""PRICE"")"),101.3)</f>
        <v>101.3</v>
      </c>
      <c r="C983" s="11">
        <f ca="1">IFERROR(__xludf.DUMMYFUNCTION("GOOGLEFINANCE(A983,""PRICEOPEN"")"),96.42)</f>
        <v>96.42</v>
      </c>
      <c r="D983" s="11">
        <f ca="1">IFERROR(__xludf.DUMMYFUNCTION("GOOGLEFINANCE(A983,""HIGH"")"),103.97)</f>
        <v>103.97</v>
      </c>
      <c r="E983" s="11">
        <f ca="1">IFERROR(__xludf.DUMMYFUNCTION("GOOGLEFINANCE(A983,""LOW"")"),96.41)</f>
        <v>96.41</v>
      </c>
      <c r="F983" s="12" t="str">
        <f t="shared" ca="1" si="28"/>
        <v/>
      </c>
      <c r="G983" s="13">
        <f ca="1">IFERROR(__xludf.DUMMYFUNCTION("GOOGLEFINANCE(A983,""CLOSEYEST"")"),96.42)</f>
        <v>96.42</v>
      </c>
      <c r="H983" s="14" t="str">
        <f t="shared" ca="1" si="34"/>
        <v/>
      </c>
      <c r="I983" s="15">
        <f t="shared" ca="1" si="29"/>
        <v>98.933333333333337</v>
      </c>
      <c r="J983" s="16">
        <f t="shared" ca="1" si="30"/>
        <v>101.45666666666668</v>
      </c>
      <c r="K983" s="16"/>
      <c r="L983" s="16">
        <f t="shared" ca="1" si="31"/>
        <v>93.896666666666675</v>
      </c>
      <c r="M983" s="16">
        <f t="shared" ca="1" si="32"/>
        <v>106.49333333333334</v>
      </c>
      <c r="N983" s="16">
        <f t="shared" ca="1" si="33"/>
        <v>91.373333333333335</v>
      </c>
    </row>
    <row r="984" spans="1:14" ht="24.75" customHeight="1" x14ac:dyDescent="0.8">
      <c r="A984" s="18" t="s">
        <v>947</v>
      </c>
      <c r="B984" s="10" t="str">
        <f ca="1">IFERROR(__xludf.DUMMYFUNCTION("GOOGLEFINANCE(A984,""PRICE"")"),"#N/A")</f>
        <v>#N/A</v>
      </c>
      <c r="C984" s="11" t="str">
        <f ca="1">IFERROR(__xludf.DUMMYFUNCTION("GOOGLEFINANCE(A984,""PRICEOPEN"")"),"#N/A")</f>
        <v>#N/A</v>
      </c>
      <c r="D984" s="11" t="str">
        <f ca="1">IFERROR(__xludf.DUMMYFUNCTION("GOOGLEFINANCE(A984,""HIGH"")"),"#N/A")</f>
        <v>#N/A</v>
      </c>
      <c r="E984" s="11" t="str">
        <f ca="1">IFERROR(__xludf.DUMMYFUNCTION("GOOGLEFINANCE(A984,""LOW"")"),"#N/A")</f>
        <v>#N/A</v>
      </c>
      <c r="F984" s="12" t="str">
        <f t="shared" ca="1" si="28"/>
        <v>SELL</v>
      </c>
      <c r="G984" s="13" t="str">
        <f ca="1">IFERROR(__xludf.DUMMYFUNCTION("GOOGLEFINANCE(A984,""CLOSEYEST"")"),"#N/A")</f>
        <v>#N/A</v>
      </c>
      <c r="H984" s="14" t="e">
        <f t="shared" ca="1" si="34"/>
        <v>#VALUE!</v>
      </c>
      <c r="I984" s="15" t="e">
        <f t="shared" ca="1" si="29"/>
        <v>#VALUE!</v>
      </c>
      <c r="J984" s="16" t="e">
        <f t="shared" ca="1" si="30"/>
        <v>#VALUE!</v>
      </c>
      <c r="K984" s="16"/>
      <c r="L984" s="16" t="e">
        <f t="shared" ca="1" si="31"/>
        <v>#VALUE!</v>
      </c>
      <c r="M984" s="16" t="e">
        <f t="shared" ca="1" si="32"/>
        <v>#VALUE!</v>
      </c>
      <c r="N984" s="16" t="e">
        <f t="shared" ca="1" si="33"/>
        <v>#VALUE!</v>
      </c>
    </row>
    <row r="985" spans="1:14" ht="24.75" customHeight="1" x14ac:dyDescent="0.8">
      <c r="A985" s="18" t="s">
        <v>948</v>
      </c>
      <c r="B985" s="10">
        <f ca="1">IFERROR(__xludf.DUMMYFUNCTION("GOOGLEFINANCE(A985,""PRICE"")"),27.5)</f>
        <v>27.5</v>
      </c>
      <c r="C985" s="11">
        <f ca="1">IFERROR(__xludf.DUMMYFUNCTION("GOOGLEFINANCE(A985,""PRICEOPEN"")"),27.55)</f>
        <v>27.55</v>
      </c>
      <c r="D985" s="11">
        <f ca="1">IFERROR(__xludf.DUMMYFUNCTION("GOOGLEFINANCE(A985,""HIGH"")"),27.86)</f>
        <v>27.86</v>
      </c>
      <c r="E985" s="11">
        <f ca="1">IFERROR(__xludf.DUMMYFUNCTION("GOOGLEFINANCE(A985,""LOW"")"),26.5)</f>
        <v>26.5</v>
      </c>
      <c r="F985" s="12" t="str">
        <f t="shared" ca="1" si="28"/>
        <v/>
      </c>
      <c r="G985" s="13">
        <f ca="1">IFERROR(__xludf.DUMMYFUNCTION("GOOGLEFINANCE(A985,""CLOSEYEST"")"),26.78)</f>
        <v>26.78</v>
      </c>
      <c r="H985" s="14" t="str">
        <f t="shared" ca="1" si="34"/>
        <v>GAP UP</v>
      </c>
      <c r="I985" s="15">
        <f t="shared" ca="1" si="29"/>
        <v>27.046666666666667</v>
      </c>
      <c r="J985" s="16">
        <f t="shared" ca="1" si="30"/>
        <v>27.593333333333334</v>
      </c>
      <c r="K985" s="16"/>
      <c r="L985" s="16">
        <f t="shared" ca="1" si="31"/>
        <v>26.233333333333334</v>
      </c>
      <c r="M985" s="16">
        <f t="shared" ca="1" si="32"/>
        <v>28.406666666666666</v>
      </c>
      <c r="N985" s="16">
        <f t="shared" ca="1" si="33"/>
        <v>25.686666666666667</v>
      </c>
    </row>
    <row r="986" spans="1:14" ht="24.75" customHeight="1" x14ac:dyDescent="0.8">
      <c r="A986" s="18" t="s">
        <v>949</v>
      </c>
      <c r="B986" s="10">
        <f ca="1">IFERROR(__xludf.DUMMYFUNCTION("GOOGLEFINANCE(A986,""PRICE"")"),150)</f>
        <v>150</v>
      </c>
      <c r="C986" s="11">
        <f ca="1">IFERROR(__xludf.DUMMYFUNCTION("GOOGLEFINANCE(A986,""PRICEOPEN"")"),150.19)</f>
        <v>150.19</v>
      </c>
      <c r="D986" s="11">
        <f ca="1">IFERROR(__xludf.DUMMYFUNCTION("GOOGLEFINANCE(A986,""HIGH"")"),152)</f>
        <v>152</v>
      </c>
      <c r="E986" s="11">
        <f ca="1">IFERROR(__xludf.DUMMYFUNCTION("GOOGLEFINANCE(A986,""LOW"")"),149.1)</f>
        <v>149.1</v>
      </c>
      <c r="F986" s="12" t="str">
        <f t="shared" ca="1" si="28"/>
        <v/>
      </c>
      <c r="G986" s="13">
        <f ca="1">IFERROR(__xludf.DUMMYFUNCTION("GOOGLEFINANCE(A986,""CLOSEYEST"")"),149.1)</f>
        <v>149.1</v>
      </c>
      <c r="H986" s="14" t="str">
        <f t="shared" ca="1" si="34"/>
        <v/>
      </c>
      <c r="I986" s="15">
        <f t="shared" ca="1" si="29"/>
        <v>150.06666666666669</v>
      </c>
      <c r="J986" s="16">
        <f t="shared" ca="1" si="30"/>
        <v>151.03333333333339</v>
      </c>
      <c r="K986" s="16"/>
      <c r="L986" s="16">
        <f t="shared" ca="1" si="31"/>
        <v>148.13333333333338</v>
      </c>
      <c r="M986" s="16">
        <f t="shared" ca="1" si="32"/>
        <v>152.9666666666667</v>
      </c>
      <c r="N986" s="16">
        <f t="shared" ca="1" si="33"/>
        <v>147.16666666666669</v>
      </c>
    </row>
    <row r="987" spans="1:14" ht="24.75" customHeight="1" x14ac:dyDescent="0.8">
      <c r="A987" s="18" t="s">
        <v>950</v>
      </c>
      <c r="B987" s="10">
        <f ca="1">IFERROR(__xludf.DUMMYFUNCTION("GOOGLEFINANCE(A987,""PRICE"")"),2315)</f>
        <v>2315</v>
      </c>
      <c r="C987" s="11">
        <f ca="1">IFERROR(__xludf.DUMMYFUNCTION("GOOGLEFINANCE(A987,""PRICEOPEN"")"),2361.1)</f>
        <v>2361.1</v>
      </c>
      <c r="D987" s="11">
        <f ca="1">IFERROR(__xludf.DUMMYFUNCTION("GOOGLEFINANCE(A987,""HIGH"")"),2362.6)</f>
        <v>2362.6</v>
      </c>
      <c r="E987" s="11">
        <f ca="1">IFERROR(__xludf.DUMMYFUNCTION("GOOGLEFINANCE(A987,""LOW"")"),2315)</f>
        <v>2315</v>
      </c>
      <c r="F987" s="12" t="str">
        <f t="shared" ca="1" si="28"/>
        <v/>
      </c>
      <c r="G987" s="13">
        <f ca="1">IFERROR(__xludf.DUMMYFUNCTION("GOOGLEFINANCE(A987,""CLOSEYEST"")"),2323.2)</f>
        <v>2323.1999999999998</v>
      </c>
      <c r="H987" s="14" t="str">
        <f t="shared" ca="1" si="34"/>
        <v>GAP UP</v>
      </c>
      <c r="I987" s="15">
        <f t="shared" ca="1" si="29"/>
        <v>2333.6</v>
      </c>
      <c r="J987" s="16">
        <f t="shared" ca="1" si="30"/>
        <v>2352.1999999999998</v>
      </c>
      <c r="K987" s="16"/>
      <c r="L987" s="16">
        <f t="shared" ca="1" si="31"/>
        <v>2304.6</v>
      </c>
      <c r="M987" s="16">
        <f t="shared" ca="1" si="32"/>
        <v>2381.1999999999998</v>
      </c>
      <c r="N987" s="16">
        <f t="shared" ca="1" si="33"/>
        <v>2286</v>
      </c>
    </row>
    <row r="988" spans="1:14" ht="24.75" customHeight="1" x14ac:dyDescent="0.8">
      <c r="A988" s="18" t="s">
        <v>951</v>
      </c>
      <c r="B988" s="10">
        <f ca="1">IFERROR(__xludf.DUMMYFUNCTION("GOOGLEFINANCE(A988,""PRICE"")"),384)</f>
        <v>384</v>
      </c>
      <c r="C988" s="11">
        <f ca="1">IFERROR(__xludf.DUMMYFUNCTION("GOOGLEFINANCE(A988,""PRICEOPEN"")"),384.8)</f>
        <v>384.8</v>
      </c>
      <c r="D988" s="11">
        <f ca="1">IFERROR(__xludf.DUMMYFUNCTION("GOOGLEFINANCE(A988,""HIGH"")"),390)</f>
        <v>390</v>
      </c>
      <c r="E988" s="11">
        <f ca="1">IFERROR(__xludf.DUMMYFUNCTION("GOOGLEFINANCE(A988,""LOW"")"),377.9)</f>
        <v>377.9</v>
      </c>
      <c r="F988" s="12" t="str">
        <f t="shared" ca="1" si="28"/>
        <v/>
      </c>
      <c r="G988" s="13">
        <f ca="1">IFERROR(__xludf.DUMMYFUNCTION("GOOGLEFINANCE(A988,""CLOSEYEST"")"),383.95)</f>
        <v>383.95</v>
      </c>
      <c r="H988" s="14" t="str">
        <f t="shared" ca="1" si="34"/>
        <v/>
      </c>
      <c r="I988" s="15">
        <f t="shared" ca="1" si="29"/>
        <v>383.95</v>
      </c>
      <c r="J988" s="16">
        <f t="shared" ca="1" si="30"/>
        <v>390</v>
      </c>
      <c r="K988" s="16"/>
      <c r="L988" s="16">
        <f t="shared" ca="1" si="31"/>
        <v>377.9</v>
      </c>
      <c r="M988" s="16">
        <f t="shared" ca="1" si="32"/>
        <v>396.05</v>
      </c>
      <c r="N988" s="16">
        <f t="shared" ca="1" si="33"/>
        <v>371.84999999999997</v>
      </c>
    </row>
    <row r="989" spans="1:14" ht="24.75" customHeight="1" x14ac:dyDescent="0.8">
      <c r="A989" s="18" t="s">
        <v>952</v>
      </c>
      <c r="B989" s="10">
        <f ca="1">IFERROR(__xludf.DUMMYFUNCTION("GOOGLEFINANCE(A989,""PRICE"")"),264.7)</f>
        <v>264.7</v>
      </c>
      <c r="C989" s="11">
        <f ca="1">IFERROR(__xludf.DUMMYFUNCTION("GOOGLEFINANCE(A989,""PRICEOPEN"")"),259.9)</f>
        <v>259.89999999999998</v>
      </c>
      <c r="D989" s="11">
        <f ca="1">IFERROR(__xludf.DUMMYFUNCTION("GOOGLEFINANCE(A989,""HIGH"")"),267.5)</f>
        <v>267.5</v>
      </c>
      <c r="E989" s="11">
        <f ca="1">IFERROR(__xludf.DUMMYFUNCTION("GOOGLEFINANCE(A989,""LOW"")"),255)</f>
        <v>255</v>
      </c>
      <c r="F989" s="12" t="str">
        <f t="shared" ca="1" si="28"/>
        <v/>
      </c>
      <c r="G989" s="13">
        <f ca="1">IFERROR(__xludf.DUMMYFUNCTION("GOOGLEFINANCE(A989,""CLOSEYEST"")"),258.1)</f>
        <v>258.10000000000002</v>
      </c>
      <c r="H989" s="14" t="str">
        <f t="shared" ca="1" si="34"/>
        <v/>
      </c>
      <c r="I989" s="15">
        <f t="shared" ca="1" si="29"/>
        <v>260.2</v>
      </c>
      <c r="J989" s="16">
        <f t="shared" ca="1" si="30"/>
        <v>265.39999999999998</v>
      </c>
      <c r="K989" s="16"/>
      <c r="L989" s="16">
        <f t="shared" ca="1" si="31"/>
        <v>252.89999999999998</v>
      </c>
      <c r="M989" s="16">
        <f t="shared" ca="1" si="32"/>
        <v>272.7</v>
      </c>
      <c r="N989" s="16">
        <f t="shared" ca="1" si="33"/>
        <v>247.7</v>
      </c>
    </row>
    <row r="990" spans="1:14" ht="24.75" customHeight="1" x14ac:dyDescent="0.8">
      <c r="A990" s="18" t="s">
        <v>953</v>
      </c>
      <c r="B990" s="10">
        <f ca="1">IFERROR(__xludf.DUMMYFUNCTION("GOOGLEFINANCE(A990,""PRICE"")"),151.41)</f>
        <v>151.41</v>
      </c>
      <c r="C990" s="11">
        <f ca="1">IFERROR(__xludf.DUMMYFUNCTION("GOOGLEFINANCE(A990,""PRICEOPEN"")"),152.98)</f>
        <v>152.97999999999999</v>
      </c>
      <c r="D990" s="11">
        <f ca="1">IFERROR(__xludf.DUMMYFUNCTION("GOOGLEFINANCE(A990,""HIGH"")"),153.95)</f>
        <v>153.94999999999999</v>
      </c>
      <c r="E990" s="11">
        <f ca="1">IFERROR(__xludf.DUMMYFUNCTION("GOOGLEFINANCE(A990,""LOW"")"),150.86)</f>
        <v>150.86000000000001</v>
      </c>
      <c r="F990" s="12" t="str">
        <f t="shared" ca="1" si="28"/>
        <v/>
      </c>
      <c r="G990" s="13">
        <f ca="1">IFERROR(__xludf.DUMMYFUNCTION("GOOGLEFINANCE(A990,""CLOSEYEST"")"),152.98)</f>
        <v>152.97999999999999</v>
      </c>
      <c r="H990" s="14" t="str">
        <f t="shared" ca="1" si="34"/>
        <v/>
      </c>
      <c r="I990" s="15">
        <f t="shared" ca="1" si="29"/>
        <v>152.59666666666666</v>
      </c>
      <c r="J990" s="16">
        <f t="shared" ca="1" si="30"/>
        <v>154.33333333333331</v>
      </c>
      <c r="K990" s="16"/>
      <c r="L990" s="16">
        <f t="shared" ca="1" si="31"/>
        <v>151.24333333333334</v>
      </c>
      <c r="M990" s="16">
        <f t="shared" ca="1" si="32"/>
        <v>155.68666666666664</v>
      </c>
      <c r="N990" s="16">
        <f t="shared" ca="1" si="33"/>
        <v>149.50666666666669</v>
      </c>
    </row>
    <row r="991" spans="1:14" ht="24.75" customHeight="1" x14ac:dyDescent="0.8">
      <c r="A991" s="18" t="s">
        <v>954</v>
      </c>
      <c r="B991" s="10">
        <f ca="1">IFERROR(__xludf.DUMMYFUNCTION("GOOGLEFINANCE(A991,""PRICE"")"),109.49)</f>
        <v>109.49</v>
      </c>
      <c r="C991" s="11">
        <f ca="1">IFERROR(__xludf.DUMMYFUNCTION("GOOGLEFINANCE(A991,""PRICEOPEN"")"),104)</f>
        <v>104</v>
      </c>
      <c r="D991" s="11">
        <f ca="1">IFERROR(__xludf.DUMMYFUNCTION("GOOGLEFINANCE(A991,""HIGH"")"),111)</f>
        <v>111</v>
      </c>
      <c r="E991" s="11">
        <f ca="1">IFERROR(__xludf.DUMMYFUNCTION("GOOGLEFINANCE(A991,""LOW"")"),104)</f>
        <v>104</v>
      </c>
      <c r="F991" s="12" t="str">
        <f t="shared" ca="1" si="28"/>
        <v>BUY</v>
      </c>
      <c r="G991" s="13">
        <f ca="1">IFERROR(__xludf.DUMMYFUNCTION("GOOGLEFINANCE(A991,""CLOSEYEST"")"),107.33)</f>
        <v>107.33</v>
      </c>
      <c r="H991" s="14" t="str">
        <f t="shared" ca="1" si="34"/>
        <v>GAP DOWN</v>
      </c>
      <c r="I991" s="15">
        <f t="shared" ca="1" si="29"/>
        <v>107.44333333333333</v>
      </c>
      <c r="J991" s="16">
        <f t="shared" ca="1" si="30"/>
        <v>110.88666666666666</v>
      </c>
      <c r="K991" s="16"/>
      <c r="L991" s="16">
        <f t="shared" ca="1" si="31"/>
        <v>103.88666666666666</v>
      </c>
      <c r="M991" s="16">
        <f t="shared" ca="1" si="32"/>
        <v>114.44333333333333</v>
      </c>
      <c r="N991" s="16">
        <f t="shared" ca="1" si="33"/>
        <v>100.44333333333333</v>
      </c>
    </row>
    <row r="992" spans="1:14" ht="24.75" customHeight="1" x14ac:dyDescent="0.8">
      <c r="A992" s="18" t="s">
        <v>955</v>
      </c>
      <c r="B992" s="10">
        <f ca="1">IFERROR(__xludf.DUMMYFUNCTION("GOOGLEFINANCE(A992,""PRICE"")"),1.02)</f>
        <v>1.02</v>
      </c>
      <c r="C992" s="11" t="str">
        <f ca="1">IFERROR(__xludf.DUMMYFUNCTION("GOOGLEFINANCE(A992,""PRICEOPEN"")"),"#N/A")</f>
        <v>#N/A</v>
      </c>
      <c r="D992" s="11" t="str">
        <f ca="1">IFERROR(__xludf.DUMMYFUNCTION("GOOGLEFINANCE(A992,""HIGH"")"),"#N/A")</f>
        <v>#N/A</v>
      </c>
      <c r="E992" s="11" t="str">
        <f ca="1">IFERROR(__xludf.DUMMYFUNCTION("GOOGLEFINANCE(A992,""LOW"")"),"#N/A")</f>
        <v>#N/A</v>
      </c>
      <c r="F992" s="12" t="str">
        <f t="shared" ca="1" si="28"/>
        <v>SELL</v>
      </c>
      <c r="G992" s="13">
        <f ca="1">IFERROR(__xludf.DUMMYFUNCTION("GOOGLEFINANCE(A992,""CLOSEYEST"")"),1.02)</f>
        <v>1.02</v>
      </c>
      <c r="H992" s="14" t="str">
        <f t="shared" ca="1" si="34"/>
        <v>GAP UP</v>
      </c>
      <c r="I992" s="15" t="e">
        <f t="shared" ca="1" si="29"/>
        <v>#VALUE!</v>
      </c>
      <c r="J992" s="16" t="e">
        <f t="shared" ca="1" si="30"/>
        <v>#VALUE!</v>
      </c>
      <c r="K992" s="16"/>
      <c r="L992" s="16" t="e">
        <f t="shared" ca="1" si="31"/>
        <v>#VALUE!</v>
      </c>
      <c r="M992" s="16" t="e">
        <f t="shared" ca="1" si="32"/>
        <v>#VALUE!</v>
      </c>
      <c r="N992" s="16" t="e">
        <f t="shared" ca="1" si="33"/>
        <v>#VALUE!</v>
      </c>
    </row>
    <row r="993" spans="1:14" ht="24.75" customHeight="1" x14ac:dyDescent="0.8">
      <c r="A993" s="18" t="s">
        <v>956</v>
      </c>
      <c r="B993" s="10">
        <f ca="1">IFERROR(__xludf.DUMMYFUNCTION("GOOGLEFINANCE(A993,""PRICE"")"),181.82)</f>
        <v>181.82</v>
      </c>
      <c r="C993" s="11">
        <f ca="1">IFERROR(__xludf.DUMMYFUNCTION("GOOGLEFINANCE(A993,""PRICEOPEN"")"),182.1)</f>
        <v>182.1</v>
      </c>
      <c r="D993" s="11">
        <f ca="1">IFERROR(__xludf.DUMMYFUNCTION("GOOGLEFINANCE(A993,""HIGH"")"),182.1)</f>
        <v>182.1</v>
      </c>
      <c r="E993" s="11">
        <f ca="1">IFERROR(__xludf.DUMMYFUNCTION("GOOGLEFINANCE(A993,""LOW"")"),181.82)</f>
        <v>181.82</v>
      </c>
      <c r="F993" s="12" t="str">
        <f t="shared" ca="1" si="28"/>
        <v>SELL</v>
      </c>
      <c r="G993" s="13">
        <f ca="1">IFERROR(__xludf.DUMMYFUNCTION("GOOGLEFINANCE(A993,""CLOSEYEST"")"),181.28)</f>
        <v>181.28</v>
      </c>
      <c r="H993" s="14" t="str">
        <f t="shared" ca="1" si="34"/>
        <v/>
      </c>
      <c r="I993" s="15">
        <f t="shared" ca="1" si="29"/>
        <v>181.73333333333332</v>
      </c>
      <c r="J993" s="16">
        <f t="shared" ca="1" si="30"/>
        <v>181.64666666666665</v>
      </c>
      <c r="K993" s="16"/>
      <c r="L993" s="16">
        <f t="shared" ca="1" si="31"/>
        <v>181.36666666666665</v>
      </c>
      <c r="M993" s="16">
        <f t="shared" ca="1" si="32"/>
        <v>182.01333333333332</v>
      </c>
      <c r="N993" s="16">
        <f t="shared" ca="1" si="33"/>
        <v>181.45333333333332</v>
      </c>
    </row>
    <row r="994" spans="1:14" ht="24.75" customHeight="1" x14ac:dyDescent="0.8">
      <c r="A994" s="18" t="s">
        <v>957</v>
      </c>
      <c r="B994" s="10">
        <f ca="1">IFERROR(__xludf.DUMMYFUNCTION("GOOGLEFINANCE(A994,""PRICE"")"),375)</f>
        <v>375</v>
      </c>
      <c r="C994" s="11">
        <f ca="1">IFERROR(__xludf.DUMMYFUNCTION("GOOGLEFINANCE(A994,""PRICEOPEN"")"),363.7)</f>
        <v>363.7</v>
      </c>
      <c r="D994" s="11">
        <f ca="1">IFERROR(__xludf.DUMMYFUNCTION("GOOGLEFINANCE(A994,""HIGH"")"),375.7)</f>
        <v>375.7</v>
      </c>
      <c r="E994" s="11">
        <f ca="1">IFERROR(__xludf.DUMMYFUNCTION("GOOGLEFINANCE(A994,""LOW"")"),363.65)</f>
        <v>363.65</v>
      </c>
      <c r="F994" s="12" t="str">
        <f t="shared" ca="1" si="28"/>
        <v/>
      </c>
      <c r="G994" s="13">
        <f ca="1">IFERROR(__xludf.DUMMYFUNCTION("GOOGLEFINANCE(A994,""CLOSEYEST"")"),366.7)</f>
        <v>366.7</v>
      </c>
      <c r="H994" s="14" t="str">
        <f t="shared" ca="1" si="34"/>
        <v/>
      </c>
      <c r="I994" s="15">
        <f t="shared" ca="1" si="29"/>
        <v>368.68333333333334</v>
      </c>
      <c r="J994" s="16">
        <f t="shared" ca="1" si="30"/>
        <v>373.7166666666667</v>
      </c>
      <c r="K994" s="16"/>
      <c r="L994" s="16">
        <f t="shared" ca="1" si="31"/>
        <v>361.66666666666669</v>
      </c>
      <c r="M994" s="16">
        <f t="shared" ca="1" si="32"/>
        <v>380.73333333333335</v>
      </c>
      <c r="N994" s="16">
        <f t="shared" ca="1" si="33"/>
        <v>356.63333333333333</v>
      </c>
    </row>
    <row r="995" spans="1:14" ht="24.75" customHeight="1" x14ac:dyDescent="0.8">
      <c r="A995" s="18" t="s">
        <v>958</v>
      </c>
      <c r="B995" s="10" t="str">
        <f ca="1">IFERROR(__xludf.DUMMYFUNCTION("GOOGLEFINANCE(A995,""PRICE"")"),"#N/A")</f>
        <v>#N/A</v>
      </c>
      <c r="C995" s="11" t="str">
        <f ca="1">IFERROR(__xludf.DUMMYFUNCTION("GOOGLEFINANCE(A995,""PRICEOPEN"")"),"#N/A")</f>
        <v>#N/A</v>
      </c>
      <c r="D995" s="11" t="str">
        <f ca="1">IFERROR(__xludf.DUMMYFUNCTION("GOOGLEFINANCE(A995,""HIGH"")"),"#N/A")</f>
        <v>#N/A</v>
      </c>
      <c r="E995" s="11" t="str">
        <f ca="1">IFERROR(__xludf.DUMMYFUNCTION("GOOGLEFINANCE(A995,""LOW"")"),"#N/A")</f>
        <v>#N/A</v>
      </c>
      <c r="F995" s="12" t="str">
        <f t="shared" ca="1" si="28"/>
        <v>SELL</v>
      </c>
      <c r="G995" s="13" t="str">
        <f ca="1">IFERROR(__xludf.DUMMYFUNCTION("GOOGLEFINANCE(A995,""CLOSEYEST"")"),"#N/A")</f>
        <v>#N/A</v>
      </c>
      <c r="H995" s="14" t="e">
        <f t="shared" ca="1" si="34"/>
        <v>#VALUE!</v>
      </c>
      <c r="I995" s="15" t="e">
        <f t="shared" ca="1" si="29"/>
        <v>#VALUE!</v>
      </c>
      <c r="J995" s="16" t="e">
        <f t="shared" ca="1" si="30"/>
        <v>#VALUE!</v>
      </c>
      <c r="K995" s="16"/>
      <c r="L995" s="16" t="e">
        <f t="shared" ca="1" si="31"/>
        <v>#VALUE!</v>
      </c>
      <c r="M995" s="16" t="e">
        <f t="shared" ca="1" si="32"/>
        <v>#VALUE!</v>
      </c>
      <c r="N995" s="16" t="e">
        <f t="shared" ca="1" si="33"/>
        <v>#VALUE!</v>
      </c>
    </row>
    <row r="996" spans="1:14" ht="24.75" customHeight="1" x14ac:dyDescent="0.8">
      <c r="A996" s="18" t="s">
        <v>959</v>
      </c>
      <c r="B996" s="10">
        <f ca="1">IFERROR(__xludf.DUMMYFUNCTION("GOOGLEFINANCE(A996,""PRICE"")"),7.56)</f>
        <v>7.56</v>
      </c>
      <c r="C996" s="11">
        <f ca="1">IFERROR(__xludf.DUMMYFUNCTION("GOOGLEFINANCE(A996,""PRICEOPEN"")"),7.56)</f>
        <v>7.56</v>
      </c>
      <c r="D996" s="11">
        <f ca="1">IFERROR(__xludf.DUMMYFUNCTION("GOOGLEFINANCE(A996,""HIGH"")"),7.56)</f>
        <v>7.56</v>
      </c>
      <c r="E996" s="11">
        <f ca="1">IFERROR(__xludf.DUMMYFUNCTION("GOOGLEFINANCE(A996,""LOW"")"),7.34)</f>
        <v>7.34</v>
      </c>
      <c r="F996" s="12" t="str">
        <f t="shared" ca="1" si="28"/>
        <v>SELL</v>
      </c>
      <c r="G996" s="13">
        <f ca="1">IFERROR(__xludf.DUMMYFUNCTION("GOOGLEFINANCE(A996,""CLOSEYEST"")"),7.2)</f>
        <v>7.2</v>
      </c>
      <c r="H996" s="14" t="str">
        <f t="shared" ca="1" si="34"/>
        <v>GAP UP</v>
      </c>
      <c r="I996" s="15">
        <f t="shared" ca="1" si="29"/>
        <v>7.3666666666666663</v>
      </c>
      <c r="J996" s="16">
        <f t="shared" ca="1" si="30"/>
        <v>7.3933333333333326</v>
      </c>
      <c r="K996" s="16"/>
      <c r="L996" s="16">
        <f t="shared" ca="1" si="31"/>
        <v>7.1733333333333329</v>
      </c>
      <c r="M996" s="16">
        <f t="shared" ca="1" si="32"/>
        <v>7.586666666666666</v>
      </c>
      <c r="N996" s="16">
        <f t="shared" ca="1" si="33"/>
        <v>7.1466666666666665</v>
      </c>
    </row>
    <row r="997" spans="1:14" ht="24.75" customHeight="1" x14ac:dyDescent="0.8">
      <c r="A997" s="18" t="s">
        <v>960</v>
      </c>
      <c r="B997" s="10" t="str">
        <f ca="1">IFERROR(__xludf.DUMMYFUNCTION("GOOGLEFINANCE(A997,""PRICE"")"),"#N/A")</f>
        <v>#N/A</v>
      </c>
      <c r="C997" s="11" t="str">
        <f ca="1">IFERROR(__xludf.DUMMYFUNCTION("GOOGLEFINANCE(A997,""PRICEOPEN"")"),"#N/A")</f>
        <v>#N/A</v>
      </c>
      <c r="D997" s="11" t="str">
        <f ca="1">IFERROR(__xludf.DUMMYFUNCTION("GOOGLEFINANCE(A997,""HIGH"")"),"#N/A")</f>
        <v>#N/A</v>
      </c>
      <c r="E997" s="11" t="str">
        <f ca="1">IFERROR(__xludf.DUMMYFUNCTION("GOOGLEFINANCE(A997,""LOW"")"),"#N/A")</f>
        <v>#N/A</v>
      </c>
      <c r="F997" s="12" t="str">
        <f t="shared" ca="1" si="28"/>
        <v>SELL</v>
      </c>
      <c r="G997" s="13" t="str">
        <f ca="1">IFERROR(__xludf.DUMMYFUNCTION("GOOGLEFINANCE(A997,""CLOSEYEST"")"),"#N/A")</f>
        <v>#N/A</v>
      </c>
      <c r="H997" s="14" t="e">
        <f t="shared" ca="1" si="34"/>
        <v>#VALUE!</v>
      </c>
      <c r="I997" s="15" t="e">
        <f t="shared" ca="1" si="29"/>
        <v>#VALUE!</v>
      </c>
      <c r="J997" s="16" t="e">
        <f t="shared" ca="1" si="30"/>
        <v>#VALUE!</v>
      </c>
      <c r="K997" s="16"/>
      <c r="L997" s="16" t="e">
        <f t="shared" ca="1" si="31"/>
        <v>#VALUE!</v>
      </c>
      <c r="M997" s="16" t="e">
        <f t="shared" ca="1" si="32"/>
        <v>#VALUE!</v>
      </c>
      <c r="N997" s="16" t="e">
        <f t="shared" ca="1" si="33"/>
        <v>#VALUE!</v>
      </c>
    </row>
    <row r="998" spans="1:14" ht="24.75" customHeight="1" x14ac:dyDescent="0.8">
      <c r="A998" s="18" t="s">
        <v>961</v>
      </c>
      <c r="B998" s="10">
        <f ca="1">IFERROR(__xludf.DUMMYFUNCTION("GOOGLEFINANCE(A998,""PRICE"")"),1145)</f>
        <v>1145</v>
      </c>
      <c r="C998" s="11">
        <f ca="1">IFERROR(__xludf.DUMMYFUNCTION("GOOGLEFINANCE(A998,""PRICEOPEN"")"),1176.5)</f>
        <v>1176.5</v>
      </c>
      <c r="D998" s="11">
        <f ca="1">IFERROR(__xludf.DUMMYFUNCTION("GOOGLEFINANCE(A998,""HIGH"")"),1188)</f>
        <v>1188</v>
      </c>
      <c r="E998" s="11">
        <f ca="1">IFERROR(__xludf.DUMMYFUNCTION("GOOGLEFINANCE(A998,""LOW"")"),1145)</f>
        <v>1145</v>
      </c>
      <c r="F998" s="12" t="str">
        <f t="shared" ca="1" si="28"/>
        <v/>
      </c>
      <c r="G998" s="13">
        <f ca="1">IFERROR(__xludf.DUMMYFUNCTION("GOOGLEFINANCE(A998,""CLOSEYEST"")"),1158.9)</f>
        <v>1158.9000000000001</v>
      </c>
      <c r="H998" s="14" t="str">
        <f t="shared" ca="1" si="34"/>
        <v>GAP UP</v>
      </c>
      <c r="I998" s="15">
        <f t="shared" ca="1" si="29"/>
        <v>1163.9666666666667</v>
      </c>
      <c r="J998" s="16">
        <f t="shared" ca="1" si="30"/>
        <v>1182.9333333333334</v>
      </c>
      <c r="K998" s="16"/>
      <c r="L998" s="16">
        <f t="shared" ca="1" si="31"/>
        <v>1139.9333333333334</v>
      </c>
      <c r="M998" s="16">
        <f t="shared" ca="1" si="32"/>
        <v>1206.9666666666667</v>
      </c>
      <c r="N998" s="16">
        <f t="shared" ca="1" si="33"/>
        <v>1120.9666666666667</v>
      </c>
    </row>
    <row r="999" spans="1:14" ht="24.75" customHeight="1" x14ac:dyDescent="0.8">
      <c r="A999" s="18" t="s">
        <v>962</v>
      </c>
      <c r="B999" s="10">
        <f ca="1">IFERROR(__xludf.DUMMYFUNCTION("GOOGLEFINANCE(A999,""PRICE"")"),0.06)</f>
        <v>0.06</v>
      </c>
      <c r="C999" s="11">
        <f ca="1">IFERROR(__xludf.DUMMYFUNCTION("GOOGLEFINANCE(A999,""PRICEOPEN"")"),0.05)</f>
        <v>0.05</v>
      </c>
      <c r="D999" s="11">
        <f ca="1">IFERROR(__xludf.DUMMYFUNCTION("GOOGLEFINANCE(A999,""HIGH"")"),0.06)</f>
        <v>0.06</v>
      </c>
      <c r="E999" s="11">
        <f ca="1">IFERROR(__xludf.DUMMYFUNCTION("GOOGLEFINANCE(A999,""LOW"")"),0.05)</f>
        <v>0.05</v>
      </c>
      <c r="F999" s="12" t="str">
        <f t="shared" ca="1" si="28"/>
        <v>BUY</v>
      </c>
      <c r="G999" s="13">
        <f ca="1">IFERROR(__xludf.DUMMYFUNCTION("GOOGLEFINANCE(A999,""CLOSEYEST"")"),0.05)</f>
        <v>0.05</v>
      </c>
      <c r="H999" s="14" t="str">
        <f t="shared" ca="1" si="34"/>
        <v/>
      </c>
      <c r="I999" s="15">
        <f t="shared" ca="1" si="29"/>
        <v>5.3333333333333337E-2</v>
      </c>
      <c r="J999" s="16">
        <f t="shared" ca="1" si="30"/>
        <v>5.6666666666666671E-2</v>
      </c>
      <c r="K999" s="16"/>
      <c r="L999" s="16">
        <f t="shared" ca="1" si="31"/>
        <v>4.6666666666666676E-2</v>
      </c>
      <c r="M999" s="16">
        <f t="shared" ca="1" si="32"/>
        <v>6.3333333333333325E-2</v>
      </c>
      <c r="N999" s="16">
        <f t="shared" ca="1" si="33"/>
        <v>4.3333333333333342E-2</v>
      </c>
    </row>
    <row r="1000" spans="1:14" ht="24.75" customHeight="1" x14ac:dyDescent="0.8">
      <c r="A1000" s="18" t="s">
        <v>963</v>
      </c>
      <c r="B1000" s="10" t="str">
        <f ca="1">IFERROR(__xludf.DUMMYFUNCTION("GOOGLEFINANCE(A1000,""PRICE"")"),"#N/A")</f>
        <v>#N/A</v>
      </c>
      <c r="C1000" s="11" t="str">
        <f ca="1">IFERROR(__xludf.DUMMYFUNCTION("GOOGLEFINANCE(A1000,""PRICEOPEN"")"),"#N/A")</f>
        <v>#N/A</v>
      </c>
      <c r="D1000" s="11" t="str">
        <f ca="1">IFERROR(__xludf.DUMMYFUNCTION("GOOGLEFINANCE(A1000,""HIGH"")"),"#N/A")</f>
        <v>#N/A</v>
      </c>
      <c r="E1000" s="11" t="str">
        <f ca="1">IFERROR(__xludf.DUMMYFUNCTION("GOOGLEFINANCE(A1000,""LOW"")"),"#N/A")</f>
        <v>#N/A</v>
      </c>
      <c r="F1000" s="12" t="str">
        <f t="shared" ca="1" si="28"/>
        <v>SELL</v>
      </c>
      <c r="G1000" s="13" t="str">
        <f ca="1">IFERROR(__xludf.DUMMYFUNCTION("GOOGLEFINANCE(A1000,""CLOSEYEST"")"),"#N/A")</f>
        <v>#N/A</v>
      </c>
      <c r="H1000" s="14" t="e">
        <f t="shared" ca="1" si="34"/>
        <v>#VALUE!</v>
      </c>
      <c r="I1000" s="15" t="e">
        <f t="shared" ca="1" si="29"/>
        <v>#VALUE!</v>
      </c>
      <c r="J1000" s="16" t="e">
        <f t="shared" ca="1" si="30"/>
        <v>#VALUE!</v>
      </c>
      <c r="K1000" s="16"/>
      <c r="L1000" s="16" t="e">
        <f t="shared" ca="1" si="31"/>
        <v>#VALUE!</v>
      </c>
      <c r="M1000" s="16" t="e">
        <f t="shared" ca="1" si="32"/>
        <v>#VALUE!</v>
      </c>
      <c r="N1000" s="16" t="e">
        <f t="shared" ca="1" si="33"/>
        <v>#VALUE!</v>
      </c>
    </row>
    <row r="1001" spans="1:14" ht="24.75" customHeight="1" x14ac:dyDescent="0.8">
      <c r="A1001" s="18" t="s">
        <v>964</v>
      </c>
      <c r="B1001" s="10">
        <f ca="1">IFERROR(__xludf.DUMMYFUNCTION("GOOGLEFINANCE(A1001,""PRICE"")"),1.85)</f>
        <v>1.85</v>
      </c>
      <c r="C1001" s="11">
        <f ca="1">IFERROR(__xludf.DUMMYFUNCTION("GOOGLEFINANCE(A1001,""PRICEOPEN"")"),1.77)</f>
        <v>1.77</v>
      </c>
      <c r="D1001" s="11">
        <f ca="1">IFERROR(__xludf.DUMMYFUNCTION("GOOGLEFINANCE(A1001,""HIGH"")"),1.85)</f>
        <v>1.85</v>
      </c>
      <c r="E1001" s="11">
        <f ca="1">IFERROR(__xludf.DUMMYFUNCTION("GOOGLEFINANCE(A1001,""LOW"")"),1.73)</f>
        <v>1.73</v>
      </c>
      <c r="F1001" s="12" t="str">
        <f t="shared" ca="1" si="28"/>
        <v/>
      </c>
      <c r="G1001" s="13">
        <f ca="1">IFERROR(__xludf.DUMMYFUNCTION("GOOGLEFINANCE(A1001,""CLOSEYEST"")"),1.77)</f>
        <v>1.77</v>
      </c>
      <c r="H1001" s="14" t="str">
        <f t="shared" ca="1" si="34"/>
        <v/>
      </c>
      <c r="I1001" s="15">
        <f t="shared" ca="1" si="29"/>
        <v>1.7833333333333332</v>
      </c>
      <c r="J1001" s="16">
        <f t="shared" ca="1" si="30"/>
        <v>1.8366666666666664</v>
      </c>
      <c r="K1001" s="16"/>
      <c r="L1001" s="16">
        <f t="shared" ca="1" si="31"/>
        <v>1.7166666666666663</v>
      </c>
      <c r="M1001" s="16">
        <f t="shared" ca="1" si="32"/>
        <v>1.9033333333333333</v>
      </c>
      <c r="N1001" s="16">
        <f t="shared" ca="1" si="33"/>
        <v>1.6633333333333331</v>
      </c>
    </row>
    <row r="1002" spans="1:14" ht="24.75" customHeight="1" x14ac:dyDescent="0.8">
      <c r="A1002" s="18" t="s">
        <v>965</v>
      </c>
      <c r="B1002" s="10">
        <f ca="1">IFERROR(__xludf.DUMMYFUNCTION("GOOGLEFINANCE(A1002,""PRICE"")"),1260)</f>
        <v>1260</v>
      </c>
      <c r="C1002" s="11">
        <f ca="1">IFERROR(__xludf.DUMMYFUNCTION("GOOGLEFINANCE(A1002,""PRICEOPEN"")"),1263.7)</f>
        <v>1263.7</v>
      </c>
      <c r="D1002" s="11">
        <f ca="1">IFERROR(__xludf.DUMMYFUNCTION("GOOGLEFINANCE(A1002,""HIGH"")"),1279)</f>
        <v>1279</v>
      </c>
      <c r="E1002" s="11">
        <f ca="1">IFERROR(__xludf.DUMMYFUNCTION("GOOGLEFINANCE(A1002,""LOW"")"),1244.6)</f>
        <v>1244.5999999999999</v>
      </c>
      <c r="F1002" s="12" t="str">
        <f t="shared" ca="1" si="28"/>
        <v/>
      </c>
      <c r="G1002" s="13">
        <f ca="1">IFERROR(__xludf.DUMMYFUNCTION("GOOGLEFINANCE(A1002,""CLOSEYEST"")"),1260.2)</f>
        <v>1260.2</v>
      </c>
      <c r="H1002" s="14" t="str">
        <f t="shared" ca="1" si="34"/>
        <v/>
      </c>
      <c r="I1002" s="15">
        <f t="shared" ca="1" si="29"/>
        <v>1261.2666666666667</v>
      </c>
      <c r="J1002" s="16">
        <f t="shared" ca="1" si="30"/>
        <v>1277.9333333333334</v>
      </c>
      <c r="K1002" s="16"/>
      <c r="L1002" s="16">
        <f t="shared" ca="1" si="31"/>
        <v>1243.5333333333333</v>
      </c>
      <c r="M1002" s="16">
        <f t="shared" ca="1" si="32"/>
        <v>1295.6666666666667</v>
      </c>
      <c r="N1002" s="16">
        <f t="shared" ca="1" si="33"/>
        <v>1226.8666666666666</v>
      </c>
    </row>
    <row r="1003" spans="1:14" ht="24.75" customHeight="1" x14ac:dyDescent="0.8">
      <c r="A1003" s="18" t="s">
        <v>966</v>
      </c>
      <c r="B1003" s="10">
        <f ca="1">IFERROR(__xludf.DUMMYFUNCTION("GOOGLEFINANCE(A1003,""PRICE"")"),1101)</f>
        <v>1101</v>
      </c>
      <c r="C1003" s="11">
        <f ca="1">IFERROR(__xludf.DUMMYFUNCTION("GOOGLEFINANCE(A1003,""PRICEOPEN"")"),1085)</f>
        <v>1085</v>
      </c>
      <c r="D1003" s="11">
        <f ca="1">IFERROR(__xludf.DUMMYFUNCTION("GOOGLEFINANCE(A1003,""HIGH"")"),1118.5)</f>
        <v>1118.5</v>
      </c>
      <c r="E1003" s="11">
        <f ca="1">IFERROR(__xludf.DUMMYFUNCTION("GOOGLEFINANCE(A1003,""LOW"")"),1076)</f>
        <v>1076</v>
      </c>
      <c r="F1003" s="12" t="str">
        <f t="shared" ca="1" si="28"/>
        <v/>
      </c>
      <c r="G1003" s="13">
        <f ca="1">IFERROR(__xludf.DUMMYFUNCTION("GOOGLEFINANCE(A1003,""CLOSEYEST"")"),1082.6)</f>
        <v>1082.5999999999999</v>
      </c>
      <c r="H1003" s="14" t="str">
        <f t="shared" ca="1" si="34"/>
        <v/>
      </c>
      <c r="I1003" s="15">
        <f t="shared" ca="1" si="29"/>
        <v>1092.3666666666666</v>
      </c>
      <c r="J1003" s="16">
        <f t="shared" ca="1" si="30"/>
        <v>1108.7333333333331</v>
      </c>
      <c r="K1003" s="16"/>
      <c r="L1003" s="16">
        <f t="shared" ca="1" si="31"/>
        <v>1066.2333333333331</v>
      </c>
      <c r="M1003" s="16">
        <f t="shared" ca="1" si="32"/>
        <v>1134.8666666666666</v>
      </c>
      <c r="N1003" s="16">
        <f t="shared" ca="1" si="33"/>
        <v>1049.8666666666666</v>
      </c>
    </row>
    <row r="1004" spans="1:14" ht="24.75" customHeight="1" x14ac:dyDescent="0.8">
      <c r="A1004" s="18" t="s">
        <v>967</v>
      </c>
      <c r="B1004" s="10">
        <f ca="1">IFERROR(__xludf.DUMMYFUNCTION("GOOGLEFINANCE(A1004,""PRICE"")"),207)</f>
        <v>207</v>
      </c>
      <c r="C1004" s="11">
        <f ca="1">IFERROR(__xludf.DUMMYFUNCTION("GOOGLEFINANCE(A1004,""PRICEOPEN"")"),200)</f>
        <v>200</v>
      </c>
      <c r="D1004" s="11">
        <f ca="1">IFERROR(__xludf.DUMMYFUNCTION("GOOGLEFINANCE(A1004,""HIGH"")"),207.89)</f>
        <v>207.89</v>
      </c>
      <c r="E1004" s="11">
        <f ca="1">IFERROR(__xludf.DUMMYFUNCTION("GOOGLEFINANCE(A1004,""LOW"")"),198.93)</f>
        <v>198.93</v>
      </c>
      <c r="F1004" s="12" t="str">
        <f t="shared" ca="1" si="28"/>
        <v/>
      </c>
      <c r="G1004" s="13">
        <f ca="1">IFERROR(__xludf.DUMMYFUNCTION("GOOGLEFINANCE(A1004,""CLOSEYEST"")"),198.93)</f>
        <v>198.93</v>
      </c>
      <c r="H1004" s="14" t="str">
        <f t="shared" ca="1" si="34"/>
        <v/>
      </c>
      <c r="I1004" s="15">
        <f t="shared" ca="1" si="29"/>
        <v>201.91666666666666</v>
      </c>
      <c r="J1004" s="16">
        <f t="shared" ca="1" si="30"/>
        <v>204.90333333333331</v>
      </c>
      <c r="K1004" s="16"/>
      <c r="L1004" s="16">
        <f t="shared" ca="1" si="31"/>
        <v>195.94333333333333</v>
      </c>
      <c r="M1004" s="16">
        <f t="shared" ca="1" si="32"/>
        <v>210.87666666666664</v>
      </c>
      <c r="N1004" s="16">
        <f t="shared" ca="1" si="33"/>
        <v>192.95666666666668</v>
      </c>
    </row>
    <row r="1005" spans="1:14" ht="24.75" customHeight="1" x14ac:dyDescent="0.8">
      <c r="A1005" s="18" t="s">
        <v>968</v>
      </c>
      <c r="B1005" s="10" t="str">
        <f ca="1">IFERROR(__xludf.DUMMYFUNCTION("GOOGLEFINANCE(A1005,""PRICE"")"),"#N/A")</f>
        <v>#N/A</v>
      </c>
      <c r="C1005" s="11" t="str">
        <f ca="1">IFERROR(__xludf.DUMMYFUNCTION("GOOGLEFINANCE(A1005,""PRICEOPEN"")"),"#N/A")</f>
        <v>#N/A</v>
      </c>
      <c r="D1005" s="11" t="str">
        <f ca="1">IFERROR(__xludf.DUMMYFUNCTION("GOOGLEFINANCE(A1005,""HIGH"")"),"#N/A")</f>
        <v>#N/A</v>
      </c>
      <c r="E1005" s="11" t="str">
        <f ca="1">IFERROR(__xludf.DUMMYFUNCTION("GOOGLEFINANCE(A1005,""LOW"")"),"#N/A")</f>
        <v>#N/A</v>
      </c>
      <c r="F1005" s="12" t="str">
        <f t="shared" ca="1" si="28"/>
        <v>SELL</v>
      </c>
      <c r="G1005" s="13" t="str">
        <f ca="1">IFERROR(__xludf.DUMMYFUNCTION("GOOGLEFINANCE(A1005,""CLOSEYEST"")"),"#N/A")</f>
        <v>#N/A</v>
      </c>
      <c r="H1005" s="14" t="e">
        <f t="shared" ca="1" si="34"/>
        <v>#VALUE!</v>
      </c>
      <c r="I1005" s="15" t="e">
        <f t="shared" ca="1" si="29"/>
        <v>#VALUE!</v>
      </c>
      <c r="J1005" s="16" t="e">
        <f t="shared" ca="1" si="30"/>
        <v>#VALUE!</v>
      </c>
      <c r="K1005" s="16"/>
      <c r="L1005" s="16" t="e">
        <f t="shared" ca="1" si="31"/>
        <v>#VALUE!</v>
      </c>
      <c r="M1005" s="16" t="e">
        <f t="shared" ca="1" si="32"/>
        <v>#VALUE!</v>
      </c>
      <c r="N1005" s="16" t="e">
        <f t="shared" ca="1" si="33"/>
        <v>#VALUE!</v>
      </c>
    </row>
    <row r="1006" spans="1:14" ht="24.75" customHeight="1" x14ac:dyDescent="0.8">
      <c r="A1006" s="18" t="s">
        <v>969</v>
      </c>
      <c r="B1006" s="10" t="str">
        <f ca="1">IFERROR(__xludf.DUMMYFUNCTION("GOOGLEFINANCE(A1006,""PRICE"")"),"#N/A")</f>
        <v>#N/A</v>
      </c>
      <c r="C1006" s="11" t="str">
        <f ca="1">IFERROR(__xludf.DUMMYFUNCTION("GOOGLEFINANCE(A1006,""PRICEOPEN"")"),"#N/A")</f>
        <v>#N/A</v>
      </c>
      <c r="D1006" s="11" t="str">
        <f ca="1">IFERROR(__xludf.DUMMYFUNCTION("GOOGLEFINANCE(A1006,""HIGH"")"),"#N/A")</f>
        <v>#N/A</v>
      </c>
      <c r="E1006" s="11" t="str">
        <f ca="1">IFERROR(__xludf.DUMMYFUNCTION("GOOGLEFINANCE(A1006,""LOW"")"),"#N/A")</f>
        <v>#N/A</v>
      </c>
      <c r="F1006" s="12" t="str">
        <f t="shared" ca="1" si="28"/>
        <v>SELL</v>
      </c>
      <c r="G1006" s="13" t="str">
        <f ca="1">IFERROR(__xludf.DUMMYFUNCTION("GOOGLEFINANCE(A1006,""CLOSEYEST"")"),"#N/A")</f>
        <v>#N/A</v>
      </c>
      <c r="H1006" s="14" t="e">
        <f t="shared" ca="1" si="34"/>
        <v>#VALUE!</v>
      </c>
      <c r="I1006" s="15" t="e">
        <f t="shared" ca="1" si="29"/>
        <v>#VALUE!</v>
      </c>
      <c r="J1006" s="16" t="e">
        <f t="shared" ca="1" si="30"/>
        <v>#VALUE!</v>
      </c>
      <c r="K1006" s="16"/>
      <c r="L1006" s="16" t="e">
        <f t="shared" ca="1" si="31"/>
        <v>#VALUE!</v>
      </c>
      <c r="M1006" s="16" t="e">
        <f t="shared" ca="1" si="32"/>
        <v>#VALUE!</v>
      </c>
      <c r="N1006" s="16" t="e">
        <f t="shared" ca="1" si="33"/>
        <v>#VALUE!</v>
      </c>
    </row>
    <row r="1007" spans="1:14" ht="24.75" customHeight="1" x14ac:dyDescent="0.8">
      <c r="A1007" s="18" t="s">
        <v>970</v>
      </c>
      <c r="B1007" s="10">
        <f ca="1">IFERROR(__xludf.DUMMYFUNCTION("GOOGLEFINANCE(A1007,""PRICE"")"),689.4)</f>
        <v>689.4</v>
      </c>
      <c r="C1007" s="11">
        <f ca="1">IFERROR(__xludf.DUMMYFUNCTION("GOOGLEFINANCE(A1007,""PRICEOPEN"")"),672)</f>
        <v>672</v>
      </c>
      <c r="D1007" s="11">
        <f ca="1">IFERROR(__xludf.DUMMYFUNCTION("GOOGLEFINANCE(A1007,""HIGH"")"),711.8)</f>
        <v>711.8</v>
      </c>
      <c r="E1007" s="11">
        <f ca="1">IFERROR(__xludf.DUMMYFUNCTION("GOOGLEFINANCE(A1007,""LOW"")"),662.25)</f>
        <v>662.25</v>
      </c>
      <c r="F1007" s="12" t="str">
        <f t="shared" ca="1" si="28"/>
        <v/>
      </c>
      <c r="G1007" s="13">
        <f ca="1">IFERROR(__xludf.DUMMYFUNCTION("GOOGLEFINANCE(A1007,""CLOSEYEST"")"),670.1)</f>
        <v>670.1</v>
      </c>
      <c r="H1007" s="14" t="str">
        <f t="shared" ca="1" si="34"/>
        <v/>
      </c>
      <c r="I1007" s="15">
        <f t="shared" ca="1" si="29"/>
        <v>681.38333333333333</v>
      </c>
      <c r="J1007" s="16">
        <f t="shared" ca="1" si="30"/>
        <v>700.51666666666665</v>
      </c>
      <c r="K1007" s="16"/>
      <c r="L1007" s="16">
        <f t="shared" ca="1" si="31"/>
        <v>650.9666666666667</v>
      </c>
      <c r="M1007" s="16">
        <f t="shared" ca="1" si="32"/>
        <v>730.93333333333328</v>
      </c>
      <c r="N1007" s="16">
        <f t="shared" ca="1" si="33"/>
        <v>631.83333333333337</v>
      </c>
    </row>
    <row r="1008" spans="1:14" ht="24.75" customHeight="1" x14ac:dyDescent="0.8">
      <c r="A1008" s="18" t="s">
        <v>971</v>
      </c>
      <c r="B1008" s="10">
        <f ca="1">IFERROR(__xludf.DUMMYFUNCTION("GOOGLEFINANCE(A1008,""PRICE"")"),2271.9)</f>
        <v>2271.9</v>
      </c>
      <c r="C1008" s="11">
        <f ca="1">IFERROR(__xludf.DUMMYFUNCTION("GOOGLEFINANCE(A1008,""PRICEOPEN"")"),2263.5)</f>
        <v>2263.5</v>
      </c>
      <c r="D1008" s="11">
        <f ca="1">IFERROR(__xludf.DUMMYFUNCTION("GOOGLEFINANCE(A1008,""HIGH"")"),2281.2)</f>
        <v>2281.1999999999998</v>
      </c>
      <c r="E1008" s="11">
        <f ca="1">IFERROR(__xludf.DUMMYFUNCTION("GOOGLEFINANCE(A1008,""LOW"")"),2250)</f>
        <v>2250</v>
      </c>
      <c r="F1008" s="12" t="str">
        <f t="shared" ca="1" si="28"/>
        <v/>
      </c>
      <c r="G1008" s="13">
        <f ca="1">IFERROR(__xludf.DUMMYFUNCTION("GOOGLEFINANCE(A1008,""CLOSEYEST"")"),2264.8)</f>
        <v>2264.8000000000002</v>
      </c>
      <c r="H1008" s="14" t="str">
        <f t="shared" ca="1" si="34"/>
        <v/>
      </c>
      <c r="I1008" s="15">
        <f t="shared" ca="1" si="29"/>
        <v>2265.3333333333335</v>
      </c>
      <c r="J1008" s="16">
        <f t="shared" ca="1" si="30"/>
        <v>2280.666666666667</v>
      </c>
      <c r="K1008" s="16"/>
      <c r="L1008" s="16">
        <f t="shared" ca="1" si="31"/>
        <v>2249.4666666666672</v>
      </c>
      <c r="M1008" s="16">
        <f t="shared" ca="1" si="32"/>
        <v>2296.5333333333333</v>
      </c>
      <c r="N1008" s="16">
        <f t="shared" ca="1" si="33"/>
        <v>2234.1333333333337</v>
      </c>
    </row>
    <row r="1009" spans="1:14" ht="24.75" customHeight="1" x14ac:dyDescent="0.8">
      <c r="A1009" s="18" t="s">
        <v>972</v>
      </c>
      <c r="B1009" s="10">
        <f ca="1">IFERROR(__xludf.DUMMYFUNCTION("GOOGLEFINANCE(A1009,""PRICE"")"),3294.6)</f>
        <v>3294.6</v>
      </c>
      <c r="C1009" s="11">
        <f ca="1">IFERROR(__xludf.DUMMYFUNCTION("GOOGLEFINANCE(A1009,""PRICEOPEN"")"),3137)</f>
        <v>3137</v>
      </c>
      <c r="D1009" s="11">
        <f ca="1">IFERROR(__xludf.DUMMYFUNCTION("GOOGLEFINANCE(A1009,""HIGH"")"),3294.6)</f>
        <v>3294.6</v>
      </c>
      <c r="E1009" s="11">
        <f ca="1">IFERROR(__xludf.DUMMYFUNCTION("GOOGLEFINANCE(A1009,""LOW"")"),3018.7)</f>
        <v>3018.7</v>
      </c>
      <c r="F1009" s="12" t="str">
        <f t="shared" ca="1" si="28"/>
        <v/>
      </c>
      <c r="G1009" s="13">
        <f ca="1">IFERROR(__xludf.DUMMYFUNCTION("GOOGLEFINANCE(A1009,""CLOSEYEST"")"),3137.8)</f>
        <v>3137.8</v>
      </c>
      <c r="H1009" s="14" t="str">
        <f t="shared" ca="1" si="34"/>
        <v/>
      </c>
      <c r="I1009" s="15">
        <f t="shared" ca="1" si="29"/>
        <v>3150.3666666666663</v>
      </c>
      <c r="J1009" s="16">
        <f t="shared" ca="1" si="30"/>
        <v>3282.0333333333328</v>
      </c>
      <c r="K1009" s="16"/>
      <c r="L1009" s="16">
        <f t="shared" ca="1" si="31"/>
        <v>3006.1333333333328</v>
      </c>
      <c r="M1009" s="16">
        <f t="shared" ca="1" si="32"/>
        <v>3426.2666666666664</v>
      </c>
      <c r="N1009" s="16">
        <f t="shared" ca="1" si="33"/>
        <v>2874.4666666666662</v>
      </c>
    </row>
    <row r="1010" spans="1:14" ht="24.75" customHeight="1" x14ac:dyDescent="0.8">
      <c r="A1010" s="18" t="s">
        <v>973</v>
      </c>
      <c r="B1010" s="10" t="str">
        <f ca="1">IFERROR(__xludf.DUMMYFUNCTION("GOOGLEFINANCE(A1010,""PRICE"")"),"#N/A")</f>
        <v>#N/A</v>
      </c>
      <c r="C1010" s="11" t="str">
        <f ca="1">IFERROR(__xludf.DUMMYFUNCTION("GOOGLEFINANCE(A1010,""PRICEOPEN"")"),"#N/A")</f>
        <v>#N/A</v>
      </c>
      <c r="D1010" s="11" t="str">
        <f ca="1">IFERROR(__xludf.DUMMYFUNCTION("GOOGLEFINANCE(A1010,""HIGH"")"),"#N/A")</f>
        <v>#N/A</v>
      </c>
      <c r="E1010" s="11" t="str">
        <f ca="1">IFERROR(__xludf.DUMMYFUNCTION("GOOGLEFINANCE(A1010,""LOW"")"),"#N/A")</f>
        <v>#N/A</v>
      </c>
      <c r="F1010" s="12" t="str">
        <f t="shared" ca="1" si="28"/>
        <v>SELL</v>
      </c>
      <c r="G1010" s="13" t="str">
        <f ca="1">IFERROR(__xludf.DUMMYFUNCTION("GOOGLEFINANCE(A1010,""CLOSEYEST"")"),"#N/A")</f>
        <v>#N/A</v>
      </c>
      <c r="H1010" s="14" t="e">
        <f t="shared" ca="1" si="34"/>
        <v>#VALUE!</v>
      </c>
      <c r="I1010" s="15" t="e">
        <f t="shared" ca="1" si="29"/>
        <v>#VALUE!</v>
      </c>
      <c r="J1010" s="16" t="e">
        <f t="shared" ca="1" si="30"/>
        <v>#VALUE!</v>
      </c>
      <c r="K1010" s="16"/>
      <c r="L1010" s="16" t="e">
        <f t="shared" ca="1" si="31"/>
        <v>#VALUE!</v>
      </c>
      <c r="M1010" s="16" t="e">
        <f t="shared" ca="1" si="32"/>
        <v>#VALUE!</v>
      </c>
      <c r="N1010" s="16" t="e">
        <f t="shared" ca="1" si="33"/>
        <v>#VALUE!</v>
      </c>
    </row>
    <row r="1011" spans="1:14" ht="24.75" customHeight="1" x14ac:dyDescent="0.8">
      <c r="A1011" s="18" t="s">
        <v>974</v>
      </c>
      <c r="B1011" s="10">
        <f ca="1">IFERROR(__xludf.DUMMYFUNCTION("GOOGLEFINANCE(A1011,""PRICE"")"),83.5)</f>
        <v>83.5</v>
      </c>
      <c r="C1011" s="11">
        <f ca="1">IFERROR(__xludf.DUMMYFUNCTION("GOOGLEFINANCE(A1011,""PRICEOPEN"")"),81.34)</f>
        <v>81.34</v>
      </c>
      <c r="D1011" s="11">
        <f ca="1">IFERROR(__xludf.DUMMYFUNCTION("GOOGLEFINANCE(A1011,""HIGH"")"),83.69)</f>
        <v>83.69</v>
      </c>
      <c r="E1011" s="11">
        <f ca="1">IFERROR(__xludf.DUMMYFUNCTION("GOOGLEFINANCE(A1011,""LOW"")"),80.71)</f>
        <v>80.709999999999994</v>
      </c>
      <c r="F1011" s="12" t="str">
        <f t="shared" ca="1" si="28"/>
        <v/>
      </c>
      <c r="G1011" s="13">
        <f ca="1">IFERROR(__xludf.DUMMYFUNCTION("GOOGLEFINANCE(A1011,""CLOSEYEST"")"),81.34)</f>
        <v>81.34</v>
      </c>
      <c r="H1011" s="14" t="str">
        <f t="shared" ca="1" si="34"/>
        <v/>
      </c>
      <c r="I1011" s="15">
        <f t="shared" ca="1" si="29"/>
        <v>81.913333333333327</v>
      </c>
      <c r="J1011" s="16">
        <f t="shared" ca="1" si="30"/>
        <v>83.11666666666666</v>
      </c>
      <c r="K1011" s="16"/>
      <c r="L1011" s="16">
        <f t="shared" ca="1" si="31"/>
        <v>80.136666666666656</v>
      </c>
      <c r="M1011" s="16">
        <f t="shared" ca="1" si="32"/>
        <v>84.893333333333331</v>
      </c>
      <c r="N1011" s="16">
        <f t="shared" ca="1" si="33"/>
        <v>78.933333333333323</v>
      </c>
    </row>
    <row r="1012" spans="1:14" ht="24.75" customHeight="1" x14ac:dyDescent="0.8">
      <c r="A1012" s="18" t="s">
        <v>975</v>
      </c>
      <c r="B1012" s="10">
        <f ca="1">IFERROR(__xludf.DUMMYFUNCTION("GOOGLEFINANCE(A1012,""PRICE"")"),57.21)</f>
        <v>57.21</v>
      </c>
      <c r="C1012" s="11">
        <f ca="1">IFERROR(__xludf.DUMMYFUNCTION("GOOGLEFINANCE(A1012,""PRICEOPEN"")"),55.11)</f>
        <v>55.11</v>
      </c>
      <c r="D1012" s="11">
        <f ca="1">IFERROR(__xludf.DUMMYFUNCTION("GOOGLEFINANCE(A1012,""HIGH"")"),59)</f>
        <v>59</v>
      </c>
      <c r="E1012" s="11">
        <f ca="1">IFERROR(__xludf.DUMMYFUNCTION("GOOGLEFINANCE(A1012,""LOW"")"),55.1)</f>
        <v>55.1</v>
      </c>
      <c r="F1012" s="12" t="str">
        <f t="shared" ca="1" si="28"/>
        <v/>
      </c>
      <c r="G1012" s="13">
        <f ca="1">IFERROR(__xludf.DUMMYFUNCTION("GOOGLEFINANCE(A1012,""CLOSEYEST"")"),56)</f>
        <v>56</v>
      </c>
      <c r="H1012" s="14" t="str">
        <f t="shared" ca="1" si="34"/>
        <v>GAP DOWN</v>
      </c>
      <c r="I1012" s="15">
        <f t="shared" ca="1" si="29"/>
        <v>56.699999999999996</v>
      </c>
      <c r="J1012" s="16">
        <f t="shared" ca="1" si="30"/>
        <v>58.29999999999999</v>
      </c>
      <c r="K1012" s="16"/>
      <c r="L1012" s="16">
        <f t="shared" ca="1" si="31"/>
        <v>54.399999999999991</v>
      </c>
      <c r="M1012" s="16">
        <f t="shared" ca="1" si="32"/>
        <v>60.599999999999994</v>
      </c>
      <c r="N1012" s="16">
        <f t="shared" ca="1" si="33"/>
        <v>52.8</v>
      </c>
    </row>
    <row r="1013" spans="1:14" ht="24.75" customHeight="1" x14ac:dyDescent="0.8">
      <c r="A1013" s="18" t="s">
        <v>976</v>
      </c>
      <c r="B1013" s="10" t="str">
        <f ca="1">IFERROR(__xludf.DUMMYFUNCTION("GOOGLEFINANCE(A1013,""PRICE"")"),"#N/A")</f>
        <v>#N/A</v>
      </c>
      <c r="C1013" s="11" t="str">
        <f ca="1">IFERROR(__xludf.DUMMYFUNCTION("GOOGLEFINANCE(A1013,""PRICEOPEN"")"),"#N/A")</f>
        <v>#N/A</v>
      </c>
      <c r="D1013" s="11" t="str">
        <f ca="1">IFERROR(__xludf.DUMMYFUNCTION("GOOGLEFINANCE(A1013,""HIGH"")"),"#N/A")</f>
        <v>#N/A</v>
      </c>
      <c r="E1013" s="11" t="str">
        <f ca="1">IFERROR(__xludf.DUMMYFUNCTION("GOOGLEFINANCE(A1013,""LOW"")"),"#N/A")</f>
        <v>#N/A</v>
      </c>
      <c r="F1013" s="12" t="str">
        <f t="shared" ca="1" si="28"/>
        <v>SELL</v>
      </c>
      <c r="G1013" s="13" t="str">
        <f ca="1">IFERROR(__xludf.DUMMYFUNCTION("GOOGLEFINANCE(A1013,""CLOSEYEST"")"),"#N/A")</f>
        <v>#N/A</v>
      </c>
      <c r="H1013" s="14" t="e">
        <f t="shared" ca="1" si="34"/>
        <v>#VALUE!</v>
      </c>
      <c r="I1013" s="15" t="e">
        <f t="shared" ca="1" si="29"/>
        <v>#VALUE!</v>
      </c>
      <c r="J1013" s="16" t="e">
        <f t="shared" ca="1" si="30"/>
        <v>#VALUE!</v>
      </c>
      <c r="K1013" s="16"/>
      <c r="L1013" s="16" t="e">
        <f t="shared" ca="1" si="31"/>
        <v>#VALUE!</v>
      </c>
      <c r="M1013" s="16" t="e">
        <f t="shared" ca="1" si="32"/>
        <v>#VALUE!</v>
      </c>
      <c r="N1013" s="16" t="e">
        <f t="shared" ca="1" si="33"/>
        <v>#VALUE!</v>
      </c>
    </row>
    <row r="1014" spans="1:14" ht="24.75" customHeight="1" x14ac:dyDescent="0.8">
      <c r="A1014" s="18" t="s">
        <v>977</v>
      </c>
      <c r="B1014" s="10">
        <f ca="1">IFERROR(__xludf.DUMMYFUNCTION("GOOGLEFINANCE(A1014,""PRICE"")"),1298)</f>
        <v>1298</v>
      </c>
      <c r="C1014" s="11">
        <f ca="1">IFERROR(__xludf.DUMMYFUNCTION("GOOGLEFINANCE(A1014,""PRICEOPEN"")"),1314.8)</f>
        <v>1314.8</v>
      </c>
      <c r="D1014" s="11">
        <f ca="1">IFERROR(__xludf.DUMMYFUNCTION("GOOGLEFINANCE(A1014,""HIGH"")"),1349)</f>
        <v>1349</v>
      </c>
      <c r="E1014" s="11">
        <f ca="1">IFERROR(__xludf.DUMMYFUNCTION("GOOGLEFINANCE(A1014,""LOW"")"),1286.7)</f>
        <v>1286.7</v>
      </c>
      <c r="F1014" s="12" t="str">
        <f t="shared" ca="1" si="28"/>
        <v/>
      </c>
      <c r="G1014" s="13">
        <f ca="1">IFERROR(__xludf.DUMMYFUNCTION("GOOGLEFINANCE(A1014,""CLOSEYEST"")"),1306.7)</f>
        <v>1306.7</v>
      </c>
      <c r="H1014" s="14" t="str">
        <f t="shared" ca="1" si="34"/>
        <v/>
      </c>
      <c r="I1014" s="15">
        <f t="shared" ca="1" si="29"/>
        <v>1314.1333333333332</v>
      </c>
      <c r="J1014" s="16">
        <f t="shared" ca="1" si="30"/>
        <v>1341.5666666666664</v>
      </c>
      <c r="K1014" s="16"/>
      <c r="L1014" s="16">
        <f t="shared" ca="1" si="31"/>
        <v>1279.2666666666664</v>
      </c>
      <c r="M1014" s="16">
        <f t="shared" ca="1" si="32"/>
        <v>1376.4333333333332</v>
      </c>
      <c r="N1014" s="16">
        <f t="shared" ca="1" si="33"/>
        <v>1251.8333333333333</v>
      </c>
    </row>
    <row r="1015" spans="1:14" ht="24.75" customHeight="1" x14ac:dyDescent="0.8">
      <c r="A1015" s="18" t="s">
        <v>978</v>
      </c>
      <c r="B1015" s="10">
        <f ca="1">IFERROR(__xludf.DUMMYFUNCTION("GOOGLEFINANCE(A1015,""PRICE"")"),1520)</f>
        <v>1520</v>
      </c>
      <c r="C1015" s="11">
        <f ca="1">IFERROR(__xludf.DUMMYFUNCTION("GOOGLEFINANCE(A1015,""PRICEOPEN"")"),1438.8)</f>
        <v>1438.8</v>
      </c>
      <c r="D1015" s="11">
        <f ca="1">IFERROR(__xludf.DUMMYFUNCTION("GOOGLEFINANCE(A1015,""HIGH"")"),1521)</f>
        <v>1521</v>
      </c>
      <c r="E1015" s="11">
        <f ca="1">IFERROR(__xludf.DUMMYFUNCTION("GOOGLEFINANCE(A1015,""LOW"")"),1434.7)</f>
        <v>1434.7</v>
      </c>
      <c r="F1015" s="12" t="str">
        <f t="shared" ca="1" si="28"/>
        <v/>
      </c>
      <c r="G1015" s="13">
        <f ca="1">IFERROR(__xludf.DUMMYFUNCTION("GOOGLEFINANCE(A1015,""CLOSEYEST"")"),1438.8)</f>
        <v>1438.8</v>
      </c>
      <c r="H1015" s="14" t="str">
        <f t="shared" ca="1" si="34"/>
        <v/>
      </c>
      <c r="I1015" s="15">
        <f t="shared" ca="1" si="29"/>
        <v>1464.8333333333333</v>
      </c>
      <c r="J1015" s="16">
        <f t="shared" ca="1" si="30"/>
        <v>1494.9666666666665</v>
      </c>
      <c r="K1015" s="16"/>
      <c r="L1015" s="16">
        <f t="shared" ca="1" si="31"/>
        <v>1408.6666666666665</v>
      </c>
      <c r="M1015" s="16">
        <f t="shared" ca="1" si="32"/>
        <v>1551.1333333333332</v>
      </c>
      <c r="N1015" s="16">
        <f t="shared" ca="1" si="33"/>
        <v>1378.5333333333333</v>
      </c>
    </row>
    <row r="1016" spans="1:14" ht="24.75" customHeight="1" x14ac:dyDescent="0.8">
      <c r="A1016" s="18" t="s">
        <v>979</v>
      </c>
      <c r="B1016" s="10">
        <f ca="1">IFERROR(__xludf.DUMMYFUNCTION("GOOGLEFINANCE(A1016,""PRICE"")"),13.67)</f>
        <v>13.67</v>
      </c>
      <c r="C1016" s="11">
        <f ca="1">IFERROR(__xludf.DUMMYFUNCTION("GOOGLEFINANCE(A1016,""PRICEOPEN"")"),13.2)</f>
        <v>13.2</v>
      </c>
      <c r="D1016" s="11">
        <f ca="1">IFERROR(__xludf.DUMMYFUNCTION("GOOGLEFINANCE(A1016,""HIGH"")"),13.67)</f>
        <v>13.67</v>
      </c>
      <c r="E1016" s="11">
        <f ca="1">IFERROR(__xludf.DUMMYFUNCTION("GOOGLEFINANCE(A1016,""LOW"")"),13)</f>
        <v>13</v>
      </c>
      <c r="F1016" s="12" t="str">
        <f t="shared" ca="1" si="28"/>
        <v/>
      </c>
      <c r="G1016" s="13">
        <f ca="1">IFERROR(__xludf.DUMMYFUNCTION("GOOGLEFINANCE(A1016,""CLOSEYEST"")"),13.02)</f>
        <v>13.02</v>
      </c>
      <c r="H1016" s="14" t="str">
        <f t="shared" ca="1" si="34"/>
        <v>GAP UP</v>
      </c>
      <c r="I1016" s="15">
        <f t="shared" ca="1" si="29"/>
        <v>13.229999999999999</v>
      </c>
      <c r="J1016" s="16">
        <f t="shared" ca="1" si="30"/>
        <v>13.459999999999997</v>
      </c>
      <c r="K1016" s="16"/>
      <c r="L1016" s="16">
        <f t="shared" ca="1" si="31"/>
        <v>12.789999999999997</v>
      </c>
      <c r="M1016" s="16">
        <f t="shared" ca="1" si="32"/>
        <v>13.899999999999999</v>
      </c>
      <c r="N1016" s="16">
        <f t="shared" ca="1" si="33"/>
        <v>12.559999999999999</v>
      </c>
    </row>
    <row r="1017" spans="1:14" ht="24.75" customHeight="1" x14ac:dyDescent="0.8">
      <c r="A1017" s="18" t="s">
        <v>980</v>
      </c>
      <c r="B1017" s="10" t="str">
        <f ca="1">IFERROR(__xludf.DUMMYFUNCTION("GOOGLEFINANCE(A1017,""PRICE"")"),"#N/A")</f>
        <v>#N/A</v>
      </c>
      <c r="C1017" s="11" t="str">
        <f ca="1">IFERROR(__xludf.DUMMYFUNCTION("GOOGLEFINANCE(A1017,""PRICEOPEN"")"),"#N/A")</f>
        <v>#N/A</v>
      </c>
      <c r="D1017" s="11" t="str">
        <f ca="1">IFERROR(__xludf.DUMMYFUNCTION("GOOGLEFINANCE(A1017,""HIGH"")"),"#N/A")</f>
        <v>#N/A</v>
      </c>
      <c r="E1017" s="11" t="str">
        <f ca="1">IFERROR(__xludf.DUMMYFUNCTION("GOOGLEFINANCE(A1017,""LOW"")"),"#N/A")</f>
        <v>#N/A</v>
      </c>
      <c r="F1017" s="12" t="str">
        <f t="shared" ca="1" si="28"/>
        <v>SELL</v>
      </c>
      <c r="G1017" s="13" t="str">
        <f ca="1">IFERROR(__xludf.DUMMYFUNCTION("GOOGLEFINANCE(A1017,""CLOSEYEST"")"),"#N/A")</f>
        <v>#N/A</v>
      </c>
      <c r="H1017" s="14" t="e">
        <f t="shared" ca="1" si="34"/>
        <v>#VALUE!</v>
      </c>
      <c r="I1017" s="15" t="e">
        <f t="shared" ca="1" si="29"/>
        <v>#VALUE!</v>
      </c>
      <c r="J1017" s="16" t="e">
        <f t="shared" ca="1" si="30"/>
        <v>#VALUE!</v>
      </c>
      <c r="K1017" s="16"/>
      <c r="L1017" s="16" t="e">
        <f t="shared" ca="1" si="31"/>
        <v>#VALUE!</v>
      </c>
      <c r="M1017" s="16" t="e">
        <f t="shared" ca="1" si="32"/>
        <v>#VALUE!</v>
      </c>
      <c r="N1017" s="16" t="e">
        <f t="shared" ca="1" si="33"/>
        <v>#VALUE!</v>
      </c>
    </row>
    <row r="1018" spans="1:14" ht="24.75" customHeight="1" x14ac:dyDescent="0.8">
      <c r="A1018" s="18" t="s">
        <v>981</v>
      </c>
      <c r="B1018" s="10">
        <f ca="1">IFERROR(__xludf.DUMMYFUNCTION("GOOGLEFINANCE(A1018,""PRICE"")"),15.14)</f>
        <v>15.14</v>
      </c>
      <c r="C1018" s="11">
        <f ca="1">IFERROR(__xludf.DUMMYFUNCTION("GOOGLEFINANCE(A1018,""PRICEOPEN"")"),14.8)</f>
        <v>14.8</v>
      </c>
      <c r="D1018" s="11">
        <f ca="1">IFERROR(__xludf.DUMMYFUNCTION("GOOGLEFINANCE(A1018,""HIGH"")"),15.15)</f>
        <v>15.15</v>
      </c>
      <c r="E1018" s="11">
        <f ca="1">IFERROR(__xludf.DUMMYFUNCTION("GOOGLEFINANCE(A1018,""LOW"")"),14.73)</f>
        <v>14.73</v>
      </c>
      <c r="F1018" s="12" t="str">
        <f t="shared" ca="1" si="28"/>
        <v/>
      </c>
      <c r="G1018" s="13">
        <f ca="1">IFERROR(__xludf.DUMMYFUNCTION("GOOGLEFINANCE(A1018,""CLOSEYEST"")"),14.89)</f>
        <v>14.89</v>
      </c>
      <c r="H1018" s="14" t="str">
        <f t="shared" ca="1" si="34"/>
        <v/>
      </c>
      <c r="I1018" s="15">
        <f t="shared" ca="1" si="29"/>
        <v>14.923333333333334</v>
      </c>
      <c r="J1018" s="16">
        <f t="shared" ca="1" si="30"/>
        <v>15.116666666666667</v>
      </c>
      <c r="K1018" s="16"/>
      <c r="L1018" s="16">
        <f t="shared" ca="1" si="31"/>
        <v>14.696666666666667</v>
      </c>
      <c r="M1018" s="16">
        <f t="shared" ca="1" si="32"/>
        <v>15.343333333333334</v>
      </c>
      <c r="N1018" s="16">
        <f t="shared" ca="1" si="33"/>
        <v>14.503333333333334</v>
      </c>
    </row>
    <row r="1019" spans="1:14" ht="24.75" customHeight="1" x14ac:dyDescent="0.8">
      <c r="A1019" s="18" t="s">
        <v>982</v>
      </c>
      <c r="B1019" s="10">
        <f ca="1">IFERROR(__xludf.DUMMYFUNCTION("GOOGLEFINANCE(A1019,""PRICE"")"),641.25)</f>
        <v>641.25</v>
      </c>
      <c r="C1019" s="11">
        <f ca="1">IFERROR(__xludf.DUMMYFUNCTION("GOOGLEFINANCE(A1019,""PRICEOPEN"")"),630.05)</f>
        <v>630.04999999999995</v>
      </c>
      <c r="D1019" s="11">
        <f ca="1">IFERROR(__xludf.DUMMYFUNCTION("GOOGLEFINANCE(A1019,""HIGH"")"),648)</f>
        <v>648</v>
      </c>
      <c r="E1019" s="11">
        <f ca="1">IFERROR(__xludf.DUMMYFUNCTION("GOOGLEFINANCE(A1019,""LOW"")"),621.05)</f>
        <v>621.04999999999995</v>
      </c>
      <c r="F1019" s="12" t="str">
        <f t="shared" ca="1" si="28"/>
        <v/>
      </c>
      <c r="G1019" s="13">
        <f ca="1">IFERROR(__xludf.DUMMYFUNCTION("GOOGLEFINANCE(A1019,""CLOSEYEST"")"),625.75)</f>
        <v>625.75</v>
      </c>
      <c r="H1019" s="14" t="str">
        <f t="shared" ca="1" si="34"/>
        <v/>
      </c>
      <c r="I1019" s="15">
        <f t="shared" ca="1" si="29"/>
        <v>631.6</v>
      </c>
      <c r="J1019" s="16">
        <f t="shared" ca="1" si="30"/>
        <v>642.15000000000009</v>
      </c>
      <c r="K1019" s="16"/>
      <c r="L1019" s="16">
        <f t="shared" ca="1" si="31"/>
        <v>615.20000000000005</v>
      </c>
      <c r="M1019" s="16">
        <f t="shared" ca="1" si="32"/>
        <v>658.55000000000007</v>
      </c>
      <c r="N1019" s="16">
        <f t="shared" ca="1" si="33"/>
        <v>604.65</v>
      </c>
    </row>
    <row r="1020" spans="1:14" ht="24.75" customHeight="1" x14ac:dyDescent="0.8">
      <c r="A1020" s="18" t="s">
        <v>983</v>
      </c>
      <c r="B1020" s="10">
        <f ca="1">IFERROR(__xludf.DUMMYFUNCTION("GOOGLEFINANCE(A1020,""PRICE"")"),133)</f>
        <v>133</v>
      </c>
      <c r="C1020" s="11">
        <f ca="1">IFERROR(__xludf.DUMMYFUNCTION("GOOGLEFINANCE(A1020,""PRICEOPEN"")"),134.36)</f>
        <v>134.36000000000001</v>
      </c>
      <c r="D1020" s="11">
        <f ca="1">IFERROR(__xludf.DUMMYFUNCTION("GOOGLEFINANCE(A1020,""HIGH"")"),136.05)</f>
        <v>136.05000000000001</v>
      </c>
      <c r="E1020" s="11">
        <f ca="1">IFERROR(__xludf.DUMMYFUNCTION("GOOGLEFINANCE(A1020,""LOW"")"),132)</f>
        <v>132</v>
      </c>
      <c r="F1020" s="12" t="str">
        <f t="shared" ca="1" si="28"/>
        <v/>
      </c>
      <c r="G1020" s="13">
        <f ca="1">IFERROR(__xludf.DUMMYFUNCTION("GOOGLEFINANCE(A1020,""CLOSEYEST"")"),133.88)</f>
        <v>133.88</v>
      </c>
      <c r="H1020" s="14" t="str">
        <f t="shared" ca="1" si="34"/>
        <v/>
      </c>
      <c r="I1020" s="15">
        <f t="shared" ca="1" si="29"/>
        <v>133.97666666666666</v>
      </c>
      <c r="J1020" s="16">
        <f t="shared" ca="1" si="30"/>
        <v>135.95333333333332</v>
      </c>
      <c r="K1020" s="16"/>
      <c r="L1020" s="16">
        <f t="shared" ca="1" si="31"/>
        <v>131.90333333333331</v>
      </c>
      <c r="M1020" s="16">
        <f t="shared" ca="1" si="32"/>
        <v>138.02666666666667</v>
      </c>
      <c r="N1020" s="16">
        <f t="shared" ca="1" si="33"/>
        <v>129.92666666666665</v>
      </c>
    </row>
    <row r="1021" spans="1:14" ht="24.75" customHeight="1" x14ac:dyDescent="0.8">
      <c r="A1021" s="18" t="s">
        <v>984</v>
      </c>
      <c r="B1021" s="10">
        <f ca="1">IFERROR(__xludf.DUMMYFUNCTION("GOOGLEFINANCE(A1021,""PRICE"")"),551.85)</f>
        <v>551.85</v>
      </c>
      <c r="C1021" s="11">
        <f ca="1">IFERROR(__xludf.DUMMYFUNCTION("GOOGLEFINANCE(A1021,""PRICEOPEN"")"),554.95)</f>
        <v>554.95000000000005</v>
      </c>
      <c r="D1021" s="11">
        <f ca="1">IFERROR(__xludf.DUMMYFUNCTION("GOOGLEFINANCE(A1021,""HIGH"")"),559.4)</f>
        <v>559.4</v>
      </c>
      <c r="E1021" s="11">
        <f ca="1">IFERROR(__xludf.DUMMYFUNCTION("GOOGLEFINANCE(A1021,""LOW"")"),541.35)</f>
        <v>541.35</v>
      </c>
      <c r="F1021" s="12" t="str">
        <f t="shared" ca="1" si="28"/>
        <v/>
      </c>
      <c r="G1021" s="13">
        <f ca="1">IFERROR(__xludf.DUMMYFUNCTION("GOOGLEFINANCE(A1021,""CLOSEYEST"")"),552.45)</f>
        <v>552.45000000000005</v>
      </c>
      <c r="H1021" s="14" t="str">
        <f t="shared" ca="1" si="34"/>
        <v/>
      </c>
      <c r="I1021" s="15">
        <f t="shared" ca="1" si="29"/>
        <v>551.06666666666672</v>
      </c>
      <c r="J1021" s="16">
        <f t="shared" ca="1" si="30"/>
        <v>560.78333333333342</v>
      </c>
      <c r="K1021" s="16"/>
      <c r="L1021" s="16">
        <f t="shared" ca="1" si="31"/>
        <v>542.73333333333346</v>
      </c>
      <c r="M1021" s="16">
        <f t="shared" ca="1" si="32"/>
        <v>569.11666666666667</v>
      </c>
      <c r="N1021" s="16">
        <f t="shared" ca="1" si="33"/>
        <v>533.01666666666677</v>
      </c>
    </row>
    <row r="1022" spans="1:14" ht="24.75" customHeight="1" x14ac:dyDescent="0.8">
      <c r="A1022" s="18" t="s">
        <v>985</v>
      </c>
      <c r="B1022" s="10">
        <f ca="1">IFERROR(__xludf.DUMMYFUNCTION("GOOGLEFINANCE(A1022,""PRICE"")"),5578)</f>
        <v>5578</v>
      </c>
      <c r="C1022" s="11">
        <f ca="1">IFERROR(__xludf.DUMMYFUNCTION("GOOGLEFINANCE(A1022,""PRICEOPEN"")"),5549)</f>
        <v>5549</v>
      </c>
      <c r="D1022" s="11">
        <f ca="1">IFERROR(__xludf.DUMMYFUNCTION("GOOGLEFINANCE(A1022,""HIGH"")"),5675)</f>
        <v>5675</v>
      </c>
      <c r="E1022" s="11">
        <f ca="1">IFERROR(__xludf.DUMMYFUNCTION("GOOGLEFINANCE(A1022,""LOW"")"),5426)</f>
        <v>5426</v>
      </c>
      <c r="F1022" s="12" t="str">
        <f t="shared" ca="1" si="28"/>
        <v/>
      </c>
      <c r="G1022" s="13">
        <f ca="1">IFERROR(__xludf.DUMMYFUNCTION("GOOGLEFINANCE(A1022,""CLOSEYEST"")"),5514)</f>
        <v>5514</v>
      </c>
      <c r="H1022" s="14" t="str">
        <f t="shared" ca="1" si="34"/>
        <v/>
      </c>
      <c r="I1022" s="15">
        <f t="shared" ca="1" si="29"/>
        <v>5538.333333333333</v>
      </c>
      <c r="J1022" s="16">
        <f t="shared" ca="1" si="30"/>
        <v>5650.6666666666661</v>
      </c>
      <c r="K1022" s="16"/>
      <c r="L1022" s="16">
        <f t="shared" ca="1" si="31"/>
        <v>5401.6666666666661</v>
      </c>
      <c r="M1022" s="16">
        <f t="shared" ca="1" si="32"/>
        <v>5787.333333333333</v>
      </c>
      <c r="N1022" s="16">
        <f t="shared" ca="1" si="33"/>
        <v>5289.333333333333</v>
      </c>
    </row>
    <row r="1023" spans="1:14" ht="24.75" customHeight="1" x14ac:dyDescent="0.8">
      <c r="A1023" s="18" t="s">
        <v>986</v>
      </c>
      <c r="B1023" s="10">
        <f ca="1">IFERROR(__xludf.DUMMYFUNCTION("GOOGLEFINANCE(A1023,""PRICE"")"),331.2)</f>
        <v>331.2</v>
      </c>
      <c r="C1023" s="11">
        <f ca="1">IFERROR(__xludf.DUMMYFUNCTION("GOOGLEFINANCE(A1023,""PRICEOPEN"")"),328)</f>
        <v>328</v>
      </c>
      <c r="D1023" s="11">
        <f ca="1">IFERROR(__xludf.DUMMYFUNCTION("GOOGLEFINANCE(A1023,""HIGH"")"),333.45)</f>
        <v>333.45</v>
      </c>
      <c r="E1023" s="11">
        <f ca="1">IFERROR(__xludf.DUMMYFUNCTION("GOOGLEFINANCE(A1023,""LOW"")"),327.75)</f>
        <v>327.75</v>
      </c>
      <c r="F1023" s="12" t="str">
        <f t="shared" ca="1" si="28"/>
        <v/>
      </c>
      <c r="G1023" s="13">
        <f ca="1">IFERROR(__xludf.DUMMYFUNCTION("GOOGLEFINANCE(A1023,""CLOSEYEST"")"),327.6)</f>
        <v>327.60000000000002</v>
      </c>
      <c r="H1023" s="14" t="str">
        <f t="shared" ca="1" si="34"/>
        <v/>
      </c>
      <c r="I1023" s="15">
        <f t="shared" ca="1" si="29"/>
        <v>329.6</v>
      </c>
      <c r="J1023" s="16">
        <f t="shared" ca="1" si="30"/>
        <v>331.45000000000005</v>
      </c>
      <c r="K1023" s="16"/>
      <c r="L1023" s="16">
        <f t="shared" ca="1" si="31"/>
        <v>325.75000000000006</v>
      </c>
      <c r="M1023" s="16">
        <f t="shared" ca="1" si="32"/>
        <v>335.3</v>
      </c>
      <c r="N1023" s="16">
        <f t="shared" ca="1" si="33"/>
        <v>323.90000000000003</v>
      </c>
    </row>
    <row r="1024" spans="1:14" ht="24.75" customHeight="1" x14ac:dyDescent="0.8">
      <c r="A1024" s="18" t="s">
        <v>987</v>
      </c>
      <c r="B1024" s="10">
        <f ca="1">IFERROR(__xludf.DUMMYFUNCTION("GOOGLEFINANCE(A1024,""PRICE"")"),978.5)</f>
        <v>978.5</v>
      </c>
      <c r="C1024" s="11">
        <f ca="1">IFERROR(__xludf.DUMMYFUNCTION("GOOGLEFINANCE(A1024,""PRICEOPEN"")"),951.85)</f>
        <v>951.85</v>
      </c>
      <c r="D1024" s="11">
        <f ca="1">IFERROR(__xludf.DUMMYFUNCTION("GOOGLEFINANCE(A1024,""HIGH"")"),982.3)</f>
        <v>982.3</v>
      </c>
      <c r="E1024" s="11">
        <f ca="1">IFERROR(__xludf.DUMMYFUNCTION("GOOGLEFINANCE(A1024,""LOW"")"),949.75)</f>
        <v>949.75</v>
      </c>
      <c r="F1024" s="12" t="str">
        <f t="shared" ca="1" si="28"/>
        <v/>
      </c>
      <c r="G1024" s="13">
        <f ca="1">IFERROR(__xludf.DUMMYFUNCTION("GOOGLEFINANCE(A1024,""CLOSEYEST"")"),951.85)</f>
        <v>951.85</v>
      </c>
      <c r="H1024" s="14" t="str">
        <f t="shared" ca="1" si="34"/>
        <v/>
      </c>
      <c r="I1024" s="15">
        <f t="shared" ca="1" si="29"/>
        <v>961.30000000000007</v>
      </c>
      <c r="J1024" s="16">
        <f t="shared" ca="1" si="30"/>
        <v>972.85000000000014</v>
      </c>
      <c r="K1024" s="16"/>
      <c r="L1024" s="16">
        <f t="shared" ca="1" si="31"/>
        <v>940.30000000000018</v>
      </c>
      <c r="M1024" s="16">
        <f t="shared" ca="1" si="32"/>
        <v>993.85</v>
      </c>
      <c r="N1024" s="16">
        <f t="shared" ca="1" si="33"/>
        <v>928.75000000000011</v>
      </c>
    </row>
    <row r="1025" spans="1:14" ht="24.75" customHeight="1" x14ac:dyDescent="0.8">
      <c r="A1025" s="18" t="s">
        <v>988</v>
      </c>
      <c r="B1025" s="10">
        <f ca="1">IFERROR(__xludf.DUMMYFUNCTION("GOOGLEFINANCE(A1025,""PRICE"")"),41.4)</f>
        <v>41.4</v>
      </c>
      <c r="C1025" s="11">
        <f ca="1">IFERROR(__xludf.DUMMYFUNCTION("GOOGLEFINANCE(A1025,""PRICEOPEN"")"),41.81)</f>
        <v>41.81</v>
      </c>
      <c r="D1025" s="11">
        <f ca="1">IFERROR(__xludf.DUMMYFUNCTION("GOOGLEFINANCE(A1025,""HIGH"")"),42.08)</f>
        <v>42.08</v>
      </c>
      <c r="E1025" s="11">
        <f ca="1">IFERROR(__xludf.DUMMYFUNCTION("GOOGLEFINANCE(A1025,""LOW"")"),41.26)</f>
        <v>41.26</v>
      </c>
      <c r="F1025" s="12" t="str">
        <f t="shared" ca="1" si="28"/>
        <v/>
      </c>
      <c r="G1025" s="13">
        <f ca="1">IFERROR(__xludf.DUMMYFUNCTION("GOOGLEFINANCE(A1025,""CLOSEYEST"")"),41.8)</f>
        <v>41.8</v>
      </c>
      <c r="H1025" s="14" t="str">
        <f t="shared" ca="1" si="34"/>
        <v/>
      </c>
      <c r="I1025" s="15">
        <f t="shared" ca="1" si="29"/>
        <v>41.713333333333331</v>
      </c>
      <c r="J1025" s="16">
        <f t="shared" ca="1" si="30"/>
        <v>42.166666666666664</v>
      </c>
      <c r="K1025" s="16"/>
      <c r="L1025" s="16">
        <f t="shared" ca="1" si="31"/>
        <v>41.346666666666664</v>
      </c>
      <c r="M1025" s="16">
        <f t="shared" ca="1" si="32"/>
        <v>42.533333333333331</v>
      </c>
      <c r="N1025" s="16">
        <f t="shared" ca="1" si="33"/>
        <v>40.893333333333331</v>
      </c>
    </row>
    <row r="1026" spans="1:14" ht="24.75" customHeight="1" x14ac:dyDescent="0.8">
      <c r="A1026" s="18" t="s">
        <v>989</v>
      </c>
      <c r="B1026" s="10">
        <f ca="1">IFERROR(__xludf.DUMMYFUNCTION("GOOGLEFINANCE(A1026,""PRICE"")"),712)</f>
        <v>712</v>
      </c>
      <c r="C1026" s="11">
        <f ca="1">IFERROR(__xludf.DUMMYFUNCTION("GOOGLEFINANCE(A1026,""PRICEOPEN"")"),681.3)</f>
        <v>681.3</v>
      </c>
      <c r="D1026" s="11">
        <f ca="1">IFERROR(__xludf.DUMMYFUNCTION("GOOGLEFINANCE(A1026,""HIGH"")"),724)</f>
        <v>724</v>
      </c>
      <c r="E1026" s="11">
        <f ca="1">IFERROR(__xludf.DUMMYFUNCTION("GOOGLEFINANCE(A1026,""LOW"")"),680.85)</f>
        <v>680.85</v>
      </c>
      <c r="F1026" s="12" t="str">
        <f t="shared" ca="1" si="28"/>
        <v/>
      </c>
      <c r="G1026" s="13">
        <f ca="1">IFERROR(__xludf.DUMMYFUNCTION("GOOGLEFINANCE(A1026,""CLOSEYEST"")"),683.35)</f>
        <v>683.35</v>
      </c>
      <c r="H1026" s="14" t="str">
        <f t="shared" ca="1" si="34"/>
        <v/>
      </c>
      <c r="I1026" s="15">
        <f t="shared" ca="1" si="29"/>
        <v>696.06666666666661</v>
      </c>
      <c r="J1026" s="16">
        <f t="shared" ca="1" si="30"/>
        <v>711.28333333333319</v>
      </c>
      <c r="K1026" s="16"/>
      <c r="L1026" s="16">
        <f t="shared" ca="1" si="31"/>
        <v>668.13333333333321</v>
      </c>
      <c r="M1026" s="16">
        <f t="shared" ca="1" si="32"/>
        <v>739.21666666666658</v>
      </c>
      <c r="N1026" s="16">
        <f t="shared" ca="1" si="33"/>
        <v>652.91666666666663</v>
      </c>
    </row>
    <row r="1027" spans="1:14" ht="24.75" customHeight="1" x14ac:dyDescent="0.8">
      <c r="A1027" s="18" t="s">
        <v>990</v>
      </c>
      <c r="B1027" s="10">
        <f ca="1">IFERROR(__xludf.DUMMYFUNCTION("GOOGLEFINANCE(A1027,""PRICE"")"),1458)</f>
        <v>1458</v>
      </c>
      <c r="C1027" s="11">
        <f ca="1">IFERROR(__xludf.DUMMYFUNCTION("GOOGLEFINANCE(A1027,""PRICEOPEN"")"),1432)</f>
        <v>1432</v>
      </c>
      <c r="D1027" s="11">
        <f ca="1">IFERROR(__xludf.DUMMYFUNCTION("GOOGLEFINANCE(A1027,""HIGH"")"),1459.9)</f>
        <v>1459.9</v>
      </c>
      <c r="E1027" s="11">
        <f ca="1">IFERROR(__xludf.DUMMYFUNCTION("GOOGLEFINANCE(A1027,""LOW"")"),1426.8)</f>
        <v>1426.8</v>
      </c>
      <c r="F1027" s="12" t="str">
        <f t="shared" ca="1" si="28"/>
        <v/>
      </c>
      <c r="G1027" s="13">
        <f ca="1">IFERROR(__xludf.DUMMYFUNCTION("GOOGLEFINANCE(A1027,""CLOSEYEST"")"),1424.9)</f>
        <v>1424.9</v>
      </c>
      <c r="H1027" s="14" t="str">
        <f t="shared" ca="1" si="34"/>
        <v/>
      </c>
      <c r="I1027" s="15">
        <f t="shared" ca="1" si="29"/>
        <v>1437.2</v>
      </c>
      <c r="J1027" s="16">
        <f t="shared" ca="1" si="30"/>
        <v>1447.6000000000001</v>
      </c>
      <c r="K1027" s="16"/>
      <c r="L1027" s="16">
        <f t="shared" ca="1" si="31"/>
        <v>1414.5</v>
      </c>
      <c r="M1027" s="16">
        <f t="shared" ca="1" si="32"/>
        <v>1470.3000000000002</v>
      </c>
      <c r="N1027" s="16">
        <f t="shared" ca="1" si="33"/>
        <v>1404.1</v>
      </c>
    </row>
    <row r="1028" spans="1:14" ht="24.75" customHeight="1" x14ac:dyDescent="0.8">
      <c r="A1028" s="18" t="s">
        <v>991</v>
      </c>
      <c r="B1028" s="10">
        <f ca="1">IFERROR(__xludf.DUMMYFUNCTION("GOOGLEFINANCE(A1028,""PRICE"")"),738.65)</f>
        <v>738.65</v>
      </c>
      <c r="C1028" s="11">
        <f ca="1">IFERROR(__xludf.DUMMYFUNCTION("GOOGLEFINANCE(A1028,""PRICEOPEN"")"),716.9)</f>
        <v>716.9</v>
      </c>
      <c r="D1028" s="11">
        <f ca="1">IFERROR(__xludf.DUMMYFUNCTION("GOOGLEFINANCE(A1028,""HIGH"")"),744.9)</f>
        <v>744.9</v>
      </c>
      <c r="E1028" s="11">
        <f ca="1">IFERROR(__xludf.DUMMYFUNCTION("GOOGLEFINANCE(A1028,""LOW"")"),710.4)</f>
        <v>710.4</v>
      </c>
      <c r="F1028" s="12" t="str">
        <f t="shared" ca="1" si="28"/>
        <v/>
      </c>
      <c r="G1028" s="13">
        <f ca="1">IFERROR(__xludf.DUMMYFUNCTION("GOOGLEFINANCE(A1028,""CLOSEYEST"")"),715.2)</f>
        <v>715.2</v>
      </c>
      <c r="H1028" s="14" t="str">
        <f t="shared" ca="1" si="34"/>
        <v/>
      </c>
      <c r="I1028" s="15">
        <f t="shared" ca="1" si="29"/>
        <v>723.5</v>
      </c>
      <c r="J1028" s="16">
        <f t="shared" ca="1" si="30"/>
        <v>736.6</v>
      </c>
      <c r="K1028" s="16"/>
      <c r="L1028" s="16">
        <f t="shared" ca="1" si="31"/>
        <v>702.1</v>
      </c>
      <c r="M1028" s="16">
        <f t="shared" ca="1" si="32"/>
        <v>758</v>
      </c>
      <c r="N1028" s="16">
        <f t="shared" ca="1" si="33"/>
        <v>689</v>
      </c>
    </row>
    <row r="1029" spans="1:14" ht="24.75" customHeight="1" x14ac:dyDescent="0.8">
      <c r="A1029" s="18" t="s">
        <v>992</v>
      </c>
      <c r="B1029" s="10" t="str">
        <f ca="1">IFERROR(__xludf.DUMMYFUNCTION("GOOGLEFINANCE(A1029,""PRICE"")"),"#N/A")</f>
        <v>#N/A</v>
      </c>
      <c r="C1029" s="11" t="str">
        <f ca="1">IFERROR(__xludf.DUMMYFUNCTION("GOOGLEFINANCE(A1029,""PRICEOPEN"")"),"#N/A")</f>
        <v>#N/A</v>
      </c>
      <c r="D1029" s="11" t="str">
        <f ca="1">IFERROR(__xludf.DUMMYFUNCTION("GOOGLEFINANCE(A1029,""HIGH"")"),"#N/A")</f>
        <v>#N/A</v>
      </c>
      <c r="E1029" s="11" t="str">
        <f ca="1">IFERROR(__xludf.DUMMYFUNCTION("GOOGLEFINANCE(A1029,""LOW"")"),"#N/A")</f>
        <v>#N/A</v>
      </c>
      <c r="F1029" s="12" t="str">
        <f t="shared" ca="1" si="28"/>
        <v>SELL</v>
      </c>
      <c r="G1029" s="13" t="str">
        <f ca="1">IFERROR(__xludf.DUMMYFUNCTION("GOOGLEFINANCE(A1029,""CLOSEYEST"")"),"#N/A")</f>
        <v>#N/A</v>
      </c>
      <c r="H1029" s="14" t="e">
        <f t="shared" ca="1" si="34"/>
        <v>#VALUE!</v>
      </c>
      <c r="I1029" s="15" t="e">
        <f t="shared" ca="1" si="29"/>
        <v>#VALUE!</v>
      </c>
      <c r="J1029" s="16" t="e">
        <f t="shared" ca="1" si="30"/>
        <v>#VALUE!</v>
      </c>
      <c r="K1029" s="16"/>
      <c r="L1029" s="16" t="e">
        <f t="shared" ca="1" si="31"/>
        <v>#VALUE!</v>
      </c>
      <c r="M1029" s="16" t="e">
        <f t="shared" ca="1" si="32"/>
        <v>#VALUE!</v>
      </c>
      <c r="N1029" s="16" t="e">
        <f t="shared" ca="1" si="33"/>
        <v>#VALUE!</v>
      </c>
    </row>
    <row r="1030" spans="1:14" ht="24.75" customHeight="1" x14ac:dyDescent="0.8">
      <c r="A1030" s="18" t="s">
        <v>993</v>
      </c>
      <c r="B1030" s="10">
        <f ca="1">IFERROR(__xludf.DUMMYFUNCTION("GOOGLEFINANCE(A1030,""PRICE"")"),5.09)</f>
        <v>5.09</v>
      </c>
      <c r="C1030" s="11">
        <f ca="1">IFERROR(__xludf.DUMMYFUNCTION("GOOGLEFINANCE(A1030,""PRICEOPEN"")"),5.07)</f>
        <v>5.07</v>
      </c>
      <c r="D1030" s="11">
        <f ca="1">IFERROR(__xludf.DUMMYFUNCTION("GOOGLEFINANCE(A1030,""HIGH"")"),5.16)</f>
        <v>5.16</v>
      </c>
      <c r="E1030" s="11">
        <f ca="1">IFERROR(__xludf.DUMMYFUNCTION("GOOGLEFINANCE(A1030,""LOW"")"),5.06)</f>
        <v>5.0599999999999996</v>
      </c>
      <c r="F1030" s="12" t="str">
        <f t="shared" ca="1" si="28"/>
        <v/>
      </c>
      <c r="G1030" s="13">
        <f ca="1">IFERROR(__xludf.DUMMYFUNCTION("GOOGLEFINANCE(A1030,""CLOSEYEST"")"),5.13)</f>
        <v>5.13</v>
      </c>
      <c r="H1030" s="14" t="str">
        <f t="shared" ca="1" si="34"/>
        <v>GAP DOWN</v>
      </c>
      <c r="I1030" s="15">
        <f t="shared" ca="1" si="29"/>
        <v>5.1166666666666663</v>
      </c>
      <c r="J1030" s="16">
        <f t="shared" ca="1" si="30"/>
        <v>5.1733333333333329</v>
      </c>
      <c r="K1030" s="16"/>
      <c r="L1030" s="16">
        <f t="shared" ca="1" si="31"/>
        <v>5.0733333333333324</v>
      </c>
      <c r="M1030" s="16">
        <f t="shared" ca="1" si="32"/>
        <v>5.2166666666666668</v>
      </c>
      <c r="N1030" s="16">
        <f t="shared" ca="1" si="33"/>
        <v>5.0166666666666657</v>
      </c>
    </row>
    <row r="1031" spans="1:14" ht="24.75" customHeight="1" x14ac:dyDescent="0.8">
      <c r="A1031" s="18" t="s">
        <v>994</v>
      </c>
      <c r="B1031" s="10">
        <f ca="1">IFERROR(__xludf.DUMMYFUNCTION("GOOGLEFINANCE(A1031,""PRICE"")"),208)</f>
        <v>208</v>
      </c>
      <c r="C1031" s="11">
        <f ca="1">IFERROR(__xludf.DUMMYFUNCTION("GOOGLEFINANCE(A1031,""PRICEOPEN"")"),194)</f>
        <v>194</v>
      </c>
      <c r="D1031" s="11">
        <f ca="1">IFERROR(__xludf.DUMMYFUNCTION("GOOGLEFINANCE(A1031,""HIGH"")"),212.96)</f>
        <v>212.96</v>
      </c>
      <c r="E1031" s="11">
        <f ca="1">IFERROR(__xludf.DUMMYFUNCTION("GOOGLEFINANCE(A1031,""LOW"")"),194)</f>
        <v>194</v>
      </c>
      <c r="F1031" s="12" t="str">
        <f t="shared" ca="1" si="28"/>
        <v>BUY</v>
      </c>
      <c r="G1031" s="13">
        <f ca="1">IFERROR(__xludf.DUMMYFUNCTION("GOOGLEFINANCE(A1031,""CLOSEYEST"")"),191.41)</f>
        <v>191.41</v>
      </c>
      <c r="H1031" s="14" t="str">
        <f t="shared" ca="1" si="34"/>
        <v>GAP UP</v>
      </c>
      <c r="I1031" s="15">
        <f t="shared" ca="1" si="29"/>
        <v>199.45666666666668</v>
      </c>
      <c r="J1031" s="16">
        <f t="shared" ca="1" si="30"/>
        <v>204.91333333333336</v>
      </c>
      <c r="K1031" s="16"/>
      <c r="L1031" s="16">
        <f t="shared" ca="1" si="31"/>
        <v>185.95333333333335</v>
      </c>
      <c r="M1031" s="16">
        <f t="shared" ca="1" si="32"/>
        <v>218.41666666666669</v>
      </c>
      <c r="N1031" s="16">
        <f t="shared" ca="1" si="33"/>
        <v>180.49666666666667</v>
      </c>
    </row>
    <row r="1032" spans="1:14" ht="24.75" customHeight="1" x14ac:dyDescent="0.8">
      <c r="A1032" s="18" t="s">
        <v>995</v>
      </c>
      <c r="B1032" s="10">
        <f ca="1">IFERROR(__xludf.DUMMYFUNCTION("GOOGLEFINANCE(A1032,""PRICE"")"),1089)</f>
        <v>1089</v>
      </c>
      <c r="C1032" s="11">
        <f ca="1">IFERROR(__xludf.DUMMYFUNCTION("GOOGLEFINANCE(A1032,""PRICEOPEN"")"),1085.1)</f>
        <v>1085.0999999999999</v>
      </c>
      <c r="D1032" s="11">
        <f ca="1">IFERROR(__xludf.DUMMYFUNCTION("GOOGLEFINANCE(A1032,""HIGH"")"),1102.2)</f>
        <v>1102.2</v>
      </c>
      <c r="E1032" s="11">
        <f ca="1">IFERROR(__xludf.DUMMYFUNCTION("GOOGLEFINANCE(A1032,""LOW"")"),1075.7)</f>
        <v>1075.7</v>
      </c>
      <c r="F1032" s="12" t="str">
        <f t="shared" ca="1" si="28"/>
        <v/>
      </c>
      <c r="G1032" s="13">
        <f ca="1">IFERROR(__xludf.DUMMYFUNCTION("GOOGLEFINANCE(A1032,""CLOSEYEST"")"),1088.5)</f>
        <v>1088.5</v>
      </c>
      <c r="H1032" s="14" t="str">
        <f t="shared" ca="1" si="34"/>
        <v/>
      </c>
      <c r="I1032" s="15">
        <f t="shared" ca="1" si="29"/>
        <v>1088.8</v>
      </c>
      <c r="J1032" s="16">
        <f t="shared" ca="1" si="30"/>
        <v>1101.8999999999999</v>
      </c>
      <c r="K1032" s="16"/>
      <c r="L1032" s="16">
        <f t="shared" ca="1" si="31"/>
        <v>1075.3999999999999</v>
      </c>
      <c r="M1032" s="16">
        <f t="shared" ca="1" si="32"/>
        <v>1115.3</v>
      </c>
      <c r="N1032" s="16">
        <f t="shared" ca="1" si="33"/>
        <v>1062.3</v>
      </c>
    </row>
    <row r="1033" spans="1:14" ht="24.75" customHeight="1" x14ac:dyDescent="0.8">
      <c r="A1033" s="18" t="s">
        <v>996</v>
      </c>
      <c r="B1033" s="10">
        <f ca="1">IFERROR(__xludf.DUMMYFUNCTION("GOOGLEFINANCE(A1033,""PRICE"")"),86)</f>
        <v>86</v>
      </c>
      <c r="C1033" s="11">
        <f ca="1">IFERROR(__xludf.DUMMYFUNCTION("GOOGLEFINANCE(A1033,""PRICEOPEN"")"),79.5)</f>
        <v>79.5</v>
      </c>
      <c r="D1033" s="11">
        <f ca="1">IFERROR(__xludf.DUMMYFUNCTION("GOOGLEFINANCE(A1033,""HIGH"")"),86.4)</f>
        <v>86.4</v>
      </c>
      <c r="E1033" s="11">
        <f ca="1">IFERROR(__xludf.DUMMYFUNCTION("GOOGLEFINANCE(A1033,""LOW"")"),78.6)</f>
        <v>78.599999999999994</v>
      </c>
      <c r="F1033" s="12" t="str">
        <f t="shared" ca="1" si="28"/>
        <v/>
      </c>
      <c r="G1033" s="13">
        <f ca="1">IFERROR(__xludf.DUMMYFUNCTION("GOOGLEFINANCE(A1033,""CLOSEYEST"")"),79.09)</f>
        <v>79.09</v>
      </c>
      <c r="H1033" s="14" t="str">
        <f t="shared" ca="1" si="34"/>
        <v/>
      </c>
      <c r="I1033" s="15">
        <f t="shared" ca="1" si="29"/>
        <v>81.36333333333333</v>
      </c>
      <c r="J1033" s="16">
        <f t="shared" ca="1" si="30"/>
        <v>84.126666666666665</v>
      </c>
      <c r="K1033" s="16"/>
      <c r="L1033" s="16">
        <f t="shared" ca="1" si="31"/>
        <v>76.326666666666654</v>
      </c>
      <c r="M1033" s="16">
        <f t="shared" ca="1" si="32"/>
        <v>89.163333333333341</v>
      </c>
      <c r="N1033" s="16">
        <f t="shared" ca="1" si="33"/>
        <v>73.563333333333318</v>
      </c>
    </row>
    <row r="1034" spans="1:14" ht="24.75" customHeight="1" x14ac:dyDescent="0.8">
      <c r="A1034" s="18" t="s">
        <v>997</v>
      </c>
      <c r="B1034" s="10">
        <f ca="1">IFERROR(__xludf.DUMMYFUNCTION("GOOGLEFINANCE(A1034,""PRICE"")"),1694)</f>
        <v>1694</v>
      </c>
      <c r="C1034" s="11">
        <f ca="1">IFERROR(__xludf.DUMMYFUNCTION("GOOGLEFINANCE(A1034,""PRICEOPEN"")"),1620)</f>
        <v>1620</v>
      </c>
      <c r="D1034" s="11">
        <f ca="1">IFERROR(__xludf.DUMMYFUNCTION("GOOGLEFINANCE(A1034,""HIGH"")"),1699)</f>
        <v>1699</v>
      </c>
      <c r="E1034" s="11">
        <f ca="1">IFERROR(__xludf.DUMMYFUNCTION("GOOGLEFINANCE(A1034,""LOW"")"),1620)</f>
        <v>1620</v>
      </c>
      <c r="F1034" s="12" t="str">
        <f t="shared" ca="1" si="28"/>
        <v>BUY</v>
      </c>
      <c r="G1034" s="13">
        <f ca="1">IFERROR(__xludf.DUMMYFUNCTION("GOOGLEFINANCE(A1034,""CLOSEYEST"")"),1626)</f>
        <v>1626</v>
      </c>
      <c r="H1034" s="14" t="str">
        <f t="shared" ca="1" si="34"/>
        <v/>
      </c>
      <c r="I1034" s="15">
        <f t="shared" ca="1" si="29"/>
        <v>1648.3333333333333</v>
      </c>
      <c r="J1034" s="16">
        <f t="shared" ca="1" si="30"/>
        <v>1676.6666666666665</v>
      </c>
      <c r="K1034" s="16"/>
      <c r="L1034" s="16">
        <f t="shared" ca="1" si="31"/>
        <v>1597.6666666666665</v>
      </c>
      <c r="M1034" s="16">
        <f t="shared" ca="1" si="32"/>
        <v>1727.3333333333333</v>
      </c>
      <c r="N1034" s="16">
        <f t="shared" ca="1" si="33"/>
        <v>1569.3333333333333</v>
      </c>
    </row>
    <row r="1035" spans="1:14" ht="24.75" customHeight="1" x14ac:dyDescent="0.8">
      <c r="A1035" s="18" t="s">
        <v>998</v>
      </c>
      <c r="B1035" s="10">
        <f ca="1">IFERROR(__xludf.DUMMYFUNCTION("GOOGLEFINANCE(A1035,""PRICE"")"),141)</f>
        <v>141</v>
      </c>
      <c r="C1035" s="11">
        <f ca="1">IFERROR(__xludf.DUMMYFUNCTION("GOOGLEFINANCE(A1035,""PRICEOPEN"")"),138.84)</f>
        <v>138.84</v>
      </c>
      <c r="D1035" s="11">
        <f ca="1">IFERROR(__xludf.DUMMYFUNCTION("GOOGLEFINANCE(A1035,""HIGH"")"),141.4)</f>
        <v>141.4</v>
      </c>
      <c r="E1035" s="11">
        <f ca="1">IFERROR(__xludf.DUMMYFUNCTION("GOOGLEFINANCE(A1035,""LOW"")"),138.1)</f>
        <v>138.1</v>
      </c>
      <c r="F1035" s="12" t="str">
        <f t="shared" ca="1" si="28"/>
        <v/>
      </c>
      <c r="G1035" s="13">
        <f ca="1">IFERROR(__xludf.DUMMYFUNCTION("GOOGLEFINANCE(A1035,""CLOSEYEST"")"),138.84)</f>
        <v>138.84</v>
      </c>
      <c r="H1035" s="14" t="str">
        <f t="shared" ca="1" si="34"/>
        <v/>
      </c>
      <c r="I1035" s="15">
        <f t="shared" ca="1" si="29"/>
        <v>139.44666666666669</v>
      </c>
      <c r="J1035" s="16">
        <f t="shared" ca="1" si="30"/>
        <v>140.79333333333338</v>
      </c>
      <c r="K1035" s="16"/>
      <c r="L1035" s="16">
        <f t="shared" ca="1" si="31"/>
        <v>137.49333333333337</v>
      </c>
      <c r="M1035" s="16">
        <f t="shared" ca="1" si="32"/>
        <v>142.7466666666667</v>
      </c>
      <c r="N1035" s="16">
        <f t="shared" ca="1" si="33"/>
        <v>136.14666666666668</v>
      </c>
    </row>
    <row r="1036" spans="1:14" ht="24.75" customHeight="1" x14ac:dyDescent="0.8">
      <c r="A1036" s="18" t="s">
        <v>999</v>
      </c>
      <c r="B1036" s="10">
        <f ca="1">IFERROR(__xludf.DUMMYFUNCTION("GOOGLEFINANCE(A1036,""PRICE"")"),96.2)</f>
        <v>96.2</v>
      </c>
      <c r="C1036" s="11">
        <f ca="1">IFERROR(__xludf.DUMMYFUNCTION("GOOGLEFINANCE(A1036,""PRICEOPEN"")"),94.5)</f>
        <v>94.5</v>
      </c>
      <c r="D1036" s="11">
        <f ca="1">IFERROR(__xludf.DUMMYFUNCTION("GOOGLEFINANCE(A1036,""HIGH"")"),97.15)</f>
        <v>97.15</v>
      </c>
      <c r="E1036" s="11">
        <f ca="1">IFERROR(__xludf.DUMMYFUNCTION("GOOGLEFINANCE(A1036,""LOW"")"),94.5)</f>
        <v>94.5</v>
      </c>
      <c r="F1036" s="12" t="str">
        <f t="shared" ca="1" si="28"/>
        <v>BUY</v>
      </c>
      <c r="G1036" s="13">
        <f ca="1">IFERROR(__xludf.DUMMYFUNCTION("GOOGLEFINANCE(A1036,""CLOSEYEST"")"),95.24)</f>
        <v>95.24</v>
      </c>
      <c r="H1036" s="14" t="str">
        <f t="shared" ca="1" si="34"/>
        <v/>
      </c>
      <c r="I1036" s="15">
        <f t="shared" ca="1" si="29"/>
        <v>95.63</v>
      </c>
      <c r="J1036" s="16">
        <f t="shared" ca="1" si="30"/>
        <v>96.759999999999991</v>
      </c>
      <c r="K1036" s="16"/>
      <c r="L1036" s="16">
        <f t="shared" ca="1" si="31"/>
        <v>94.109999999999985</v>
      </c>
      <c r="M1036" s="16">
        <f t="shared" ca="1" si="32"/>
        <v>98.28</v>
      </c>
      <c r="N1036" s="16">
        <f t="shared" ca="1" si="33"/>
        <v>92.97999999999999</v>
      </c>
    </row>
    <row r="1037" spans="1:14" ht="24.75" customHeight="1" x14ac:dyDescent="0.8">
      <c r="A1037" s="18" t="s">
        <v>1000</v>
      </c>
      <c r="B1037" s="10" t="str">
        <f ca="1">IFERROR(__xludf.DUMMYFUNCTION("GOOGLEFINANCE(A1037,""PRICE"")"),"#N/A")</f>
        <v>#N/A</v>
      </c>
      <c r="C1037" s="11" t="str">
        <f ca="1">IFERROR(__xludf.DUMMYFUNCTION("GOOGLEFINANCE(A1037,""PRICEOPEN"")"),"#N/A")</f>
        <v>#N/A</v>
      </c>
      <c r="D1037" s="11" t="str">
        <f ca="1">IFERROR(__xludf.DUMMYFUNCTION("GOOGLEFINANCE(A1037,""HIGH"")"),"#N/A")</f>
        <v>#N/A</v>
      </c>
      <c r="E1037" s="11" t="str">
        <f ca="1">IFERROR(__xludf.DUMMYFUNCTION("GOOGLEFINANCE(A1037,""LOW"")"),"#N/A")</f>
        <v>#N/A</v>
      </c>
      <c r="F1037" s="12" t="str">
        <f t="shared" ca="1" si="28"/>
        <v>SELL</v>
      </c>
      <c r="G1037" s="13" t="str">
        <f ca="1">IFERROR(__xludf.DUMMYFUNCTION("GOOGLEFINANCE(A1037,""CLOSEYEST"")"),"#N/A")</f>
        <v>#N/A</v>
      </c>
      <c r="H1037" s="14" t="e">
        <f t="shared" ca="1" si="34"/>
        <v>#VALUE!</v>
      </c>
      <c r="I1037" s="15" t="e">
        <f t="shared" ca="1" si="29"/>
        <v>#VALUE!</v>
      </c>
      <c r="J1037" s="16" t="e">
        <f t="shared" ca="1" si="30"/>
        <v>#VALUE!</v>
      </c>
      <c r="K1037" s="16"/>
      <c r="L1037" s="16" t="e">
        <f t="shared" ca="1" si="31"/>
        <v>#VALUE!</v>
      </c>
      <c r="M1037" s="16" t="e">
        <f t="shared" ca="1" si="32"/>
        <v>#VALUE!</v>
      </c>
      <c r="N1037" s="16" t="e">
        <f t="shared" ca="1" si="33"/>
        <v>#VALUE!</v>
      </c>
    </row>
    <row r="1038" spans="1:14" ht="24.75" customHeight="1" x14ac:dyDescent="0.8">
      <c r="A1038" s="18" t="s">
        <v>1001</v>
      </c>
      <c r="B1038" s="10">
        <f ca="1">IFERROR(__xludf.DUMMYFUNCTION("GOOGLEFINANCE(A1038,""PRICE"")"),175.4)</f>
        <v>175.4</v>
      </c>
      <c r="C1038" s="11">
        <f ca="1">IFERROR(__xludf.DUMMYFUNCTION("GOOGLEFINANCE(A1038,""PRICEOPEN"")"),175.29)</f>
        <v>175.29</v>
      </c>
      <c r="D1038" s="11">
        <f ca="1">IFERROR(__xludf.DUMMYFUNCTION("GOOGLEFINANCE(A1038,""HIGH"")"),176.67)</f>
        <v>176.67</v>
      </c>
      <c r="E1038" s="11">
        <f ca="1">IFERROR(__xludf.DUMMYFUNCTION("GOOGLEFINANCE(A1038,""LOW"")"),175.05)</f>
        <v>175.05</v>
      </c>
      <c r="F1038" s="12" t="str">
        <f t="shared" ca="1" si="28"/>
        <v/>
      </c>
      <c r="G1038" s="13">
        <f ca="1">IFERROR(__xludf.DUMMYFUNCTION("GOOGLEFINANCE(A1038,""CLOSEYEST"")"),175.07)</f>
        <v>175.07</v>
      </c>
      <c r="H1038" s="14" t="str">
        <f t="shared" ca="1" si="34"/>
        <v/>
      </c>
      <c r="I1038" s="15">
        <f t="shared" ca="1" si="29"/>
        <v>175.59666666666666</v>
      </c>
      <c r="J1038" s="16">
        <f t="shared" ca="1" si="30"/>
        <v>176.14333333333332</v>
      </c>
      <c r="K1038" s="16"/>
      <c r="L1038" s="16">
        <f t="shared" ca="1" si="31"/>
        <v>174.52333333333334</v>
      </c>
      <c r="M1038" s="16">
        <f t="shared" ca="1" si="32"/>
        <v>177.21666666666664</v>
      </c>
      <c r="N1038" s="16">
        <f t="shared" ca="1" si="33"/>
        <v>173.97666666666669</v>
      </c>
    </row>
    <row r="1039" spans="1:14" ht="24.75" customHeight="1" x14ac:dyDescent="0.8">
      <c r="A1039" s="18" t="s">
        <v>1002</v>
      </c>
      <c r="B1039" s="10">
        <f ca="1">IFERROR(__xludf.DUMMYFUNCTION("GOOGLEFINANCE(A1039,""PRICE"")"),178)</f>
        <v>178</v>
      </c>
      <c r="C1039" s="11">
        <f ca="1">IFERROR(__xludf.DUMMYFUNCTION("GOOGLEFINANCE(A1039,""PRICEOPEN"")"),176)</f>
        <v>176</v>
      </c>
      <c r="D1039" s="11">
        <f ca="1">IFERROR(__xludf.DUMMYFUNCTION("GOOGLEFINANCE(A1039,""HIGH"")"),182.4)</f>
        <v>182.4</v>
      </c>
      <c r="E1039" s="11">
        <f ca="1">IFERROR(__xludf.DUMMYFUNCTION("GOOGLEFINANCE(A1039,""LOW"")"),174)</f>
        <v>174</v>
      </c>
      <c r="F1039" s="12" t="str">
        <f t="shared" ca="1" si="28"/>
        <v/>
      </c>
      <c r="G1039" s="13">
        <f ca="1">IFERROR(__xludf.DUMMYFUNCTION("GOOGLEFINANCE(A1039,""CLOSEYEST"")"),173.85)</f>
        <v>173.85</v>
      </c>
      <c r="H1039" s="14" t="str">
        <f t="shared" ca="1" si="34"/>
        <v>GAP UP</v>
      </c>
      <c r="I1039" s="15">
        <f t="shared" ca="1" si="29"/>
        <v>176.75</v>
      </c>
      <c r="J1039" s="16">
        <f t="shared" ca="1" si="30"/>
        <v>179.5</v>
      </c>
      <c r="K1039" s="16"/>
      <c r="L1039" s="16">
        <f t="shared" ca="1" si="31"/>
        <v>171.1</v>
      </c>
      <c r="M1039" s="16">
        <f t="shared" ca="1" si="32"/>
        <v>185.15</v>
      </c>
      <c r="N1039" s="16">
        <f t="shared" ca="1" si="33"/>
        <v>168.35</v>
      </c>
    </row>
    <row r="1040" spans="1:14" ht="24.75" customHeight="1" x14ac:dyDescent="0.8">
      <c r="A1040" s="18" t="s">
        <v>1003</v>
      </c>
      <c r="B1040" s="10">
        <f ca="1">IFERROR(__xludf.DUMMYFUNCTION("GOOGLEFINANCE(A1040,""PRICE"")"),162.8)</f>
        <v>162.80000000000001</v>
      </c>
      <c r="C1040" s="11">
        <f ca="1">IFERROR(__xludf.DUMMYFUNCTION("GOOGLEFINANCE(A1040,""PRICEOPEN"")"),158.7)</f>
        <v>158.69999999999999</v>
      </c>
      <c r="D1040" s="11">
        <f ca="1">IFERROR(__xludf.DUMMYFUNCTION("GOOGLEFINANCE(A1040,""HIGH"")"),165.39)</f>
        <v>165.39</v>
      </c>
      <c r="E1040" s="11">
        <f ca="1">IFERROR(__xludf.DUMMYFUNCTION("GOOGLEFINANCE(A1040,""LOW"")"),157.67)</f>
        <v>157.66999999999999</v>
      </c>
      <c r="F1040" s="12" t="str">
        <f t="shared" ca="1" si="28"/>
        <v/>
      </c>
      <c r="G1040" s="13">
        <f ca="1">IFERROR(__xludf.DUMMYFUNCTION("GOOGLEFINANCE(A1040,""CLOSEYEST"")"),158.84)</f>
        <v>158.84</v>
      </c>
      <c r="H1040" s="14" t="str">
        <f t="shared" ca="1" si="34"/>
        <v/>
      </c>
      <c r="I1040" s="15">
        <f t="shared" ca="1" si="29"/>
        <v>160.63333333333333</v>
      </c>
      <c r="J1040" s="16">
        <f t="shared" ca="1" si="30"/>
        <v>163.59666666666666</v>
      </c>
      <c r="K1040" s="16"/>
      <c r="L1040" s="16">
        <f t="shared" ca="1" si="31"/>
        <v>155.87666666666667</v>
      </c>
      <c r="M1040" s="16">
        <f t="shared" ca="1" si="32"/>
        <v>168.35333333333332</v>
      </c>
      <c r="N1040" s="16">
        <f t="shared" ca="1" si="33"/>
        <v>152.91333333333333</v>
      </c>
    </row>
    <row r="1041" spans="1:14" ht="24.75" customHeight="1" x14ac:dyDescent="0.8">
      <c r="A1041" s="18" t="s">
        <v>1004</v>
      </c>
      <c r="B1041" s="10">
        <f ca="1">IFERROR(__xludf.DUMMYFUNCTION("GOOGLEFINANCE(A1041,""PRICE"")"),196.9)</f>
        <v>196.9</v>
      </c>
      <c r="C1041" s="11">
        <f ca="1">IFERROR(__xludf.DUMMYFUNCTION("GOOGLEFINANCE(A1041,""PRICEOPEN"")"),182.9)</f>
        <v>182.9</v>
      </c>
      <c r="D1041" s="11">
        <f ca="1">IFERROR(__xludf.DUMMYFUNCTION("GOOGLEFINANCE(A1041,""HIGH"")"),198.99)</f>
        <v>198.99</v>
      </c>
      <c r="E1041" s="11">
        <f ca="1">IFERROR(__xludf.DUMMYFUNCTION("GOOGLEFINANCE(A1041,""LOW"")"),180.42)</f>
        <v>180.42</v>
      </c>
      <c r="F1041" s="12" t="str">
        <f t="shared" ca="1" si="28"/>
        <v/>
      </c>
      <c r="G1041" s="13">
        <f ca="1">IFERROR(__xludf.DUMMYFUNCTION("GOOGLEFINANCE(A1041,""CLOSEYEST"")"),182.33)</f>
        <v>182.33</v>
      </c>
      <c r="H1041" s="14" t="str">
        <f t="shared" ca="1" si="34"/>
        <v/>
      </c>
      <c r="I1041" s="15">
        <f t="shared" ca="1" si="29"/>
        <v>187.24666666666667</v>
      </c>
      <c r="J1041" s="16">
        <f t="shared" ca="1" si="30"/>
        <v>194.07333333333335</v>
      </c>
      <c r="K1041" s="16"/>
      <c r="L1041" s="16">
        <f t="shared" ca="1" si="31"/>
        <v>175.50333333333333</v>
      </c>
      <c r="M1041" s="16">
        <f t="shared" ca="1" si="32"/>
        <v>205.81666666666669</v>
      </c>
      <c r="N1041" s="16">
        <f t="shared" ca="1" si="33"/>
        <v>168.67666666666665</v>
      </c>
    </row>
    <row r="1042" spans="1:14" ht="24.75" customHeight="1" x14ac:dyDescent="0.8">
      <c r="A1042" s="18" t="s">
        <v>1005</v>
      </c>
      <c r="B1042" s="10">
        <f ca="1">IFERROR(__xludf.DUMMYFUNCTION("GOOGLEFINANCE(A1042,""PRICE"")"),7955)</f>
        <v>7955</v>
      </c>
      <c r="C1042" s="11">
        <f ca="1">IFERROR(__xludf.DUMMYFUNCTION("GOOGLEFINANCE(A1042,""PRICEOPEN"")"),7668.5)</f>
        <v>7668.5</v>
      </c>
      <c r="D1042" s="11">
        <f ca="1">IFERROR(__xludf.DUMMYFUNCTION("GOOGLEFINANCE(A1042,""HIGH"")"),8247)</f>
        <v>8247</v>
      </c>
      <c r="E1042" s="11">
        <f ca="1">IFERROR(__xludf.DUMMYFUNCTION("GOOGLEFINANCE(A1042,""LOW"")"),7668.5)</f>
        <v>7668.5</v>
      </c>
      <c r="F1042" s="12" t="str">
        <f t="shared" ca="1" si="28"/>
        <v>BUY</v>
      </c>
      <c r="G1042" s="13">
        <f ca="1">IFERROR(__xludf.DUMMYFUNCTION("GOOGLEFINANCE(A1042,""CLOSEYEST"")"),7607.5)</f>
        <v>7607.5</v>
      </c>
      <c r="H1042" s="14" t="str">
        <f t="shared" ca="1" si="34"/>
        <v/>
      </c>
      <c r="I1042" s="15">
        <f t="shared" ca="1" si="29"/>
        <v>7841</v>
      </c>
      <c r="J1042" s="16">
        <f t="shared" ca="1" si="30"/>
        <v>8013.5</v>
      </c>
      <c r="K1042" s="16"/>
      <c r="L1042" s="16">
        <f t="shared" ca="1" si="31"/>
        <v>7435</v>
      </c>
      <c r="M1042" s="16">
        <f t="shared" ca="1" si="32"/>
        <v>8419.5</v>
      </c>
      <c r="N1042" s="16">
        <f t="shared" ca="1" si="33"/>
        <v>7262.5</v>
      </c>
    </row>
    <row r="1043" spans="1:14" ht="24.75" customHeight="1" x14ac:dyDescent="0.8">
      <c r="A1043" s="18" t="s">
        <v>1006</v>
      </c>
      <c r="B1043" s="10">
        <f ca="1">IFERROR(__xludf.DUMMYFUNCTION("GOOGLEFINANCE(A1043,""PRICE"")"),23.95)</f>
        <v>23.95</v>
      </c>
      <c r="C1043" s="11">
        <f ca="1">IFERROR(__xludf.DUMMYFUNCTION("GOOGLEFINANCE(A1043,""PRICEOPEN"")"),23.99)</f>
        <v>23.99</v>
      </c>
      <c r="D1043" s="11">
        <f ca="1">IFERROR(__xludf.DUMMYFUNCTION("GOOGLEFINANCE(A1043,""HIGH"")"),26.14)</f>
        <v>26.14</v>
      </c>
      <c r="E1043" s="11">
        <f ca="1">IFERROR(__xludf.DUMMYFUNCTION("GOOGLEFINANCE(A1043,""LOW"")"),23.8)</f>
        <v>23.8</v>
      </c>
      <c r="F1043" s="12" t="str">
        <f t="shared" ca="1" si="28"/>
        <v/>
      </c>
      <c r="G1043" s="13">
        <f ca="1">IFERROR(__xludf.DUMMYFUNCTION("GOOGLEFINANCE(A1043,""CLOSEYEST"")"),23.9)</f>
        <v>23.9</v>
      </c>
      <c r="H1043" s="14" t="str">
        <f t="shared" ca="1" si="34"/>
        <v/>
      </c>
      <c r="I1043" s="15">
        <f t="shared" ca="1" si="29"/>
        <v>24.613333333333333</v>
      </c>
      <c r="J1043" s="16">
        <f t="shared" ca="1" si="30"/>
        <v>25.426666666666666</v>
      </c>
      <c r="K1043" s="16"/>
      <c r="L1043" s="16">
        <f t="shared" ca="1" si="31"/>
        <v>23.086666666666666</v>
      </c>
      <c r="M1043" s="16">
        <f t="shared" ca="1" si="32"/>
        <v>26.953333333333333</v>
      </c>
      <c r="N1043" s="16">
        <f t="shared" ca="1" si="33"/>
        <v>22.273333333333333</v>
      </c>
    </row>
    <row r="1044" spans="1:14" ht="24.75" customHeight="1" x14ac:dyDescent="0.8">
      <c r="A1044" s="18" t="s">
        <v>1007</v>
      </c>
      <c r="B1044" s="10">
        <f ca="1">IFERROR(__xludf.DUMMYFUNCTION("GOOGLEFINANCE(A1044,""PRICE"")"),8.54)</f>
        <v>8.5399999999999991</v>
      </c>
      <c r="C1044" s="11">
        <f ca="1">IFERROR(__xludf.DUMMYFUNCTION("GOOGLEFINANCE(A1044,""PRICEOPEN"")"),8.49)</f>
        <v>8.49</v>
      </c>
      <c r="D1044" s="11">
        <f ca="1">IFERROR(__xludf.DUMMYFUNCTION("GOOGLEFINANCE(A1044,""HIGH"")"),8.58)</f>
        <v>8.58</v>
      </c>
      <c r="E1044" s="11">
        <f ca="1">IFERROR(__xludf.DUMMYFUNCTION("GOOGLEFINANCE(A1044,""LOW"")"),8.37)</f>
        <v>8.3699999999999992</v>
      </c>
      <c r="F1044" s="12" t="str">
        <f t="shared" ref="F1044:F1298" ca="1" si="35">IF(C1044=D1044,"SELL",IF(C1044=E1044,"BUY", ""))</f>
        <v/>
      </c>
      <c r="G1044" s="13">
        <f ca="1">IFERROR(__xludf.DUMMYFUNCTION("GOOGLEFINANCE(A1044,""CLOSEYEST"")"),8.37)</f>
        <v>8.3699999999999992</v>
      </c>
      <c r="H1044" s="14" t="str">
        <f t="shared" ca="1" si="34"/>
        <v>GAP UP</v>
      </c>
      <c r="I1044" s="15">
        <f t="shared" ref="I1044:I1298" ca="1" si="36">(D1044+E1044+G1044)/3</f>
        <v>8.44</v>
      </c>
      <c r="J1044" s="16">
        <f t="shared" ref="J1044:J1298" ca="1" si="37">(I1044*2)-E1044</f>
        <v>8.51</v>
      </c>
      <c r="K1044" s="16"/>
      <c r="L1044" s="16">
        <f t="shared" ref="L1044:L1298" ca="1" si="38">(I1044*2)-D1044</f>
        <v>8.2999999999999989</v>
      </c>
      <c r="M1044" s="16">
        <f t="shared" ref="M1044:M1298" ca="1" si="39">I1044+(J1044-L1044)</f>
        <v>8.65</v>
      </c>
      <c r="N1044" s="16">
        <f t="shared" ref="N1044:N1298" ca="1" si="40">I1044-(J1044-L1044)</f>
        <v>8.2299999999999986</v>
      </c>
    </row>
    <row r="1045" spans="1:14" ht="24.75" customHeight="1" x14ac:dyDescent="0.8">
      <c r="A1045" s="18" t="s">
        <v>1008</v>
      </c>
      <c r="B1045" s="10">
        <f ca="1">IFERROR(__xludf.DUMMYFUNCTION("GOOGLEFINANCE(A1045,""PRICE"")"),429)</f>
        <v>429</v>
      </c>
      <c r="C1045" s="11">
        <f ca="1">IFERROR(__xludf.DUMMYFUNCTION("GOOGLEFINANCE(A1045,""PRICEOPEN"")"),419.8)</f>
        <v>419.8</v>
      </c>
      <c r="D1045" s="11">
        <f ca="1">IFERROR(__xludf.DUMMYFUNCTION("GOOGLEFINANCE(A1045,""HIGH"")"),429)</f>
        <v>429</v>
      </c>
      <c r="E1045" s="11">
        <f ca="1">IFERROR(__xludf.DUMMYFUNCTION("GOOGLEFINANCE(A1045,""LOW"")"),415.55)</f>
        <v>415.55</v>
      </c>
      <c r="F1045" s="12" t="str">
        <f t="shared" ca="1" si="35"/>
        <v/>
      </c>
      <c r="G1045" s="13">
        <f ca="1">IFERROR(__xludf.DUMMYFUNCTION("GOOGLEFINANCE(A1045,""CLOSEYEST"")"),416.85)</f>
        <v>416.85</v>
      </c>
      <c r="H1045" s="14" t="str">
        <f t="shared" ca="1" si="34"/>
        <v/>
      </c>
      <c r="I1045" s="15">
        <f t="shared" ca="1" si="36"/>
        <v>420.4666666666667</v>
      </c>
      <c r="J1045" s="16">
        <f t="shared" ca="1" si="37"/>
        <v>425.38333333333338</v>
      </c>
      <c r="K1045" s="16"/>
      <c r="L1045" s="16">
        <f t="shared" ca="1" si="38"/>
        <v>411.93333333333339</v>
      </c>
      <c r="M1045" s="16">
        <f t="shared" ca="1" si="39"/>
        <v>433.91666666666669</v>
      </c>
      <c r="N1045" s="16">
        <f t="shared" ca="1" si="40"/>
        <v>407.01666666666671</v>
      </c>
    </row>
    <row r="1046" spans="1:14" ht="24.75" customHeight="1" x14ac:dyDescent="0.8">
      <c r="A1046" s="18" t="s">
        <v>1009</v>
      </c>
      <c r="B1046" s="10">
        <f ca="1">IFERROR(__xludf.DUMMYFUNCTION("GOOGLEFINANCE(A1046,""PRICE"")"),5300)</f>
        <v>5300</v>
      </c>
      <c r="C1046" s="11">
        <f ca="1">IFERROR(__xludf.DUMMYFUNCTION("GOOGLEFINANCE(A1046,""PRICEOPEN"")"),5192)</f>
        <v>5192</v>
      </c>
      <c r="D1046" s="11">
        <f ca="1">IFERROR(__xludf.DUMMYFUNCTION("GOOGLEFINANCE(A1046,""HIGH"")"),5425)</f>
        <v>5425</v>
      </c>
      <c r="E1046" s="11">
        <f ca="1">IFERROR(__xludf.DUMMYFUNCTION("GOOGLEFINANCE(A1046,""LOW"")"),5192)</f>
        <v>5192</v>
      </c>
      <c r="F1046" s="12" t="str">
        <f t="shared" ca="1" si="35"/>
        <v>BUY</v>
      </c>
      <c r="G1046" s="13">
        <f ca="1">IFERROR(__xludf.DUMMYFUNCTION("GOOGLEFINANCE(A1046,""CLOSEYEST"")"),5191.9)</f>
        <v>5191.8999999999996</v>
      </c>
      <c r="H1046" s="14" t="str">
        <f t="shared" ref="H1046:H1300" ca="1" si="41">IF(C1046&gt;=(G1046+(G1046*1%)),"GAP UP",IF(C1046&lt;=(G1046-(G1046*1%)),"GAP DOWN",""))</f>
        <v/>
      </c>
      <c r="I1046" s="15">
        <f t="shared" ca="1" si="36"/>
        <v>5269.6333333333332</v>
      </c>
      <c r="J1046" s="16">
        <f t="shared" ca="1" si="37"/>
        <v>5347.2666666666664</v>
      </c>
      <c r="K1046" s="16"/>
      <c r="L1046" s="16">
        <f t="shared" ca="1" si="38"/>
        <v>5114.2666666666664</v>
      </c>
      <c r="M1046" s="16">
        <f t="shared" ca="1" si="39"/>
        <v>5502.6333333333332</v>
      </c>
      <c r="N1046" s="16">
        <f t="shared" ca="1" si="40"/>
        <v>5036.6333333333332</v>
      </c>
    </row>
    <row r="1047" spans="1:14" ht="24.75" customHeight="1" x14ac:dyDescent="0.8">
      <c r="A1047" s="18" t="s">
        <v>1010</v>
      </c>
      <c r="B1047" s="10">
        <f ca="1">IFERROR(__xludf.DUMMYFUNCTION("GOOGLEFINANCE(A1047,""PRICE"")"),133.99)</f>
        <v>133.99</v>
      </c>
      <c r="C1047" s="11">
        <f ca="1">IFERROR(__xludf.DUMMYFUNCTION("GOOGLEFINANCE(A1047,""PRICEOPEN"")"),133.24)</f>
        <v>133.24</v>
      </c>
      <c r="D1047" s="11">
        <f ca="1">IFERROR(__xludf.DUMMYFUNCTION("GOOGLEFINANCE(A1047,""HIGH"")"),134.98)</f>
        <v>134.97999999999999</v>
      </c>
      <c r="E1047" s="11">
        <f ca="1">IFERROR(__xludf.DUMMYFUNCTION("GOOGLEFINANCE(A1047,""LOW"")"),130.2)</f>
        <v>130.19999999999999</v>
      </c>
      <c r="F1047" s="12" t="str">
        <f t="shared" ca="1" si="35"/>
        <v/>
      </c>
      <c r="G1047" s="13">
        <f ca="1">IFERROR(__xludf.DUMMYFUNCTION("GOOGLEFINANCE(A1047,""CLOSEYEST"")"),132.58)</f>
        <v>132.58000000000001</v>
      </c>
      <c r="H1047" s="14" t="str">
        <f t="shared" ca="1" si="41"/>
        <v/>
      </c>
      <c r="I1047" s="15">
        <f t="shared" ca="1" si="36"/>
        <v>132.58666666666667</v>
      </c>
      <c r="J1047" s="16">
        <f t="shared" ca="1" si="37"/>
        <v>134.97333333333336</v>
      </c>
      <c r="K1047" s="16"/>
      <c r="L1047" s="16">
        <f t="shared" ca="1" si="38"/>
        <v>130.19333333333336</v>
      </c>
      <c r="M1047" s="16">
        <f t="shared" ca="1" si="39"/>
        <v>137.36666666666667</v>
      </c>
      <c r="N1047" s="16">
        <f t="shared" ca="1" si="40"/>
        <v>127.80666666666667</v>
      </c>
    </row>
    <row r="1048" spans="1:14" ht="24.75" customHeight="1" x14ac:dyDescent="0.8">
      <c r="A1048" s="18" t="s">
        <v>1011</v>
      </c>
      <c r="B1048" s="10">
        <f ca="1">IFERROR(__xludf.DUMMYFUNCTION("GOOGLEFINANCE(A1048,""PRICE"")"),48.7)</f>
        <v>48.7</v>
      </c>
      <c r="C1048" s="11">
        <f ca="1">IFERROR(__xludf.DUMMYFUNCTION("GOOGLEFINANCE(A1048,""PRICEOPEN"")"),48)</f>
        <v>48</v>
      </c>
      <c r="D1048" s="11">
        <f ca="1">IFERROR(__xludf.DUMMYFUNCTION("GOOGLEFINANCE(A1048,""HIGH"")"),49.43)</f>
        <v>49.43</v>
      </c>
      <c r="E1048" s="11">
        <f ca="1">IFERROR(__xludf.DUMMYFUNCTION("GOOGLEFINANCE(A1048,""LOW"")"),48)</f>
        <v>48</v>
      </c>
      <c r="F1048" s="12" t="str">
        <f t="shared" ca="1" si="35"/>
        <v>BUY</v>
      </c>
      <c r="G1048" s="13">
        <f ca="1">IFERROR(__xludf.DUMMYFUNCTION("GOOGLEFINANCE(A1048,""CLOSEYEST"")"),48.14)</f>
        <v>48.14</v>
      </c>
      <c r="H1048" s="14" t="str">
        <f t="shared" ca="1" si="41"/>
        <v/>
      </c>
      <c r="I1048" s="15">
        <f t="shared" ca="1" si="36"/>
        <v>48.523333333333333</v>
      </c>
      <c r="J1048" s="16">
        <f t="shared" ca="1" si="37"/>
        <v>49.046666666666667</v>
      </c>
      <c r="K1048" s="16"/>
      <c r="L1048" s="16">
        <f t="shared" ca="1" si="38"/>
        <v>47.616666666666667</v>
      </c>
      <c r="M1048" s="16">
        <f t="shared" ca="1" si="39"/>
        <v>49.953333333333333</v>
      </c>
      <c r="N1048" s="16">
        <f t="shared" ca="1" si="40"/>
        <v>47.093333333333334</v>
      </c>
    </row>
    <row r="1049" spans="1:14" ht="24.75" customHeight="1" x14ac:dyDescent="0.8">
      <c r="A1049" s="18" t="s">
        <v>1012</v>
      </c>
      <c r="B1049" s="10">
        <f ca="1">IFERROR(__xludf.DUMMYFUNCTION("GOOGLEFINANCE(A1049,""PRICE"")"),103.05)</f>
        <v>103.05</v>
      </c>
      <c r="C1049" s="11">
        <f ca="1">IFERROR(__xludf.DUMMYFUNCTION("GOOGLEFINANCE(A1049,""PRICEOPEN"")"),107.39)</f>
        <v>107.39</v>
      </c>
      <c r="D1049" s="11">
        <f ca="1">IFERROR(__xludf.DUMMYFUNCTION("GOOGLEFINANCE(A1049,""HIGH"")"),107.39)</f>
        <v>107.39</v>
      </c>
      <c r="E1049" s="11">
        <f ca="1">IFERROR(__xludf.DUMMYFUNCTION("GOOGLEFINANCE(A1049,""LOW"")"),102.02)</f>
        <v>102.02</v>
      </c>
      <c r="F1049" s="12" t="str">
        <f t="shared" ca="1" si="35"/>
        <v>SELL</v>
      </c>
      <c r="G1049" s="13">
        <f ca="1">IFERROR(__xludf.DUMMYFUNCTION("GOOGLEFINANCE(A1049,""CLOSEYEST"")"),107.39)</f>
        <v>107.39</v>
      </c>
      <c r="H1049" s="14" t="str">
        <f t="shared" ca="1" si="41"/>
        <v/>
      </c>
      <c r="I1049" s="15">
        <f t="shared" ca="1" si="36"/>
        <v>105.60000000000001</v>
      </c>
      <c r="J1049" s="16">
        <f t="shared" ca="1" si="37"/>
        <v>109.18000000000002</v>
      </c>
      <c r="K1049" s="16"/>
      <c r="L1049" s="16">
        <f t="shared" ca="1" si="38"/>
        <v>103.81000000000002</v>
      </c>
      <c r="M1049" s="16">
        <f t="shared" ca="1" si="39"/>
        <v>110.97000000000001</v>
      </c>
      <c r="N1049" s="16">
        <f t="shared" ca="1" si="40"/>
        <v>100.23</v>
      </c>
    </row>
    <row r="1050" spans="1:14" ht="24.75" customHeight="1" x14ac:dyDescent="0.8">
      <c r="A1050" s="18" t="s">
        <v>1013</v>
      </c>
      <c r="B1050" s="10">
        <f ca="1">IFERROR(__xludf.DUMMYFUNCTION("GOOGLEFINANCE(A1050,""PRICE"")"),1.87)</f>
        <v>1.87</v>
      </c>
      <c r="C1050" s="11">
        <f ca="1">IFERROR(__xludf.DUMMYFUNCTION("GOOGLEFINANCE(A1050,""PRICEOPEN"")"),1.97)</f>
        <v>1.97</v>
      </c>
      <c r="D1050" s="11">
        <f ca="1">IFERROR(__xludf.DUMMYFUNCTION("GOOGLEFINANCE(A1050,""HIGH"")"),2.06)</f>
        <v>2.06</v>
      </c>
      <c r="E1050" s="11">
        <f ca="1">IFERROR(__xludf.DUMMYFUNCTION("GOOGLEFINANCE(A1050,""LOW"")"),1.87)</f>
        <v>1.87</v>
      </c>
      <c r="F1050" s="12" t="str">
        <f t="shared" ca="1" si="35"/>
        <v/>
      </c>
      <c r="G1050" s="13">
        <f ca="1">IFERROR(__xludf.DUMMYFUNCTION("GOOGLEFINANCE(A1050,""CLOSEYEST"")"),1.97)</f>
        <v>1.97</v>
      </c>
      <c r="H1050" s="14" t="str">
        <f t="shared" ca="1" si="41"/>
        <v/>
      </c>
      <c r="I1050" s="15">
        <f t="shared" ca="1" si="36"/>
        <v>1.9666666666666668</v>
      </c>
      <c r="J1050" s="16">
        <f t="shared" ca="1" si="37"/>
        <v>2.0633333333333335</v>
      </c>
      <c r="K1050" s="16"/>
      <c r="L1050" s="16">
        <f t="shared" ca="1" si="38"/>
        <v>1.8733333333333335</v>
      </c>
      <c r="M1050" s="16">
        <f t="shared" ca="1" si="39"/>
        <v>2.1566666666666667</v>
      </c>
      <c r="N1050" s="16">
        <f t="shared" ca="1" si="40"/>
        <v>1.7766666666666668</v>
      </c>
    </row>
    <row r="1051" spans="1:14" ht="24.75" customHeight="1" x14ac:dyDescent="0.8">
      <c r="A1051" s="18" t="s">
        <v>1014</v>
      </c>
      <c r="B1051" s="10">
        <f ca="1">IFERROR(__xludf.DUMMYFUNCTION("GOOGLEFINANCE(A1051,""PRICE"")"),258.75)</f>
        <v>258.75</v>
      </c>
      <c r="C1051" s="11">
        <f ca="1">IFERROR(__xludf.DUMMYFUNCTION("GOOGLEFINANCE(A1051,""PRICEOPEN"")"),253.1)</f>
        <v>253.1</v>
      </c>
      <c r="D1051" s="11">
        <f ca="1">IFERROR(__xludf.DUMMYFUNCTION("GOOGLEFINANCE(A1051,""HIGH"")"),258.75)</f>
        <v>258.75</v>
      </c>
      <c r="E1051" s="11">
        <f ca="1">IFERROR(__xludf.DUMMYFUNCTION("GOOGLEFINANCE(A1051,""LOW"")"),251)</f>
        <v>251</v>
      </c>
      <c r="F1051" s="12" t="str">
        <f t="shared" ca="1" si="35"/>
        <v/>
      </c>
      <c r="G1051" s="13">
        <f ca="1">IFERROR(__xludf.DUMMYFUNCTION("GOOGLEFINANCE(A1051,""CLOSEYEST"")"),253.1)</f>
        <v>253.1</v>
      </c>
      <c r="H1051" s="14" t="str">
        <f t="shared" ca="1" si="41"/>
        <v/>
      </c>
      <c r="I1051" s="15">
        <f t="shared" ca="1" si="36"/>
        <v>254.28333333333333</v>
      </c>
      <c r="J1051" s="16">
        <f t="shared" ca="1" si="37"/>
        <v>257.56666666666666</v>
      </c>
      <c r="K1051" s="16"/>
      <c r="L1051" s="16">
        <f t="shared" ca="1" si="38"/>
        <v>249.81666666666666</v>
      </c>
      <c r="M1051" s="16">
        <f t="shared" ca="1" si="39"/>
        <v>262.0333333333333</v>
      </c>
      <c r="N1051" s="16">
        <f t="shared" ca="1" si="40"/>
        <v>246.53333333333333</v>
      </c>
    </row>
    <row r="1052" spans="1:14" ht="24.75" customHeight="1" x14ac:dyDescent="0.8">
      <c r="A1052" s="18" t="s">
        <v>1015</v>
      </c>
      <c r="B1052" s="10">
        <f ca="1">IFERROR(__xludf.DUMMYFUNCTION("GOOGLEFINANCE(A1052,""PRICE"")"),140)</f>
        <v>140</v>
      </c>
      <c r="C1052" s="11">
        <f ca="1">IFERROR(__xludf.DUMMYFUNCTION("GOOGLEFINANCE(A1052,""PRICEOPEN"")"),128.4)</f>
        <v>128.4</v>
      </c>
      <c r="D1052" s="11">
        <f ca="1">IFERROR(__xludf.DUMMYFUNCTION("GOOGLEFINANCE(A1052,""HIGH"")"),140.4)</f>
        <v>140.4</v>
      </c>
      <c r="E1052" s="11">
        <f ca="1">IFERROR(__xludf.DUMMYFUNCTION("GOOGLEFINANCE(A1052,""LOW"")"),127.59)</f>
        <v>127.59</v>
      </c>
      <c r="F1052" s="12" t="str">
        <f t="shared" ca="1" si="35"/>
        <v/>
      </c>
      <c r="G1052" s="13">
        <f ca="1">IFERROR(__xludf.DUMMYFUNCTION("GOOGLEFINANCE(A1052,""CLOSEYEST"")"),128.4)</f>
        <v>128.4</v>
      </c>
      <c r="H1052" s="14" t="str">
        <f t="shared" ca="1" si="41"/>
        <v/>
      </c>
      <c r="I1052" s="15">
        <f t="shared" ca="1" si="36"/>
        <v>132.13</v>
      </c>
      <c r="J1052" s="16">
        <f t="shared" ca="1" si="37"/>
        <v>136.66999999999999</v>
      </c>
      <c r="K1052" s="16"/>
      <c r="L1052" s="16">
        <f t="shared" ca="1" si="38"/>
        <v>123.85999999999999</v>
      </c>
      <c r="M1052" s="16">
        <f t="shared" ca="1" si="39"/>
        <v>144.94</v>
      </c>
      <c r="N1052" s="16">
        <f t="shared" ca="1" si="40"/>
        <v>119.32</v>
      </c>
    </row>
    <row r="1053" spans="1:14" ht="24.75" customHeight="1" x14ac:dyDescent="0.8">
      <c r="A1053" s="18" t="s">
        <v>1016</v>
      </c>
      <c r="B1053" s="10">
        <f ca="1">IFERROR(__xludf.DUMMYFUNCTION("GOOGLEFINANCE(A1053,""PRICE"")"),158)</f>
        <v>158</v>
      </c>
      <c r="C1053" s="11">
        <f ca="1">IFERROR(__xludf.DUMMYFUNCTION("GOOGLEFINANCE(A1053,""PRICEOPEN"")"),155.01)</f>
        <v>155.01</v>
      </c>
      <c r="D1053" s="11">
        <f ca="1">IFERROR(__xludf.DUMMYFUNCTION("GOOGLEFINANCE(A1053,""HIGH"")"),158)</f>
        <v>158</v>
      </c>
      <c r="E1053" s="11">
        <f ca="1">IFERROR(__xludf.DUMMYFUNCTION("GOOGLEFINANCE(A1053,""LOW"")"),151.31)</f>
        <v>151.31</v>
      </c>
      <c r="F1053" s="12" t="str">
        <f t="shared" ca="1" si="35"/>
        <v/>
      </c>
      <c r="G1053" s="13">
        <f ca="1">IFERROR(__xludf.DUMMYFUNCTION("GOOGLEFINANCE(A1053,""CLOSEYEST"")"),156)</f>
        <v>156</v>
      </c>
      <c r="H1053" s="14" t="str">
        <f t="shared" ca="1" si="41"/>
        <v/>
      </c>
      <c r="I1053" s="15">
        <f t="shared" ca="1" si="36"/>
        <v>155.10333333333332</v>
      </c>
      <c r="J1053" s="16">
        <f t="shared" ca="1" si="37"/>
        <v>158.89666666666665</v>
      </c>
      <c r="K1053" s="16"/>
      <c r="L1053" s="16">
        <f t="shared" ca="1" si="38"/>
        <v>152.20666666666665</v>
      </c>
      <c r="M1053" s="16">
        <f t="shared" ca="1" si="39"/>
        <v>161.79333333333332</v>
      </c>
      <c r="N1053" s="16">
        <f t="shared" ca="1" si="40"/>
        <v>148.41333333333333</v>
      </c>
    </row>
    <row r="1054" spans="1:14" ht="24.75" customHeight="1" x14ac:dyDescent="0.8">
      <c r="A1054" s="18" t="s">
        <v>1017</v>
      </c>
      <c r="B1054" s="10">
        <f ca="1">IFERROR(__xludf.DUMMYFUNCTION("GOOGLEFINANCE(A1054,""PRICE"")"),998)</f>
        <v>998</v>
      </c>
      <c r="C1054" s="11">
        <f ca="1">IFERROR(__xludf.DUMMYFUNCTION("GOOGLEFINANCE(A1054,""PRICEOPEN"")"),1011.1)</f>
        <v>1011.1</v>
      </c>
      <c r="D1054" s="11">
        <f ca="1">IFERROR(__xludf.DUMMYFUNCTION("GOOGLEFINANCE(A1054,""HIGH"")"),1011.1)</f>
        <v>1011.1</v>
      </c>
      <c r="E1054" s="11">
        <f ca="1">IFERROR(__xludf.DUMMYFUNCTION("GOOGLEFINANCE(A1054,""LOW"")"),991.45)</f>
        <v>991.45</v>
      </c>
      <c r="F1054" s="12" t="str">
        <f t="shared" ca="1" si="35"/>
        <v>SELL</v>
      </c>
      <c r="G1054" s="13">
        <f ca="1">IFERROR(__xludf.DUMMYFUNCTION("GOOGLEFINANCE(A1054,""CLOSEYEST"")"),1005.85)</f>
        <v>1005.85</v>
      </c>
      <c r="H1054" s="14" t="str">
        <f t="shared" ca="1" si="41"/>
        <v/>
      </c>
      <c r="I1054" s="15">
        <f t="shared" ca="1" si="36"/>
        <v>1002.8000000000001</v>
      </c>
      <c r="J1054" s="16">
        <f t="shared" ca="1" si="37"/>
        <v>1014.1500000000001</v>
      </c>
      <c r="K1054" s="16"/>
      <c r="L1054" s="16">
        <f t="shared" ca="1" si="38"/>
        <v>994.50000000000011</v>
      </c>
      <c r="M1054" s="16">
        <f t="shared" ca="1" si="39"/>
        <v>1022.45</v>
      </c>
      <c r="N1054" s="16">
        <f t="shared" ca="1" si="40"/>
        <v>983.15000000000009</v>
      </c>
    </row>
    <row r="1055" spans="1:14" ht="24.75" customHeight="1" x14ac:dyDescent="0.8">
      <c r="A1055" s="18" t="s">
        <v>1018</v>
      </c>
      <c r="B1055" s="10" t="str">
        <f ca="1">IFERROR(__xludf.DUMMYFUNCTION("GOOGLEFINANCE(A1055,""PRICE"")"),"#N/A")</f>
        <v>#N/A</v>
      </c>
      <c r="C1055" s="11" t="str">
        <f ca="1">IFERROR(__xludf.DUMMYFUNCTION("GOOGLEFINANCE(A1055,""PRICEOPEN"")"),"#N/A")</f>
        <v>#N/A</v>
      </c>
      <c r="D1055" s="11" t="str">
        <f ca="1">IFERROR(__xludf.DUMMYFUNCTION("GOOGLEFINANCE(A1055,""HIGH"")"),"#N/A")</f>
        <v>#N/A</v>
      </c>
      <c r="E1055" s="11" t="str">
        <f ca="1">IFERROR(__xludf.DUMMYFUNCTION("GOOGLEFINANCE(A1055,""LOW"")"),"#N/A")</f>
        <v>#N/A</v>
      </c>
      <c r="F1055" s="12" t="str">
        <f t="shared" ca="1" si="35"/>
        <v>SELL</v>
      </c>
      <c r="G1055" s="13" t="str">
        <f ca="1">IFERROR(__xludf.DUMMYFUNCTION("GOOGLEFINANCE(A1055,""CLOSEYEST"")"),"#N/A")</f>
        <v>#N/A</v>
      </c>
      <c r="H1055" s="14" t="e">
        <f t="shared" ca="1" si="41"/>
        <v>#VALUE!</v>
      </c>
      <c r="I1055" s="15" t="e">
        <f t="shared" ca="1" si="36"/>
        <v>#VALUE!</v>
      </c>
      <c r="J1055" s="16" t="e">
        <f t="shared" ca="1" si="37"/>
        <v>#VALUE!</v>
      </c>
      <c r="K1055" s="16"/>
      <c r="L1055" s="16" t="e">
        <f t="shared" ca="1" si="38"/>
        <v>#VALUE!</v>
      </c>
      <c r="M1055" s="16" t="e">
        <f t="shared" ca="1" si="39"/>
        <v>#VALUE!</v>
      </c>
      <c r="N1055" s="16" t="e">
        <f t="shared" ca="1" si="40"/>
        <v>#VALUE!</v>
      </c>
    </row>
    <row r="1056" spans="1:14" ht="24.75" customHeight="1" x14ac:dyDescent="0.8">
      <c r="A1056" s="18" t="s">
        <v>1019</v>
      </c>
      <c r="B1056" s="10">
        <f ca="1">IFERROR(__xludf.DUMMYFUNCTION("GOOGLEFINANCE(A1056,""PRICE"")"),128.9)</f>
        <v>128.9</v>
      </c>
      <c r="C1056" s="11">
        <f ca="1">IFERROR(__xludf.DUMMYFUNCTION("GOOGLEFINANCE(A1056,""PRICEOPEN"")"),129.6)</f>
        <v>129.6</v>
      </c>
      <c r="D1056" s="11">
        <f ca="1">IFERROR(__xludf.DUMMYFUNCTION("GOOGLEFINANCE(A1056,""HIGH"")"),130.3)</f>
        <v>130.30000000000001</v>
      </c>
      <c r="E1056" s="11">
        <f ca="1">IFERROR(__xludf.DUMMYFUNCTION("GOOGLEFINANCE(A1056,""LOW"")"),126.8)</f>
        <v>126.8</v>
      </c>
      <c r="F1056" s="12" t="str">
        <f t="shared" ca="1" si="35"/>
        <v/>
      </c>
      <c r="G1056" s="13">
        <f ca="1">IFERROR(__xludf.DUMMYFUNCTION("GOOGLEFINANCE(A1056,""CLOSEYEST"")"),128.63)</f>
        <v>128.63</v>
      </c>
      <c r="H1056" s="14" t="str">
        <f t="shared" ca="1" si="41"/>
        <v/>
      </c>
      <c r="I1056" s="15">
        <f t="shared" ca="1" si="36"/>
        <v>128.57666666666668</v>
      </c>
      <c r="J1056" s="16">
        <f t="shared" ca="1" si="37"/>
        <v>130.35333333333335</v>
      </c>
      <c r="K1056" s="16"/>
      <c r="L1056" s="16">
        <f t="shared" ca="1" si="38"/>
        <v>126.85333333333335</v>
      </c>
      <c r="M1056" s="16">
        <f t="shared" ca="1" si="39"/>
        <v>132.07666666666668</v>
      </c>
      <c r="N1056" s="16">
        <f t="shared" ca="1" si="40"/>
        <v>125.07666666666668</v>
      </c>
    </row>
    <row r="1057" spans="1:14" ht="24.75" customHeight="1" x14ac:dyDescent="0.8">
      <c r="A1057" s="18" t="s">
        <v>1020</v>
      </c>
      <c r="B1057" s="10">
        <f ca="1">IFERROR(__xludf.DUMMYFUNCTION("GOOGLEFINANCE(A1057,""PRICE"")"),62.28)</f>
        <v>62.28</v>
      </c>
      <c r="C1057" s="11">
        <f ca="1">IFERROR(__xludf.DUMMYFUNCTION("GOOGLEFINANCE(A1057,""PRICEOPEN"")"),62.35)</f>
        <v>62.35</v>
      </c>
      <c r="D1057" s="11">
        <f ca="1">IFERROR(__xludf.DUMMYFUNCTION("GOOGLEFINANCE(A1057,""HIGH"")"),64.69)</f>
        <v>64.69</v>
      </c>
      <c r="E1057" s="11">
        <f ca="1">IFERROR(__xludf.DUMMYFUNCTION("GOOGLEFINANCE(A1057,""LOW"")"),61.35)</f>
        <v>61.35</v>
      </c>
      <c r="F1057" s="12" t="str">
        <f t="shared" ca="1" si="35"/>
        <v/>
      </c>
      <c r="G1057" s="13">
        <f ca="1">IFERROR(__xludf.DUMMYFUNCTION("GOOGLEFINANCE(A1057,""CLOSEYEST"")"),61.75)</f>
        <v>61.75</v>
      </c>
      <c r="H1057" s="14" t="str">
        <f t="shared" ca="1" si="41"/>
        <v/>
      </c>
      <c r="I1057" s="15">
        <f t="shared" ca="1" si="36"/>
        <v>62.596666666666664</v>
      </c>
      <c r="J1057" s="16">
        <f t="shared" ca="1" si="37"/>
        <v>63.843333333333327</v>
      </c>
      <c r="K1057" s="16"/>
      <c r="L1057" s="16">
        <f t="shared" ca="1" si="38"/>
        <v>60.50333333333333</v>
      </c>
      <c r="M1057" s="16">
        <f t="shared" ca="1" si="39"/>
        <v>65.936666666666667</v>
      </c>
      <c r="N1057" s="16">
        <f t="shared" ca="1" si="40"/>
        <v>59.256666666666668</v>
      </c>
    </row>
    <row r="1058" spans="1:14" ht="24.75" customHeight="1" x14ac:dyDescent="0.8">
      <c r="A1058" s="18" t="s">
        <v>1021</v>
      </c>
      <c r="B1058" s="10">
        <f ca="1">IFERROR(__xludf.DUMMYFUNCTION("GOOGLEFINANCE(A1058,""PRICE"")"),466)</f>
        <v>466</v>
      </c>
      <c r="C1058" s="11">
        <f ca="1">IFERROR(__xludf.DUMMYFUNCTION("GOOGLEFINANCE(A1058,""PRICEOPEN"")"),464.4)</f>
        <v>464.4</v>
      </c>
      <c r="D1058" s="11">
        <f ca="1">IFERROR(__xludf.DUMMYFUNCTION("GOOGLEFINANCE(A1058,""HIGH"")"),472.85)</f>
        <v>472.85</v>
      </c>
      <c r="E1058" s="11">
        <f ca="1">IFERROR(__xludf.DUMMYFUNCTION("GOOGLEFINANCE(A1058,""LOW"")"),464.4)</f>
        <v>464.4</v>
      </c>
      <c r="F1058" s="12" t="str">
        <f t="shared" ca="1" si="35"/>
        <v>BUY</v>
      </c>
      <c r="G1058" s="13">
        <f ca="1">IFERROR(__xludf.DUMMYFUNCTION("GOOGLEFINANCE(A1058,""CLOSEYEST"")"),464.4)</f>
        <v>464.4</v>
      </c>
      <c r="H1058" s="14" t="str">
        <f t="shared" ca="1" si="41"/>
        <v/>
      </c>
      <c r="I1058" s="15">
        <f t="shared" ca="1" si="36"/>
        <v>467.2166666666667</v>
      </c>
      <c r="J1058" s="16">
        <f t="shared" ca="1" si="37"/>
        <v>470.03333333333342</v>
      </c>
      <c r="K1058" s="16"/>
      <c r="L1058" s="16">
        <f t="shared" ca="1" si="38"/>
        <v>461.58333333333337</v>
      </c>
      <c r="M1058" s="16">
        <f t="shared" ca="1" si="39"/>
        <v>475.66666666666674</v>
      </c>
      <c r="N1058" s="16">
        <f t="shared" ca="1" si="40"/>
        <v>458.76666666666665</v>
      </c>
    </row>
    <row r="1059" spans="1:14" ht="24.75" customHeight="1" x14ac:dyDescent="0.8">
      <c r="A1059" s="18" t="s">
        <v>1022</v>
      </c>
      <c r="B1059" s="10">
        <f ca="1">IFERROR(__xludf.DUMMYFUNCTION("GOOGLEFINANCE(A1059,""PRICE"")"),523)</f>
        <v>523</v>
      </c>
      <c r="C1059" s="11">
        <f ca="1">IFERROR(__xludf.DUMMYFUNCTION("GOOGLEFINANCE(A1059,""PRICEOPEN"")"),523.9)</f>
        <v>523.9</v>
      </c>
      <c r="D1059" s="11">
        <f ca="1">IFERROR(__xludf.DUMMYFUNCTION("GOOGLEFINANCE(A1059,""HIGH"")"),529)</f>
        <v>529</v>
      </c>
      <c r="E1059" s="11">
        <f ca="1">IFERROR(__xludf.DUMMYFUNCTION("GOOGLEFINANCE(A1059,""LOW"")"),520.3)</f>
        <v>520.29999999999995</v>
      </c>
      <c r="F1059" s="12" t="str">
        <f t="shared" ca="1" si="35"/>
        <v/>
      </c>
      <c r="G1059" s="13">
        <f ca="1">IFERROR(__xludf.DUMMYFUNCTION("GOOGLEFINANCE(A1059,""CLOSEYEST"")"),526.45)</f>
        <v>526.45000000000005</v>
      </c>
      <c r="H1059" s="14" t="str">
        <f t="shared" ca="1" si="41"/>
        <v/>
      </c>
      <c r="I1059" s="15">
        <f t="shared" ca="1" si="36"/>
        <v>525.25</v>
      </c>
      <c r="J1059" s="16">
        <f t="shared" ca="1" si="37"/>
        <v>530.20000000000005</v>
      </c>
      <c r="K1059" s="16"/>
      <c r="L1059" s="16">
        <f t="shared" ca="1" si="38"/>
        <v>521.5</v>
      </c>
      <c r="M1059" s="16">
        <f t="shared" ca="1" si="39"/>
        <v>533.95000000000005</v>
      </c>
      <c r="N1059" s="16">
        <f t="shared" ca="1" si="40"/>
        <v>516.54999999999995</v>
      </c>
    </row>
    <row r="1060" spans="1:14" ht="24.75" customHeight="1" x14ac:dyDescent="0.8">
      <c r="A1060" s="18" t="s">
        <v>1023</v>
      </c>
      <c r="B1060" s="10">
        <f ca="1">IFERROR(__xludf.DUMMYFUNCTION("GOOGLEFINANCE(A1060,""PRICE"")"),110.5)</f>
        <v>110.5</v>
      </c>
      <c r="C1060" s="11">
        <f ca="1">IFERROR(__xludf.DUMMYFUNCTION("GOOGLEFINANCE(A1060,""PRICEOPEN"")"),109)</f>
        <v>109</v>
      </c>
      <c r="D1060" s="11">
        <f ca="1">IFERROR(__xludf.DUMMYFUNCTION("GOOGLEFINANCE(A1060,""HIGH"")"),113)</f>
        <v>113</v>
      </c>
      <c r="E1060" s="11">
        <f ca="1">IFERROR(__xludf.DUMMYFUNCTION("GOOGLEFINANCE(A1060,""LOW"")"),109)</f>
        <v>109</v>
      </c>
      <c r="F1060" s="12" t="str">
        <f t="shared" ca="1" si="35"/>
        <v>BUY</v>
      </c>
      <c r="G1060" s="13">
        <f ca="1">IFERROR(__xludf.DUMMYFUNCTION("GOOGLEFINANCE(A1060,""CLOSEYEST"")"),109.51)</f>
        <v>109.51</v>
      </c>
      <c r="H1060" s="14" t="str">
        <f t="shared" ca="1" si="41"/>
        <v/>
      </c>
      <c r="I1060" s="15">
        <f t="shared" ca="1" si="36"/>
        <v>110.50333333333333</v>
      </c>
      <c r="J1060" s="16">
        <f t="shared" ca="1" si="37"/>
        <v>112.00666666666666</v>
      </c>
      <c r="K1060" s="16"/>
      <c r="L1060" s="16">
        <f t="shared" ca="1" si="38"/>
        <v>108.00666666666666</v>
      </c>
      <c r="M1060" s="16">
        <f t="shared" ca="1" si="39"/>
        <v>114.50333333333333</v>
      </c>
      <c r="N1060" s="16">
        <f t="shared" ca="1" si="40"/>
        <v>106.50333333333333</v>
      </c>
    </row>
    <row r="1061" spans="1:14" ht="24.75" customHeight="1" x14ac:dyDescent="0.8">
      <c r="A1061" s="18" t="s">
        <v>1024</v>
      </c>
      <c r="B1061" s="10">
        <f ca="1">IFERROR(__xludf.DUMMYFUNCTION("GOOGLEFINANCE(A1061,""PRICE"")"),299)</f>
        <v>299</v>
      </c>
      <c r="C1061" s="11">
        <f ca="1">IFERROR(__xludf.DUMMYFUNCTION("GOOGLEFINANCE(A1061,""PRICEOPEN"")"),293.95)</f>
        <v>293.95</v>
      </c>
      <c r="D1061" s="11">
        <f ca="1">IFERROR(__xludf.DUMMYFUNCTION("GOOGLEFINANCE(A1061,""HIGH"")"),299.8)</f>
        <v>299.8</v>
      </c>
      <c r="E1061" s="11">
        <f ca="1">IFERROR(__xludf.DUMMYFUNCTION("GOOGLEFINANCE(A1061,""LOW"")"),285)</f>
        <v>285</v>
      </c>
      <c r="F1061" s="12" t="str">
        <f t="shared" ca="1" si="35"/>
        <v/>
      </c>
      <c r="G1061" s="13">
        <f ca="1">IFERROR(__xludf.DUMMYFUNCTION("GOOGLEFINANCE(A1061,""CLOSEYEST"")"),293.95)</f>
        <v>293.95</v>
      </c>
      <c r="H1061" s="14" t="str">
        <f t="shared" ca="1" si="41"/>
        <v/>
      </c>
      <c r="I1061" s="15">
        <f t="shared" ca="1" si="36"/>
        <v>292.91666666666669</v>
      </c>
      <c r="J1061" s="16">
        <f t="shared" ca="1" si="37"/>
        <v>300.83333333333337</v>
      </c>
      <c r="K1061" s="16"/>
      <c r="L1061" s="16">
        <f t="shared" ca="1" si="38"/>
        <v>286.03333333333336</v>
      </c>
      <c r="M1061" s="16">
        <f t="shared" ca="1" si="39"/>
        <v>307.7166666666667</v>
      </c>
      <c r="N1061" s="16">
        <f t="shared" ca="1" si="40"/>
        <v>278.11666666666667</v>
      </c>
    </row>
    <row r="1062" spans="1:14" ht="24.75" customHeight="1" x14ac:dyDescent="0.8">
      <c r="A1062" s="18" t="s">
        <v>1025</v>
      </c>
      <c r="B1062" s="10">
        <f ca="1">IFERROR(__xludf.DUMMYFUNCTION("GOOGLEFINANCE(A1062,""PRICE"")"),2488.9)</f>
        <v>2488.9</v>
      </c>
      <c r="C1062" s="11">
        <f ca="1">IFERROR(__xludf.DUMMYFUNCTION("GOOGLEFINANCE(A1062,""PRICEOPEN"")"),2694.9)</f>
        <v>2694.9</v>
      </c>
      <c r="D1062" s="11">
        <f ca="1">IFERROR(__xludf.DUMMYFUNCTION("GOOGLEFINANCE(A1062,""HIGH"")"),2729)</f>
        <v>2729</v>
      </c>
      <c r="E1062" s="11">
        <f ca="1">IFERROR(__xludf.DUMMYFUNCTION("GOOGLEFINANCE(A1062,""LOW"")"),2424.4)</f>
        <v>2424.4</v>
      </c>
      <c r="F1062" s="12" t="str">
        <f t="shared" ca="1" si="35"/>
        <v/>
      </c>
      <c r="G1062" s="13">
        <f ca="1">IFERROR(__xludf.DUMMYFUNCTION("GOOGLEFINANCE(A1062,""CLOSEYEST"")"),2693.7)</f>
        <v>2693.7</v>
      </c>
      <c r="H1062" s="14" t="str">
        <f t="shared" ca="1" si="41"/>
        <v/>
      </c>
      <c r="I1062" s="15">
        <f t="shared" ca="1" si="36"/>
        <v>2615.6999999999998</v>
      </c>
      <c r="J1062" s="16">
        <f t="shared" ca="1" si="37"/>
        <v>2806.9999999999995</v>
      </c>
      <c r="K1062" s="16"/>
      <c r="L1062" s="16">
        <f t="shared" ca="1" si="38"/>
        <v>2502.3999999999996</v>
      </c>
      <c r="M1062" s="16">
        <f t="shared" ca="1" si="39"/>
        <v>2920.2999999999997</v>
      </c>
      <c r="N1062" s="16">
        <f t="shared" ca="1" si="40"/>
        <v>2311.1</v>
      </c>
    </row>
    <row r="1063" spans="1:14" ht="24.75" customHeight="1" x14ac:dyDescent="0.8">
      <c r="A1063" s="18" t="s">
        <v>1026</v>
      </c>
      <c r="B1063" s="10">
        <f ca="1">IFERROR(__xludf.DUMMYFUNCTION("GOOGLEFINANCE(A1063,""PRICE"")"),115.6)</f>
        <v>115.6</v>
      </c>
      <c r="C1063" s="11">
        <f ca="1">IFERROR(__xludf.DUMMYFUNCTION("GOOGLEFINANCE(A1063,""PRICEOPEN"")"),115.26)</f>
        <v>115.26</v>
      </c>
      <c r="D1063" s="11">
        <f ca="1">IFERROR(__xludf.DUMMYFUNCTION("GOOGLEFINANCE(A1063,""HIGH"")"),117.68)</f>
        <v>117.68</v>
      </c>
      <c r="E1063" s="11">
        <f ca="1">IFERROR(__xludf.DUMMYFUNCTION("GOOGLEFINANCE(A1063,""LOW"")"),114.5)</f>
        <v>114.5</v>
      </c>
      <c r="F1063" s="12" t="str">
        <f t="shared" ca="1" si="35"/>
        <v/>
      </c>
      <c r="G1063" s="13">
        <f ca="1">IFERROR(__xludf.DUMMYFUNCTION("GOOGLEFINANCE(A1063,""CLOSEYEST"")"),116.81)</f>
        <v>116.81</v>
      </c>
      <c r="H1063" s="14" t="str">
        <f t="shared" ca="1" si="41"/>
        <v>GAP DOWN</v>
      </c>
      <c r="I1063" s="15">
        <f t="shared" ca="1" si="36"/>
        <v>116.33</v>
      </c>
      <c r="J1063" s="16">
        <f t="shared" ca="1" si="37"/>
        <v>118.16</v>
      </c>
      <c r="K1063" s="16"/>
      <c r="L1063" s="16">
        <f t="shared" ca="1" si="38"/>
        <v>114.97999999999999</v>
      </c>
      <c r="M1063" s="16">
        <f t="shared" ca="1" si="39"/>
        <v>119.51</v>
      </c>
      <c r="N1063" s="16">
        <f t="shared" ca="1" si="40"/>
        <v>113.14999999999999</v>
      </c>
    </row>
    <row r="1064" spans="1:14" ht="24.75" customHeight="1" x14ac:dyDescent="0.8">
      <c r="A1064" s="18" t="s">
        <v>1027</v>
      </c>
      <c r="B1064" s="10">
        <f ca="1">IFERROR(__xludf.DUMMYFUNCTION("GOOGLEFINANCE(A1064,""PRICE"")"),220.01)</f>
        <v>220.01</v>
      </c>
      <c r="C1064" s="11">
        <f ca="1">IFERROR(__xludf.DUMMYFUNCTION("GOOGLEFINANCE(A1064,""PRICEOPEN"")"),218)</f>
        <v>218</v>
      </c>
      <c r="D1064" s="11">
        <f ca="1">IFERROR(__xludf.DUMMYFUNCTION("GOOGLEFINANCE(A1064,""HIGH"")"),223.68)</f>
        <v>223.68</v>
      </c>
      <c r="E1064" s="11">
        <f ca="1">IFERROR(__xludf.DUMMYFUNCTION("GOOGLEFINANCE(A1064,""LOW"")"),218)</f>
        <v>218</v>
      </c>
      <c r="F1064" s="12" t="str">
        <f t="shared" ca="1" si="35"/>
        <v>BUY</v>
      </c>
      <c r="G1064" s="13">
        <f ca="1">IFERROR(__xludf.DUMMYFUNCTION("GOOGLEFINANCE(A1064,""CLOSEYEST"")"),219.15)</f>
        <v>219.15</v>
      </c>
      <c r="H1064" s="14" t="str">
        <f t="shared" ca="1" si="41"/>
        <v/>
      </c>
      <c r="I1064" s="15">
        <f t="shared" ca="1" si="36"/>
        <v>220.27666666666667</v>
      </c>
      <c r="J1064" s="16">
        <f t="shared" ca="1" si="37"/>
        <v>222.55333333333334</v>
      </c>
      <c r="K1064" s="16"/>
      <c r="L1064" s="16">
        <f t="shared" ca="1" si="38"/>
        <v>216.87333333333333</v>
      </c>
      <c r="M1064" s="16">
        <f t="shared" ca="1" si="39"/>
        <v>225.95666666666668</v>
      </c>
      <c r="N1064" s="16">
        <f t="shared" ca="1" si="40"/>
        <v>214.59666666666666</v>
      </c>
    </row>
    <row r="1065" spans="1:14" ht="24.75" customHeight="1" x14ac:dyDescent="0.8">
      <c r="A1065" s="18" t="s">
        <v>1028</v>
      </c>
      <c r="B1065" s="10">
        <f ca="1">IFERROR(__xludf.DUMMYFUNCTION("GOOGLEFINANCE(A1065,""PRICE"")"),395.15)</f>
        <v>395.15</v>
      </c>
      <c r="C1065" s="11">
        <f ca="1">IFERROR(__xludf.DUMMYFUNCTION("GOOGLEFINANCE(A1065,""PRICEOPEN"")"),401)</f>
        <v>401</v>
      </c>
      <c r="D1065" s="11">
        <f ca="1">IFERROR(__xludf.DUMMYFUNCTION("GOOGLEFINANCE(A1065,""HIGH"")"),403.9)</f>
        <v>403.9</v>
      </c>
      <c r="E1065" s="11">
        <f ca="1">IFERROR(__xludf.DUMMYFUNCTION("GOOGLEFINANCE(A1065,""LOW"")"),394)</f>
        <v>394</v>
      </c>
      <c r="F1065" s="12" t="str">
        <f t="shared" ca="1" si="35"/>
        <v/>
      </c>
      <c r="G1065" s="13">
        <f ca="1">IFERROR(__xludf.DUMMYFUNCTION("GOOGLEFINANCE(A1065,""CLOSEYEST"")"),395.95)</f>
        <v>395.95</v>
      </c>
      <c r="H1065" s="14" t="str">
        <f t="shared" ca="1" si="41"/>
        <v>GAP UP</v>
      </c>
      <c r="I1065" s="15">
        <f t="shared" ca="1" si="36"/>
        <v>397.95</v>
      </c>
      <c r="J1065" s="16">
        <f t="shared" ca="1" si="37"/>
        <v>401.9</v>
      </c>
      <c r="K1065" s="16"/>
      <c r="L1065" s="16">
        <f t="shared" ca="1" si="38"/>
        <v>392</v>
      </c>
      <c r="M1065" s="16">
        <f t="shared" ca="1" si="39"/>
        <v>407.84999999999997</v>
      </c>
      <c r="N1065" s="16">
        <f t="shared" ca="1" si="40"/>
        <v>388.05</v>
      </c>
    </row>
    <row r="1066" spans="1:14" ht="24.75" customHeight="1" x14ac:dyDescent="0.8">
      <c r="A1066" s="18" t="s">
        <v>1029</v>
      </c>
      <c r="B1066" s="10">
        <f ca="1">IFERROR(__xludf.DUMMYFUNCTION("GOOGLEFINANCE(A1066,""PRICE"")"),1138)</f>
        <v>1138</v>
      </c>
      <c r="C1066" s="11">
        <f ca="1">IFERROR(__xludf.DUMMYFUNCTION("GOOGLEFINANCE(A1066,""PRICEOPEN"")"),1155)</f>
        <v>1155</v>
      </c>
      <c r="D1066" s="11">
        <f ca="1">IFERROR(__xludf.DUMMYFUNCTION("GOOGLEFINANCE(A1066,""HIGH"")"),1162.3)</f>
        <v>1162.3</v>
      </c>
      <c r="E1066" s="11">
        <f ca="1">IFERROR(__xludf.DUMMYFUNCTION("GOOGLEFINANCE(A1066,""LOW"")"),1131.1)</f>
        <v>1131.0999999999999</v>
      </c>
      <c r="F1066" s="12" t="str">
        <f t="shared" ca="1" si="35"/>
        <v/>
      </c>
      <c r="G1066" s="13">
        <f ca="1">IFERROR(__xludf.DUMMYFUNCTION("GOOGLEFINANCE(A1066,""CLOSEYEST"")"),1150.2)</f>
        <v>1150.2</v>
      </c>
      <c r="H1066" s="14" t="str">
        <f t="shared" ca="1" si="41"/>
        <v/>
      </c>
      <c r="I1066" s="15">
        <f t="shared" ca="1" si="36"/>
        <v>1147.8666666666666</v>
      </c>
      <c r="J1066" s="16">
        <f t="shared" ca="1" si="37"/>
        <v>1164.6333333333332</v>
      </c>
      <c r="K1066" s="16"/>
      <c r="L1066" s="16">
        <f t="shared" ca="1" si="38"/>
        <v>1133.4333333333332</v>
      </c>
      <c r="M1066" s="16">
        <f t="shared" ca="1" si="39"/>
        <v>1179.0666666666666</v>
      </c>
      <c r="N1066" s="16">
        <f t="shared" ca="1" si="40"/>
        <v>1116.6666666666665</v>
      </c>
    </row>
    <row r="1067" spans="1:14" ht="24.75" customHeight="1" x14ac:dyDescent="0.8">
      <c r="A1067" s="18" t="s">
        <v>1030</v>
      </c>
      <c r="B1067" s="10" t="str">
        <f ca="1">IFERROR(__xludf.DUMMYFUNCTION("GOOGLEFINANCE(A1067,""PRICE"")"),"#N/A")</f>
        <v>#N/A</v>
      </c>
      <c r="C1067" s="11" t="str">
        <f ca="1">IFERROR(__xludf.DUMMYFUNCTION("GOOGLEFINANCE(A1067,""PRICEOPEN"")"),"#N/A")</f>
        <v>#N/A</v>
      </c>
      <c r="D1067" s="11" t="str">
        <f ca="1">IFERROR(__xludf.DUMMYFUNCTION("GOOGLEFINANCE(A1067,""HIGH"")"),"#N/A")</f>
        <v>#N/A</v>
      </c>
      <c r="E1067" s="11" t="str">
        <f ca="1">IFERROR(__xludf.DUMMYFUNCTION("GOOGLEFINANCE(A1067,""LOW"")"),"#N/A")</f>
        <v>#N/A</v>
      </c>
      <c r="F1067" s="12" t="str">
        <f t="shared" ca="1" si="35"/>
        <v>SELL</v>
      </c>
      <c r="G1067" s="13" t="str">
        <f ca="1">IFERROR(__xludf.DUMMYFUNCTION("GOOGLEFINANCE(A1067,""CLOSEYEST"")"),"#N/A")</f>
        <v>#N/A</v>
      </c>
      <c r="H1067" s="14" t="e">
        <f t="shared" ca="1" si="41"/>
        <v>#VALUE!</v>
      </c>
      <c r="I1067" s="15" t="e">
        <f t="shared" ca="1" si="36"/>
        <v>#VALUE!</v>
      </c>
      <c r="J1067" s="16" t="e">
        <f t="shared" ca="1" si="37"/>
        <v>#VALUE!</v>
      </c>
      <c r="K1067" s="16"/>
      <c r="L1067" s="16" t="e">
        <f t="shared" ca="1" si="38"/>
        <v>#VALUE!</v>
      </c>
      <c r="M1067" s="16" t="e">
        <f t="shared" ca="1" si="39"/>
        <v>#VALUE!</v>
      </c>
      <c r="N1067" s="16" t="e">
        <f t="shared" ca="1" si="40"/>
        <v>#VALUE!</v>
      </c>
    </row>
    <row r="1068" spans="1:14" ht="24.75" customHeight="1" x14ac:dyDescent="0.8">
      <c r="A1068" s="18" t="s">
        <v>1031</v>
      </c>
      <c r="B1068" s="10">
        <f ca="1">IFERROR(__xludf.DUMMYFUNCTION("GOOGLEFINANCE(A1068,""PRICE"")"),652)</f>
        <v>652</v>
      </c>
      <c r="C1068" s="11">
        <f ca="1">IFERROR(__xludf.DUMMYFUNCTION("GOOGLEFINANCE(A1068,""PRICEOPEN"")"),664.5)</f>
        <v>664.5</v>
      </c>
      <c r="D1068" s="11">
        <f ca="1">IFERROR(__xludf.DUMMYFUNCTION("GOOGLEFINANCE(A1068,""HIGH"")"),665.15)</f>
        <v>665.15</v>
      </c>
      <c r="E1068" s="11">
        <f ca="1">IFERROR(__xludf.DUMMYFUNCTION("GOOGLEFINANCE(A1068,""LOW"")"),648.2)</f>
        <v>648.20000000000005</v>
      </c>
      <c r="F1068" s="12" t="str">
        <f t="shared" ca="1" si="35"/>
        <v/>
      </c>
      <c r="G1068" s="13">
        <f ca="1">IFERROR(__xludf.DUMMYFUNCTION("GOOGLEFINANCE(A1068,""CLOSEYEST"")"),656.1)</f>
        <v>656.1</v>
      </c>
      <c r="H1068" s="14" t="str">
        <f t="shared" ca="1" si="41"/>
        <v>GAP UP</v>
      </c>
      <c r="I1068" s="15">
        <f t="shared" ca="1" si="36"/>
        <v>656.48333333333323</v>
      </c>
      <c r="J1068" s="16">
        <f t="shared" ca="1" si="37"/>
        <v>664.76666666666642</v>
      </c>
      <c r="K1068" s="16"/>
      <c r="L1068" s="16">
        <f t="shared" ca="1" si="38"/>
        <v>647.81666666666649</v>
      </c>
      <c r="M1068" s="16">
        <f t="shared" ca="1" si="39"/>
        <v>673.43333333333317</v>
      </c>
      <c r="N1068" s="16">
        <f t="shared" ca="1" si="40"/>
        <v>639.5333333333333</v>
      </c>
    </row>
    <row r="1069" spans="1:14" ht="24.75" customHeight="1" x14ac:dyDescent="0.8">
      <c r="A1069" s="18" t="s">
        <v>1032</v>
      </c>
      <c r="B1069" s="10">
        <f ca="1">IFERROR(__xludf.DUMMYFUNCTION("GOOGLEFINANCE(A1069,""PRICE"")"),79.56)</f>
        <v>79.56</v>
      </c>
      <c r="C1069" s="11">
        <f ca="1">IFERROR(__xludf.DUMMYFUNCTION("GOOGLEFINANCE(A1069,""PRICEOPEN"")"),79.61)</f>
        <v>79.61</v>
      </c>
      <c r="D1069" s="11">
        <f ca="1">IFERROR(__xludf.DUMMYFUNCTION("GOOGLEFINANCE(A1069,""HIGH"")"),81.39)</f>
        <v>81.39</v>
      </c>
      <c r="E1069" s="11">
        <f ca="1">IFERROR(__xludf.DUMMYFUNCTION("GOOGLEFINANCE(A1069,""LOW"")"),79)</f>
        <v>79</v>
      </c>
      <c r="F1069" s="12" t="str">
        <f t="shared" ca="1" si="35"/>
        <v/>
      </c>
      <c r="G1069" s="13">
        <f ca="1">IFERROR(__xludf.DUMMYFUNCTION("GOOGLEFINANCE(A1069,""CLOSEYEST"")"),80.45)</f>
        <v>80.45</v>
      </c>
      <c r="H1069" s="14" t="str">
        <f t="shared" ca="1" si="41"/>
        <v>GAP DOWN</v>
      </c>
      <c r="I1069" s="15">
        <f t="shared" ca="1" si="36"/>
        <v>80.279999999999987</v>
      </c>
      <c r="J1069" s="16">
        <f t="shared" ca="1" si="37"/>
        <v>81.559999999999974</v>
      </c>
      <c r="K1069" s="16"/>
      <c r="L1069" s="16">
        <f t="shared" ca="1" si="38"/>
        <v>79.169999999999973</v>
      </c>
      <c r="M1069" s="16">
        <f t="shared" ca="1" si="39"/>
        <v>82.669999999999987</v>
      </c>
      <c r="N1069" s="16">
        <f t="shared" ca="1" si="40"/>
        <v>77.889999999999986</v>
      </c>
    </row>
    <row r="1070" spans="1:14" ht="24.75" customHeight="1" x14ac:dyDescent="0.8">
      <c r="A1070" s="18" t="s">
        <v>1033</v>
      </c>
      <c r="B1070" s="10">
        <f ca="1">IFERROR(__xludf.DUMMYFUNCTION("GOOGLEFINANCE(A1070,""PRICE"")"),14.39)</f>
        <v>14.39</v>
      </c>
      <c r="C1070" s="11">
        <f ca="1">IFERROR(__xludf.DUMMYFUNCTION("GOOGLEFINANCE(A1070,""PRICEOPEN"")"),14.11)</f>
        <v>14.11</v>
      </c>
      <c r="D1070" s="11">
        <f ca="1">IFERROR(__xludf.DUMMYFUNCTION("GOOGLEFINANCE(A1070,""HIGH"")"),14.39)</f>
        <v>14.39</v>
      </c>
      <c r="E1070" s="11">
        <f ca="1">IFERROR(__xludf.DUMMYFUNCTION("GOOGLEFINANCE(A1070,""LOW"")"),14.11)</f>
        <v>14.11</v>
      </c>
      <c r="F1070" s="12" t="str">
        <f t="shared" ca="1" si="35"/>
        <v>BUY</v>
      </c>
      <c r="G1070" s="13">
        <f ca="1">IFERROR(__xludf.DUMMYFUNCTION("GOOGLEFINANCE(A1070,""CLOSEYEST"")"),14.11)</f>
        <v>14.11</v>
      </c>
      <c r="H1070" s="14" t="str">
        <f t="shared" ca="1" si="41"/>
        <v/>
      </c>
      <c r="I1070" s="15">
        <f t="shared" ca="1" si="36"/>
        <v>14.203333333333333</v>
      </c>
      <c r="J1070" s="16">
        <f t="shared" ca="1" si="37"/>
        <v>14.296666666666667</v>
      </c>
      <c r="K1070" s="16"/>
      <c r="L1070" s="16">
        <f t="shared" ca="1" si="38"/>
        <v>14.016666666666666</v>
      </c>
      <c r="M1070" s="16">
        <f t="shared" ca="1" si="39"/>
        <v>14.483333333333334</v>
      </c>
      <c r="N1070" s="16">
        <f t="shared" ca="1" si="40"/>
        <v>13.923333333333332</v>
      </c>
    </row>
    <row r="1071" spans="1:14" ht="24.75" customHeight="1" x14ac:dyDescent="0.8">
      <c r="A1071" s="18" t="s">
        <v>1034</v>
      </c>
      <c r="B1071" s="10">
        <f ca="1">IFERROR(__xludf.DUMMYFUNCTION("GOOGLEFINANCE(A1071,""PRICE"")"),70.91)</f>
        <v>70.91</v>
      </c>
      <c r="C1071" s="11">
        <f ca="1">IFERROR(__xludf.DUMMYFUNCTION("GOOGLEFINANCE(A1071,""PRICEOPEN"")"),67.39)</f>
        <v>67.39</v>
      </c>
      <c r="D1071" s="11">
        <f ca="1">IFERROR(__xludf.DUMMYFUNCTION("GOOGLEFINANCE(A1071,""HIGH"")"),72.17)</f>
        <v>72.17</v>
      </c>
      <c r="E1071" s="11">
        <f ca="1">IFERROR(__xludf.DUMMYFUNCTION("GOOGLEFINANCE(A1071,""LOW"")"),66)</f>
        <v>66</v>
      </c>
      <c r="F1071" s="12" t="str">
        <f t="shared" ca="1" si="35"/>
        <v/>
      </c>
      <c r="G1071" s="13">
        <f ca="1">IFERROR(__xludf.DUMMYFUNCTION("GOOGLEFINANCE(A1071,""CLOSEYEST"")"),67.48)</f>
        <v>67.48</v>
      </c>
      <c r="H1071" s="14" t="str">
        <f t="shared" ca="1" si="41"/>
        <v/>
      </c>
      <c r="I1071" s="15">
        <f t="shared" ca="1" si="36"/>
        <v>68.550000000000011</v>
      </c>
      <c r="J1071" s="16">
        <f t="shared" ca="1" si="37"/>
        <v>71.100000000000023</v>
      </c>
      <c r="K1071" s="16"/>
      <c r="L1071" s="16">
        <f t="shared" ca="1" si="38"/>
        <v>64.930000000000021</v>
      </c>
      <c r="M1071" s="16">
        <f t="shared" ca="1" si="39"/>
        <v>74.720000000000013</v>
      </c>
      <c r="N1071" s="16">
        <f t="shared" ca="1" si="40"/>
        <v>62.38000000000001</v>
      </c>
    </row>
    <row r="1072" spans="1:14" ht="24.75" customHeight="1" x14ac:dyDescent="0.8">
      <c r="A1072" s="18" t="s">
        <v>1035</v>
      </c>
      <c r="B1072" s="10">
        <f ca="1">IFERROR(__xludf.DUMMYFUNCTION("GOOGLEFINANCE(A1072,""PRICE"")"),8.94)</f>
        <v>8.94</v>
      </c>
      <c r="C1072" s="11">
        <f ca="1">IFERROR(__xludf.DUMMYFUNCTION("GOOGLEFINANCE(A1072,""PRICEOPEN"")"),9.01)</f>
        <v>9.01</v>
      </c>
      <c r="D1072" s="11">
        <f ca="1">IFERROR(__xludf.DUMMYFUNCTION("GOOGLEFINANCE(A1072,""HIGH"")"),9.03)</f>
        <v>9.0299999999999994</v>
      </c>
      <c r="E1072" s="11">
        <f ca="1">IFERROR(__xludf.DUMMYFUNCTION("GOOGLEFINANCE(A1072,""LOW"")"),8.81)</f>
        <v>8.81</v>
      </c>
      <c r="F1072" s="12" t="str">
        <f t="shared" ca="1" si="35"/>
        <v/>
      </c>
      <c r="G1072" s="13">
        <f ca="1">IFERROR(__xludf.DUMMYFUNCTION("GOOGLEFINANCE(A1072,""CLOSEYEST"")"),8.98)</f>
        <v>8.98</v>
      </c>
      <c r="H1072" s="14" t="str">
        <f t="shared" ca="1" si="41"/>
        <v/>
      </c>
      <c r="I1072" s="15">
        <f t="shared" ca="1" si="36"/>
        <v>8.94</v>
      </c>
      <c r="J1072" s="16">
        <f t="shared" ca="1" si="37"/>
        <v>9.0699999999999985</v>
      </c>
      <c r="K1072" s="16"/>
      <c r="L1072" s="16">
        <f t="shared" ca="1" si="38"/>
        <v>8.85</v>
      </c>
      <c r="M1072" s="16">
        <f t="shared" ca="1" si="39"/>
        <v>9.1599999999999984</v>
      </c>
      <c r="N1072" s="16">
        <f t="shared" ca="1" si="40"/>
        <v>8.7200000000000006</v>
      </c>
    </row>
    <row r="1073" spans="1:14" ht="24.75" customHeight="1" x14ac:dyDescent="0.8">
      <c r="A1073" s="18" t="s">
        <v>1036</v>
      </c>
      <c r="B1073" s="10">
        <f ca="1">IFERROR(__xludf.DUMMYFUNCTION("GOOGLEFINANCE(A1073,""PRICE"")"),58.31)</f>
        <v>58.31</v>
      </c>
      <c r="C1073" s="11">
        <f ca="1">IFERROR(__xludf.DUMMYFUNCTION("GOOGLEFINANCE(A1073,""PRICEOPEN"")"),57.86)</f>
        <v>57.86</v>
      </c>
      <c r="D1073" s="11">
        <f ca="1">IFERROR(__xludf.DUMMYFUNCTION("GOOGLEFINANCE(A1073,""HIGH"")"),59.2)</f>
        <v>59.2</v>
      </c>
      <c r="E1073" s="11">
        <f ca="1">IFERROR(__xludf.DUMMYFUNCTION("GOOGLEFINANCE(A1073,""LOW"")"),57.64)</f>
        <v>57.64</v>
      </c>
      <c r="F1073" s="12" t="str">
        <f t="shared" ca="1" si="35"/>
        <v/>
      </c>
      <c r="G1073" s="13">
        <f ca="1">IFERROR(__xludf.DUMMYFUNCTION("GOOGLEFINANCE(A1073,""CLOSEYEST"")"),57.86)</f>
        <v>57.86</v>
      </c>
      <c r="H1073" s="14" t="str">
        <f t="shared" ca="1" si="41"/>
        <v/>
      </c>
      <c r="I1073" s="15">
        <f t="shared" ca="1" si="36"/>
        <v>58.233333333333327</v>
      </c>
      <c r="J1073" s="16">
        <f t="shared" ca="1" si="37"/>
        <v>58.826666666666654</v>
      </c>
      <c r="K1073" s="16"/>
      <c r="L1073" s="16">
        <f t="shared" ca="1" si="38"/>
        <v>57.266666666666652</v>
      </c>
      <c r="M1073" s="16">
        <f t="shared" ca="1" si="39"/>
        <v>59.793333333333329</v>
      </c>
      <c r="N1073" s="16">
        <f t="shared" ca="1" si="40"/>
        <v>56.673333333333325</v>
      </c>
    </row>
    <row r="1074" spans="1:14" ht="24.75" customHeight="1" x14ac:dyDescent="0.8">
      <c r="A1074" s="18" t="s">
        <v>1037</v>
      </c>
      <c r="B1074" s="10">
        <f ca="1">IFERROR(__xludf.DUMMYFUNCTION("GOOGLEFINANCE(A1074,""PRICE"")"),29.62)</f>
        <v>29.62</v>
      </c>
      <c r="C1074" s="11">
        <f ca="1">IFERROR(__xludf.DUMMYFUNCTION("GOOGLEFINANCE(A1074,""PRICEOPEN"")"),28.84)</f>
        <v>28.84</v>
      </c>
      <c r="D1074" s="11">
        <f ca="1">IFERROR(__xludf.DUMMYFUNCTION("GOOGLEFINANCE(A1074,""HIGH"")"),30)</f>
        <v>30</v>
      </c>
      <c r="E1074" s="11">
        <f ca="1">IFERROR(__xludf.DUMMYFUNCTION("GOOGLEFINANCE(A1074,""LOW"")"),28.65)</f>
        <v>28.65</v>
      </c>
      <c r="F1074" s="12" t="str">
        <f t="shared" ca="1" si="35"/>
        <v/>
      </c>
      <c r="G1074" s="13">
        <f ca="1">IFERROR(__xludf.DUMMYFUNCTION("GOOGLEFINANCE(A1074,""CLOSEYEST"")"),28.8)</f>
        <v>28.8</v>
      </c>
      <c r="H1074" s="14" t="str">
        <f t="shared" ca="1" si="41"/>
        <v/>
      </c>
      <c r="I1074" s="15">
        <f t="shared" ca="1" si="36"/>
        <v>29.150000000000002</v>
      </c>
      <c r="J1074" s="16">
        <f t="shared" ca="1" si="37"/>
        <v>29.650000000000006</v>
      </c>
      <c r="K1074" s="16"/>
      <c r="L1074" s="16">
        <f t="shared" ca="1" si="38"/>
        <v>28.300000000000004</v>
      </c>
      <c r="M1074" s="16">
        <f t="shared" ca="1" si="39"/>
        <v>30.500000000000004</v>
      </c>
      <c r="N1074" s="16">
        <f t="shared" ca="1" si="40"/>
        <v>27.8</v>
      </c>
    </row>
    <row r="1075" spans="1:14" ht="24.75" customHeight="1" x14ac:dyDescent="0.8">
      <c r="A1075" s="18" t="s">
        <v>1038</v>
      </c>
      <c r="B1075" s="10">
        <f ca="1">IFERROR(__xludf.DUMMYFUNCTION("GOOGLEFINANCE(A1075,""PRICE"")"),2267)</f>
        <v>2267</v>
      </c>
      <c r="C1075" s="11">
        <f ca="1">IFERROR(__xludf.DUMMYFUNCTION("GOOGLEFINANCE(A1075,""PRICEOPEN"")"),2242.9)</f>
        <v>2242.9</v>
      </c>
      <c r="D1075" s="11">
        <f ca="1">IFERROR(__xludf.DUMMYFUNCTION("GOOGLEFINANCE(A1075,""HIGH"")"),2355.3)</f>
        <v>2355.3000000000002</v>
      </c>
      <c r="E1075" s="11">
        <f ca="1">IFERROR(__xludf.DUMMYFUNCTION("GOOGLEFINANCE(A1075,""LOW"")"),2220.5)</f>
        <v>2220.5</v>
      </c>
      <c r="F1075" s="12" t="str">
        <f t="shared" ca="1" si="35"/>
        <v/>
      </c>
      <c r="G1075" s="13">
        <f ca="1">IFERROR(__xludf.DUMMYFUNCTION("GOOGLEFINANCE(A1075,""CLOSEYEST"")"),2225.1)</f>
        <v>2225.1</v>
      </c>
      <c r="H1075" s="14" t="str">
        <f t="shared" ca="1" si="41"/>
        <v/>
      </c>
      <c r="I1075" s="15">
        <f t="shared" ca="1" si="36"/>
        <v>2266.9666666666667</v>
      </c>
      <c r="J1075" s="16">
        <f t="shared" ca="1" si="37"/>
        <v>2313.4333333333334</v>
      </c>
      <c r="K1075" s="16"/>
      <c r="L1075" s="16">
        <f t="shared" ca="1" si="38"/>
        <v>2178.6333333333332</v>
      </c>
      <c r="M1075" s="16">
        <f t="shared" ca="1" si="39"/>
        <v>2401.7666666666669</v>
      </c>
      <c r="N1075" s="16">
        <f t="shared" ca="1" si="40"/>
        <v>2132.1666666666665</v>
      </c>
    </row>
    <row r="1076" spans="1:14" ht="24.75" customHeight="1" x14ac:dyDescent="0.8">
      <c r="A1076" s="18" t="s">
        <v>1039</v>
      </c>
      <c r="B1076" s="10">
        <f ca="1">IFERROR(__xludf.DUMMYFUNCTION("GOOGLEFINANCE(A1076,""PRICE"")"),262.96)</f>
        <v>262.95999999999998</v>
      </c>
      <c r="C1076" s="11">
        <f ca="1">IFERROR(__xludf.DUMMYFUNCTION("GOOGLEFINANCE(A1076,""PRICEOPEN"")"),262.96)</f>
        <v>262.95999999999998</v>
      </c>
      <c r="D1076" s="11">
        <f ca="1">IFERROR(__xludf.DUMMYFUNCTION("GOOGLEFINANCE(A1076,""HIGH"")"),262.96)</f>
        <v>262.95999999999998</v>
      </c>
      <c r="E1076" s="11">
        <f ca="1">IFERROR(__xludf.DUMMYFUNCTION("GOOGLEFINANCE(A1076,""LOW"")"),262.96)</f>
        <v>262.95999999999998</v>
      </c>
      <c r="F1076" s="12" t="str">
        <f t="shared" ca="1" si="35"/>
        <v>SELL</v>
      </c>
      <c r="G1076" s="13">
        <f ca="1">IFERROR(__xludf.DUMMYFUNCTION("GOOGLEFINANCE(A1076,""CLOSEYEST"")"),250.44)</f>
        <v>250.44</v>
      </c>
      <c r="H1076" s="14" t="str">
        <f t="shared" ca="1" si="41"/>
        <v>GAP UP</v>
      </c>
      <c r="I1076" s="15">
        <f t="shared" ca="1" si="36"/>
        <v>258.78666666666663</v>
      </c>
      <c r="J1076" s="16">
        <f t="shared" ca="1" si="37"/>
        <v>254.61333333333329</v>
      </c>
      <c r="K1076" s="16"/>
      <c r="L1076" s="16">
        <f t="shared" ca="1" si="38"/>
        <v>254.61333333333329</v>
      </c>
      <c r="M1076" s="16">
        <f t="shared" ca="1" si="39"/>
        <v>258.78666666666663</v>
      </c>
      <c r="N1076" s="16">
        <f t="shared" ca="1" si="40"/>
        <v>258.78666666666663</v>
      </c>
    </row>
    <row r="1077" spans="1:14" ht="24.75" customHeight="1" x14ac:dyDescent="0.8">
      <c r="A1077" s="18" t="s">
        <v>1040</v>
      </c>
      <c r="B1077" s="10">
        <f ca="1">IFERROR(__xludf.DUMMYFUNCTION("GOOGLEFINANCE(A1077,""PRICE"")"),26.92)</f>
        <v>26.92</v>
      </c>
      <c r="C1077" s="11">
        <f ca="1">IFERROR(__xludf.DUMMYFUNCTION("GOOGLEFINANCE(A1077,""PRICEOPEN"")"),27.02)</f>
        <v>27.02</v>
      </c>
      <c r="D1077" s="11">
        <f ca="1">IFERROR(__xludf.DUMMYFUNCTION("GOOGLEFINANCE(A1077,""HIGH"")"),27.05)</f>
        <v>27.05</v>
      </c>
      <c r="E1077" s="11">
        <f ca="1">IFERROR(__xludf.DUMMYFUNCTION("GOOGLEFINANCE(A1077,""LOW"")"),26.92)</f>
        <v>26.92</v>
      </c>
      <c r="F1077" s="12" t="str">
        <f t="shared" ca="1" si="35"/>
        <v/>
      </c>
      <c r="G1077" s="13">
        <f ca="1">IFERROR(__xludf.DUMMYFUNCTION("GOOGLEFINANCE(A1077,""CLOSEYEST"")"),27)</f>
        <v>27</v>
      </c>
      <c r="H1077" s="14" t="str">
        <f t="shared" ca="1" si="41"/>
        <v/>
      </c>
      <c r="I1077" s="15">
        <f t="shared" ca="1" si="36"/>
        <v>26.99</v>
      </c>
      <c r="J1077" s="16">
        <f t="shared" ca="1" si="37"/>
        <v>27.059999999999995</v>
      </c>
      <c r="K1077" s="16"/>
      <c r="L1077" s="16">
        <f t="shared" ca="1" si="38"/>
        <v>26.929999999999996</v>
      </c>
      <c r="M1077" s="16">
        <f t="shared" ca="1" si="39"/>
        <v>27.119999999999997</v>
      </c>
      <c r="N1077" s="16">
        <f t="shared" ca="1" si="40"/>
        <v>26.86</v>
      </c>
    </row>
    <row r="1078" spans="1:14" ht="24.75" customHeight="1" x14ac:dyDescent="0.8">
      <c r="A1078" s="18" t="s">
        <v>1041</v>
      </c>
      <c r="B1078" s="10">
        <f ca="1">IFERROR(__xludf.DUMMYFUNCTION("GOOGLEFINANCE(A1078,""PRICE"")"),11.71)</f>
        <v>11.71</v>
      </c>
      <c r="C1078" s="11">
        <f ca="1">IFERROR(__xludf.DUMMYFUNCTION("GOOGLEFINANCE(A1078,""PRICEOPEN"")"),11.32)</f>
        <v>11.32</v>
      </c>
      <c r="D1078" s="11">
        <f ca="1">IFERROR(__xludf.DUMMYFUNCTION("GOOGLEFINANCE(A1078,""HIGH"")"),11.84)</f>
        <v>11.84</v>
      </c>
      <c r="E1078" s="11">
        <f ca="1">IFERROR(__xludf.DUMMYFUNCTION("GOOGLEFINANCE(A1078,""LOW"")"),11.32)</f>
        <v>11.32</v>
      </c>
      <c r="F1078" s="12" t="str">
        <f t="shared" ca="1" si="35"/>
        <v>BUY</v>
      </c>
      <c r="G1078" s="13">
        <f ca="1">IFERROR(__xludf.DUMMYFUNCTION("GOOGLEFINANCE(A1078,""CLOSEYEST"")"),11.48)</f>
        <v>11.48</v>
      </c>
      <c r="H1078" s="14" t="str">
        <f t="shared" ca="1" si="41"/>
        <v>GAP DOWN</v>
      </c>
      <c r="I1078" s="15">
        <f t="shared" ca="1" si="36"/>
        <v>11.546666666666667</v>
      </c>
      <c r="J1078" s="16">
        <f t="shared" ca="1" si="37"/>
        <v>11.773333333333333</v>
      </c>
      <c r="K1078" s="16"/>
      <c r="L1078" s="16">
        <f t="shared" ca="1" si="38"/>
        <v>11.253333333333334</v>
      </c>
      <c r="M1078" s="16">
        <f t="shared" ca="1" si="39"/>
        <v>12.066666666666666</v>
      </c>
      <c r="N1078" s="16">
        <f t="shared" ca="1" si="40"/>
        <v>11.026666666666667</v>
      </c>
    </row>
    <row r="1079" spans="1:14" ht="24.75" customHeight="1" x14ac:dyDescent="0.8">
      <c r="A1079" s="18" t="s">
        <v>1042</v>
      </c>
      <c r="B1079" s="10" t="str">
        <f ca="1">IFERROR(__xludf.DUMMYFUNCTION("GOOGLEFINANCE(A1079,""PRICE"")"),"#N/A")</f>
        <v>#N/A</v>
      </c>
      <c r="C1079" s="11" t="str">
        <f ca="1">IFERROR(__xludf.DUMMYFUNCTION("GOOGLEFINANCE(A1079,""PRICEOPEN"")"),"#N/A")</f>
        <v>#N/A</v>
      </c>
      <c r="D1079" s="11" t="str">
        <f ca="1">IFERROR(__xludf.DUMMYFUNCTION("GOOGLEFINANCE(A1079,""HIGH"")"),"#N/A")</f>
        <v>#N/A</v>
      </c>
      <c r="E1079" s="11" t="str">
        <f ca="1">IFERROR(__xludf.DUMMYFUNCTION("GOOGLEFINANCE(A1079,""LOW"")"),"#N/A")</f>
        <v>#N/A</v>
      </c>
      <c r="F1079" s="12" t="str">
        <f t="shared" ca="1" si="35"/>
        <v>SELL</v>
      </c>
      <c r="G1079" s="13" t="str">
        <f ca="1">IFERROR(__xludf.DUMMYFUNCTION("GOOGLEFINANCE(A1079,""CLOSEYEST"")"),"#N/A")</f>
        <v>#N/A</v>
      </c>
      <c r="H1079" s="14" t="e">
        <f t="shared" ca="1" si="41"/>
        <v>#VALUE!</v>
      </c>
      <c r="I1079" s="15" t="e">
        <f t="shared" ca="1" si="36"/>
        <v>#VALUE!</v>
      </c>
      <c r="J1079" s="16" t="e">
        <f t="shared" ca="1" si="37"/>
        <v>#VALUE!</v>
      </c>
      <c r="K1079" s="16"/>
      <c r="L1079" s="16" t="e">
        <f t="shared" ca="1" si="38"/>
        <v>#VALUE!</v>
      </c>
      <c r="M1079" s="16" t="e">
        <f t="shared" ca="1" si="39"/>
        <v>#VALUE!</v>
      </c>
      <c r="N1079" s="16" t="e">
        <f t="shared" ca="1" si="40"/>
        <v>#VALUE!</v>
      </c>
    </row>
    <row r="1080" spans="1:14" ht="24.75" customHeight="1" x14ac:dyDescent="0.8">
      <c r="A1080" s="18" t="s">
        <v>1043</v>
      </c>
      <c r="B1080" s="10">
        <f ca="1">IFERROR(__xludf.DUMMYFUNCTION("GOOGLEFINANCE(A1080,""PRICE"")"),291)</f>
        <v>291</v>
      </c>
      <c r="C1080" s="11">
        <f ca="1">IFERROR(__xludf.DUMMYFUNCTION("GOOGLEFINANCE(A1080,""PRICEOPEN"")"),294.45)</f>
        <v>294.45</v>
      </c>
      <c r="D1080" s="11">
        <f ca="1">IFERROR(__xludf.DUMMYFUNCTION("GOOGLEFINANCE(A1080,""HIGH"")"),294.45)</f>
        <v>294.45</v>
      </c>
      <c r="E1080" s="11">
        <f ca="1">IFERROR(__xludf.DUMMYFUNCTION("GOOGLEFINANCE(A1080,""LOW"")"),286)</f>
        <v>286</v>
      </c>
      <c r="F1080" s="12" t="str">
        <f t="shared" ca="1" si="35"/>
        <v>SELL</v>
      </c>
      <c r="G1080" s="13">
        <f ca="1">IFERROR(__xludf.DUMMYFUNCTION("GOOGLEFINANCE(A1080,""CLOSEYEST"")"),287.5)</f>
        <v>287.5</v>
      </c>
      <c r="H1080" s="14" t="str">
        <f t="shared" ca="1" si="41"/>
        <v>GAP UP</v>
      </c>
      <c r="I1080" s="15">
        <f t="shared" ca="1" si="36"/>
        <v>289.31666666666666</v>
      </c>
      <c r="J1080" s="16">
        <f t="shared" ca="1" si="37"/>
        <v>292.63333333333333</v>
      </c>
      <c r="K1080" s="16"/>
      <c r="L1080" s="16">
        <f t="shared" ca="1" si="38"/>
        <v>284.18333333333334</v>
      </c>
      <c r="M1080" s="16">
        <f t="shared" ca="1" si="39"/>
        <v>297.76666666666665</v>
      </c>
      <c r="N1080" s="16">
        <f t="shared" ca="1" si="40"/>
        <v>280.86666666666667</v>
      </c>
    </row>
    <row r="1081" spans="1:14" ht="24.75" customHeight="1" x14ac:dyDescent="0.8">
      <c r="A1081" s="18" t="s">
        <v>1044</v>
      </c>
      <c r="B1081" s="10">
        <f ca="1">IFERROR(__xludf.DUMMYFUNCTION("GOOGLEFINANCE(A1081,""PRICE"")"),254.05)</f>
        <v>254.05</v>
      </c>
      <c r="C1081" s="11">
        <f ca="1">IFERROR(__xludf.DUMMYFUNCTION("GOOGLEFINANCE(A1081,""PRICEOPEN"")"),257.4)</f>
        <v>257.39999999999998</v>
      </c>
      <c r="D1081" s="11">
        <f ca="1">IFERROR(__xludf.DUMMYFUNCTION("GOOGLEFINANCE(A1081,""HIGH"")"),257.4)</f>
        <v>257.39999999999998</v>
      </c>
      <c r="E1081" s="11">
        <f ca="1">IFERROR(__xludf.DUMMYFUNCTION("GOOGLEFINANCE(A1081,""LOW"")"),248.75)</f>
        <v>248.75</v>
      </c>
      <c r="F1081" s="12" t="str">
        <f t="shared" ca="1" si="35"/>
        <v>SELL</v>
      </c>
      <c r="G1081" s="13">
        <f ca="1">IFERROR(__xludf.DUMMYFUNCTION("GOOGLEFINANCE(A1081,""CLOSEYEST"")"),257.4)</f>
        <v>257.39999999999998</v>
      </c>
      <c r="H1081" s="14" t="str">
        <f t="shared" ca="1" si="41"/>
        <v/>
      </c>
      <c r="I1081" s="15">
        <f t="shared" ca="1" si="36"/>
        <v>254.51666666666665</v>
      </c>
      <c r="J1081" s="16">
        <f t="shared" ca="1" si="37"/>
        <v>260.2833333333333</v>
      </c>
      <c r="K1081" s="16"/>
      <c r="L1081" s="16">
        <f t="shared" ca="1" si="38"/>
        <v>251.63333333333333</v>
      </c>
      <c r="M1081" s="16">
        <f t="shared" ca="1" si="39"/>
        <v>263.16666666666663</v>
      </c>
      <c r="N1081" s="16">
        <f t="shared" ca="1" si="40"/>
        <v>245.86666666666667</v>
      </c>
    </row>
    <row r="1082" spans="1:14" ht="24.75" customHeight="1" x14ac:dyDescent="0.8">
      <c r="A1082" s="18" t="s">
        <v>1045</v>
      </c>
      <c r="B1082" s="10" t="str">
        <f ca="1">IFERROR(__xludf.DUMMYFUNCTION("GOOGLEFINANCE(A1082,""PRICE"")"),"#N/A")</f>
        <v>#N/A</v>
      </c>
      <c r="C1082" s="11" t="str">
        <f ca="1">IFERROR(__xludf.DUMMYFUNCTION("GOOGLEFINANCE(A1082,""PRICEOPEN"")"),"#N/A")</f>
        <v>#N/A</v>
      </c>
      <c r="D1082" s="11" t="str">
        <f ca="1">IFERROR(__xludf.DUMMYFUNCTION("GOOGLEFINANCE(A1082,""HIGH"")"),"#N/A")</f>
        <v>#N/A</v>
      </c>
      <c r="E1082" s="11" t="str">
        <f ca="1">IFERROR(__xludf.DUMMYFUNCTION("GOOGLEFINANCE(A1082,""LOW"")"),"#N/A")</f>
        <v>#N/A</v>
      </c>
      <c r="F1082" s="12" t="str">
        <f t="shared" ca="1" si="35"/>
        <v>SELL</v>
      </c>
      <c r="G1082" s="13" t="str">
        <f ca="1">IFERROR(__xludf.DUMMYFUNCTION("GOOGLEFINANCE(A1082,""CLOSEYEST"")"),"#N/A")</f>
        <v>#N/A</v>
      </c>
      <c r="H1082" s="14" t="e">
        <f t="shared" ca="1" si="41"/>
        <v>#VALUE!</v>
      </c>
      <c r="I1082" s="15" t="e">
        <f t="shared" ca="1" si="36"/>
        <v>#VALUE!</v>
      </c>
      <c r="J1082" s="16" t="e">
        <f t="shared" ca="1" si="37"/>
        <v>#VALUE!</v>
      </c>
      <c r="K1082" s="16"/>
      <c r="L1082" s="16" t="e">
        <f t="shared" ca="1" si="38"/>
        <v>#VALUE!</v>
      </c>
      <c r="M1082" s="16" t="e">
        <f t="shared" ca="1" si="39"/>
        <v>#VALUE!</v>
      </c>
      <c r="N1082" s="16" t="e">
        <f t="shared" ca="1" si="40"/>
        <v>#VALUE!</v>
      </c>
    </row>
    <row r="1083" spans="1:14" ht="24.75" customHeight="1" x14ac:dyDescent="0.8">
      <c r="A1083" s="18" t="s">
        <v>1046</v>
      </c>
      <c r="B1083" s="10">
        <f ca="1">IFERROR(__xludf.DUMMYFUNCTION("GOOGLEFINANCE(A1083,""PRICE"")"),54.7)</f>
        <v>54.7</v>
      </c>
      <c r="C1083" s="11">
        <f ca="1">IFERROR(__xludf.DUMMYFUNCTION("GOOGLEFINANCE(A1083,""PRICEOPEN"")"),53.99)</f>
        <v>53.99</v>
      </c>
      <c r="D1083" s="11">
        <f ca="1">IFERROR(__xludf.DUMMYFUNCTION("GOOGLEFINANCE(A1083,""HIGH"")"),55.19)</f>
        <v>55.19</v>
      </c>
      <c r="E1083" s="11">
        <f ca="1">IFERROR(__xludf.DUMMYFUNCTION("GOOGLEFINANCE(A1083,""LOW"")"),53.56)</f>
        <v>53.56</v>
      </c>
      <c r="F1083" s="12" t="str">
        <f t="shared" ca="1" si="35"/>
        <v/>
      </c>
      <c r="G1083" s="13">
        <f ca="1">IFERROR(__xludf.DUMMYFUNCTION("GOOGLEFINANCE(A1083,""CLOSEYEST"")"),53.75)</f>
        <v>53.75</v>
      </c>
      <c r="H1083" s="14" t="str">
        <f t="shared" ca="1" si="41"/>
        <v/>
      </c>
      <c r="I1083" s="15">
        <f t="shared" ca="1" si="36"/>
        <v>54.166666666666664</v>
      </c>
      <c r="J1083" s="16">
        <f t="shared" ca="1" si="37"/>
        <v>54.773333333333326</v>
      </c>
      <c r="K1083" s="16"/>
      <c r="L1083" s="16">
        <f t="shared" ca="1" si="38"/>
        <v>53.143333333333331</v>
      </c>
      <c r="M1083" s="16">
        <f t="shared" ca="1" si="39"/>
        <v>55.79666666666666</v>
      </c>
      <c r="N1083" s="16">
        <f t="shared" ca="1" si="40"/>
        <v>52.536666666666669</v>
      </c>
    </row>
    <row r="1084" spans="1:14" ht="24.75" customHeight="1" x14ac:dyDescent="0.8">
      <c r="A1084" s="18" t="s">
        <v>1047</v>
      </c>
      <c r="B1084" s="10">
        <f ca="1">IFERROR(__xludf.DUMMYFUNCTION("GOOGLEFINANCE(A1084,""PRICE"")"),533)</f>
        <v>533</v>
      </c>
      <c r="C1084" s="11">
        <f ca="1">IFERROR(__xludf.DUMMYFUNCTION("GOOGLEFINANCE(A1084,""PRICEOPEN"")"),531)</f>
        <v>531</v>
      </c>
      <c r="D1084" s="11">
        <f ca="1">IFERROR(__xludf.DUMMYFUNCTION("GOOGLEFINANCE(A1084,""HIGH"")"),536)</f>
        <v>536</v>
      </c>
      <c r="E1084" s="11">
        <f ca="1">IFERROR(__xludf.DUMMYFUNCTION("GOOGLEFINANCE(A1084,""LOW"")"),531)</f>
        <v>531</v>
      </c>
      <c r="F1084" s="12" t="str">
        <f t="shared" ca="1" si="35"/>
        <v>BUY</v>
      </c>
      <c r="G1084" s="13">
        <f ca="1">IFERROR(__xludf.DUMMYFUNCTION("GOOGLEFINANCE(A1084,""CLOSEYEST"")"),531.95)</f>
        <v>531.95000000000005</v>
      </c>
      <c r="H1084" s="14" t="str">
        <f t="shared" ca="1" si="41"/>
        <v/>
      </c>
      <c r="I1084" s="15">
        <f t="shared" ca="1" si="36"/>
        <v>532.98333333333335</v>
      </c>
      <c r="J1084" s="16">
        <f t="shared" ca="1" si="37"/>
        <v>534.9666666666667</v>
      </c>
      <c r="K1084" s="16"/>
      <c r="L1084" s="16">
        <f t="shared" ca="1" si="38"/>
        <v>529.9666666666667</v>
      </c>
      <c r="M1084" s="16">
        <f t="shared" ca="1" si="39"/>
        <v>537.98333333333335</v>
      </c>
      <c r="N1084" s="16">
        <f t="shared" ca="1" si="40"/>
        <v>527.98333333333335</v>
      </c>
    </row>
    <row r="1085" spans="1:14" ht="24.75" customHeight="1" x14ac:dyDescent="0.8">
      <c r="A1085" s="18" t="s">
        <v>1048</v>
      </c>
      <c r="B1085" s="10">
        <f ca="1">IFERROR(__xludf.DUMMYFUNCTION("GOOGLEFINANCE(A1085,""PRICE"")"),460.75)</f>
        <v>460.75</v>
      </c>
      <c r="C1085" s="11">
        <f ca="1">IFERROR(__xludf.DUMMYFUNCTION("GOOGLEFINANCE(A1085,""PRICEOPEN"")"),455.9)</f>
        <v>455.9</v>
      </c>
      <c r="D1085" s="11">
        <f ca="1">IFERROR(__xludf.DUMMYFUNCTION("GOOGLEFINANCE(A1085,""HIGH"")"),477)</f>
        <v>477</v>
      </c>
      <c r="E1085" s="11">
        <f ca="1">IFERROR(__xludf.DUMMYFUNCTION("GOOGLEFINANCE(A1085,""LOW"")"),447.1)</f>
        <v>447.1</v>
      </c>
      <c r="F1085" s="12" t="str">
        <f t="shared" ca="1" si="35"/>
        <v/>
      </c>
      <c r="G1085" s="13">
        <f ca="1">IFERROR(__xludf.DUMMYFUNCTION("GOOGLEFINANCE(A1085,""CLOSEYEST"")"),455.5)</f>
        <v>455.5</v>
      </c>
      <c r="H1085" s="14" t="str">
        <f t="shared" ca="1" si="41"/>
        <v/>
      </c>
      <c r="I1085" s="15">
        <f t="shared" ca="1" si="36"/>
        <v>459.86666666666662</v>
      </c>
      <c r="J1085" s="16">
        <f t="shared" ca="1" si="37"/>
        <v>472.63333333333321</v>
      </c>
      <c r="K1085" s="16"/>
      <c r="L1085" s="16">
        <f t="shared" ca="1" si="38"/>
        <v>442.73333333333323</v>
      </c>
      <c r="M1085" s="16">
        <f t="shared" ca="1" si="39"/>
        <v>489.76666666666659</v>
      </c>
      <c r="N1085" s="16">
        <f t="shared" ca="1" si="40"/>
        <v>429.96666666666664</v>
      </c>
    </row>
    <row r="1086" spans="1:14" ht="24.75" customHeight="1" x14ac:dyDescent="0.8">
      <c r="A1086" s="18" t="s">
        <v>1049</v>
      </c>
      <c r="B1086" s="10">
        <f ca="1">IFERROR(__xludf.DUMMYFUNCTION("GOOGLEFINANCE(A1086,""PRICE"")"),3.34)</f>
        <v>3.34</v>
      </c>
      <c r="C1086" s="11">
        <f ca="1">IFERROR(__xludf.DUMMYFUNCTION("GOOGLEFINANCE(A1086,""PRICEOPEN"")"),3.49)</f>
        <v>3.49</v>
      </c>
      <c r="D1086" s="11">
        <f ca="1">IFERROR(__xludf.DUMMYFUNCTION("GOOGLEFINANCE(A1086,""HIGH"")"),3.49)</f>
        <v>3.49</v>
      </c>
      <c r="E1086" s="11">
        <f ca="1">IFERROR(__xludf.DUMMYFUNCTION("GOOGLEFINANCE(A1086,""LOW"")"),3.33)</f>
        <v>3.33</v>
      </c>
      <c r="F1086" s="12" t="str">
        <f t="shared" ca="1" si="35"/>
        <v>SELL</v>
      </c>
      <c r="G1086" s="13">
        <f ca="1">IFERROR(__xludf.DUMMYFUNCTION("GOOGLEFINANCE(A1086,""CLOSEYEST"")"),3.49)</f>
        <v>3.49</v>
      </c>
      <c r="H1086" s="14" t="str">
        <f t="shared" ca="1" si="41"/>
        <v/>
      </c>
      <c r="I1086" s="15">
        <f t="shared" ca="1" si="36"/>
        <v>3.436666666666667</v>
      </c>
      <c r="J1086" s="16">
        <f t="shared" ca="1" si="37"/>
        <v>3.5433333333333339</v>
      </c>
      <c r="K1086" s="16"/>
      <c r="L1086" s="16">
        <f t="shared" ca="1" si="38"/>
        <v>3.3833333333333337</v>
      </c>
      <c r="M1086" s="16">
        <f t="shared" ca="1" si="39"/>
        <v>3.5966666666666671</v>
      </c>
      <c r="N1086" s="16">
        <f t="shared" ca="1" si="40"/>
        <v>3.2766666666666668</v>
      </c>
    </row>
    <row r="1087" spans="1:14" ht="24.75" customHeight="1" x14ac:dyDescent="0.8">
      <c r="A1087" s="18" t="s">
        <v>1050</v>
      </c>
      <c r="B1087" s="10">
        <f ca="1">IFERROR(__xludf.DUMMYFUNCTION("GOOGLEFINANCE(A1087,""PRICE"")"),1511)</f>
        <v>1511</v>
      </c>
      <c r="C1087" s="11">
        <f ca="1">IFERROR(__xludf.DUMMYFUNCTION("GOOGLEFINANCE(A1087,""PRICEOPEN"")"),1503.9)</f>
        <v>1503.9</v>
      </c>
      <c r="D1087" s="11">
        <f ca="1">IFERROR(__xludf.DUMMYFUNCTION("GOOGLEFINANCE(A1087,""HIGH"")"),1532.6)</f>
        <v>1532.6</v>
      </c>
      <c r="E1087" s="11">
        <f ca="1">IFERROR(__xludf.DUMMYFUNCTION("GOOGLEFINANCE(A1087,""LOW"")"),1483)</f>
        <v>1483</v>
      </c>
      <c r="F1087" s="12" t="str">
        <f t="shared" ca="1" si="35"/>
        <v/>
      </c>
      <c r="G1087" s="13">
        <f ca="1">IFERROR(__xludf.DUMMYFUNCTION("GOOGLEFINANCE(A1087,""CLOSEYEST"")"),1511.5)</f>
        <v>1511.5</v>
      </c>
      <c r="H1087" s="14" t="str">
        <f t="shared" ca="1" si="41"/>
        <v/>
      </c>
      <c r="I1087" s="15">
        <f t="shared" ca="1" si="36"/>
        <v>1509.0333333333335</v>
      </c>
      <c r="J1087" s="16">
        <f t="shared" ca="1" si="37"/>
        <v>1535.0666666666671</v>
      </c>
      <c r="K1087" s="16"/>
      <c r="L1087" s="16">
        <f t="shared" ca="1" si="38"/>
        <v>1485.4666666666672</v>
      </c>
      <c r="M1087" s="16">
        <f t="shared" ca="1" si="39"/>
        <v>1558.6333333333334</v>
      </c>
      <c r="N1087" s="16">
        <f t="shared" ca="1" si="40"/>
        <v>1459.4333333333336</v>
      </c>
    </row>
    <row r="1088" spans="1:14" ht="24.75" customHeight="1" x14ac:dyDescent="0.8">
      <c r="A1088" s="18" t="s">
        <v>1051</v>
      </c>
      <c r="B1088" s="10">
        <f ca="1">IFERROR(__xludf.DUMMYFUNCTION("GOOGLEFINANCE(A1088,""PRICE"")"),27.27)</f>
        <v>27.27</v>
      </c>
      <c r="C1088" s="11">
        <f ca="1">IFERROR(__xludf.DUMMYFUNCTION("GOOGLEFINANCE(A1088,""PRICEOPEN"")"),26.21)</f>
        <v>26.21</v>
      </c>
      <c r="D1088" s="11">
        <f ca="1">IFERROR(__xludf.DUMMYFUNCTION("GOOGLEFINANCE(A1088,""HIGH"")"),27.39)</f>
        <v>27.39</v>
      </c>
      <c r="E1088" s="11">
        <f ca="1">IFERROR(__xludf.DUMMYFUNCTION("GOOGLEFINANCE(A1088,""LOW"")"),26.18)</f>
        <v>26.18</v>
      </c>
      <c r="F1088" s="12" t="str">
        <f t="shared" ca="1" si="35"/>
        <v/>
      </c>
      <c r="G1088" s="13">
        <f ca="1">IFERROR(__xludf.DUMMYFUNCTION("GOOGLEFINANCE(A1088,""CLOSEYEST"")"),26.28)</f>
        <v>26.28</v>
      </c>
      <c r="H1088" s="14" t="str">
        <f t="shared" ca="1" si="41"/>
        <v/>
      </c>
      <c r="I1088" s="15">
        <f t="shared" ca="1" si="36"/>
        <v>26.616666666666664</v>
      </c>
      <c r="J1088" s="16">
        <f t="shared" ca="1" si="37"/>
        <v>27.053333333333327</v>
      </c>
      <c r="K1088" s="16"/>
      <c r="L1088" s="16">
        <f t="shared" ca="1" si="38"/>
        <v>25.843333333333327</v>
      </c>
      <c r="M1088" s="16">
        <f t="shared" ca="1" si="39"/>
        <v>27.826666666666664</v>
      </c>
      <c r="N1088" s="16">
        <f t="shared" ca="1" si="40"/>
        <v>25.406666666666663</v>
      </c>
    </row>
    <row r="1089" spans="1:14" ht="24.75" customHeight="1" x14ac:dyDescent="0.8">
      <c r="A1089" s="18" t="s">
        <v>1052</v>
      </c>
      <c r="B1089" s="10">
        <f ca="1">IFERROR(__xludf.DUMMYFUNCTION("GOOGLEFINANCE(A1089,""PRICE"")"),318)</f>
        <v>318</v>
      </c>
      <c r="C1089" s="11">
        <f ca="1">IFERROR(__xludf.DUMMYFUNCTION("GOOGLEFINANCE(A1089,""PRICEOPEN"")"),318.3)</f>
        <v>318.3</v>
      </c>
      <c r="D1089" s="11">
        <f ca="1">IFERROR(__xludf.DUMMYFUNCTION("GOOGLEFINANCE(A1089,""HIGH"")"),320.85)</f>
        <v>320.85000000000002</v>
      </c>
      <c r="E1089" s="11">
        <f ca="1">IFERROR(__xludf.DUMMYFUNCTION("GOOGLEFINANCE(A1089,""LOW"")"),316.1)</f>
        <v>316.10000000000002</v>
      </c>
      <c r="F1089" s="12" t="str">
        <f t="shared" ca="1" si="35"/>
        <v/>
      </c>
      <c r="G1089" s="13">
        <f ca="1">IFERROR(__xludf.DUMMYFUNCTION("GOOGLEFINANCE(A1089,""CLOSEYEST"")"),315.95)</f>
        <v>315.95</v>
      </c>
      <c r="H1089" s="14" t="str">
        <f t="shared" ca="1" si="41"/>
        <v/>
      </c>
      <c r="I1089" s="15">
        <f t="shared" ca="1" si="36"/>
        <v>317.63333333333338</v>
      </c>
      <c r="J1089" s="16">
        <f t="shared" ca="1" si="37"/>
        <v>319.16666666666674</v>
      </c>
      <c r="K1089" s="16"/>
      <c r="L1089" s="16">
        <f t="shared" ca="1" si="38"/>
        <v>314.41666666666674</v>
      </c>
      <c r="M1089" s="16">
        <f t="shared" ca="1" si="39"/>
        <v>322.38333333333338</v>
      </c>
      <c r="N1089" s="16">
        <f t="shared" ca="1" si="40"/>
        <v>312.88333333333338</v>
      </c>
    </row>
    <row r="1090" spans="1:14" ht="24.75" customHeight="1" x14ac:dyDescent="0.8">
      <c r="A1090" s="18" t="s">
        <v>1053</v>
      </c>
      <c r="B1090" s="10">
        <f ca="1">IFERROR(__xludf.DUMMYFUNCTION("GOOGLEFINANCE(A1090,""PRICE"")"),980.45)</f>
        <v>980.45</v>
      </c>
      <c r="C1090" s="11">
        <f ca="1">IFERROR(__xludf.DUMMYFUNCTION("GOOGLEFINANCE(A1090,""PRICEOPEN"")"),983.6)</f>
        <v>983.6</v>
      </c>
      <c r="D1090" s="11">
        <f ca="1">IFERROR(__xludf.DUMMYFUNCTION("GOOGLEFINANCE(A1090,""HIGH"")"),997.5)</f>
        <v>997.5</v>
      </c>
      <c r="E1090" s="11">
        <f ca="1">IFERROR(__xludf.DUMMYFUNCTION("GOOGLEFINANCE(A1090,""LOW"")"),973)</f>
        <v>973</v>
      </c>
      <c r="F1090" s="12" t="str">
        <f t="shared" ca="1" si="35"/>
        <v/>
      </c>
      <c r="G1090" s="13">
        <f ca="1">IFERROR(__xludf.DUMMYFUNCTION("GOOGLEFINANCE(A1090,""CLOSEYEST"")"),978.9)</f>
        <v>978.9</v>
      </c>
      <c r="H1090" s="14" t="str">
        <f t="shared" ca="1" si="41"/>
        <v/>
      </c>
      <c r="I1090" s="15">
        <f t="shared" ca="1" si="36"/>
        <v>983.13333333333333</v>
      </c>
      <c r="J1090" s="16">
        <f t="shared" ca="1" si="37"/>
        <v>993.26666666666665</v>
      </c>
      <c r="K1090" s="16"/>
      <c r="L1090" s="16">
        <f t="shared" ca="1" si="38"/>
        <v>968.76666666666665</v>
      </c>
      <c r="M1090" s="16">
        <f t="shared" ca="1" si="39"/>
        <v>1007.6333333333333</v>
      </c>
      <c r="N1090" s="16">
        <f t="shared" ca="1" si="40"/>
        <v>958.63333333333333</v>
      </c>
    </row>
    <row r="1091" spans="1:14" ht="24.75" customHeight="1" x14ac:dyDescent="0.8">
      <c r="A1091" s="18" t="s">
        <v>1054</v>
      </c>
      <c r="B1091" s="10">
        <f ca="1">IFERROR(__xludf.DUMMYFUNCTION("GOOGLEFINANCE(A1091,""PRICE"")"),343.1)</f>
        <v>343.1</v>
      </c>
      <c r="C1091" s="11">
        <f ca="1">IFERROR(__xludf.DUMMYFUNCTION("GOOGLEFINANCE(A1091,""PRICEOPEN"")"),345.75)</f>
        <v>345.75</v>
      </c>
      <c r="D1091" s="11">
        <f ca="1">IFERROR(__xludf.DUMMYFUNCTION("GOOGLEFINANCE(A1091,""HIGH"")"),357.8)</f>
        <v>357.8</v>
      </c>
      <c r="E1091" s="11">
        <f ca="1">IFERROR(__xludf.DUMMYFUNCTION("GOOGLEFINANCE(A1091,""LOW"")"),341)</f>
        <v>341</v>
      </c>
      <c r="F1091" s="12" t="str">
        <f t="shared" ca="1" si="35"/>
        <v/>
      </c>
      <c r="G1091" s="13">
        <f ca="1">IFERROR(__xludf.DUMMYFUNCTION("GOOGLEFINANCE(A1091,""CLOSEYEST"")"),343.95)</f>
        <v>343.95</v>
      </c>
      <c r="H1091" s="14" t="str">
        <f t="shared" ca="1" si="41"/>
        <v/>
      </c>
      <c r="I1091" s="15">
        <f t="shared" ca="1" si="36"/>
        <v>347.58333333333331</v>
      </c>
      <c r="J1091" s="16">
        <f t="shared" ca="1" si="37"/>
        <v>354.16666666666663</v>
      </c>
      <c r="K1091" s="16"/>
      <c r="L1091" s="16">
        <f t="shared" ca="1" si="38"/>
        <v>337.36666666666662</v>
      </c>
      <c r="M1091" s="16">
        <f t="shared" ca="1" si="39"/>
        <v>364.38333333333333</v>
      </c>
      <c r="N1091" s="16">
        <f t="shared" ca="1" si="40"/>
        <v>330.7833333333333</v>
      </c>
    </row>
    <row r="1092" spans="1:14" ht="24.75" customHeight="1" x14ac:dyDescent="0.8">
      <c r="A1092" s="18" t="s">
        <v>1055</v>
      </c>
      <c r="B1092" s="10">
        <f ca="1">IFERROR(__xludf.DUMMYFUNCTION("GOOGLEFINANCE(A1092,""PRICE"")"),299.6)</f>
        <v>299.60000000000002</v>
      </c>
      <c r="C1092" s="11">
        <f ca="1">IFERROR(__xludf.DUMMYFUNCTION("GOOGLEFINANCE(A1092,""PRICEOPEN"")"),290.5)</f>
        <v>290.5</v>
      </c>
      <c r="D1092" s="11">
        <f ca="1">IFERROR(__xludf.DUMMYFUNCTION("GOOGLEFINANCE(A1092,""HIGH"")"),299.85)</f>
        <v>299.85000000000002</v>
      </c>
      <c r="E1092" s="11">
        <f ca="1">IFERROR(__xludf.DUMMYFUNCTION("GOOGLEFINANCE(A1092,""LOW"")"),286.15)</f>
        <v>286.14999999999998</v>
      </c>
      <c r="F1092" s="12" t="str">
        <f t="shared" ca="1" si="35"/>
        <v/>
      </c>
      <c r="G1092" s="13">
        <f ca="1">IFERROR(__xludf.DUMMYFUNCTION("GOOGLEFINANCE(A1092,""CLOSEYEST"")"),294.85)</f>
        <v>294.85000000000002</v>
      </c>
      <c r="H1092" s="14" t="str">
        <f t="shared" ca="1" si="41"/>
        <v>GAP DOWN</v>
      </c>
      <c r="I1092" s="15">
        <f t="shared" ca="1" si="36"/>
        <v>293.61666666666667</v>
      </c>
      <c r="J1092" s="16">
        <f t="shared" ca="1" si="37"/>
        <v>301.08333333333337</v>
      </c>
      <c r="K1092" s="16"/>
      <c r="L1092" s="16">
        <f t="shared" ca="1" si="38"/>
        <v>287.38333333333333</v>
      </c>
      <c r="M1092" s="16">
        <f t="shared" ca="1" si="39"/>
        <v>307.31666666666672</v>
      </c>
      <c r="N1092" s="16">
        <f t="shared" ca="1" si="40"/>
        <v>279.91666666666663</v>
      </c>
    </row>
    <row r="1093" spans="1:14" ht="24.75" customHeight="1" x14ac:dyDescent="0.8">
      <c r="A1093" s="18" t="s">
        <v>1056</v>
      </c>
      <c r="B1093" s="10">
        <f ca="1">IFERROR(__xludf.DUMMYFUNCTION("GOOGLEFINANCE(A1093,""PRICE"")"),12.78)</f>
        <v>12.78</v>
      </c>
      <c r="C1093" s="11">
        <f ca="1">IFERROR(__xludf.DUMMYFUNCTION("GOOGLEFINANCE(A1093,""PRICEOPEN"")"),12.28)</f>
        <v>12.28</v>
      </c>
      <c r="D1093" s="11">
        <f ca="1">IFERROR(__xludf.DUMMYFUNCTION("GOOGLEFINANCE(A1093,""HIGH"")"),12.78)</f>
        <v>12.78</v>
      </c>
      <c r="E1093" s="11">
        <f ca="1">IFERROR(__xludf.DUMMYFUNCTION("GOOGLEFINANCE(A1093,""LOW"")"),12.19)</f>
        <v>12.19</v>
      </c>
      <c r="F1093" s="12" t="str">
        <f t="shared" ca="1" si="35"/>
        <v/>
      </c>
      <c r="G1093" s="13">
        <f ca="1">IFERROR(__xludf.DUMMYFUNCTION("GOOGLEFINANCE(A1093,""CLOSEYEST"")"),12.18)</f>
        <v>12.18</v>
      </c>
      <c r="H1093" s="14" t="str">
        <f t="shared" ca="1" si="41"/>
        <v/>
      </c>
      <c r="I1093" s="15">
        <f t="shared" ca="1" si="36"/>
        <v>12.383333333333333</v>
      </c>
      <c r="J1093" s="16">
        <f t="shared" ca="1" si="37"/>
        <v>12.576666666666666</v>
      </c>
      <c r="K1093" s="16"/>
      <c r="L1093" s="16">
        <f t="shared" ca="1" si="38"/>
        <v>11.986666666666666</v>
      </c>
      <c r="M1093" s="16">
        <f t="shared" ca="1" si="39"/>
        <v>12.973333333333333</v>
      </c>
      <c r="N1093" s="16">
        <f t="shared" ca="1" si="40"/>
        <v>11.793333333333333</v>
      </c>
    </row>
    <row r="1094" spans="1:14" ht="24.75" customHeight="1" x14ac:dyDescent="0.8">
      <c r="A1094" s="18" t="s">
        <v>1057</v>
      </c>
      <c r="B1094" s="10">
        <f ca="1">IFERROR(__xludf.DUMMYFUNCTION("GOOGLEFINANCE(A1094,""PRICE"")"),439.95)</f>
        <v>439.95</v>
      </c>
      <c r="C1094" s="11">
        <f ca="1">IFERROR(__xludf.DUMMYFUNCTION("GOOGLEFINANCE(A1094,""PRICEOPEN"")"),445.85)</f>
        <v>445.85</v>
      </c>
      <c r="D1094" s="11">
        <f ca="1">IFERROR(__xludf.DUMMYFUNCTION("GOOGLEFINANCE(A1094,""HIGH"")"),447.9)</f>
        <v>447.9</v>
      </c>
      <c r="E1094" s="11">
        <f ca="1">IFERROR(__xludf.DUMMYFUNCTION("GOOGLEFINANCE(A1094,""LOW"")"),431.1)</f>
        <v>431.1</v>
      </c>
      <c r="F1094" s="12" t="str">
        <f t="shared" ca="1" si="35"/>
        <v/>
      </c>
      <c r="G1094" s="13">
        <f ca="1">IFERROR(__xludf.DUMMYFUNCTION("GOOGLEFINANCE(A1094,""CLOSEYEST"")"),445.3)</f>
        <v>445.3</v>
      </c>
      <c r="H1094" s="14" t="str">
        <f t="shared" ca="1" si="41"/>
        <v/>
      </c>
      <c r="I1094" s="15">
        <f t="shared" ca="1" si="36"/>
        <v>441.43333333333334</v>
      </c>
      <c r="J1094" s="16">
        <f t="shared" ca="1" si="37"/>
        <v>451.76666666666665</v>
      </c>
      <c r="K1094" s="16"/>
      <c r="L1094" s="16">
        <f t="shared" ca="1" si="38"/>
        <v>434.9666666666667</v>
      </c>
      <c r="M1094" s="16">
        <f t="shared" ca="1" si="39"/>
        <v>458.23333333333329</v>
      </c>
      <c r="N1094" s="16">
        <f t="shared" ca="1" si="40"/>
        <v>424.63333333333338</v>
      </c>
    </row>
    <row r="1095" spans="1:14" ht="24.75" customHeight="1" x14ac:dyDescent="0.8">
      <c r="A1095" s="18" t="s">
        <v>1058</v>
      </c>
      <c r="B1095" s="10">
        <f ca="1">IFERROR(__xludf.DUMMYFUNCTION("GOOGLEFINANCE(A1095,""PRICE"")"),100.35)</f>
        <v>100.35</v>
      </c>
      <c r="C1095" s="11">
        <f ca="1">IFERROR(__xludf.DUMMYFUNCTION("GOOGLEFINANCE(A1095,""PRICEOPEN"")"),98.99)</f>
        <v>98.99</v>
      </c>
      <c r="D1095" s="11">
        <f ca="1">IFERROR(__xludf.DUMMYFUNCTION("GOOGLEFINANCE(A1095,""HIGH"")"),102)</f>
        <v>102</v>
      </c>
      <c r="E1095" s="11">
        <f ca="1">IFERROR(__xludf.DUMMYFUNCTION("GOOGLEFINANCE(A1095,""LOW"")"),98.12)</f>
        <v>98.12</v>
      </c>
      <c r="F1095" s="12" t="str">
        <f t="shared" ca="1" si="35"/>
        <v/>
      </c>
      <c r="G1095" s="13">
        <f ca="1">IFERROR(__xludf.DUMMYFUNCTION("GOOGLEFINANCE(A1095,""CLOSEYEST"")"),98.42)</f>
        <v>98.42</v>
      </c>
      <c r="H1095" s="14" t="str">
        <f t="shared" ca="1" si="41"/>
        <v/>
      </c>
      <c r="I1095" s="15">
        <f t="shared" ca="1" si="36"/>
        <v>99.513333333333335</v>
      </c>
      <c r="J1095" s="16">
        <f t="shared" ca="1" si="37"/>
        <v>100.90666666666667</v>
      </c>
      <c r="K1095" s="16"/>
      <c r="L1095" s="16">
        <f t="shared" ca="1" si="38"/>
        <v>97.026666666666671</v>
      </c>
      <c r="M1095" s="16">
        <f t="shared" ca="1" si="39"/>
        <v>103.39333333333333</v>
      </c>
      <c r="N1095" s="16">
        <f t="shared" ca="1" si="40"/>
        <v>95.63333333333334</v>
      </c>
    </row>
    <row r="1096" spans="1:14" ht="24.75" customHeight="1" x14ac:dyDescent="0.8">
      <c r="A1096" s="18" t="s">
        <v>1059</v>
      </c>
      <c r="B1096" s="10">
        <f ca="1">IFERROR(__xludf.DUMMYFUNCTION("GOOGLEFINANCE(A1096,""PRICE"")"),125.1)</f>
        <v>125.1</v>
      </c>
      <c r="C1096" s="11">
        <f ca="1">IFERROR(__xludf.DUMMYFUNCTION("GOOGLEFINANCE(A1096,""PRICEOPEN"")"),127.43)</f>
        <v>127.43</v>
      </c>
      <c r="D1096" s="11">
        <f ca="1">IFERROR(__xludf.DUMMYFUNCTION("GOOGLEFINANCE(A1096,""HIGH"")"),128.48)</f>
        <v>128.47999999999999</v>
      </c>
      <c r="E1096" s="11">
        <f ca="1">IFERROR(__xludf.DUMMYFUNCTION("GOOGLEFINANCE(A1096,""LOW"")"),121.95)</f>
        <v>121.95</v>
      </c>
      <c r="F1096" s="12" t="str">
        <f t="shared" ca="1" si="35"/>
        <v/>
      </c>
      <c r="G1096" s="13">
        <f ca="1">IFERROR(__xludf.DUMMYFUNCTION("GOOGLEFINANCE(A1096,""CLOSEYEST"")"),126.43)</f>
        <v>126.43</v>
      </c>
      <c r="H1096" s="14" t="str">
        <f t="shared" ca="1" si="41"/>
        <v/>
      </c>
      <c r="I1096" s="15">
        <f t="shared" ca="1" si="36"/>
        <v>125.62</v>
      </c>
      <c r="J1096" s="16">
        <f t="shared" ca="1" si="37"/>
        <v>129.29000000000002</v>
      </c>
      <c r="K1096" s="16"/>
      <c r="L1096" s="16">
        <f t="shared" ca="1" si="38"/>
        <v>122.76000000000002</v>
      </c>
      <c r="M1096" s="16">
        <f t="shared" ca="1" si="39"/>
        <v>132.15</v>
      </c>
      <c r="N1096" s="16">
        <f t="shared" ca="1" si="40"/>
        <v>119.09</v>
      </c>
    </row>
    <row r="1097" spans="1:14" ht="24.75" customHeight="1" x14ac:dyDescent="0.8">
      <c r="A1097" s="18" t="s">
        <v>1060</v>
      </c>
      <c r="B1097" s="10">
        <f ca="1">IFERROR(__xludf.DUMMYFUNCTION("GOOGLEFINANCE(A1097,""PRICE"")"),27.54)</f>
        <v>27.54</v>
      </c>
      <c r="C1097" s="11">
        <f ca="1">IFERROR(__xludf.DUMMYFUNCTION("GOOGLEFINANCE(A1097,""PRICEOPEN"")"),26.81)</f>
        <v>26.81</v>
      </c>
      <c r="D1097" s="11">
        <f ca="1">IFERROR(__xludf.DUMMYFUNCTION("GOOGLEFINANCE(A1097,""HIGH"")"),27.6)</f>
        <v>27.6</v>
      </c>
      <c r="E1097" s="11">
        <f ca="1">IFERROR(__xludf.DUMMYFUNCTION("GOOGLEFINANCE(A1097,""LOW"")"),26.6)</f>
        <v>26.6</v>
      </c>
      <c r="F1097" s="12" t="str">
        <f t="shared" ca="1" si="35"/>
        <v/>
      </c>
      <c r="G1097" s="13">
        <f ca="1">IFERROR(__xludf.DUMMYFUNCTION("GOOGLEFINANCE(A1097,""CLOSEYEST"")"),27.09)</f>
        <v>27.09</v>
      </c>
      <c r="H1097" s="14" t="str">
        <f t="shared" ca="1" si="41"/>
        <v>GAP DOWN</v>
      </c>
      <c r="I1097" s="15">
        <f t="shared" ca="1" si="36"/>
        <v>27.096666666666668</v>
      </c>
      <c r="J1097" s="16">
        <f t="shared" ca="1" si="37"/>
        <v>27.593333333333334</v>
      </c>
      <c r="K1097" s="16"/>
      <c r="L1097" s="16">
        <f t="shared" ca="1" si="38"/>
        <v>26.593333333333334</v>
      </c>
      <c r="M1097" s="16">
        <f t="shared" ca="1" si="39"/>
        <v>28.096666666666668</v>
      </c>
      <c r="N1097" s="16">
        <f t="shared" ca="1" si="40"/>
        <v>26.096666666666668</v>
      </c>
    </row>
    <row r="1098" spans="1:14" ht="24.75" customHeight="1" x14ac:dyDescent="0.8">
      <c r="A1098" s="18" t="s">
        <v>1061</v>
      </c>
      <c r="B1098" s="10">
        <f ca="1">IFERROR(__xludf.DUMMYFUNCTION("GOOGLEFINANCE(A1098,""PRICE"")"),297.95)</f>
        <v>297.95</v>
      </c>
      <c r="C1098" s="11">
        <f ca="1">IFERROR(__xludf.DUMMYFUNCTION("GOOGLEFINANCE(A1098,""PRICEOPEN"")"),296)</f>
        <v>296</v>
      </c>
      <c r="D1098" s="11">
        <f ca="1">IFERROR(__xludf.DUMMYFUNCTION("GOOGLEFINANCE(A1098,""HIGH"")"),299.6)</f>
        <v>299.60000000000002</v>
      </c>
      <c r="E1098" s="11">
        <f ca="1">IFERROR(__xludf.DUMMYFUNCTION("GOOGLEFINANCE(A1098,""LOW"")"),294.05)</f>
        <v>294.05</v>
      </c>
      <c r="F1098" s="12" t="str">
        <f t="shared" ca="1" si="35"/>
        <v/>
      </c>
      <c r="G1098" s="13">
        <f ca="1">IFERROR(__xludf.DUMMYFUNCTION("GOOGLEFINANCE(A1098,""CLOSEYEST"")"),299.9)</f>
        <v>299.89999999999998</v>
      </c>
      <c r="H1098" s="14" t="str">
        <f t="shared" ca="1" si="41"/>
        <v>GAP DOWN</v>
      </c>
      <c r="I1098" s="15">
        <f t="shared" ca="1" si="36"/>
        <v>297.85000000000002</v>
      </c>
      <c r="J1098" s="16">
        <f t="shared" ca="1" si="37"/>
        <v>301.65000000000003</v>
      </c>
      <c r="K1098" s="16"/>
      <c r="L1098" s="16">
        <f t="shared" ca="1" si="38"/>
        <v>296.10000000000002</v>
      </c>
      <c r="M1098" s="16">
        <f t="shared" ca="1" si="39"/>
        <v>303.40000000000003</v>
      </c>
      <c r="N1098" s="16">
        <f t="shared" ca="1" si="40"/>
        <v>292.3</v>
      </c>
    </row>
    <row r="1099" spans="1:14" ht="24.75" customHeight="1" x14ac:dyDescent="0.8">
      <c r="A1099" s="18" t="s">
        <v>1062</v>
      </c>
      <c r="B1099" s="10">
        <f ca="1">IFERROR(__xludf.DUMMYFUNCTION("GOOGLEFINANCE(A1099,""PRICE"")"),124)</f>
        <v>124</v>
      </c>
      <c r="C1099" s="11">
        <f ca="1">IFERROR(__xludf.DUMMYFUNCTION("GOOGLEFINANCE(A1099,""PRICEOPEN"")"),126.5)</f>
        <v>126.5</v>
      </c>
      <c r="D1099" s="11">
        <f ca="1">IFERROR(__xludf.DUMMYFUNCTION("GOOGLEFINANCE(A1099,""HIGH"")"),128.78)</f>
        <v>128.78</v>
      </c>
      <c r="E1099" s="11">
        <f ca="1">IFERROR(__xludf.DUMMYFUNCTION("GOOGLEFINANCE(A1099,""LOW"")"),122.43)</f>
        <v>122.43</v>
      </c>
      <c r="F1099" s="12" t="str">
        <f t="shared" ca="1" si="35"/>
        <v/>
      </c>
      <c r="G1099" s="13">
        <f ca="1">IFERROR(__xludf.DUMMYFUNCTION("GOOGLEFINANCE(A1099,""CLOSEYEST"")"),127.13)</f>
        <v>127.13</v>
      </c>
      <c r="H1099" s="14" t="str">
        <f t="shared" ca="1" si="41"/>
        <v/>
      </c>
      <c r="I1099" s="15">
        <f t="shared" ca="1" si="36"/>
        <v>126.11333333333334</v>
      </c>
      <c r="J1099" s="16">
        <f t="shared" ca="1" si="37"/>
        <v>129.79666666666668</v>
      </c>
      <c r="K1099" s="16"/>
      <c r="L1099" s="16">
        <f t="shared" ca="1" si="38"/>
        <v>123.44666666666669</v>
      </c>
      <c r="M1099" s="16">
        <f t="shared" ca="1" si="39"/>
        <v>132.46333333333334</v>
      </c>
      <c r="N1099" s="16">
        <f t="shared" ca="1" si="40"/>
        <v>119.76333333333335</v>
      </c>
    </row>
    <row r="1100" spans="1:14" ht="24.75" customHeight="1" x14ac:dyDescent="0.8">
      <c r="A1100" s="18" t="s">
        <v>1063</v>
      </c>
      <c r="B1100" s="10">
        <f ca="1">IFERROR(__xludf.DUMMYFUNCTION("GOOGLEFINANCE(A1100,""PRICE"")"),25.94)</f>
        <v>25.94</v>
      </c>
      <c r="C1100" s="11">
        <f ca="1">IFERROR(__xludf.DUMMYFUNCTION("GOOGLEFINANCE(A1100,""PRICEOPEN"")"),24.63)</f>
        <v>24.63</v>
      </c>
      <c r="D1100" s="11">
        <f ca="1">IFERROR(__xludf.DUMMYFUNCTION("GOOGLEFINANCE(A1100,""HIGH"")"),26)</f>
        <v>26</v>
      </c>
      <c r="E1100" s="11">
        <f ca="1">IFERROR(__xludf.DUMMYFUNCTION("GOOGLEFINANCE(A1100,""LOW"")"),24.63)</f>
        <v>24.63</v>
      </c>
      <c r="F1100" s="12" t="str">
        <f t="shared" ca="1" si="35"/>
        <v>BUY</v>
      </c>
      <c r="G1100" s="13">
        <f ca="1">IFERROR(__xludf.DUMMYFUNCTION("GOOGLEFINANCE(A1100,""CLOSEYEST"")"),25.2)</f>
        <v>25.2</v>
      </c>
      <c r="H1100" s="14" t="str">
        <f t="shared" ca="1" si="41"/>
        <v>GAP DOWN</v>
      </c>
      <c r="I1100" s="15">
        <f t="shared" ca="1" si="36"/>
        <v>25.276666666666667</v>
      </c>
      <c r="J1100" s="16">
        <f t="shared" ca="1" si="37"/>
        <v>25.923333333333336</v>
      </c>
      <c r="K1100" s="16"/>
      <c r="L1100" s="16">
        <f t="shared" ca="1" si="38"/>
        <v>24.553333333333335</v>
      </c>
      <c r="M1100" s="16">
        <f t="shared" ca="1" si="39"/>
        <v>26.646666666666668</v>
      </c>
      <c r="N1100" s="16">
        <f t="shared" ca="1" si="40"/>
        <v>23.906666666666666</v>
      </c>
    </row>
    <row r="1101" spans="1:14" ht="24.75" customHeight="1" x14ac:dyDescent="0.8">
      <c r="A1101" s="18" t="s">
        <v>1064</v>
      </c>
      <c r="B1101" s="10">
        <f ca="1">IFERROR(__xludf.DUMMYFUNCTION("GOOGLEFINANCE(A1101,""PRICE"")"),247.9)</f>
        <v>247.9</v>
      </c>
      <c r="C1101" s="11">
        <f ca="1">IFERROR(__xludf.DUMMYFUNCTION("GOOGLEFINANCE(A1101,""PRICEOPEN"")"),241)</f>
        <v>241</v>
      </c>
      <c r="D1101" s="11">
        <f ca="1">IFERROR(__xludf.DUMMYFUNCTION("GOOGLEFINANCE(A1101,""HIGH"")"),248)</f>
        <v>248</v>
      </c>
      <c r="E1101" s="11">
        <f ca="1">IFERROR(__xludf.DUMMYFUNCTION("GOOGLEFINANCE(A1101,""LOW"")"),238)</f>
        <v>238</v>
      </c>
      <c r="F1101" s="12" t="str">
        <f t="shared" ca="1" si="35"/>
        <v/>
      </c>
      <c r="G1101" s="13">
        <f ca="1">IFERROR(__xludf.DUMMYFUNCTION("GOOGLEFINANCE(A1101,""CLOSEYEST"")"),237.6)</f>
        <v>237.6</v>
      </c>
      <c r="H1101" s="14" t="str">
        <f t="shared" ca="1" si="41"/>
        <v>GAP UP</v>
      </c>
      <c r="I1101" s="15">
        <f t="shared" ca="1" si="36"/>
        <v>241.20000000000002</v>
      </c>
      <c r="J1101" s="16">
        <f t="shared" ca="1" si="37"/>
        <v>244.40000000000003</v>
      </c>
      <c r="K1101" s="16"/>
      <c r="L1101" s="16">
        <f t="shared" ca="1" si="38"/>
        <v>234.40000000000003</v>
      </c>
      <c r="M1101" s="16">
        <f t="shared" ca="1" si="39"/>
        <v>251.20000000000002</v>
      </c>
      <c r="N1101" s="16">
        <f t="shared" ca="1" si="40"/>
        <v>231.20000000000002</v>
      </c>
    </row>
    <row r="1102" spans="1:14" ht="24.75" customHeight="1" x14ac:dyDescent="0.8">
      <c r="A1102" s="18" t="s">
        <v>1065</v>
      </c>
      <c r="B1102" s="10">
        <f ca="1">IFERROR(__xludf.DUMMYFUNCTION("GOOGLEFINANCE(A1102,""PRICE"")"),240.97)</f>
        <v>240.97</v>
      </c>
      <c r="C1102" s="11">
        <f ca="1">IFERROR(__xludf.DUMMYFUNCTION("GOOGLEFINANCE(A1102,""PRICEOPEN"")"),243.03)</f>
        <v>243.03</v>
      </c>
      <c r="D1102" s="11">
        <f ca="1">IFERROR(__xludf.DUMMYFUNCTION("GOOGLEFINANCE(A1102,""HIGH"")"),243.03)</f>
        <v>243.03</v>
      </c>
      <c r="E1102" s="11">
        <f ca="1">IFERROR(__xludf.DUMMYFUNCTION("GOOGLEFINANCE(A1102,""LOW"")"),236.89)</f>
        <v>236.89</v>
      </c>
      <c r="F1102" s="12" t="str">
        <f t="shared" ca="1" si="35"/>
        <v>SELL</v>
      </c>
      <c r="G1102" s="13">
        <f ca="1">IFERROR(__xludf.DUMMYFUNCTION("GOOGLEFINANCE(A1102,""CLOSEYEST"")"),240.62)</f>
        <v>240.62</v>
      </c>
      <c r="H1102" s="14" t="str">
        <f t="shared" ca="1" si="41"/>
        <v>GAP UP</v>
      </c>
      <c r="I1102" s="15">
        <f t="shared" ca="1" si="36"/>
        <v>240.17999999999998</v>
      </c>
      <c r="J1102" s="16">
        <f t="shared" ca="1" si="37"/>
        <v>243.46999999999997</v>
      </c>
      <c r="K1102" s="16"/>
      <c r="L1102" s="16">
        <f t="shared" ca="1" si="38"/>
        <v>237.32999999999996</v>
      </c>
      <c r="M1102" s="16">
        <f t="shared" ca="1" si="39"/>
        <v>246.32</v>
      </c>
      <c r="N1102" s="16">
        <f t="shared" ca="1" si="40"/>
        <v>234.03999999999996</v>
      </c>
    </row>
    <row r="1103" spans="1:14" ht="24.75" customHeight="1" x14ac:dyDescent="0.8">
      <c r="A1103" s="18" t="s">
        <v>1066</v>
      </c>
      <c r="B1103" s="10">
        <f ca="1">IFERROR(__xludf.DUMMYFUNCTION("GOOGLEFINANCE(A1103,""PRICE"")"),117.25)</f>
        <v>117.25</v>
      </c>
      <c r="C1103" s="11">
        <f ca="1">IFERROR(__xludf.DUMMYFUNCTION("GOOGLEFINANCE(A1103,""PRICEOPEN"")"),119.4)</f>
        <v>119.4</v>
      </c>
      <c r="D1103" s="11">
        <f ca="1">IFERROR(__xludf.DUMMYFUNCTION("GOOGLEFINANCE(A1103,""HIGH"")"),119.4)</f>
        <v>119.4</v>
      </c>
      <c r="E1103" s="11">
        <f ca="1">IFERROR(__xludf.DUMMYFUNCTION("GOOGLEFINANCE(A1103,""LOW"")"),115.8)</f>
        <v>115.8</v>
      </c>
      <c r="F1103" s="12" t="str">
        <f t="shared" ca="1" si="35"/>
        <v>SELL</v>
      </c>
      <c r="G1103" s="13">
        <f ca="1">IFERROR(__xludf.DUMMYFUNCTION("GOOGLEFINANCE(A1103,""CLOSEYEST"")"),118.35)</f>
        <v>118.35</v>
      </c>
      <c r="H1103" s="14" t="str">
        <f t="shared" ca="1" si="41"/>
        <v/>
      </c>
      <c r="I1103" s="15">
        <f t="shared" ca="1" si="36"/>
        <v>117.84999999999998</v>
      </c>
      <c r="J1103" s="16">
        <f t="shared" ca="1" si="37"/>
        <v>119.89999999999996</v>
      </c>
      <c r="K1103" s="16"/>
      <c r="L1103" s="16">
        <f t="shared" ca="1" si="38"/>
        <v>116.29999999999995</v>
      </c>
      <c r="M1103" s="16">
        <f t="shared" ca="1" si="39"/>
        <v>121.44999999999999</v>
      </c>
      <c r="N1103" s="16">
        <f t="shared" ca="1" si="40"/>
        <v>114.24999999999997</v>
      </c>
    </row>
    <row r="1104" spans="1:14" ht="24.75" customHeight="1" x14ac:dyDescent="0.8">
      <c r="A1104" s="18" t="s">
        <v>1067</v>
      </c>
      <c r="B1104" s="10">
        <f ca="1">IFERROR(__xludf.DUMMYFUNCTION("GOOGLEFINANCE(A1104,""PRICE"")"),10.23)</f>
        <v>10.23</v>
      </c>
      <c r="C1104" s="11">
        <f ca="1">IFERROR(__xludf.DUMMYFUNCTION("GOOGLEFINANCE(A1104,""PRICEOPEN"")"),10.29)</f>
        <v>10.29</v>
      </c>
      <c r="D1104" s="11">
        <f ca="1">IFERROR(__xludf.DUMMYFUNCTION("GOOGLEFINANCE(A1104,""HIGH"")"),10.43)</f>
        <v>10.43</v>
      </c>
      <c r="E1104" s="11">
        <f ca="1">IFERROR(__xludf.DUMMYFUNCTION("GOOGLEFINANCE(A1104,""LOW"")"),10.01)</f>
        <v>10.01</v>
      </c>
      <c r="F1104" s="12" t="str">
        <f t="shared" ca="1" si="35"/>
        <v/>
      </c>
      <c r="G1104" s="13">
        <f ca="1">IFERROR(__xludf.DUMMYFUNCTION("GOOGLEFINANCE(A1104,""CLOSEYEST"")"),10.26)</f>
        <v>10.26</v>
      </c>
      <c r="H1104" s="14" t="str">
        <f t="shared" ca="1" si="41"/>
        <v/>
      </c>
      <c r="I1104" s="15">
        <f t="shared" ca="1" si="36"/>
        <v>10.233333333333333</v>
      </c>
      <c r="J1104" s="16">
        <f t="shared" ca="1" si="37"/>
        <v>10.456666666666665</v>
      </c>
      <c r="K1104" s="16"/>
      <c r="L1104" s="16">
        <f t="shared" ca="1" si="38"/>
        <v>10.036666666666665</v>
      </c>
      <c r="M1104" s="16">
        <f t="shared" ca="1" si="39"/>
        <v>10.653333333333332</v>
      </c>
      <c r="N1104" s="16">
        <f t="shared" ca="1" si="40"/>
        <v>9.8133333333333326</v>
      </c>
    </row>
    <row r="1105" spans="1:14" ht="24.75" customHeight="1" x14ac:dyDescent="0.8">
      <c r="A1105" s="18" t="s">
        <v>1068</v>
      </c>
      <c r="B1105" s="10">
        <f ca="1">IFERROR(__xludf.DUMMYFUNCTION("GOOGLEFINANCE(A1105,""PRICE"")"),156.5)</f>
        <v>156.5</v>
      </c>
      <c r="C1105" s="11">
        <f ca="1">IFERROR(__xludf.DUMMYFUNCTION("GOOGLEFINANCE(A1105,""PRICEOPEN"")"),154)</f>
        <v>154</v>
      </c>
      <c r="D1105" s="11">
        <f ca="1">IFERROR(__xludf.DUMMYFUNCTION("GOOGLEFINANCE(A1105,""HIGH"")"),156.95)</f>
        <v>156.94999999999999</v>
      </c>
      <c r="E1105" s="11">
        <f ca="1">IFERROR(__xludf.DUMMYFUNCTION("GOOGLEFINANCE(A1105,""LOW"")"),154)</f>
        <v>154</v>
      </c>
      <c r="F1105" s="12" t="str">
        <f t="shared" ca="1" si="35"/>
        <v>BUY</v>
      </c>
      <c r="G1105" s="13">
        <f ca="1">IFERROR(__xludf.DUMMYFUNCTION("GOOGLEFINANCE(A1105,""CLOSEYEST"")"),155.97)</f>
        <v>155.97</v>
      </c>
      <c r="H1105" s="14" t="str">
        <f t="shared" ca="1" si="41"/>
        <v>GAP DOWN</v>
      </c>
      <c r="I1105" s="15">
        <f t="shared" ca="1" si="36"/>
        <v>155.63999999999999</v>
      </c>
      <c r="J1105" s="16">
        <f t="shared" ca="1" si="37"/>
        <v>157.27999999999997</v>
      </c>
      <c r="K1105" s="16"/>
      <c r="L1105" s="16">
        <f t="shared" ca="1" si="38"/>
        <v>154.32999999999998</v>
      </c>
      <c r="M1105" s="16">
        <f t="shared" ca="1" si="39"/>
        <v>158.58999999999997</v>
      </c>
      <c r="N1105" s="16">
        <f t="shared" ca="1" si="40"/>
        <v>152.69</v>
      </c>
    </row>
    <row r="1106" spans="1:14" ht="24.75" customHeight="1" x14ac:dyDescent="0.8">
      <c r="A1106" s="18" t="s">
        <v>1069</v>
      </c>
      <c r="B1106" s="10">
        <f ca="1">IFERROR(__xludf.DUMMYFUNCTION("GOOGLEFINANCE(A1106,""PRICE"")"),240)</f>
        <v>240</v>
      </c>
      <c r="C1106" s="11">
        <f ca="1">IFERROR(__xludf.DUMMYFUNCTION("GOOGLEFINANCE(A1106,""PRICEOPEN"")"),231.05)</f>
        <v>231.05</v>
      </c>
      <c r="D1106" s="11">
        <f ca="1">IFERROR(__xludf.DUMMYFUNCTION("GOOGLEFINANCE(A1106,""HIGH"")"),240)</f>
        <v>240</v>
      </c>
      <c r="E1106" s="11">
        <f ca="1">IFERROR(__xludf.DUMMYFUNCTION("GOOGLEFINANCE(A1106,""LOW"")"),231)</f>
        <v>231</v>
      </c>
      <c r="F1106" s="12" t="str">
        <f t="shared" ca="1" si="35"/>
        <v/>
      </c>
      <c r="G1106" s="13">
        <f ca="1">IFERROR(__xludf.DUMMYFUNCTION("GOOGLEFINANCE(A1106,""CLOSEYEST"")"),232.53)</f>
        <v>232.53</v>
      </c>
      <c r="H1106" s="14" t="str">
        <f t="shared" ca="1" si="41"/>
        <v/>
      </c>
      <c r="I1106" s="15">
        <f t="shared" ca="1" si="36"/>
        <v>234.51</v>
      </c>
      <c r="J1106" s="16">
        <f t="shared" ca="1" si="37"/>
        <v>238.01999999999998</v>
      </c>
      <c r="K1106" s="16"/>
      <c r="L1106" s="16">
        <f t="shared" ca="1" si="38"/>
        <v>229.01999999999998</v>
      </c>
      <c r="M1106" s="16">
        <f t="shared" ca="1" si="39"/>
        <v>243.51</v>
      </c>
      <c r="N1106" s="16">
        <f t="shared" ca="1" si="40"/>
        <v>225.51</v>
      </c>
    </row>
    <row r="1107" spans="1:14" ht="24.75" customHeight="1" x14ac:dyDescent="0.8">
      <c r="A1107" s="18" t="s">
        <v>1070</v>
      </c>
      <c r="B1107" s="10">
        <f ca="1">IFERROR(__xludf.DUMMYFUNCTION("GOOGLEFINANCE(A1107,""PRICE"")"),5478)</f>
        <v>5478</v>
      </c>
      <c r="C1107" s="11">
        <f ca="1">IFERROR(__xludf.DUMMYFUNCTION("GOOGLEFINANCE(A1107,""PRICEOPEN"")"),5455)</f>
        <v>5455</v>
      </c>
      <c r="D1107" s="11">
        <f ca="1">IFERROR(__xludf.DUMMYFUNCTION("GOOGLEFINANCE(A1107,""HIGH"")"),5564.5)</f>
        <v>5564.5</v>
      </c>
      <c r="E1107" s="11">
        <f ca="1">IFERROR(__xludf.DUMMYFUNCTION("GOOGLEFINANCE(A1107,""LOW"")"),5431)</f>
        <v>5431</v>
      </c>
      <c r="F1107" s="12" t="str">
        <f t="shared" ca="1" si="35"/>
        <v/>
      </c>
      <c r="G1107" s="13">
        <f ca="1">IFERROR(__xludf.DUMMYFUNCTION("GOOGLEFINANCE(A1107,""CLOSEYEST"")"),5441.5)</f>
        <v>5441.5</v>
      </c>
      <c r="H1107" s="14" t="str">
        <f t="shared" ca="1" si="41"/>
        <v/>
      </c>
      <c r="I1107" s="15">
        <f t="shared" ca="1" si="36"/>
        <v>5479</v>
      </c>
      <c r="J1107" s="16">
        <f t="shared" ca="1" si="37"/>
        <v>5527</v>
      </c>
      <c r="K1107" s="16"/>
      <c r="L1107" s="16">
        <f t="shared" ca="1" si="38"/>
        <v>5393.5</v>
      </c>
      <c r="M1107" s="16">
        <f t="shared" ca="1" si="39"/>
        <v>5612.5</v>
      </c>
      <c r="N1107" s="16">
        <f t="shared" ca="1" si="40"/>
        <v>5345.5</v>
      </c>
    </row>
    <row r="1108" spans="1:14" ht="24.75" customHeight="1" x14ac:dyDescent="0.8">
      <c r="A1108" s="18" t="s">
        <v>1071</v>
      </c>
      <c r="B1108" s="10">
        <f ca="1">IFERROR(__xludf.DUMMYFUNCTION("GOOGLEFINANCE(A1108,""PRICE"")"),136.7)</f>
        <v>136.69999999999999</v>
      </c>
      <c r="C1108" s="11">
        <f ca="1">IFERROR(__xludf.DUMMYFUNCTION("GOOGLEFINANCE(A1108,""PRICEOPEN"")"),133.9)</f>
        <v>133.9</v>
      </c>
      <c r="D1108" s="11">
        <f ca="1">IFERROR(__xludf.DUMMYFUNCTION("GOOGLEFINANCE(A1108,""HIGH"")"),143.95)</f>
        <v>143.94999999999999</v>
      </c>
      <c r="E1108" s="11">
        <f ca="1">IFERROR(__xludf.DUMMYFUNCTION("GOOGLEFINANCE(A1108,""LOW"")"),132.34)</f>
        <v>132.34</v>
      </c>
      <c r="F1108" s="12" t="str">
        <f t="shared" ca="1" si="35"/>
        <v/>
      </c>
      <c r="G1108" s="13">
        <f ca="1">IFERROR(__xludf.DUMMYFUNCTION("GOOGLEFINANCE(A1108,""CLOSEYEST"")"),132.8)</f>
        <v>132.80000000000001</v>
      </c>
      <c r="H1108" s="14" t="str">
        <f t="shared" ca="1" si="41"/>
        <v/>
      </c>
      <c r="I1108" s="15">
        <f t="shared" ca="1" si="36"/>
        <v>136.36333333333332</v>
      </c>
      <c r="J1108" s="16">
        <f t="shared" ca="1" si="37"/>
        <v>140.38666666666663</v>
      </c>
      <c r="K1108" s="16"/>
      <c r="L1108" s="16">
        <f t="shared" ca="1" si="38"/>
        <v>128.77666666666664</v>
      </c>
      <c r="M1108" s="16">
        <f t="shared" ca="1" si="39"/>
        <v>147.9733333333333</v>
      </c>
      <c r="N1108" s="16">
        <f t="shared" ca="1" si="40"/>
        <v>124.75333333333333</v>
      </c>
    </row>
    <row r="1109" spans="1:14" ht="24.75" customHeight="1" x14ac:dyDescent="0.8">
      <c r="A1109" s="18" t="s">
        <v>1072</v>
      </c>
      <c r="B1109" s="10">
        <f ca="1">IFERROR(__xludf.DUMMYFUNCTION("GOOGLEFINANCE(A1109,""PRICE"")"),876)</f>
        <v>876</v>
      </c>
      <c r="C1109" s="11">
        <f ca="1">IFERROR(__xludf.DUMMYFUNCTION("GOOGLEFINANCE(A1109,""PRICEOPEN"")"),858)</f>
        <v>858</v>
      </c>
      <c r="D1109" s="11">
        <f ca="1">IFERROR(__xludf.DUMMYFUNCTION("GOOGLEFINANCE(A1109,""HIGH"")"),880)</f>
        <v>880</v>
      </c>
      <c r="E1109" s="11">
        <f ca="1">IFERROR(__xludf.DUMMYFUNCTION("GOOGLEFINANCE(A1109,""LOW"")"),858)</f>
        <v>858</v>
      </c>
      <c r="F1109" s="12" t="str">
        <f t="shared" ca="1" si="35"/>
        <v>BUY</v>
      </c>
      <c r="G1109" s="13">
        <f ca="1">IFERROR(__xludf.DUMMYFUNCTION("GOOGLEFINANCE(A1109,""CLOSEYEST"")"),857.3)</f>
        <v>857.3</v>
      </c>
      <c r="H1109" s="14" t="str">
        <f t="shared" ca="1" si="41"/>
        <v/>
      </c>
      <c r="I1109" s="15">
        <f t="shared" ca="1" si="36"/>
        <v>865.1</v>
      </c>
      <c r="J1109" s="16">
        <f t="shared" ca="1" si="37"/>
        <v>872.2</v>
      </c>
      <c r="K1109" s="16"/>
      <c r="L1109" s="16">
        <f t="shared" ca="1" si="38"/>
        <v>850.2</v>
      </c>
      <c r="M1109" s="16">
        <f t="shared" ca="1" si="39"/>
        <v>887.1</v>
      </c>
      <c r="N1109" s="16">
        <f t="shared" ca="1" si="40"/>
        <v>843.1</v>
      </c>
    </row>
    <row r="1110" spans="1:14" ht="24.75" customHeight="1" x14ac:dyDescent="0.8">
      <c r="A1110" s="18" t="s">
        <v>1073</v>
      </c>
      <c r="B1110" s="10" t="str">
        <f ca="1">IFERROR(__xludf.DUMMYFUNCTION("GOOGLEFINANCE(A1110,""PRICE"")"),"#N/A")</f>
        <v>#N/A</v>
      </c>
      <c r="C1110" s="11" t="str">
        <f ca="1">IFERROR(__xludf.DUMMYFUNCTION("GOOGLEFINANCE(A1110,""PRICEOPEN"")"),"#N/A")</f>
        <v>#N/A</v>
      </c>
      <c r="D1110" s="11" t="str">
        <f ca="1">IFERROR(__xludf.DUMMYFUNCTION("GOOGLEFINANCE(A1110,""HIGH"")"),"#N/A")</f>
        <v>#N/A</v>
      </c>
      <c r="E1110" s="11" t="str">
        <f ca="1">IFERROR(__xludf.DUMMYFUNCTION("GOOGLEFINANCE(A1110,""LOW"")"),"#N/A")</f>
        <v>#N/A</v>
      </c>
      <c r="F1110" s="12" t="str">
        <f t="shared" ca="1" si="35"/>
        <v>SELL</v>
      </c>
      <c r="G1110" s="13" t="str">
        <f ca="1">IFERROR(__xludf.DUMMYFUNCTION("GOOGLEFINANCE(A1110,""CLOSEYEST"")"),"#N/A")</f>
        <v>#N/A</v>
      </c>
      <c r="H1110" s="14" t="e">
        <f t="shared" ca="1" si="41"/>
        <v>#VALUE!</v>
      </c>
      <c r="I1110" s="15" t="e">
        <f t="shared" ca="1" si="36"/>
        <v>#VALUE!</v>
      </c>
      <c r="J1110" s="16" t="e">
        <f t="shared" ca="1" si="37"/>
        <v>#VALUE!</v>
      </c>
      <c r="K1110" s="16"/>
      <c r="L1110" s="16" t="e">
        <f t="shared" ca="1" si="38"/>
        <v>#VALUE!</v>
      </c>
      <c r="M1110" s="16" t="e">
        <f t="shared" ca="1" si="39"/>
        <v>#VALUE!</v>
      </c>
      <c r="N1110" s="16" t="e">
        <f t="shared" ca="1" si="40"/>
        <v>#VALUE!</v>
      </c>
    </row>
    <row r="1111" spans="1:14" ht="24.75" customHeight="1" x14ac:dyDescent="0.8">
      <c r="A1111" s="18" t="s">
        <v>1074</v>
      </c>
      <c r="B1111" s="10">
        <f ca="1">IFERROR(__xludf.DUMMYFUNCTION("GOOGLEFINANCE(A1111,""PRICE"")"),456)</f>
        <v>456</v>
      </c>
      <c r="C1111" s="11">
        <f ca="1">IFERROR(__xludf.DUMMYFUNCTION("GOOGLEFINANCE(A1111,""PRICEOPEN"")"),428)</f>
        <v>428</v>
      </c>
      <c r="D1111" s="11">
        <f ca="1">IFERROR(__xludf.DUMMYFUNCTION("GOOGLEFINANCE(A1111,""HIGH"")"),456)</f>
        <v>456</v>
      </c>
      <c r="E1111" s="11">
        <f ca="1">IFERROR(__xludf.DUMMYFUNCTION("GOOGLEFINANCE(A1111,""LOW"")"),428)</f>
        <v>428</v>
      </c>
      <c r="F1111" s="12" t="str">
        <f t="shared" ca="1" si="35"/>
        <v>BUY</v>
      </c>
      <c r="G1111" s="13">
        <f ca="1">IFERROR(__xludf.DUMMYFUNCTION("GOOGLEFINANCE(A1111,""CLOSEYEST"")"),428.75)</f>
        <v>428.75</v>
      </c>
      <c r="H1111" s="14" t="str">
        <f t="shared" ca="1" si="41"/>
        <v/>
      </c>
      <c r="I1111" s="15">
        <f t="shared" ca="1" si="36"/>
        <v>437.58333333333331</v>
      </c>
      <c r="J1111" s="16">
        <f t="shared" ca="1" si="37"/>
        <v>447.16666666666663</v>
      </c>
      <c r="K1111" s="16"/>
      <c r="L1111" s="16">
        <f t="shared" ca="1" si="38"/>
        <v>419.16666666666663</v>
      </c>
      <c r="M1111" s="16">
        <f t="shared" ca="1" si="39"/>
        <v>465.58333333333331</v>
      </c>
      <c r="N1111" s="16">
        <f t="shared" ca="1" si="40"/>
        <v>409.58333333333331</v>
      </c>
    </row>
    <row r="1112" spans="1:14" ht="24.75" customHeight="1" x14ac:dyDescent="0.8">
      <c r="A1112" s="18" t="s">
        <v>1075</v>
      </c>
      <c r="B1112" s="10">
        <f ca="1">IFERROR(__xludf.DUMMYFUNCTION("GOOGLEFINANCE(A1112,""PRICE"")"),190.9)</f>
        <v>190.9</v>
      </c>
      <c r="C1112" s="11">
        <f ca="1">IFERROR(__xludf.DUMMYFUNCTION("GOOGLEFINANCE(A1112,""PRICEOPEN"")"),191.29)</f>
        <v>191.29</v>
      </c>
      <c r="D1112" s="11">
        <f ca="1">IFERROR(__xludf.DUMMYFUNCTION("GOOGLEFINANCE(A1112,""HIGH"")"),194.39)</f>
        <v>194.39</v>
      </c>
      <c r="E1112" s="11">
        <f ca="1">IFERROR(__xludf.DUMMYFUNCTION("GOOGLEFINANCE(A1112,""LOW"")"),187.5)</f>
        <v>187.5</v>
      </c>
      <c r="F1112" s="12" t="str">
        <f t="shared" ca="1" si="35"/>
        <v/>
      </c>
      <c r="G1112" s="13">
        <f ca="1">IFERROR(__xludf.DUMMYFUNCTION("GOOGLEFINANCE(A1112,""CLOSEYEST"")"),189.86)</f>
        <v>189.86</v>
      </c>
      <c r="H1112" s="14" t="str">
        <f t="shared" ca="1" si="41"/>
        <v/>
      </c>
      <c r="I1112" s="15">
        <f t="shared" ca="1" si="36"/>
        <v>190.58333333333334</v>
      </c>
      <c r="J1112" s="16">
        <f t="shared" ca="1" si="37"/>
        <v>193.66666666666669</v>
      </c>
      <c r="K1112" s="16"/>
      <c r="L1112" s="16">
        <f t="shared" ca="1" si="38"/>
        <v>186.7766666666667</v>
      </c>
      <c r="M1112" s="16">
        <f t="shared" ca="1" si="39"/>
        <v>197.47333333333333</v>
      </c>
      <c r="N1112" s="16">
        <f t="shared" ca="1" si="40"/>
        <v>183.69333333333336</v>
      </c>
    </row>
    <row r="1113" spans="1:14" ht="24.75" customHeight="1" x14ac:dyDescent="0.8">
      <c r="A1113" s="18" t="s">
        <v>1076</v>
      </c>
      <c r="B1113" s="10">
        <f ca="1">IFERROR(__xludf.DUMMYFUNCTION("GOOGLEFINANCE(A1113,""PRICE"")"),55.3)</f>
        <v>55.3</v>
      </c>
      <c r="C1113" s="11">
        <f ca="1">IFERROR(__xludf.DUMMYFUNCTION("GOOGLEFINANCE(A1113,""PRICEOPEN"")"),53.6)</f>
        <v>53.6</v>
      </c>
      <c r="D1113" s="11">
        <f ca="1">IFERROR(__xludf.DUMMYFUNCTION("GOOGLEFINANCE(A1113,""HIGH"")"),56.95)</f>
        <v>56.95</v>
      </c>
      <c r="E1113" s="11">
        <f ca="1">IFERROR(__xludf.DUMMYFUNCTION("GOOGLEFINANCE(A1113,""LOW"")"),53.01)</f>
        <v>53.01</v>
      </c>
      <c r="F1113" s="12" t="str">
        <f t="shared" ca="1" si="35"/>
        <v/>
      </c>
      <c r="G1113" s="13">
        <f ca="1">IFERROR(__xludf.DUMMYFUNCTION("GOOGLEFINANCE(A1113,""CLOSEYEST"")"),53.23)</f>
        <v>53.23</v>
      </c>
      <c r="H1113" s="14" t="str">
        <f t="shared" ca="1" si="41"/>
        <v/>
      </c>
      <c r="I1113" s="15">
        <f t="shared" ca="1" si="36"/>
        <v>54.396666666666668</v>
      </c>
      <c r="J1113" s="16">
        <f t="shared" ca="1" si="37"/>
        <v>55.783333333333339</v>
      </c>
      <c r="K1113" s="16"/>
      <c r="L1113" s="16">
        <f t="shared" ca="1" si="38"/>
        <v>51.843333333333334</v>
      </c>
      <c r="M1113" s="16">
        <f t="shared" ca="1" si="39"/>
        <v>58.336666666666673</v>
      </c>
      <c r="N1113" s="16">
        <f t="shared" ca="1" si="40"/>
        <v>50.456666666666663</v>
      </c>
    </row>
    <row r="1114" spans="1:14" ht="24.75" customHeight="1" x14ac:dyDescent="0.8">
      <c r="A1114" s="18" t="s">
        <v>1077</v>
      </c>
      <c r="B1114" s="10">
        <f ca="1">IFERROR(__xludf.DUMMYFUNCTION("GOOGLEFINANCE(A1114,""PRICE"")"),3.39)</f>
        <v>3.39</v>
      </c>
      <c r="C1114" s="11">
        <f ca="1">IFERROR(__xludf.DUMMYFUNCTION("GOOGLEFINANCE(A1114,""PRICEOPEN"")"),3.35)</f>
        <v>3.35</v>
      </c>
      <c r="D1114" s="11">
        <f ca="1">IFERROR(__xludf.DUMMYFUNCTION("GOOGLEFINANCE(A1114,""HIGH"")"),3.4)</f>
        <v>3.4</v>
      </c>
      <c r="E1114" s="11">
        <f ca="1">IFERROR(__xludf.DUMMYFUNCTION("GOOGLEFINANCE(A1114,""LOW"")"),3.33)</f>
        <v>3.33</v>
      </c>
      <c r="F1114" s="12" t="str">
        <f t="shared" ca="1" si="35"/>
        <v/>
      </c>
      <c r="G1114" s="13">
        <f ca="1">IFERROR(__xludf.DUMMYFUNCTION("GOOGLEFINANCE(A1114,""CLOSEYEST"")"),3.34)</f>
        <v>3.34</v>
      </c>
      <c r="H1114" s="14" t="str">
        <f t="shared" ca="1" si="41"/>
        <v/>
      </c>
      <c r="I1114" s="15">
        <f t="shared" ca="1" si="36"/>
        <v>3.3566666666666669</v>
      </c>
      <c r="J1114" s="16">
        <f t="shared" ca="1" si="37"/>
        <v>3.3833333333333337</v>
      </c>
      <c r="K1114" s="16"/>
      <c r="L1114" s="16">
        <f t="shared" ca="1" si="38"/>
        <v>3.3133333333333339</v>
      </c>
      <c r="M1114" s="16">
        <f t="shared" ca="1" si="39"/>
        <v>3.4266666666666667</v>
      </c>
      <c r="N1114" s="16">
        <f t="shared" ca="1" si="40"/>
        <v>3.2866666666666671</v>
      </c>
    </row>
    <row r="1115" spans="1:14" ht="24.75" customHeight="1" x14ac:dyDescent="0.8">
      <c r="A1115" s="18" t="s">
        <v>1078</v>
      </c>
      <c r="B1115" s="10">
        <f ca="1">IFERROR(__xludf.DUMMYFUNCTION("GOOGLEFINANCE(A1115,""PRICE"")"),941.75)</f>
        <v>941.75</v>
      </c>
      <c r="C1115" s="11">
        <f ca="1">IFERROR(__xludf.DUMMYFUNCTION("GOOGLEFINANCE(A1115,""PRICEOPEN"")"),942)</f>
        <v>942</v>
      </c>
      <c r="D1115" s="11">
        <f ca="1">IFERROR(__xludf.DUMMYFUNCTION("GOOGLEFINANCE(A1115,""HIGH"")"),951)</f>
        <v>951</v>
      </c>
      <c r="E1115" s="11">
        <f ca="1">IFERROR(__xludf.DUMMYFUNCTION("GOOGLEFINANCE(A1115,""LOW"")"),936.5)</f>
        <v>936.5</v>
      </c>
      <c r="F1115" s="12" t="str">
        <f t="shared" ca="1" si="35"/>
        <v/>
      </c>
      <c r="G1115" s="13">
        <f ca="1">IFERROR(__xludf.DUMMYFUNCTION("GOOGLEFINANCE(A1115,""CLOSEYEST"")"),949.55)</f>
        <v>949.55</v>
      </c>
      <c r="H1115" s="14" t="str">
        <f t="shared" ca="1" si="41"/>
        <v/>
      </c>
      <c r="I1115" s="15">
        <f t="shared" ca="1" si="36"/>
        <v>945.68333333333339</v>
      </c>
      <c r="J1115" s="16">
        <f t="shared" ca="1" si="37"/>
        <v>954.86666666666679</v>
      </c>
      <c r="K1115" s="16"/>
      <c r="L1115" s="16">
        <f t="shared" ca="1" si="38"/>
        <v>940.36666666666679</v>
      </c>
      <c r="M1115" s="16">
        <f t="shared" ca="1" si="39"/>
        <v>960.18333333333339</v>
      </c>
      <c r="N1115" s="16">
        <f t="shared" ca="1" si="40"/>
        <v>931.18333333333339</v>
      </c>
    </row>
    <row r="1116" spans="1:14" ht="24.75" customHeight="1" x14ac:dyDescent="0.8">
      <c r="A1116" s="18" t="s">
        <v>1079</v>
      </c>
      <c r="B1116" s="10">
        <f ca="1">IFERROR(__xludf.DUMMYFUNCTION("GOOGLEFINANCE(A1116,""PRICE"")"),12.66)</f>
        <v>12.66</v>
      </c>
      <c r="C1116" s="11">
        <f ca="1">IFERROR(__xludf.DUMMYFUNCTION("GOOGLEFINANCE(A1116,""PRICEOPEN"")"),12.66)</f>
        <v>12.66</v>
      </c>
      <c r="D1116" s="11">
        <f ca="1">IFERROR(__xludf.DUMMYFUNCTION("GOOGLEFINANCE(A1116,""HIGH"")"),12.66)</f>
        <v>12.66</v>
      </c>
      <c r="E1116" s="11">
        <f ca="1">IFERROR(__xludf.DUMMYFUNCTION("GOOGLEFINANCE(A1116,""LOW"")"),12.66)</f>
        <v>12.66</v>
      </c>
      <c r="F1116" s="12" t="str">
        <f t="shared" ca="1" si="35"/>
        <v>SELL</v>
      </c>
      <c r="G1116" s="13">
        <f ca="1">IFERROR(__xludf.DUMMYFUNCTION("GOOGLEFINANCE(A1116,""CLOSEYEST"")"),12.06)</f>
        <v>12.06</v>
      </c>
      <c r="H1116" s="14" t="str">
        <f t="shared" ca="1" si="41"/>
        <v>GAP UP</v>
      </c>
      <c r="I1116" s="15">
        <f t="shared" ca="1" si="36"/>
        <v>12.46</v>
      </c>
      <c r="J1116" s="16">
        <f t="shared" ca="1" si="37"/>
        <v>12.260000000000002</v>
      </c>
      <c r="K1116" s="16"/>
      <c r="L1116" s="16">
        <f t="shared" ca="1" si="38"/>
        <v>12.260000000000002</v>
      </c>
      <c r="M1116" s="16">
        <f t="shared" ca="1" si="39"/>
        <v>12.46</v>
      </c>
      <c r="N1116" s="16">
        <f t="shared" ca="1" si="40"/>
        <v>12.46</v>
      </c>
    </row>
    <row r="1117" spans="1:14" ht="24.75" customHeight="1" x14ac:dyDescent="0.8">
      <c r="A1117" s="18" t="s">
        <v>1080</v>
      </c>
      <c r="B1117" s="10">
        <f ca="1">IFERROR(__xludf.DUMMYFUNCTION("GOOGLEFINANCE(A1117,""PRICE"")"),240)</f>
        <v>240</v>
      </c>
      <c r="C1117" s="11">
        <f ca="1">IFERROR(__xludf.DUMMYFUNCTION("GOOGLEFINANCE(A1117,""PRICEOPEN"")"),241.69)</f>
        <v>241.69</v>
      </c>
      <c r="D1117" s="11">
        <f ca="1">IFERROR(__xludf.DUMMYFUNCTION("GOOGLEFINANCE(A1117,""HIGH"")"),241.69)</f>
        <v>241.69</v>
      </c>
      <c r="E1117" s="11">
        <f ca="1">IFERROR(__xludf.DUMMYFUNCTION("GOOGLEFINANCE(A1117,""LOW"")"),234)</f>
        <v>234</v>
      </c>
      <c r="F1117" s="12" t="str">
        <f t="shared" ca="1" si="35"/>
        <v>SELL</v>
      </c>
      <c r="G1117" s="13">
        <f ca="1">IFERROR(__xludf.DUMMYFUNCTION("GOOGLEFINANCE(A1117,""CLOSEYEST"")"),236.89)</f>
        <v>236.89</v>
      </c>
      <c r="H1117" s="14" t="str">
        <f t="shared" ca="1" si="41"/>
        <v>GAP UP</v>
      </c>
      <c r="I1117" s="15">
        <f t="shared" ca="1" si="36"/>
        <v>237.52666666666664</v>
      </c>
      <c r="J1117" s="16">
        <f t="shared" ca="1" si="37"/>
        <v>241.05333333333328</v>
      </c>
      <c r="K1117" s="16"/>
      <c r="L1117" s="16">
        <f t="shared" ca="1" si="38"/>
        <v>233.36333333333329</v>
      </c>
      <c r="M1117" s="16">
        <f t="shared" ca="1" si="39"/>
        <v>245.21666666666664</v>
      </c>
      <c r="N1117" s="16">
        <f t="shared" ca="1" si="40"/>
        <v>229.83666666666664</v>
      </c>
    </row>
    <row r="1118" spans="1:14" ht="24.75" customHeight="1" x14ac:dyDescent="0.8">
      <c r="A1118" s="18" t="s">
        <v>1081</v>
      </c>
      <c r="B1118" s="10">
        <f ca="1">IFERROR(__xludf.DUMMYFUNCTION("GOOGLEFINANCE(A1118,""PRICE"")"),2.22)</f>
        <v>2.2200000000000002</v>
      </c>
      <c r="C1118" s="11">
        <f ca="1">IFERROR(__xludf.DUMMYFUNCTION("GOOGLEFINANCE(A1118,""PRICEOPEN"")"),2.2)</f>
        <v>2.2000000000000002</v>
      </c>
      <c r="D1118" s="11">
        <f ca="1">IFERROR(__xludf.DUMMYFUNCTION("GOOGLEFINANCE(A1118,""HIGH"")"),2.22)</f>
        <v>2.2200000000000002</v>
      </c>
      <c r="E1118" s="11">
        <f ca="1">IFERROR(__xludf.DUMMYFUNCTION("GOOGLEFINANCE(A1118,""LOW"")"),2.19)</f>
        <v>2.19</v>
      </c>
      <c r="F1118" s="12" t="str">
        <f t="shared" ca="1" si="35"/>
        <v/>
      </c>
      <c r="G1118" s="13">
        <f ca="1">IFERROR(__xludf.DUMMYFUNCTION("GOOGLEFINANCE(A1118,""CLOSEYEST"")"),2.2)</f>
        <v>2.2000000000000002</v>
      </c>
      <c r="H1118" s="14" t="str">
        <f t="shared" ca="1" si="41"/>
        <v/>
      </c>
      <c r="I1118" s="15">
        <f t="shared" ca="1" si="36"/>
        <v>2.2033333333333336</v>
      </c>
      <c r="J1118" s="16">
        <f t="shared" ca="1" si="37"/>
        <v>2.2166666666666672</v>
      </c>
      <c r="K1118" s="16"/>
      <c r="L1118" s="16">
        <f t="shared" ca="1" si="38"/>
        <v>2.186666666666667</v>
      </c>
      <c r="M1118" s="16">
        <f t="shared" ca="1" si="39"/>
        <v>2.2333333333333338</v>
      </c>
      <c r="N1118" s="16">
        <f t="shared" ca="1" si="40"/>
        <v>2.1733333333333333</v>
      </c>
    </row>
    <row r="1119" spans="1:14" ht="24.75" customHeight="1" x14ac:dyDescent="0.8">
      <c r="A1119" s="18" t="s">
        <v>1082</v>
      </c>
      <c r="B1119" s="10">
        <f ca="1">IFERROR(__xludf.DUMMYFUNCTION("GOOGLEFINANCE(A1119,""PRICE"")"),274)</f>
        <v>274</v>
      </c>
      <c r="C1119" s="11">
        <f ca="1">IFERROR(__xludf.DUMMYFUNCTION("GOOGLEFINANCE(A1119,""PRICEOPEN"")"),238)</f>
        <v>238</v>
      </c>
      <c r="D1119" s="11">
        <f ca="1">IFERROR(__xludf.DUMMYFUNCTION("GOOGLEFINANCE(A1119,""HIGH"")"),274.8)</f>
        <v>274.8</v>
      </c>
      <c r="E1119" s="11">
        <f ca="1">IFERROR(__xludf.DUMMYFUNCTION("GOOGLEFINANCE(A1119,""LOW"")"),236.05)</f>
        <v>236.05</v>
      </c>
      <c r="F1119" s="12" t="str">
        <f t="shared" ca="1" si="35"/>
        <v/>
      </c>
      <c r="G1119" s="13">
        <f ca="1">IFERROR(__xludf.DUMMYFUNCTION("GOOGLEFINANCE(A1119,""CLOSEYEST"")"),231.57)</f>
        <v>231.57</v>
      </c>
      <c r="H1119" s="14" t="str">
        <f t="shared" ca="1" si="41"/>
        <v>GAP UP</v>
      </c>
      <c r="I1119" s="15">
        <f t="shared" ca="1" si="36"/>
        <v>247.47333333333336</v>
      </c>
      <c r="J1119" s="16">
        <f t="shared" ca="1" si="37"/>
        <v>258.8966666666667</v>
      </c>
      <c r="K1119" s="16"/>
      <c r="L1119" s="16">
        <f t="shared" ca="1" si="38"/>
        <v>220.1466666666667</v>
      </c>
      <c r="M1119" s="16">
        <f t="shared" ca="1" si="39"/>
        <v>286.22333333333336</v>
      </c>
      <c r="N1119" s="16">
        <f t="shared" ca="1" si="40"/>
        <v>208.72333333333336</v>
      </c>
    </row>
    <row r="1120" spans="1:14" ht="24.75" customHeight="1" x14ac:dyDescent="0.8">
      <c r="A1120" s="18" t="s">
        <v>1083</v>
      </c>
      <c r="B1120" s="10">
        <f ca="1">IFERROR(__xludf.DUMMYFUNCTION("GOOGLEFINANCE(A1120,""PRICE"")"),61.6)</f>
        <v>61.6</v>
      </c>
      <c r="C1120" s="11">
        <f ca="1">IFERROR(__xludf.DUMMYFUNCTION("GOOGLEFINANCE(A1120,""PRICEOPEN"")"),61.35)</f>
        <v>61.35</v>
      </c>
      <c r="D1120" s="11">
        <f ca="1">IFERROR(__xludf.DUMMYFUNCTION("GOOGLEFINANCE(A1120,""HIGH"")"),61.99)</f>
        <v>61.99</v>
      </c>
      <c r="E1120" s="11">
        <f ca="1">IFERROR(__xludf.DUMMYFUNCTION("GOOGLEFINANCE(A1120,""LOW"")"),61.3)</f>
        <v>61.3</v>
      </c>
      <c r="F1120" s="12" t="str">
        <f t="shared" ca="1" si="35"/>
        <v/>
      </c>
      <c r="G1120" s="13">
        <f ca="1">IFERROR(__xludf.DUMMYFUNCTION("GOOGLEFINANCE(A1120,""CLOSEYEST"")"),61.31)</f>
        <v>61.31</v>
      </c>
      <c r="H1120" s="14" t="str">
        <f t="shared" ca="1" si="41"/>
        <v/>
      </c>
      <c r="I1120" s="15">
        <f t="shared" ca="1" si="36"/>
        <v>61.533333333333331</v>
      </c>
      <c r="J1120" s="16">
        <f t="shared" ca="1" si="37"/>
        <v>61.766666666666666</v>
      </c>
      <c r="K1120" s="16"/>
      <c r="L1120" s="16">
        <f t="shared" ca="1" si="38"/>
        <v>61.076666666666661</v>
      </c>
      <c r="M1120" s="16">
        <f t="shared" ca="1" si="39"/>
        <v>62.223333333333336</v>
      </c>
      <c r="N1120" s="16">
        <f t="shared" ca="1" si="40"/>
        <v>60.843333333333327</v>
      </c>
    </row>
    <row r="1121" spans="1:14" ht="24.75" customHeight="1" x14ac:dyDescent="0.8">
      <c r="A1121" s="18" t="s">
        <v>1084</v>
      </c>
      <c r="B1121" s="10" t="str">
        <f ca="1">IFERROR(__xludf.DUMMYFUNCTION("GOOGLEFINANCE(A1121,""PRICE"")"),"#N/A")</f>
        <v>#N/A</v>
      </c>
      <c r="C1121" s="11" t="str">
        <f ca="1">IFERROR(__xludf.DUMMYFUNCTION("GOOGLEFINANCE(A1121,""PRICEOPEN"")"),"#N/A")</f>
        <v>#N/A</v>
      </c>
      <c r="D1121" s="11" t="str">
        <f ca="1">IFERROR(__xludf.DUMMYFUNCTION("GOOGLEFINANCE(A1121,""HIGH"")"),"#N/A")</f>
        <v>#N/A</v>
      </c>
      <c r="E1121" s="11" t="str">
        <f ca="1">IFERROR(__xludf.DUMMYFUNCTION("GOOGLEFINANCE(A1121,""LOW"")"),"#N/A")</f>
        <v>#N/A</v>
      </c>
      <c r="F1121" s="12" t="str">
        <f t="shared" ca="1" si="35"/>
        <v>SELL</v>
      </c>
      <c r="G1121" s="13" t="str">
        <f ca="1">IFERROR(__xludf.DUMMYFUNCTION("GOOGLEFINANCE(A1121,""CLOSEYEST"")"),"#N/A")</f>
        <v>#N/A</v>
      </c>
      <c r="H1121" s="14" t="e">
        <f t="shared" ca="1" si="41"/>
        <v>#VALUE!</v>
      </c>
      <c r="I1121" s="15" t="e">
        <f t="shared" ca="1" si="36"/>
        <v>#VALUE!</v>
      </c>
      <c r="J1121" s="16" t="e">
        <f t="shared" ca="1" si="37"/>
        <v>#VALUE!</v>
      </c>
      <c r="K1121" s="16"/>
      <c r="L1121" s="16" t="e">
        <f t="shared" ca="1" si="38"/>
        <v>#VALUE!</v>
      </c>
      <c r="M1121" s="16" t="e">
        <f t="shared" ca="1" si="39"/>
        <v>#VALUE!</v>
      </c>
      <c r="N1121" s="16" t="e">
        <f t="shared" ca="1" si="40"/>
        <v>#VALUE!</v>
      </c>
    </row>
    <row r="1122" spans="1:14" ht="24.75" customHeight="1" x14ac:dyDescent="0.8">
      <c r="A1122" s="18" t="s">
        <v>1085</v>
      </c>
      <c r="B1122" s="10">
        <f ca="1">IFERROR(__xludf.DUMMYFUNCTION("GOOGLEFINANCE(A1122,""PRICE"")"),85.24)</f>
        <v>85.24</v>
      </c>
      <c r="C1122" s="11">
        <f ca="1">IFERROR(__xludf.DUMMYFUNCTION("GOOGLEFINANCE(A1122,""PRICEOPEN"")"),85.1)</f>
        <v>85.1</v>
      </c>
      <c r="D1122" s="11">
        <f ca="1">IFERROR(__xludf.DUMMYFUNCTION("GOOGLEFINANCE(A1122,""HIGH"")"),85.92)</f>
        <v>85.92</v>
      </c>
      <c r="E1122" s="11">
        <f ca="1">IFERROR(__xludf.DUMMYFUNCTION("GOOGLEFINANCE(A1122,""LOW"")"),83.95)</f>
        <v>83.95</v>
      </c>
      <c r="F1122" s="12" t="str">
        <f t="shared" ca="1" si="35"/>
        <v/>
      </c>
      <c r="G1122" s="13">
        <f ca="1">IFERROR(__xludf.DUMMYFUNCTION("GOOGLEFINANCE(A1122,""CLOSEYEST"")"),85.06)</f>
        <v>85.06</v>
      </c>
      <c r="H1122" s="14" t="str">
        <f t="shared" ca="1" si="41"/>
        <v/>
      </c>
      <c r="I1122" s="15">
        <f t="shared" ca="1" si="36"/>
        <v>84.976666666666674</v>
      </c>
      <c r="J1122" s="16">
        <f t="shared" ca="1" si="37"/>
        <v>86.003333333333345</v>
      </c>
      <c r="K1122" s="16"/>
      <c r="L1122" s="16">
        <f t="shared" ca="1" si="38"/>
        <v>84.033333333333346</v>
      </c>
      <c r="M1122" s="16">
        <f t="shared" ca="1" si="39"/>
        <v>86.946666666666673</v>
      </c>
      <c r="N1122" s="16">
        <f t="shared" ca="1" si="40"/>
        <v>83.006666666666675</v>
      </c>
    </row>
    <row r="1123" spans="1:14" ht="24.75" customHeight="1" x14ac:dyDescent="0.8">
      <c r="A1123" s="18" t="s">
        <v>1086</v>
      </c>
      <c r="B1123" s="10">
        <f ca="1">IFERROR(__xludf.DUMMYFUNCTION("GOOGLEFINANCE(A1123,""PRICE"")"),1.3)</f>
        <v>1.3</v>
      </c>
      <c r="C1123" s="11">
        <f ca="1">IFERROR(__xludf.DUMMYFUNCTION("GOOGLEFINANCE(A1123,""PRICEOPEN"")"),1.23)</f>
        <v>1.23</v>
      </c>
      <c r="D1123" s="11">
        <f ca="1">IFERROR(__xludf.DUMMYFUNCTION("GOOGLEFINANCE(A1123,""HIGH"")"),1.3)</f>
        <v>1.3</v>
      </c>
      <c r="E1123" s="11">
        <f ca="1">IFERROR(__xludf.DUMMYFUNCTION("GOOGLEFINANCE(A1123,""LOW"")"),1.22)</f>
        <v>1.22</v>
      </c>
      <c r="F1123" s="12" t="str">
        <f t="shared" ca="1" si="35"/>
        <v/>
      </c>
      <c r="G1123" s="13">
        <f ca="1">IFERROR(__xludf.DUMMYFUNCTION("GOOGLEFINANCE(A1123,""CLOSEYEST"")"),1.24)</f>
        <v>1.24</v>
      </c>
      <c r="H1123" s="14" t="str">
        <f t="shared" ca="1" si="41"/>
        <v/>
      </c>
      <c r="I1123" s="15">
        <f t="shared" ca="1" si="36"/>
        <v>1.2533333333333332</v>
      </c>
      <c r="J1123" s="16">
        <f t="shared" ca="1" si="37"/>
        <v>1.2866666666666664</v>
      </c>
      <c r="K1123" s="16"/>
      <c r="L1123" s="16">
        <f t="shared" ca="1" si="38"/>
        <v>1.2066666666666663</v>
      </c>
      <c r="M1123" s="16">
        <f t="shared" ca="1" si="39"/>
        <v>1.3333333333333333</v>
      </c>
      <c r="N1123" s="16">
        <f t="shared" ca="1" si="40"/>
        <v>1.1733333333333331</v>
      </c>
    </row>
    <row r="1124" spans="1:14" ht="24.75" customHeight="1" x14ac:dyDescent="0.8">
      <c r="A1124" s="18" t="s">
        <v>1087</v>
      </c>
      <c r="B1124" s="10">
        <f ca="1">IFERROR(__xludf.DUMMYFUNCTION("GOOGLEFINANCE(A1124,""PRICE"")"),97.9)</f>
        <v>97.9</v>
      </c>
      <c r="C1124" s="11">
        <f ca="1">IFERROR(__xludf.DUMMYFUNCTION("GOOGLEFINANCE(A1124,""PRICEOPEN"")"),98.89)</f>
        <v>98.89</v>
      </c>
      <c r="D1124" s="11">
        <f ca="1">IFERROR(__xludf.DUMMYFUNCTION("GOOGLEFINANCE(A1124,""HIGH"")"),98.9)</f>
        <v>98.9</v>
      </c>
      <c r="E1124" s="11">
        <f ca="1">IFERROR(__xludf.DUMMYFUNCTION("GOOGLEFINANCE(A1124,""LOW"")"),96.2)</f>
        <v>96.2</v>
      </c>
      <c r="F1124" s="12" t="str">
        <f t="shared" ca="1" si="35"/>
        <v/>
      </c>
      <c r="G1124" s="13">
        <f ca="1">IFERROR(__xludf.DUMMYFUNCTION("GOOGLEFINANCE(A1124,""CLOSEYEST"")"),97.23)</f>
        <v>97.23</v>
      </c>
      <c r="H1124" s="14" t="str">
        <f t="shared" ca="1" si="41"/>
        <v>GAP UP</v>
      </c>
      <c r="I1124" s="15">
        <f t="shared" ca="1" si="36"/>
        <v>97.443333333333342</v>
      </c>
      <c r="J1124" s="16">
        <f t="shared" ca="1" si="37"/>
        <v>98.686666666666682</v>
      </c>
      <c r="K1124" s="16"/>
      <c r="L1124" s="16">
        <f t="shared" ca="1" si="38"/>
        <v>95.986666666666679</v>
      </c>
      <c r="M1124" s="16">
        <f t="shared" ca="1" si="39"/>
        <v>100.14333333333335</v>
      </c>
      <c r="N1124" s="16">
        <f t="shared" ca="1" si="40"/>
        <v>94.743333333333339</v>
      </c>
    </row>
    <row r="1125" spans="1:14" ht="24.75" customHeight="1" x14ac:dyDescent="0.8">
      <c r="A1125" s="18" t="s">
        <v>1088</v>
      </c>
      <c r="B1125" s="10">
        <f ca="1">IFERROR(__xludf.DUMMYFUNCTION("GOOGLEFINANCE(A1125,""PRICE"")"),820)</f>
        <v>820</v>
      </c>
      <c r="C1125" s="11">
        <f ca="1">IFERROR(__xludf.DUMMYFUNCTION("GOOGLEFINANCE(A1125,""PRICEOPEN"")"),800.5)</f>
        <v>800.5</v>
      </c>
      <c r="D1125" s="11">
        <f ca="1">IFERROR(__xludf.DUMMYFUNCTION("GOOGLEFINANCE(A1125,""HIGH"")"),829.7)</f>
        <v>829.7</v>
      </c>
      <c r="E1125" s="11">
        <f ca="1">IFERROR(__xludf.DUMMYFUNCTION("GOOGLEFINANCE(A1125,""LOW"")"),792.6)</f>
        <v>792.6</v>
      </c>
      <c r="F1125" s="12" t="str">
        <f t="shared" ca="1" si="35"/>
        <v/>
      </c>
      <c r="G1125" s="13">
        <f ca="1">IFERROR(__xludf.DUMMYFUNCTION("GOOGLEFINANCE(A1125,""CLOSEYEST"")"),790)</f>
        <v>790</v>
      </c>
      <c r="H1125" s="14" t="str">
        <f t="shared" ca="1" si="41"/>
        <v>GAP UP</v>
      </c>
      <c r="I1125" s="15">
        <f t="shared" ca="1" si="36"/>
        <v>804.1</v>
      </c>
      <c r="J1125" s="16">
        <f t="shared" ca="1" si="37"/>
        <v>815.6</v>
      </c>
      <c r="K1125" s="16"/>
      <c r="L1125" s="16">
        <f t="shared" ca="1" si="38"/>
        <v>778.5</v>
      </c>
      <c r="M1125" s="16">
        <f t="shared" ca="1" si="39"/>
        <v>841.2</v>
      </c>
      <c r="N1125" s="16">
        <f t="shared" ca="1" si="40"/>
        <v>767</v>
      </c>
    </row>
    <row r="1126" spans="1:14" ht="24.75" customHeight="1" x14ac:dyDescent="0.8">
      <c r="A1126" s="18" t="s">
        <v>1089</v>
      </c>
      <c r="B1126" s="10">
        <f ca="1">IFERROR(__xludf.DUMMYFUNCTION("GOOGLEFINANCE(A1126,""PRICE"")"),91.55)</f>
        <v>91.55</v>
      </c>
      <c r="C1126" s="11">
        <f ca="1">IFERROR(__xludf.DUMMYFUNCTION("GOOGLEFINANCE(A1126,""PRICEOPEN"")"),90.8)</f>
        <v>90.8</v>
      </c>
      <c r="D1126" s="11">
        <f ca="1">IFERROR(__xludf.DUMMYFUNCTION("GOOGLEFINANCE(A1126,""HIGH"")"),91.95)</f>
        <v>91.95</v>
      </c>
      <c r="E1126" s="11">
        <f ca="1">IFERROR(__xludf.DUMMYFUNCTION("GOOGLEFINANCE(A1126,""LOW"")"),90)</f>
        <v>90</v>
      </c>
      <c r="F1126" s="12" t="str">
        <f t="shared" ca="1" si="35"/>
        <v/>
      </c>
      <c r="G1126" s="13">
        <f ca="1">IFERROR(__xludf.DUMMYFUNCTION("GOOGLEFINANCE(A1126,""CLOSEYEST"")"),90.81)</f>
        <v>90.81</v>
      </c>
      <c r="H1126" s="14" t="str">
        <f t="shared" ca="1" si="41"/>
        <v/>
      </c>
      <c r="I1126" s="15">
        <f t="shared" ca="1" si="36"/>
        <v>90.92</v>
      </c>
      <c r="J1126" s="16">
        <f t="shared" ca="1" si="37"/>
        <v>91.84</v>
      </c>
      <c r="K1126" s="16"/>
      <c r="L1126" s="16">
        <f t="shared" ca="1" si="38"/>
        <v>89.89</v>
      </c>
      <c r="M1126" s="16">
        <f t="shared" ca="1" si="39"/>
        <v>92.87</v>
      </c>
      <c r="N1126" s="16">
        <f t="shared" ca="1" si="40"/>
        <v>88.97</v>
      </c>
    </row>
    <row r="1127" spans="1:14" ht="24.75" customHeight="1" x14ac:dyDescent="0.8">
      <c r="A1127" s="18" t="s">
        <v>1090</v>
      </c>
      <c r="B1127" s="10">
        <f ca="1">IFERROR(__xludf.DUMMYFUNCTION("GOOGLEFINANCE(A1127,""PRICE"")"),187.5)</f>
        <v>187.5</v>
      </c>
      <c r="C1127" s="11">
        <f ca="1">IFERROR(__xludf.DUMMYFUNCTION("GOOGLEFINANCE(A1127,""PRICEOPEN"")"),185.64)</f>
        <v>185.64</v>
      </c>
      <c r="D1127" s="11">
        <f ca="1">IFERROR(__xludf.DUMMYFUNCTION("GOOGLEFINANCE(A1127,""HIGH"")"),189.02)</f>
        <v>189.02</v>
      </c>
      <c r="E1127" s="11">
        <f ca="1">IFERROR(__xludf.DUMMYFUNCTION("GOOGLEFINANCE(A1127,""LOW"")"),185.64)</f>
        <v>185.64</v>
      </c>
      <c r="F1127" s="12" t="str">
        <f t="shared" ca="1" si="35"/>
        <v>BUY</v>
      </c>
      <c r="G1127" s="13">
        <f ca="1">IFERROR(__xludf.DUMMYFUNCTION("GOOGLEFINANCE(A1127,""CLOSEYEST"")"),185.64)</f>
        <v>185.64</v>
      </c>
      <c r="H1127" s="14" t="str">
        <f t="shared" ca="1" si="41"/>
        <v/>
      </c>
      <c r="I1127" s="15">
        <f t="shared" ca="1" si="36"/>
        <v>186.76666666666665</v>
      </c>
      <c r="J1127" s="16">
        <f t="shared" ca="1" si="37"/>
        <v>187.89333333333332</v>
      </c>
      <c r="K1127" s="16"/>
      <c r="L1127" s="16">
        <f t="shared" ca="1" si="38"/>
        <v>184.51333333333329</v>
      </c>
      <c r="M1127" s="16">
        <f t="shared" ca="1" si="39"/>
        <v>190.14666666666668</v>
      </c>
      <c r="N1127" s="16">
        <f t="shared" ca="1" si="40"/>
        <v>183.38666666666663</v>
      </c>
    </row>
    <row r="1128" spans="1:14" ht="24.75" customHeight="1" x14ac:dyDescent="0.8">
      <c r="A1128" s="18" t="s">
        <v>1091</v>
      </c>
      <c r="B1128" s="10" t="str">
        <f ca="1">IFERROR(__xludf.DUMMYFUNCTION("GOOGLEFINANCE(A1128,""PRICE"")"),"#N/A")</f>
        <v>#N/A</v>
      </c>
      <c r="C1128" s="11" t="str">
        <f ca="1">IFERROR(__xludf.DUMMYFUNCTION("GOOGLEFINANCE(A1128,""PRICEOPEN"")"),"#N/A")</f>
        <v>#N/A</v>
      </c>
      <c r="D1128" s="11" t="str">
        <f ca="1">IFERROR(__xludf.DUMMYFUNCTION("GOOGLEFINANCE(A1128,""HIGH"")"),"#N/A")</f>
        <v>#N/A</v>
      </c>
      <c r="E1128" s="11" t="str">
        <f ca="1">IFERROR(__xludf.DUMMYFUNCTION("GOOGLEFINANCE(A1128,""LOW"")"),"#N/A")</f>
        <v>#N/A</v>
      </c>
      <c r="F1128" s="12" t="str">
        <f t="shared" ca="1" si="35"/>
        <v>SELL</v>
      </c>
      <c r="G1128" s="13" t="str">
        <f ca="1">IFERROR(__xludf.DUMMYFUNCTION("GOOGLEFINANCE(A1128,""CLOSEYEST"")"),"#N/A")</f>
        <v>#N/A</v>
      </c>
      <c r="H1128" s="14" t="e">
        <f t="shared" ca="1" si="41"/>
        <v>#VALUE!</v>
      </c>
      <c r="I1128" s="15" t="e">
        <f t="shared" ca="1" si="36"/>
        <v>#VALUE!</v>
      </c>
      <c r="J1128" s="16" t="e">
        <f t="shared" ca="1" si="37"/>
        <v>#VALUE!</v>
      </c>
      <c r="K1128" s="16"/>
      <c r="L1128" s="16" t="e">
        <f t="shared" ca="1" si="38"/>
        <v>#VALUE!</v>
      </c>
      <c r="M1128" s="16" t="e">
        <f t="shared" ca="1" si="39"/>
        <v>#VALUE!</v>
      </c>
      <c r="N1128" s="16" t="e">
        <f t="shared" ca="1" si="40"/>
        <v>#VALUE!</v>
      </c>
    </row>
    <row r="1129" spans="1:14" ht="24.75" customHeight="1" x14ac:dyDescent="0.8">
      <c r="A1129" s="18" t="s">
        <v>1092</v>
      </c>
      <c r="B1129" s="10">
        <f ca="1">IFERROR(__xludf.DUMMYFUNCTION("GOOGLEFINANCE(A1129,""PRICE"")"),109.99)</f>
        <v>109.99</v>
      </c>
      <c r="C1129" s="11">
        <f ca="1">IFERROR(__xludf.DUMMYFUNCTION("GOOGLEFINANCE(A1129,""PRICEOPEN"")"),110.69)</f>
        <v>110.69</v>
      </c>
      <c r="D1129" s="11">
        <f ca="1">IFERROR(__xludf.DUMMYFUNCTION("GOOGLEFINANCE(A1129,""HIGH"")"),111)</f>
        <v>111</v>
      </c>
      <c r="E1129" s="11">
        <f ca="1">IFERROR(__xludf.DUMMYFUNCTION("GOOGLEFINANCE(A1129,""LOW"")"),109)</f>
        <v>109</v>
      </c>
      <c r="F1129" s="12" t="str">
        <f t="shared" ca="1" si="35"/>
        <v/>
      </c>
      <c r="G1129" s="13">
        <f ca="1">IFERROR(__xludf.DUMMYFUNCTION("GOOGLEFINANCE(A1129,""CLOSEYEST"")"),110.42)</f>
        <v>110.42</v>
      </c>
      <c r="H1129" s="14" t="str">
        <f t="shared" ca="1" si="41"/>
        <v/>
      </c>
      <c r="I1129" s="15">
        <f t="shared" ca="1" si="36"/>
        <v>110.14</v>
      </c>
      <c r="J1129" s="16">
        <f t="shared" ca="1" si="37"/>
        <v>111.28</v>
      </c>
      <c r="K1129" s="16"/>
      <c r="L1129" s="16">
        <f t="shared" ca="1" si="38"/>
        <v>109.28</v>
      </c>
      <c r="M1129" s="16">
        <f t="shared" ca="1" si="39"/>
        <v>112.14</v>
      </c>
      <c r="N1129" s="16">
        <f t="shared" ca="1" si="40"/>
        <v>108.14</v>
      </c>
    </row>
    <row r="1130" spans="1:14" ht="24.75" customHeight="1" x14ac:dyDescent="0.8">
      <c r="A1130" s="18" t="s">
        <v>1093</v>
      </c>
      <c r="B1130" s="10">
        <f ca="1">IFERROR(__xludf.DUMMYFUNCTION("GOOGLEFINANCE(A1130,""PRICE"")"),93.26)</f>
        <v>93.26</v>
      </c>
      <c r="C1130" s="11">
        <f ca="1">IFERROR(__xludf.DUMMYFUNCTION("GOOGLEFINANCE(A1130,""PRICEOPEN"")"),94.2)</f>
        <v>94.2</v>
      </c>
      <c r="D1130" s="11">
        <f ca="1">IFERROR(__xludf.DUMMYFUNCTION("GOOGLEFINANCE(A1130,""HIGH"")"),94.59)</f>
        <v>94.59</v>
      </c>
      <c r="E1130" s="11">
        <f ca="1">IFERROR(__xludf.DUMMYFUNCTION("GOOGLEFINANCE(A1130,""LOW"")"),92.4)</f>
        <v>92.4</v>
      </c>
      <c r="F1130" s="12" t="str">
        <f t="shared" ca="1" si="35"/>
        <v/>
      </c>
      <c r="G1130" s="13">
        <f ca="1">IFERROR(__xludf.DUMMYFUNCTION("GOOGLEFINANCE(A1130,""CLOSEYEST"")"),93.8)</f>
        <v>93.8</v>
      </c>
      <c r="H1130" s="14" t="str">
        <f t="shared" ca="1" si="41"/>
        <v/>
      </c>
      <c r="I1130" s="15">
        <f t="shared" ca="1" si="36"/>
        <v>93.596666666666678</v>
      </c>
      <c r="J1130" s="16">
        <f t="shared" ca="1" si="37"/>
        <v>94.793333333333351</v>
      </c>
      <c r="K1130" s="16"/>
      <c r="L1130" s="16">
        <f t="shared" ca="1" si="38"/>
        <v>92.603333333333353</v>
      </c>
      <c r="M1130" s="16">
        <f t="shared" ca="1" si="39"/>
        <v>95.786666666666676</v>
      </c>
      <c r="N1130" s="16">
        <f t="shared" ca="1" si="40"/>
        <v>91.40666666666668</v>
      </c>
    </row>
    <row r="1131" spans="1:14" ht="24.75" customHeight="1" x14ac:dyDescent="0.8">
      <c r="A1131" s="18" t="s">
        <v>1094</v>
      </c>
      <c r="B1131" s="10">
        <f ca="1">IFERROR(__xludf.DUMMYFUNCTION("GOOGLEFINANCE(A1131,""PRICE"")"),8.08)</f>
        <v>8.08</v>
      </c>
      <c r="C1131" s="11">
        <f ca="1">IFERROR(__xludf.DUMMYFUNCTION("GOOGLEFINANCE(A1131,""PRICEOPEN"")"),8.28)</f>
        <v>8.2799999999999994</v>
      </c>
      <c r="D1131" s="11">
        <f ca="1">IFERROR(__xludf.DUMMYFUNCTION("GOOGLEFINANCE(A1131,""HIGH"")"),8.3)</f>
        <v>8.3000000000000007</v>
      </c>
      <c r="E1131" s="11">
        <f ca="1">IFERROR(__xludf.DUMMYFUNCTION("GOOGLEFINANCE(A1131,""LOW"")"),8.01)</f>
        <v>8.01</v>
      </c>
      <c r="F1131" s="12" t="str">
        <f t="shared" ca="1" si="35"/>
        <v/>
      </c>
      <c r="G1131" s="13">
        <f ca="1">IFERROR(__xludf.DUMMYFUNCTION("GOOGLEFINANCE(A1131,""CLOSEYEST"")"),8.12)</f>
        <v>8.1199999999999992</v>
      </c>
      <c r="H1131" s="14" t="str">
        <f t="shared" ca="1" si="41"/>
        <v>GAP UP</v>
      </c>
      <c r="I1131" s="15">
        <f t="shared" ca="1" si="36"/>
        <v>8.1433333333333326</v>
      </c>
      <c r="J1131" s="16">
        <f t="shared" ca="1" si="37"/>
        <v>8.2766666666666655</v>
      </c>
      <c r="K1131" s="16"/>
      <c r="L1131" s="16">
        <f t="shared" ca="1" si="38"/>
        <v>7.9866666666666646</v>
      </c>
      <c r="M1131" s="16">
        <f t="shared" ca="1" si="39"/>
        <v>8.4333333333333336</v>
      </c>
      <c r="N1131" s="16">
        <f t="shared" ca="1" si="40"/>
        <v>7.8533333333333317</v>
      </c>
    </row>
    <row r="1132" spans="1:14" ht="24.75" customHeight="1" x14ac:dyDescent="0.8">
      <c r="A1132" s="18" t="s">
        <v>1095</v>
      </c>
      <c r="B1132" s="10">
        <f ca="1">IFERROR(__xludf.DUMMYFUNCTION("GOOGLEFINANCE(A1132,""PRICE"")"),15.37)</f>
        <v>15.37</v>
      </c>
      <c r="C1132" s="11">
        <f ca="1">IFERROR(__xludf.DUMMYFUNCTION("GOOGLEFINANCE(A1132,""PRICEOPEN"")"),15.17)</f>
        <v>15.17</v>
      </c>
      <c r="D1132" s="11">
        <f ca="1">IFERROR(__xludf.DUMMYFUNCTION("GOOGLEFINANCE(A1132,""HIGH"")"),15.42)</f>
        <v>15.42</v>
      </c>
      <c r="E1132" s="11">
        <f ca="1">IFERROR(__xludf.DUMMYFUNCTION("GOOGLEFINANCE(A1132,""LOW"")"),15.08)</f>
        <v>15.08</v>
      </c>
      <c r="F1132" s="12" t="str">
        <f t="shared" ca="1" si="35"/>
        <v/>
      </c>
      <c r="G1132" s="13">
        <f ca="1">IFERROR(__xludf.DUMMYFUNCTION("GOOGLEFINANCE(A1132,""CLOSEYEST"")"),15.08)</f>
        <v>15.08</v>
      </c>
      <c r="H1132" s="14" t="str">
        <f t="shared" ca="1" si="41"/>
        <v/>
      </c>
      <c r="I1132" s="15">
        <f t="shared" ca="1" si="36"/>
        <v>15.193333333333333</v>
      </c>
      <c r="J1132" s="16">
        <f t="shared" ca="1" si="37"/>
        <v>15.306666666666667</v>
      </c>
      <c r="K1132" s="16"/>
      <c r="L1132" s="16">
        <f t="shared" ca="1" si="38"/>
        <v>14.966666666666667</v>
      </c>
      <c r="M1132" s="16">
        <f t="shared" ca="1" si="39"/>
        <v>15.533333333333333</v>
      </c>
      <c r="N1132" s="16">
        <f t="shared" ca="1" si="40"/>
        <v>14.853333333333333</v>
      </c>
    </row>
    <row r="1133" spans="1:14" ht="24.75" customHeight="1" x14ac:dyDescent="0.8">
      <c r="A1133" s="18" t="s">
        <v>1096</v>
      </c>
      <c r="B1133" s="10">
        <f ca="1">IFERROR(__xludf.DUMMYFUNCTION("GOOGLEFINANCE(A1133,""PRICE"")"),376.15)</f>
        <v>376.15</v>
      </c>
      <c r="C1133" s="11">
        <f ca="1">IFERROR(__xludf.DUMMYFUNCTION("GOOGLEFINANCE(A1133,""PRICEOPEN"")"),369)</f>
        <v>369</v>
      </c>
      <c r="D1133" s="11">
        <f ca="1">IFERROR(__xludf.DUMMYFUNCTION("GOOGLEFINANCE(A1133,""HIGH"")"),381.8)</f>
        <v>381.8</v>
      </c>
      <c r="E1133" s="11">
        <f ca="1">IFERROR(__xludf.DUMMYFUNCTION("GOOGLEFINANCE(A1133,""LOW"")"),366.5)</f>
        <v>366.5</v>
      </c>
      <c r="F1133" s="12" t="str">
        <f t="shared" ca="1" si="35"/>
        <v/>
      </c>
      <c r="G1133" s="13">
        <f ca="1">IFERROR(__xludf.DUMMYFUNCTION("GOOGLEFINANCE(A1133,""CLOSEYEST"")"),366.3)</f>
        <v>366.3</v>
      </c>
      <c r="H1133" s="14" t="str">
        <f t="shared" ca="1" si="41"/>
        <v/>
      </c>
      <c r="I1133" s="15">
        <f t="shared" ca="1" si="36"/>
        <v>371.5333333333333</v>
      </c>
      <c r="J1133" s="16">
        <f t="shared" ca="1" si="37"/>
        <v>376.56666666666661</v>
      </c>
      <c r="K1133" s="16"/>
      <c r="L1133" s="16">
        <f t="shared" ca="1" si="38"/>
        <v>361.26666666666659</v>
      </c>
      <c r="M1133" s="16">
        <f t="shared" ca="1" si="39"/>
        <v>386.83333333333331</v>
      </c>
      <c r="N1133" s="16">
        <f t="shared" ca="1" si="40"/>
        <v>356.23333333333329</v>
      </c>
    </row>
    <row r="1134" spans="1:14" ht="24.75" customHeight="1" x14ac:dyDescent="0.8">
      <c r="A1134" s="18" t="s">
        <v>1097</v>
      </c>
      <c r="B1134" s="10">
        <f ca="1">IFERROR(__xludf.DUMMYFUNCTION("GOOGLEFINANCE(A1134,""PRICE"")"),151.25)</f>
        <v>151.25</v>
      </c>
      <c r="C1134" s="11">
        <f ca="1">IFERROR(__xludf.DUMMYFUNCTION("GOOGLEFINANCE(A1134,""PRICEOPEN"")"),145.59)</f>
        <v>145.59</v>
      </c>
      <c r="D1134" s="11">
        <f ca="1">IFERROR(__xludf.DUMMYFUNCTION("GOOGLEFINANCE(A1134,""HIGH"")"),153.9)</f>
        <v>153.9</v>
      </c>
      <c r="E1134" s="11">
        <f ca="1">IFERROR(__xludf.DUMMYFUNCTION("GOOGLEFINANCE(A1134,""LOW"")"),145.19)</f>
        <v>145.19</v>
      </c>
      <c r="F1134" s="12" t="str">
        <f t="shared" ca="1" si="35"/>
        <v/>
      </c>
      <c r="G1134" s="13">
        <f ca="1">IFERROR(__xludf.DUMMYFUNCTION("GOOGLEFINANCE(A1134,""CLOSEYEST"")"),144.99)</f>
        <v>144.99</v>
      </c>
      <c r="H1134" s="14" t="str">
        <f t="shared" ca="1" si="41"/>
        <v/>
      </c>
      <c r="I1134" s="15">
        <f t="shared" ca="1" si="36"/>
        <v>148.02666666666667</v>
      </c>
      <c r="J1134" s="16">
        <f t="shared" ca="1" si="37"/>
        <v>150.86333333333334</v>
      </c>
      <c r="K1134" s="16"/>
      <c r="L1134" s="16">
        <f t="shared" ca="1" si="38"/>
        <v>142.15333333333334</v>
      </c>
      <c r="M1134" s="16">
        <f t="shared" ca="1" si="39"/>
        <v>156.73666666666668</v>
      </c>
      <c r="N1134" s="16">
        <f t="shared" ca="1" si="40"/>
        <v>139.31666666666666</v>
      </c>
    </row>
    <row r="1135" spans="1:14" ht="24.75" customHeight="1" x14ac:dyDescent="0.8">
      <c r="A1135" s="18" t="s">
        <v>1098</v>
      </c>
      <c r="B1135" s="10">
        <f ca="1">IFERROR(__xludf.DUMMYFUNCTION("GOOGLEFINANCE(A1135,""PRICE"")"),27)</f>
        <v>27</v>
      </c>
      <c r="C1135" s="11">
        <f ca="1">IFERROR(__xludf.DUMMYFUNCTION("GOOGLEFINANCE(A1135,""PRICEOPEN"")"),25.64)</f>
        <v>25.64</v>
      </c>
      <c r="D1135" s="11">
        <f ca="1">IFERROR(__xludf.DUMMYFUNCTION("GOOGLEFINANCE(A1135,""HIGH"")"),27.03)</f>
        <v>27.03</v>
      </c>
      <c r="E1135" s="11">
        <f ca="1">IFERROR(__xludf.DUMMYFUNCTION("GOOGLEFINANCE(A1135,""LOW"")"),25.64)</f>
        <v>25.64</v>
      </c>
      <c r="F1135" s="12" t="str">
        <f t="shared" ca="1" si="35"/>
        <v>BUY</v>
      </c>
      <c r="G1135" s="13">
        <f ca="1">IFERROR(__xludf.DUMMYFUNCTION("GOOGLEFINANCE(A1135,""CLOSEYEST"")"),25.81)</f>
        <v>25.81</v>
      </c>
      <c r="H1135" s="14" t="str">
        <f t="shared" ca="1" si="41"/>
        <v/>
      </c>
      <c r="I1135" s="15">
        <f t="shared" ca="1" si="36"/>
        <v>26.16</v>
      </c>
      <c r="J1135" s="16">
        <f t="shared" ca="1" si="37"/>
        <v>26.68</v>
      </c>
      <c r="K1135" s="16"/>
      <c r="L1135" s="16">
        <f t="shared" ca="1" si="38"/>
        <v>25.29</v>
      </c>
      <c r="M1135" s="16">
        <f t="shared" ca="1" si="39"/>
        <v>27.55</v>
      </c>
      <c r="N1135" s="16">
        <f t="shared" ca="1" si="40"/>
        <v>24.77</v>
      </c>
    </row>
    <row r="1136" spans="1:14" ht="24.75" customHeight="1" x14ac:dyDescent="0.8">
      <c r="A1136" s="18" t="s">
        <v>1099</v>
      </c>
      <c r="B1136" s="10">
        <f ca="1">IFERROR(__xludf.DUMMYFUNCTION("GOOGLEFINANCE(A1136,""PRICE"")"),445)</f>
        <v>445</v>
      </c>
      <c r="C1136" s="11">
        <f ca="1">IFERROR(__xludf.DUMMYFUNCTION("GOOGLEFINANCE(A1136,""PRICEOPEN"")"),451.9)</f>
        <v>451.9</v>
      </c>
      <c r="D1136" s="11">
        <f ca="1">IFERROR(__xludf.DUMMYFUNCTION("GOOGLEFINANCE(A1136,""HIGH"")"),451.9)</f>
        <v>451.9</v>
      </c>
      <c r="E1136" s="11">
        <f ca="1">IFERROR(__xludf.DUMMYFUNCTION("GOOGLEFINANCE(A1136,""LOW"")"),440)</f>
        <v>440</v>
      </c>
      <c r="F1136" s="12" t="str">
        <f t="shared" ca="1" si="35"/>
        <v>SELL</v>
      </c>
      <c r="G1136" s="13">
        <f ca="1">IFERROR(__xludf.DUMMYFUNCTION("GOOGLEFINANCE(A1136,""CLOSEYEST"")"),444.95)</f>
        <v>444.95</v>
      </c>
      <c r="H1136" s="14" t="str">
        <f t="shared" ca="1" si="41"/>
        <v>GAP UP</v>
      </c>
      <c r="I1136" s="15">
        <f t="shared" ca="1" si="36"/>
        <v>445.61666666666662</v>
      </c>
      <c r="J1136" s="16">
        <f t="shared" ca="1" si="37"/>
        <v>451.23333333333323</v>
      </c>
      <c r="K1136" s="16"/>
      <c r="L1136" s="16">
        <f t="shared" ca="1" si="38"/>
        <v>439.33333333333326</v>
      </c>
      <c r="M1136" s="16">
        <f t="shared" ca="1" si="39"/>
        <v>457.51666666666659</v>
      </c>
      <c r="N1136" s="16">
        <f t="shared" ca="1" si="40"/>
        <v>433.71666666666664</v>
      </c>
    </row>
    <row r="1137" spans="1:14" ht="24.75" customHeight="1" x14ac:dyDescent="0.8">
      <c r="A1137" s="18" t="s">
        <v>1100</v>
      </c>
      <c r="B1137" s="10">
        <f ca="1">IFERROR(__xludf.DUMMYFUNCTION("GOOGLEFINANCE(A1137,""PRICE"")"),116.7)</f>
        <v>116.7</v>
      </c>
      <c r="C1137" s="11">
        <f ca="1">IFERROR(__xludf.DUMMYFUNCTION("GOOGLEFINANCE(A1137,""PRICEOPEN"")"),118.46)</f>
        <v>118.46</v>
      </c>
      <c r="D1137" s="11">
        <f ca="1">IFERROR(__xludf.DUMMYFUNCTION("GOOGLEFINANCE(A1137,""HIGH"")"),119.08)</f>
        <v>119.08</v>
      </c>
      <c r="E1137" s="11">
        <f ca="1">IFERROR(__xludf.DUMMYFUNCTION("GOOGLEFINANCE(A1137,""LOW"")"),115.1)</f>
        <v>115.1</v>
      </c>
      <c r="F1137" s="12" t="str">
        <f t="shared" ca="1" si="35"/>
        <v/>
      </c>
      <c r="G1137" s="13">
        <f ca="1">IFERROR(__xludf.DUMMYFUNCTION("GOOGLEFINANCE(A1137,""CLOSEYEST"")"),115.24)</f>
        <v>115.24</v>
      </c>
      <c r="H1137" s="14" t="str">
        <f t="shared" ca="1" si="41"/>
        <v>GAP UP</v>
      </c>
      <c r="I1137" s="15">
        <f t="shared" ca="1" si="36"/>
        <v>116.47333333333334</v>
      </c>
      <c r="J1137" s="16">
        <f t="shared" ca="1" si="37"/>
        <v>117.84666666666669</v>
      </c>
      <c r="K1137" s="16"/>
      <c r="L1137" s="16">
        <f t="shared" ca="1" si="38"/>
        <v>113.86666666666669</v>
      </c>
      <c r="M1137" s="16">
        <f t="shared" ca="1" si="39"/>
        <v>120.45333333333335</v>
      </c>
      <c r="N1137" s="16">
        <f t="shared" ca="1" si="40"/>
        <v>112.49333333333334</v>
      </c>
    </row>
    <row r="1138" spans="1:14" ht="24.75" customHeight="1" x14ac:dyDescent="0.8">
      <c r="A1138" s="18" t="s">
        <v>1101</v>
      </c>
      <c r="B1138" s="10">
        <f ca="1">IFERROR(__xludf.DUMMYFUNCTION("GOOGLEFINANCE(A1138,""PRICE"")"),28.3)</f>
        <v>28.3</v>
      </c>
      <c r="C1138" s="11">
        <f ca="1">IFERROR(__xludf.DUMMYFUNCTION("GOOGLEFINANCE(A1138,""PRICEOPEN"")"),28.88)</f>
        <v>28.88</v>
      </c>
      <c r="D1138" s="11">
        <f ca="1">IFERROR(__xludf.DUMMYFUNCTION("GOOGLEFINANCE(A1138,""HIGH"")"),29)</f>
        <v>29</v>
      </c>
      <c r="E1138" s="11">
        <f ca="1">IFERROR(__xludf.DUMMYFUNCTION("GOOGLEFINANCE(A1138,""LOW"")"),28.01)</f>
        <v>28.01</v>
      </c>
      <c r="F1138" s="12" t="str">
        <f t="shared" ca="1" si="35"/>
        <v/>
      </c>
      <c r="G1138" s="13">
        <f ca="1">IFERROR(__xludf.DUMMYFUNCTION("GOOGLEFINANCE(A1138,""CLOSEYEST"")"),28.59)</f>
        <v>28.59</v>
      </c>
      <c r="H1138" s="14" t="str">
        <f t="shared" ca="1" si="41"/>
        <v>GAP UP</v>
      </c>
      <c r="I1138" s="15">
        <f t="shared" ca="1" si="36"/>
        <v>28.533333333333335</v>
      </c>
      <c r="J1138" s="16">
        <f t="shared" ca="1" si="37"/>
        <v>29.056666666666668</v>
      </c>
      <c r="K1138" s="16"/>
      <c r="L1138" s="16">
        <f t="shared" ca="1" si="38"/>
        <v>28.06666666666667</v>
      </c>
      <c r="M1138" s="16">
        <f t="shared" ca="1" si="39"/>
        <v>29.523333333333333</v>
      </c>
      <c r="N1138" s="16">
        <f t="shared" ca="1" si="40"/>
        <v>27.543333333333337</v>
      </c>
    </row>
    <row r="1139" spans="1:14" ht="24.75" customHeight="1" x14ac:dyDescent="0.8">
      <c r="A1139" s="18" t="s">
        <v>1102</v>
      </c>
      <c r="B1139" s="10">
        <f ca="1">IFERROR(__xludf.DUMMYFUNCTION("GOOGLEFINANCE(A1139,""PRICE"")"),489)</f>
        <v>489</v>
      </c>
      <c r="C1139" s="11">
        <f ca="1">IFERROR(__xludf.DUMMYFUNCTION("GOOGLEFINANCE(A1139,""PRICEOPEN"")"),488.45)</f>
        <v>488.45</v>
      </c>
      <c r="D1139" s="11">
        <f ca="1">IFERROR(__xludf.DUMMYFUNCTION("GOOGLEFINANCE(A1139,""HIGH"")"),504)</f>
        <v>504</v>
      </c>
      <c r="E1139" s="11">
        <f ca="1">IFERROR(__xludf.DUMMYFUNCTION("GOOGLEFINANCE(A1139,""LOW"")"),483.4)</f>
        <v>483.4</v>
      </c>
      <c r="F1139" s="12" t="str">
        <f t="shared" ca="1" si="35"/>
        <v/>
      </c>
      <c r="G1139" s="13">
        <f ca="1">IFERROR(__xludf.DUMMYFUNCTION("GOOGLEFINANCE(A1139,""CLOSEYEST"")"),485.75)</f>
        <v>485.75</v>
      </c>
      <c r="H1139" s="14" t="str">
        <f t="shared" ca="1" si="41"/>
        <v/>
      </c>
      <c r="I1139" s="15">
        <f t="shared" ca="1" si="36"/>
        <v>491.05</v>
      </c>
      <c r="J1139" s="16">
        <f t="shared" ca="1" si="37"/>
        <v>498.70000000000005</v>
      </c>
      <c r="K1139" s="16"/>
      <c r="L1139" s="16">
        <f t="shared" ca="1" si="38"/>
        <v>478.1</v>
      </c>
      <c r="M1139" s="16">
        <f t="shared" ca="1" si="39"/>
        <v>511.65000000000003</v>
      </c>
      <c r="N1139" s="16">
        <f t="shared" ca="1" si="40"/>
        <v>470.45</v>
      </c>
    </row>
    <row r="1140" spans="1:14" ht="24.75" customHeight="1" x14ac:dyDescent="0.8">
      <c r="A1140" s="18" t="s">
        <v>1103</v>
      </c>
      <c r="B1140" s="10" t="str">
        <f ca="1">IFERROR(__xludf.DUMMYFUNCTION("GOOGLEFINANCE(A1140,""PRICE"")"),"#N/A")</f>
        <v>#N/A</v>
      </c>
      <c r="C1140" s="11" t="str">
        <f ca="1">IFERROR(__xludf.DUMMYFUNCTION("GOOGLEFINANCE(A1140,""PRICEOPEN"")"),"#N/A")</f>
        <v>#N/A</v>
      </c>
      <c r="D1140" s="11" t="str">
        <f ca="1">IFERROR(__xludf.DUMMYFUNCTION("GOOGLEFINANCE(A1140,""HIGH"")"),"#N/A")</f>
        <v>#N/A</v>
      </c>
      <c r="E1140" s="11" t="str">
        <f ca="1">IFERROR(__xludf.DUMMYFUNCTION("GOOGLEFINANCE(A1140,""LOW"")"),"#N/A")</f>
        <v>#N/A</v>
      </c>
      <c r="F1140" s="12" t="str">
        <f t="shared" ca="1" si="35"/>
        <v>SELL</v>
      </c>
      <c r="G1140" s="13" t="str">
        <f ca="1">IFERROR(__xludf.DUMMYFUNCTION("GOOGLEFINANCE(A1140,""CLOSEYEST"")"),"#N/A")</f>
        <v>#N/A</v>
      </c>
      <c r="H1140" s="14" t="e">
        <f t="shared" ca="1" si="41"/>
        <v>#VALUE!</v>
      </c>
      <c r="I1140" s="15" t="e">
        <f t="shared" ca="1" si="36"/>
        <v>#VALUE!</v>
      </c>
      <c r="J1140" s="16" t="e">
        <f t="shared" ca="1" si="37"/>
        <v>#VALUE!</v>
      </c>
      <c r="K1140" s="16"/>
      <c r="L1140" s="16" t="e">
        <f t="shared" ca="1" si="38"/>
        <v>#VALUE!</v>
      </c>
      <c r="M1140" s="16" t="e">
        <f t="shared" ca="1" si="39"/>
        <v>#VALUE!</v>
      </c>
      <c r="N1140" s="16" t="e">
        <f t="shared" ca="1" si="40"/>
        <v>#VALUE!</v>
      </c>
    </row>
    <row r="1141" spans="1:14" ht="24.75" customHeight="1" x14ac:dyDescent="0.8">
      <c r="A1141" s="18" t="s">
        <v>1104</v>
      </c>
      <c r="B1141" s="10">
        <f ca="1">IFERROR(__xludf.DUMMYFUNCTION("GOOGLEFINANCE(A1141,""PRICE"")"),712.05)</f>
        <v>712.05</v>
      </c>
      <c r="C1141" s="11">
        <f ca="1">IFERROR(__xludf.DUMMYFUNCTION("GOOGLEFINANCE(A1141,""PRICEOPEN"")"),724.2)</f>
        <v>724.2</v>
      </c>
      <c r="D1141" s="11">
        <f ca="1">IFERROR(__xludf.DUMMYFUNCTION("GOOGLEFINANCE(A1141,""HIGH"")"),730.6)</f>
        <v>730.6</v>
      </c>
      <c r="E1141" s="11">
        <f ca="1">IFERROR(__xludf.DUMMYFUNCTION("GOOGLEFINANCE(A1141,""LOW"")"),711)</f>
        <v>711</v>
      </c>
      <c r="F1141" s="12" t="str">
        <f t="shared" ca="1" si="35"/>
        <v/>
      </c>
      <c r="G1141" s="13">
        <f ca="1">IFERROR(__xludf.DUMMYFUNCTION("GOOGLEFINANCE(A1141,""CLOSEYEST"")"),724.2)</f>
        <v>724.2</v>
      </c>
      <c r="H1141" s="14" t="str">
        <f t="shared" ca="1" si="41"/>
        <v/>
      </c>
      <c r="I1141" s="15">
        <f t="shared" ca="1" si="36"/>
        <v>721.93333333333339</v>
      </c>
      <c r="J1141" s="16">
        <f t="shared" ca="1" si="37"/>
        <v>732.86666666666679</v>
      </c>
      <c r="K1141" s="16"/>
      <c r="L1141" s="16">
        <f t="shared" ca="1" si="38"/>
        <v>713.26666666666677</v>
      </c>
      <c r="M1141" s="16">
        <f t="shared" ca="1" si="39"/>
        <v>741.53333333333342</v>
      </c>
      <c r="N1141" s="16">
        <f t="shared" ca="1" si="40"/>
        <v>702.33333333333337</v>
      </c>
    </row>
    <row r="1142" spans="1:14" ht="24.75" customHeight="1" x14ac:dyDescent="0.8">
      <c r="A1142" s="18" t="s">
        <v>1105</v>
      </c>
      <c r="B1142" s="10">
        <f ca="1">IFERROR(__xludf.DUMMYFUNCTION("GOOGLEFINANCE(A1142,""PRICE"")"),941.55)</f>
        <v>941.55</v>
      </c>
      <c r="C1142" s="11">
        <f ca="1">IFERROR(__xludf.DUMMYFUNCTION("GOOGLEFINANCE(A1142,""PRICEOPEN"")"),950.15)</f>
        <v>950.15</v>
      </c>
      <c r="D1142" s="11">
        <f ca="1">IFERROR(__xludf.DUMMYFUNCTION("GOOGLEFINANCE(A1142,""HIGH"")"),955.05)</f>
        <v>955.05</v>
      </c>
      <c r="E1142" s="11">
        <f ca="1">IFERROR(__xludf.DUMMYFUNCTION("GOOGLEFINANCE(A1142,""LOW"")"),925.65)</f>
        <v>925.65</v>
      </c>
      <c r="F1142" s="12" t="str">
        <f t="shared" ca="1" si="35"/>
        <v/>
      </c>
      <c r="G1142" s="13">
        <f ca="1">IFERROR(__xludf.DUMMYFUNCTION("GOOGLEFINANCE(A1142,""CLOSEYEST"")"),940.75)</f>
        <v>940.75</v>
      </c>
      <c r="H1142" s="14" t="str">
        <f t="shared" ca="1" si="41"/>
        <v/>
      </c>
      <c r="I1142" s="15">
        <f t="shared" ca="1" si="36"/>
        <v>940.48333333333323</v>
      </c>
      <c r="J1142" s="16">
        <f t="shared" ca="1" si="37"/>
        <v>955.31666666666649</v>
      </c>
      <c r="K1142" s="16"/>
      <c r="L1142" s="16">
        <f t="shared" ca="1" si="38"/>
        <v>925.91666666666652</v>
      </c>
      <c r="M1142" s="16">
        <f t="shared" ca="1" si="39"/>
        <v>969.88333333333321</v>
      </c>
      <c r="N1142" s="16">
        <f t="shared" ca="1" si="40"/>
        <v>911.08333333333326</v>
      </c>
    </row>
    <row r="1143" spans="1:14" ht="24.75" customHeight="1" x14ac:dyDescent="0.8">
      <c r="A1143" s="18" t="s">
        <v>1106</v>
      </c>
      <c r="B1143" s="10" t="str">
        <f ca="1">IFERROR(__xludf.DUMMYFUNCTION("GOOGLEFINANCE(A1143,""PRICE"")"),"#N/A")</f>
        <v>#N/A</v>
      </c>
      <c r="C1143" s="11" t="str">
        <f ca="1">IFERROR(__xludf.DUMMYFUNCTION("GOOGLEFINANCE(A1143,""PRICEOPEN"")"),"#N/A")</f>
        <v>#N/A</v>
      </c>
      <c r="D1143" s="11" t="str">
        <f ca="1">IFERROR(__xludf.DUMMYFUNCTION("GOOGLEFINANCE(A1143,""HIGH"")"),"#N/A")</f>
        <v>#N/A</v>
      </c>
      <c r="E1143" s="11" t="str">
        <f ca="1">IFERROR(__xludf.DUMMYFUNCTION("GOOGLEFINANCE(A1143,""LOW"")"),"#N/A")</f>
        <v>#N/A</v>
      </c>
      <c r="F1143" s="12" t="str">
        <f t="shared" ca="1" si="35"/>
        <v>SELL</v>
      </c>
      <c r="G1143" s="13" t="str">
        <f ca="1">IFERROR(__xludf.DUMMYFUNCTION("GOOGLEFINANCE(A1143,""CLOSEYEST"")"),"#N/A")</f>
        <v>#N/A</v>
      </c>
      <c r="H1143" s="14" t="e">
        <f t="shared" ca="1" si="41"/>
        <v>#VALUE!</v>
      </c>
      <c r="I1143" s="15" t="e">
        <f t="shared" ca="1" si="36"/>
        <v>#VALUE!</v>
      </c>
      <c r="J1143" s="16" t="e">
        <f t="shared" ca="1" si="37"/>
        <v>#VALUE!</v>
      </c>
      <c r="K1143" s="16"/>
      <c r="L1143" s="16" t="e">
        <f t="shared" ca="1" si="38"/>
        <v>#VALUE!</v>
      </c>
      <c r="M1143" s="16" t="e">
        <f t="shared" ca="1" si="39"/>
        <v>#VALUE!</v>
      </c>
      <c r="N1143" s="16" t="e">
        <f t="shared" ca="1" si="40"/>
        <v>#VALUE!</v>
      </c>
    </row>
    <row r="1144" spans="1:14" ht="24.75" customHeight="1" x14ac:dyDescent="0.8">
      <c r="A1144" s="18" t="s">
        <v>1107</v>
      </c>
      <c r="B1144" s="10">
        <f ca="1">IFERROR(__xludf.DUMMYFUNCTION("GOOGLEFINANCE(A1144,""PRICE"")"),104.97)</f>
        <v>104.97</v>
      </c>
      <c r="C1144" s="11">
        <f ca="1">IFERROR(__xludf.DUMMYFUNCTION("GOOGLEFINANCE(A1144,""PRICEOPEN"")"),102)</f>
        <v>102</v>
      </c>
      <c r="D1144" s="11">
        <f ca="1">IFERROR(__xludf.DUMMYFUNCTION("GOOGLEFINANCE(A1144,""HIGH"")"),105.1)</f>
        <v>105.1</v>
      </c>
      <c r="E1144" s="11">
        <f ca="1">IFERROR(__xludf.DUMMYFUNCTION("GOOGLEFINANCE(A1144,""LOW"")"),101.63)</f>
        <v>101.63</v>
      </c>
      <c r="F1144" s="12" t="str">
        <f t="shared" ca="1" si="35"/>
        <v/>
      </c>
      <c r="G1144" s="13">
        <f ca="1">IFERROR(__xludf.DUMMYFUNCTION("GOOGLEFINANCE(A1144,""CLOSEYEST"")"),102.84)</f>
        <v>102.84</v>
      </c>
      <c r="H1144" s="14" t="str">
        <f t="shared" ca="1" si="41"/>
        <v/>
      </c>
      <c r="I1144" s="15">
        <f t="shared" ca="1" si="36"/>
        <v>103.19</v>
      </c>
      <c r="J1144" s="16">
        <f t="shared" ca="1" si="37"/>
        <v>104.75</v>
      </c>
      <c r="K1144" s="16"/>
      <c r="L1144" s="16">
        <f t="shared" ca="1" si="38"/>
        <v>101.28</v>
      </c>
      <c r="M1144" s="16">
        <f t="shared" ca="1" si="39"/>
        <v>106.66</v>
      </c>
      <c r="N1144" s="16">
        <f t="shared" ca="1" si="40"/>
        <v>99.72</v>
      </c>
    </row>
    <row r="1145" spans="1:14" ht="24.75" customHeight="1" x14ac:dyDescent="0.8">
      <c r="A1145" s="18" t="s">
        <v>1108</v>
      </c>
      <c r="B1145" s="10">
        <f ca="1">IFERROR(__xludf.DUMMYFUNCTION("GOOGLEFINANCE(A1145,""PRICE"")"),580)</f>
        <v>580</v>
      </c>
      <c r="C1145" s="11">
        <f ca="1">IFERROR(__xludf.DUMMYFUNCTION("GOOGLEFINANCE(A1145,""PRICEOPEN"")"),580.7)</f>
        <v>580.70000000000005</v>
      </c>
      <c r="D1145" s="11">
        <f ca="1">IFERROR(__xludf.DUMMYFUNCTION("GOOGLEFINANCE(A1145,""HIGH"")"),584.5)</f>
        <v>584.5</v>
      </c>
      <c r="E1145" s="11">
        <f ca="1">IFERROR(__xludf.DUMMYFUNCTION("GOOGLEFINANCE(A1145,""LOW"")"),575.55)</f>
        <v>575.54999999999995</v>
      </c>
      <c r="F1145" s="12" t="str">
        <f t="shared" ca="1" si="35"/>
        <v/>
      </c>
      <c r="G1145" s="13">
        <f ca="1">IFERROR(__xludf.DUMMYFUNCTION("GOOGLEFINANCE(A1145,""CLOSEYEST"")"),573.7)</f>
        <v>573.70000000000005</v>
      </c>
      <c r="H1145" s="14" t="str">
        <f t="shared" ca="1" si="41"/>
        <v>GAP UP</v>
      </c>
      <c r="I1145" s="15">
        <f t="shared" ca="1" si="36"/>
        <v>577.91666666666663</v>
      </c>
      <c r="J1145" s="16">
        <f t="shared" ca="1" si="37"/>
        <v>580.2833333333333</v>
      </c>
      <c r="K1145" s="16"/>
      <c r="L1145" s="16">
        <f t="shared" ca="1" si="38"/>
        <v>571.33333333333326</v>
      </c>
      <c r="M1145" s="16">
        <f t="shared" ca="1" si="39"/>
        <v>586.86666666666667</v>
      </c>
      <c r="N1145" s="16">
        <f t="shared" ca="1" si="40"/>
        <v>568.96666666666658</v>
      </c>
    </row>
    <row r="1146" spans="1:14" ht="24.75" customHeight="1" x14ac:dyDescent="0.8">
      <c r="A1146" s="18" t="s">
        <v>1109</v>
      </c>
      <c r="B1146" s="10">
        <f ca="1">IFERROR(__xludf.DUMMYFUNCTION("GOOGLEFINANCE(A1146,""PRICE"")"),5.47)</f>
        <v>5.47</v>
      </c>
      <c r="C1146" s="11">
        <f ca="1">IFERROR(__xludf.DUMMYFUNCTION("GOOGLEFINANCE(A1146,""PRICEOPEN"")"),5.52)</f>
        <v>5.52</v>
      </c>
      <c r="D1146" s="11">
        <f ca="1">IFERROR(__xludf.DUMMYFUNCTION("GOOGLEFINANCE(A1146,""HIGH"")"),5.52)</f>
        <v>5.52</v>
      </c>
      <c r="E1146" s="11">
        <f ca="1">IFERROR(__xludf.DUMMYFUNCTION("GOOGLEFINANCE(A1146,""LOW"")"),5.3)</f>
        <v>5.3</v>
      </c>
      <c r="F1146" s="12" t="str">
        <f t="shared" ca="1" si="35"/>
        <v>SELL</v>
      </c>
      <c r="G1146" s="13">
        <f ca="1">IFERROR(__xludf.DUMMYFUNCTION("GOOGLEFINANCE(A1146,""CLOSEYEST"")"),5.52)</f>
        <v>5.52</v>
      </c>
      <c r="H1146" s="14" t="str">
        <f t="shared" ca="1" si="41"/>
        <v/>
      </c>
      <c r="I1146" s="15">
        <f t="shared" ca="1" si="36"/>
        <v>5.4466666666666663</v>
      </c>
      <c r="J1146" s="16">
        <f t="shared" ca="1" si="37"/>
        <v>5.5933333333333328</v>
      </c>
      <c r="K1146" s="16"/>
      <c r="L1146" s="16">
        <f t="shared" ca="1" si="38"/>
        <v>5.3733333333333331</v>
      </c>
      <c r="M1146" s="16">
        <f t="shared" ca="1" si="39"/>
        <v>5.6666666666666661</v>
      </c>
      <c r="N1146" s="16">
        <f t="shared" ca="1" si="40"/>
        <v>5.2266666666666666</v>
      </c>
    </row>
    <row r="1147" spans="1:14" ht="24.75" customHeight="1" x14ac:dyDescent="0.8">
      <c r="A1147" s="18" t="s">
        <v>1110</v>
      </c>
      <c r="B1147" s="10">
        <f ca="1">IFERROR(__xludf.DUMMYFUNCTION("GOOGLEFINANCE(A1147,""PRICE"")"),145)</f>
        <v>145</v>
      </c>
      <c r="C1147" s="11">
        <f ca="1">IFERROR(__xludf.DUMMYFUNCTION("GOOGLEFINANCE(A1147,""PRICEOPEN"")"),145.32)</f>
        <v>145.32</v>
      </c>
      <c r="D1147" s="11">
        <f ca="1">IFERROR(__xludf.DUMMYFUNCTION("GOOGLEFINANCE(A1147,""HIGH"")"),147.34)</f>
        <v>147.34</v>
      </c>
      <c r="E1147" s="11">
        <f ca="1">IFERROR(__xludf.DUMMYFUNCTION("GOOGLEFINANCE(A1147,""LOW"")"),143.05)</f>
        <v>143.05000000000001</v>
      </c>
      <c r="F1147" s="12" t="str">
        <f t="shared" ca="1" si="35"/>
        <v/>
      </c>
      <c r="G1147" s="13">
        <f ca="1">IFERROR(__xludf.DUMMYFUNCTION("GOOGLEFINANCE(A1147,""CLOSEYEST"")"),144.2)</f>
        <v>144.19999999999999</v>
      </c>
      <c r="H1147" s="14" t="str">
        <f t="shared" ca="1" si="41"/>
        <v/>
      </c>
      <c r="I1147" s="15">
        <f t="shared" ca="1" si="36"/>
        <v>144.86333333333332</v>
      </c>
      <c r="J1147" s="16">
        <f t="shared" ca="1" si="37"/>
        <v>146.67666666666662</v>
      </c>
      <c r="K1147" s="16"/>
      <c r="L1147" s="16">
        <f t="shared" ca="1" si="38"/>
        <v>142.38666666666663</v>
      </c>
      <c r="M1147" s="16">
        <f t="shared" ca="1" si="39"/>
        <v>149.15333333333331</v>
      </c>
      <c r="N1147" s="16">
        <f t="shared" ca="1" si="40"/>
        <v>140.57333333333332</v>
      </c>
    </row>
    <row r="1148" spans="1:14" ht="24.75" customHeight="1" x14ac:dyDescent="0.8">
      <c r="A1148" s="18" t="s">
        <v>1111</v>
      </c>
      <c r="B1148" s="10">
        <f ca="1">IFERROR(__xludf.DUMMYFUNCTION("GOOGLEFINANCE(A1148,""PRICE"")"),84)</f>
        <v>84</v>
      </c>
      <c r="C1148" s="11">
        <f ca="1">IFERROR(__xludf.DUMMYFUNCTION("GOOGLEFINANCE(A1148,""PRICEOPEN"")"),80.3)</f>
        <v>80.3</v>
      </c>
      <c r="D1148" s="11">
        <f ca="1">IFERROR(__xludf.DUMMYFUNCTION("GOOGLEFINANCE(A1148,""HIGH"")"),86.9)</f>
        <v>86.9</v>
      </c>
      <c r="E1148" s="11">
        <f ca="1">IFERROR(__xludf.DUMMYFUNCTION("GOOGLEFINANCE(A1148,""LOW"")"),80.3)</f>
        <v>80.3</v>
      </c>
      <c r="F1148" s="12" t="str">
        <f t="shared" ca="1" si="35"/>
        <v>BUY</v>
      </c>
      <c r="G1148" s="13">
        <f ca="1">IFERROR(__xludf.DUMMYFUNCTION("GOOGLEFINANCE(A1148,""CLOSEYEST"")"),84.42)</f>
        <v>84.42</v>
      </c>
      <c r="H1148" s="14" t="str">
        <f t="shared" ca="1" si="41"/>
        <v>GAP DOWN</v>
      </c>
      <c r="I1148" s="15">
        <f t="shared" ca="1" si="36"/>
        <v>83.873333333333335</v>
      </c>
      <c r="J1148" s="16">
        <f t="shared" ca="1" si="37"/>
        <v>87.446666666666673</v>
      </c>
      <c r="K1148" s="16"/>
      <c r="L1148" s="16">
        <f t="shared" ca="1" si="38"/>
        <v>80.846666666666664</v>
      </c>
      <c r="M1148" s="16">
        <f t="shared" ca="1" si="39"/>
        <v>90.473333333333343</v>
      </c>
      <c r="N1148" s="16">
        <f t="shared" ca="1" si="40"/>
        <v>77.273333333333326</v>
      </c>
    </row>
    <row r="1149" spans="1:14" ht="24.75" customHeight="1" x14ac:dyDescent="0.8">
      <c r="A1149" s="18" t="s">
        <v>1112</v>
      </c>
      <c r="B1149" s="10">
        <f ca="1">IFERROR(__xludf.DUMMYFUNCTION("GOOGLEFINANCE(A1149,""PRICE"")"),474.65)</f>
        <v>474.65</v>
      </c>
      <c r="C1149" s="11">
        <f ca="1">IFERROR(__xludf.DUMMYFUNCTION("GOOGLEFINANCE(A1149,""PRICEOPEN"")"),475)</f>
        <v>475</v>
      </c>
      <c r="D1149" s="11">
        <f ca="1">IFERROR(__xludf.DUMMYFUNCTION("GOOGLEFINANCE(A1149,""HIGH"")"),489.95)</f>
        <v>489.95</v>
      </c>
      <c r="E1149" s="11">
        <f ca="1">IFERROR(__xludf.DUMMYFUNCTION("GOOGLEFINANCE(A1149,""LOW"")"),472.2)</f>
        <v>472.2</v>
      </c>
      <c r="F1149" s="12" t="str">
        <f t="shared" ca="1" si="35"/>
        <v/>
      </c>
      <c r="G1149" s="13">
        <f ca="1">IFERROR(__xludf.DUMMYFUNCTION("GOOGLEFINANCE(A1149,""CLOSEYEST"")"),477.25)</f>
        <v>477.25</v>
      </c>
      <c r="H1149" s="14" t="str">
        <f t="shared" ca="1" si="41"/>
        <v/>
      </c>
      <c r="I1149" s="15">
        <f t="shared" ca="1" si="36"/>
        <v>479.8</v>
      </c>
      <c r="J1149" s="16">
        <f t="shared" ca="1" si="37"/>
        <v>487.40000000000003</v>
      </c>
      <c r="K1149" s="16"/>
      <c r="L1149" s="16">
        <f t="shared" ca="1" si="38"/>
        <v>469.65000000000003</v>
      </c>
      <c r="M1149" s="16">
        <f t="shared" ca="1" si="39"/>
        <v>497.55</v>
      </c>
      <c r="N1149" s="16">
        <f t="shared" ca="1" si="40"/>
        <v>462.05</v>
      </c>
    </row>
    <row r="1150" spans="1:14" ht="24.75" customHeight="1" x14ac:dyDescent="0.8">
      <c r="A1150" s="18" t="s">
        <v>1113</v>
      </c>
      <c r="B1150" s="10">
        <f ca="1">IFERROR(__xludf.DUMMYFUNCTION("GOOGLEFINANCE(A1150,""PRICE"")"),276)</f>
        <v>276</v>
      </c>
      <c r="C1150" s="11">
        <f ca="1">IFERROR(__xludf.DUMMYFUNCTION("GOOGLEFINANCE(A1150,""PRICEOPEN"")"),279.6)</f>
        <v>279.60000000000002</v>
      </c>
      <c r="D1150" s="11">
        <f ca="1">IFERROR(__xludf.DUMMYFUNCTION("GOOGLEFINANCE(A1150,""HIGH"")"),281)</f>
        <v>281</v>
      </c>
      <c r="E1150" s="11">
        <f ca="1">IFERROR(__xludf.DUMMYFUNCTION("GOOGLEFINANCE(A1150,""LOW"")"),274.4)</f>
        <v>274.39999999999998</v>
      </c>
      <c r="F1150" s="12" t="str">
        <f t="shared" ca="1" si="35"/>
        <v/>
      </c>
      <c r="G1150" s="13">
        <f ca="1">IFERROR(__xludf.DUMMYFUNCTION("GOOGLEFINANCE(A1150,""CLOSEYEST"")"),278.1)</f>
        <v>278.10000000000002</v>
      </c>
      <c r="H1150" s="14" t="str">
        <f t="shared" ca="1" si="41"/>
        <v/>
      </c>
      <c r="I1150" s="15">
        <f t="shared" ca="1" si="36"/>
        <v>277.83333333333331</v>
      </c>
      <c r="J1150" s="16">
        <f t="shared" ca="1" si="37"/>
        <v>281.26666666666665</v>
      </c>
      <c r="K1150" s="16"/>
      <c r="L1150" s="16">
        <f t="shared" ca="1" si="38"/>
        <v>274.66666666666663</v>
      </c>
      <c r="M1150" s="16">
        <f t="shared" ca="1" si="39"/>
        <v>284.43333333333334</v>
      </c>
      <c r="N1150" s="16">
        <f t="shared" ca="1" si="40"/>
        <v>271.23333333333329</v>
      </c>
    </row>
    <row r="1151" spans="1:14" ht="24.75" customHeight="1" x14ac:dyDescent="0.8">
      <c r="A1151" s="18" t="s">
        <v>1114</v>
      </c>
      <c r="B1151" s="10">
        <f ca="1">IFERROR(__xludf.DUMMYFUNCTION("GOOGLEFINANCE(A1151,""PRICE"")"),2735)</f>
        <v>2735</v>
      </c>
      <c r="C1151" s="11">
        <f ca="1">IFERROR(__xludf.DUMMYFUNCTION("GOOGLEFINANCE(A1151,""PRICEOPEN"")"),2720.1)</f>
        <v>2720.1</v>
      </c>
      <c r="D1151" s="11">
        <f ca="1">IFERROR(__xludf.DUMMYFUNCTION("GOOGLEFINANCE(A1151,""HIGH"")"),2800)</f>
        <v>2800</v>
      </c>
      <c r="E1151" s="11">
        <f ca="1">IFERROR(__xludf.DUMMYFUNCTION("GOOGLEFINANCE(A1151,""LOW"")"),2650)</f>
        <v>2650</v>
      </c>
      <c r="F1151" s="12" t="str">
        <f t="shared" ca="1" si="35"/>
        <v/>
      </c>
      <c r="G1151" s="13">
        <f ca="1">IFERROR(__xludf.DUMMYFUNCTION("GOOGLEFINANCE(A1151,""CLOSEYEST"")"),2764.1)</f>
        <v>2764.1</v>
      </c>
      <c r="H1151" s="14" t="str">
        <f t="shared" ca="1" si="41"/>
        <v>GAP DOWN</v>
      </c>
      <c r="I1151" s="15">
        <f t="shared" ca="1" si="36"/>
        <v>2738.0333333333333</v>
      </c>
      <c r="J1151" s="16">
        <f t="shared" ca="1" si="37"/>
        <v>2826.0666666666666</v>
      </c>
      <c r="K1151" s="16"/>
      <c r="L1151" s="16">
        <f t="shared" ca="1" si="38"/>
        <v>2676.0666666666666</v>
      </c>
      <c r="M1151" s="16">
        <f t="shared" ca="1" si="39"/>
        <v>2888.0333333333333</v>
      </c>
      <c r="N1151" s="16">
        <f t="shared" ca="1" si="40"/>
        <v>2588.0333333333333</v>
      </c>
    </row>
    <row r="1152" spans="1:14" ht="24.75" customHeight="1" x14ac:dyDescent="0.8">
      <c r="A1152" s="18" t="s">
        <v>1115</v>
      </c>
      <c r="B1152" s="10">
        <f ca="1">IFERROR(__xludf.DUMMYFUNCTION("GOOGLEFINANCE(A1152,""PRICE"")"),508)</f>
        <v>508</v>
      </c>
      <c r="C1152" s="11">
        <f ca="1">IFERROR(__xludf.DUMMYFUNCTION("GOOGLEFINANCE(A1152,""PRICEOPEN"")"),506.6)</f>
        <v>506.6</v>
      </c>
      <c r="D1152" s="11">
        <f ca="1">IFERROR(__xludf.DUMMYFUNCTION("GOOGLEFINANCE(A1152,""HIGH"")"),509.8)</f>
        <v>509.8</v>
      </c>
      <c r="E1152" s="11">
        <f ca="1">IFERROR(__xludf.DUMMYFUNCTION("GOOGLEFINANCE(A1152,""LOW"")"),493.3)</f>
        <v>493.3</v>
      </c>
      <c r="F1152" s="12" t="str">
        <f t="shared" ca="1" si="35"/>
        <v/>
      </c>
      <c r="G1152" s="13">
        <f ca="1">IFERROR(__xludf.DUMMYFUNCTION("GOOGLEFINANCE(A1152,""CLOSEYEST"")"),508.4)</f>
        <v>508.4</v>
      </c>
      <c r="H1152" s="14" t="str">
        <f t="shared" ca="1" si="41"/>
        <v/>
      </c>
      <c r="I1152" s="15">
        <f t="shared" ca="1" si="36"/>
        <v>503.83333333333331</v>
      </c>
      <c r="J1152" s="16">
        <f t="shared" ca="1" si="37"/>
        <v>514.36666666666656</v>
      </c>
      <c r="K1152" s="16"/>
      <c r="L1152" s="16">
        <f t="shared" ca="1" si="38"/>
        <v>497.86666666666662</v>
      </c>
      <c r="M1152" s="16">
        <f t="shared" ca="1" si="39"/>
        <v>520.33333333333326</v>
      </c>
      <c r="N1152" s="16">
        <f t="shared" ca="1" si="40"/>
        <v>487.33333333333337</v>
      </c>
    </row>
    <row r="1153" spans="1:14" ht="24.75" customHeight="1" x14ac:dyDescent="0.8">
      <c r="A1153" s="18" t="s">
        <v>1116</v>
      </c>
      <c r="B1153" s="10">
        <f ca="1">IFERROR(__xludf.DUMMYFUNCTION("GOOGLEFINANCE(A1153,""PRICE"")"),673.4)</f>
        <v>673.4</v>
      </c>
      <c r="C1153" s="11">
        <f ca="1">IFERROR(__xludf.DUMMYFUNCTION("GOOGLEFINANCE(A1153,""PRICEOPEN"")"),664.5)</f>
        <v>664.5</v>
      </c>
      <c r="D1153" s="11">
        <f ca="1">IFERROR(__xludf.DUMMYFUNCTION("GOOGLEFINANCE(A1153,""HIGH"")"),673.9)</f>
        <v>673.9</v>
      </c>
      <c r="E1153" s="11">
        <f ca="1">IFERROR(__xludf.DUMMYFUNCTION("GOOGLEFINANCE(A1153,""LOW"")"),660.5)</f>
        <v>660.5</v>
      </c>
      <c r="F1153" s="12" t="str">
        <f t="shared" ca="1" si="35"/>
        <v/>
      </c>
      <c r="G1153" s="13">
        <f ca="1">IFERROR(__xludf.DUMMYFUNCTION("GOOGLEFINANCE(A1153,""CLOSEYEST"")"),666.7)</f>
        <v>666.7</v>
      </c>
      <c r="H1153" s="14" t="str">
        <f t="shared" ca="1" si="41"/>
        <v/>
      </c>
      <c r="I1153" s="15">
        <f t="shared" ca="1" si="36"/>
        <v>667.03333333333342</v>
      </c>
      <c r="J1153" s="16">
        <f t="shared" ca="1" si="37"/>
        <v>673.56666666666683</v>
      </c>
      <c r="K1153" s="16"/>
      <c r="L1153" s="16">
        <f t="shared" ca="1" si="38"/>
        <v>660.16666666666686</v>
      </c>
      <c r="M1153" s="16">
        <f t="shared" ca="1" si="39"/>
        <v>680.43333333333339</v>
      </c>
      <c r="N1153" s="16">
        <f t="shared" ca="1" si="40"/>
        <v>653.63333333333344</v>
      </c>
    </row>
    <row r="1154" spans="1:14" ht="24.75" customHeight="1" x14ac:dyDescent="0.8">
      <c r="A1154" s="18" t="s">
        <v>1117</v>
      </c>
      <c r="B1154" s="10">
        <f ca="1">IFERROR(__xludf.DUMMYFUNCTION("GOOGLEFINANCE(A1154,""PRICE"")"),38.5)</f>
        <v>38.5</v>
      </c>
      <c r="C1154" s="11">
        <f ca="1">IFERROR(__xludf.DUMMYFUNCTION("GOOGLEFINANCE(A1154,""PRICEOPEN"")"),37.32)</f>
        <v>37.32</v>
      </c>
      <c r="D1154" s="11">
        <f ca="1">IFERROR(__xludf.DUMMYFUNCTION("GOOGLEFINANCE(A1154,""HIGH"")"),39.18)</f>
        <v>39.18</v>
      </c>
      <c r="E1154" s="11">
        <f ca="1">IFERROR(__xludf.DUMMYFUNCTION("GOOGLEFINANCE(A1154,""LOW"")"),36.67)</f>
        <v>36.67</v>
      </c>
      <c r="F1154" s="12" t="str">
        <f t="shared" ca="1" si="35"/>
        <v/>
      </c>
      <c r="G1154" s="13">
        <f ca="1">IFERROR(__xludf.DUMMYFUNCTION("GOOGLEFINANCE(A1154,""CLOSEYEST"")"),37.32)</f>
        <v>37.32</v>
      </c>
      <c r="H1154" s="14" t="str">
        <f t="shared" ca="1" si="41"/>
        <v/>
      </c>
      <c r="I1154" s="15">
        <f t="shared" ca="1" si="36"/>
        <v>37.723333333333329</v>
      </c>
      <c r="J1154" s="16">
        <f t="shared" ca="1" si="37"/>
        <v>38.776666666666657</v>
      </c>
      <c r="K1154" s="16"/>
      <c r="L1154" s="16">
        <f t="shared" ca="1" si="38"/>
        <v>36.266666666666659</v>
      </c>
      <c r="M1154" s="16">
        <f t="shared" ca="1" si="39"/>
        <v>40.233333333333327</v>
      </c>
      <c r="N1154" s="16">
        <f t="shared" ca="1" si="40"/>
        <v>35.213333333333331</v>
      </c>
    </row>
    <row r="1155" spans="1:14" ht="24.75" customHeight="1" x14ac:dyDescent="0.8">
      <c r="A1155" s="18" t="s">
        <v>1118</v>
      </c>
      <c r="B1155" s="10">
        <f ca="1">IFERROR(__xludf.DUMMYFUNCTION("GOOGLEFINANCE(A1155,""PRICE"")"),1156.4)</f>
        <v>1156.4000000000001</v>
      </c>
      <c r="C1155" s="11">
        <f ca="1">IFERROR(__xludf.DUMMYFUNCTION("GOOGLEFINANCE(A1155,""PRICEOPEN"")"),1189)</f>
        <v>1189</v>
      </c>
      <c r="D1155" s="11">
        <f ca="1">IFERROR(__xludf.DUMMYFUNCTION("GOOGLEFINANCE(A1155,""HIGH"")"),1189)</f>
        <v>1189</v>
      </c>
      <c r="E1155" s="11">
        <f ca="1">IFERROR(__xludf.DUMMYFUNCTION("GOOGLEFINANCE(A1155,""LOW"")"),1154.5)</f>
        <v>1154.5</v>
      </c>
      <c r="F1155" s="12" t="str">
        <f t="shared" ca="1" si="35"/>
        <v>SELL</v>
      </c>
      <c r="G1155" s="13">
        <f ca="1">IFERROR(__xludf.DUMMYFUNCTION("GOOGLEFINANCE(A1155,""CLOSEYEST"")"),1179.6)</f>
        <v>1179.5999999999999</v>
      </c>
      <c r="H1155" s="14" t="str">
        <f t="shared" ca="1" si="41"/>
        <v/>
      </c>
      <c r="I1155" s="15">
        <f t="shared" ca="1" si="36"/>
        <v>1174.3666666666666</v>
      </c>
      <c r="J1155" s="16">
        <f t="shared" ca="1" si="37"/>
        <v>1194.2333333333331</v>
      </c>
      <c r="K1155" s="16"/>
      <c r="L1155" s="16">
        <f t="shared" ca="1" si="38"/>
        <v>1159.7333333333331</v>
      </c>
      <c r="M1155" s="16">
        <f t="shared" ca="1" si="39"/>
        <v>1208.8666666666666</v>
      </c>
      <c r="N1155" s="16">
        <f t="shared" ca="1" si="40"/>
        <v>1139.8666666666666</v>
      </c>
    </row>
    <row r="1156" spans="1:14" ht="24.75" customHeight="1" x14ac:dyDescent="0.8">
      <c r="A1156" s="18" t="s">
        <v>1119</v>
      </c>
      <c r="B1156" s="10">
        <f ca="1">IFERROR(__xludf.DUMMYFUNCTION("GOOGLEFINANCE(A1156,""PRICE"")"),64.18)</f>
        <v>64.180000000000007</v>
      </c>
      <c r="C1156" s="11">
        <f ca="1">IFERROR(__xludf.DUMMYFUNCTION("GOOGLEFINANCE(A1156,""PRICEOPEN"")"),64.4)</f>
        <v>64.400000000000006</v>
      </c>
      <c r="D1156" s="11">
        <f ca="1">IFERROR(__xludf.DUMMYFUNCTION("GOOGLEFINANCE(A1156,""HIGH"")"),65.61)</f>
        <v>65.61</v>
      </c>
      <c r="E1156" s="11">
        <f ca="1">IFERROR(__xludf.DUMMYFUNCTION("GOOGLEFINANCE(A1156,""LOW"")"),62.95)</f>
        <v>62.95</v>
      </c>
      <c r="F1156" s="12" t="str">
        <f t="shared" ca="1" si="35"/>
        <v/>
      </c>
      <c r="G1156" s="13">
        <f ca="1">IFERROR(__xludf.DUMMYFUNCTION("GOOGLEFINANCE(A1156,""CLOSEYEST"")"),64.4)</f>
        <v>64.400000000000006</v>
      </c>
      <c r="H1156" s="14" t="str">
        <f t="shared" ca="1" si="41"/>
        <v/>
      </c>
      <c r="I1156" s="15">
        <f t="shared" ca="1" si="36"/>
        <v>64.320000000000007</v>
      </c>
      <c r="J1156" s="16">
        <f t="shared" ca="1" si="37"/>
        <v>65.690000000000012</v>
      </c>
      <c r="K1156" s="16"/>
      <c r="L1156" s="16">
        <f t="shared" ca="1" si="38"/>
        <v>63.030000000000015</v>
      </c>
      <c r="M1156" s="16">
        <f t="shared" ca="1" si="39"/>
        <v>66.98</v>
      </c>
      <c r="N1156" s="16">
        <f t="shared" ca="1" si="40"/>
        <v>61.660000000000011</v>
      </c>
    </row>
    <row r="1157" spans="1:14" ht="24.75" customHeight="1" x14ac:dyDescent="0.8">
      <c r="A1157" s="18" t="s">
        <v>1120</v>
      </c>
      <c r="B1157" s="10">
        <f ca="1">IFERROR(__xludf.DUMMYFUNCTION("GOOGLEFINANCE(A1157,""PRICE"")"),45.76)</f>
        <v>45.76</v>
      </c>
      <c r="C1157" s="11">
        <f ca="1">IFERROR(__xludf.DUMMYFUNCTION("GOOGLEFINANCE(A1157,""PRICEOPEN"")"),46.36)</f>
        <v>46.36</v>
      </c>
      <c r="D1157" s="11">
        <f ca="1">IFERROR(__xludf.DUMMYFUNCTION("GOOGLEFINANCE(A1157,""HIGH"")"),47.22)</f>
        <v>47.22</v>
      </c>
      <c r="E1157" s="11">
        <f ca="1">IFERROR(__xludf.DUMMYFUNCTION("GOOGLEFINANCE(A1157,""LOW"")"),44.8)</f>
        <v>44.8</v>
      </c>
      <c r="F1157" s="12" t="str">
        <f t="shared" ca="1" si="35"/>
        <v/>
      </c>
      <c r="G1157" s="13">
        <f ca="1">IFERROR(__xludf.DUMMYFUNCTION("GOOGLEFINANCE(A1157,""CLOSEYEST"")"),46.14)</f>
        <v>46.14</v>
      </c>
      <c r="H1157" s="14" t="str">
        <f t="shared" ca="1" si="41"/>
        <v/>
      </c>
      <c r="I1157" s="15">
        <f t="shared" ca="1" si="36"/>
        <v>46.053333333333335</v>
      </c>
      <c r="J1157" s="16">
        <f t="shared" ca="1" si="37"/>
        <v>47.306666666666672</v>
      </c>
      <c r="K1157" s="16"/>
      <c r="L1157" s="16">
        <f t="shared" ca="1" si="38"/>
        <v>44.88666666666667</v>
      </c>
      <c r="M1157" s="16">
        <f t="shared" ca="1" si="39"/>
        <v>48.473333333333336</v>
      </c>
      <c r="N1157" s="16">
        <f t="shared" ca="1" si="40"/>
        <v>43.633333333333333</v>
      </c>
    </row>
    <row r="1158" spans="1:14" ht="24.75" customHeight="1" x14ac:dyDescent="0.8">
      <c r="A1158" s="18" t="s">
        <v>1121</v>
      </c>
      <c r="B1158" s="10">
        <f ca="1">IFERROR(__xludf.DUMMYFUNCTION("GOOGLEFINANCE(A1158,""PRICE"")"),82.48)</f>
        <v>82.48</v>
      </c>
      <c r="C1158" s="11">
        <f ca="1">IFERROR(__xludf.DUMMYFUNCTION("GOOGLEFINANCE(A1158,""PRICEOPEN"")"),85.67)</f>
        <v>85.67</v>
      </c>
      <c r="D1158" s="11">
        <f ca="1">IFERROR(__xludf.DUMMYFUNCTION("GOOGLEFINANCE(A1158,""HIGH"")"),85.67)</f>
        <v>85.67</v>
      </c>
      <c r="E1158" s="11">
        <f ca="1">IFERROR(__xludf.DUMMYFUNCTION("GOOGLEFINANCE(A1158,""LOW"")"),81.6)</f>
        <v>81.599999999999994</v>
      </c>
      <c r="F1158" s="12" t="str">
        <f t="shared" ca="1" si="35"/>
        <v>SELL</v>
      </c>
      <c r="G1158" s="13">
        <f ca="1">IFERROR(__xludf.DUMMYFUNCTION("GOOGLEFINANCE(A1158,""CLOSEYEST"")"),83.9)</f>
        <v>83.9</v>
      </c>
      <c r="H1158" s="14" t="str">
        <f t="shared" ca="1" si="41"/>
        <v>GAP UP</v>
      </c>
      <c r="I1158" s="15">
        <f t="shared" ca="1" si="36"/>
        <v>83.723333333333329</v>
      </c>
      <c r="J1158" s="16">
        <f t="shared" ca="1" si="37"/>
        <v>85.846666666666664</v>
      </c>
      <c r="K1158" s="16"/>
      <c r="L1158" s="16">
        <f t="shared" ca="1" si="38"/>
        <v>81.776666666666657</v>
      </c>
      <c r="M1158" s="16">
        <f t="shared" ca="1" si="39"/>
        <v>87.793333333333337</v>
      </c>
      <c r="N1158" s="16">
        <f t="shared" ca="1" si="40"/>
        <v>79.653333333333322</v>
      </c>
    </row>
    <row r="1159" spans="1:14" ht="24.75" customHeight="1" x14ac:dyDescent="0.8">
      <c r="A1159" s="18" t="s">
        <v>1122</v>
      </c>
      <c r="B1159" s="10">
        <f ca="1">IFERROR(__xludf.DUMMYFUNCTION("GOOGLEFINANCE(A1159,""PRICE"")"),73.96)</f>
        <v>73.959999999999994</v>
      </c>
      <c r="C1159" s="11">
        <f ca="1">IFERROR(__xludf.DUMMYFUNCTION("GOOGLEFINANCE(A1159,""PRICEOPEN"")"),73.5)</f>
        <v>73.5</v>
      </c>
      <c r="D1159" s="11">
        <f ca="1">IFERROR(__xludf.DUMMYFUNCTION("GOOGLEFINANCE(A1159,""HIGH"")"),73.97)</f>
        <v>73.97</v>
      </c>
      <c r="E1159" s="11">
        <f ca="1">IFERROR(__xludf.DUMMYFUNCTION("GOOGLEFINANCE(A1159,""LOW"")"),73.27)</f>
        <v>73.27</v>
      </c>
      <c r="F1159" s="12" t="str">
        <f t="shared" ca="1" si="35"/>
        <v/>
      </c>
      <c r="G1159" s="13">
        <f ca="1">IFERROR(__xludf.DUMMYFUNCTION("GOOGLEFINANCE(A1159,""CLOSEYEST"")"),73.64)</f>
        <v>73.64</v>
      </c>
      <c r="H1159" s="14" t="str">
        <f t="shared" ca="1" si="41"/>
        <v/>
      </c>
      <c r="I1159" s="15">
        <f t="shared" ca="1" si="36"/>
        <v>73.626666666666665</v>
      </c>
      <c r="J1159" s="16">
        <f t="shared" ca="1" si="37"/>
        <v>73.983333333333334</v>
      </c>
      <c r="K1159" s="16"/>
      <c r="L1159" s="16">
        <f t="shared" ca="1" si="38"/>
        <v>73.283333333333331</v>
      </c>
      <c r="M1159" s="16">
        <f t="shared" ca="1" si="39"/>
        <v>74.326666666666668</v>
      </c>
      <c r="N1159" s="16">
        <f t="shared" ca="1" si="40"/>
        <v>72.926666666666662</v>
      </c>
    </row>
    <row r="1160" spans="1:14" ht="24.75" customHeight="1" x14ac:dyDescent="0.8">
      <c r="A1160" s="18" t="s">
        <v>1123</v>
      </c>
      <c r="B1160" s="10">
        <f ca="1">IFERROR(__xludf.DUMMYFUNCTION("GOOGLEFINANCE(A1160,""PRICE"")"),99)</f>
        <v>99</v>
      </c>
      <c r="C1160" s="11">
        <f ca="1">IFERROR(__xludf.DUMMYFUNCTION("GOOGLEFINANCE(A1160,""PRICEOPEN"")"),96.75)</f>
        <v>96.75</v>
      </c>
      <c r="D1160" s="11">
        <f ca="1">IFERROR(__xludf.DUMMYFUNCTION("GOOGLEFINANCE(A1160,""HIGH"")"),99)</f>
        <v>99</v>
      </c>
      <c r="E1160" s="11">
        <f ca="1">IFERROR(__xludf.DUMMYFUNCTION("GOOGLEFINANCE(A1160,""LOW"")"),96.05)</f>
        <v>96.05</v>
      </c>
      <c r="F1160" s="12" t="str">
        <f t="shared" ca="1" si="35"/>
        <v/>
      </c>
      <c r="G1160" s="13">
        <f ca="1">IFERROR(__xludf.DUMMYFUNCTION("GOOGLEFINANCE(A1160,""CLOSEYEST"")"),95.58)</f>
        <v>95.58</v>
      </c>
      <c r="H1160" s="14" t="str">
        <f t="shared" ca="1" si="41"/>
        <v>GAP UP</v>
      </c>
      <c r="I1160" s="15">
        <f t="shared" ca="1" si="36"/>
        <v>96.876666666666665</v>
      </c>
      <c r="J1160" s="16">
        <f t="shared" ca="1" si="37"/>
        <v>97.703333333333333</v>
      </c>
      <c r="K1160" s="16"/>
      <c r="L1160" s="16">
        <f t="shared" ca="1" si="38"/>
        <v>94.75333333333333</v>
      </c>
      <c r="M1160" s="16">
        <f t="shared" ca="1" si="39"/>
        <v>99.826666666666668</v>
      </c>
      <c r="N1160" s="16">
        <f t="shared" ca="1" si="40"/>
        <v>93.926666666666662</v>
      </c>
    </row>
    <row r="1161" spans="1:14" ht="24.75" customHeight="1" x14ac:dyDescent="0.8">
      <c r="A1161" s="18" t="s">
        <v>1124</v>
      </c>
      <c r="B1161" s="10">
        <f ca="1">IFERROR(__xludf.DUMMYFUNCTION("GOOGLEFINANCE(A1161,""PRICE"")"),9.4)</f>
        <v>9.4</v>
      </c>
      <c r="C1161" s="11">
        <f ca="1">IFERROR(__xludf.DUMMYFUNCTION("GOOGLEFINANCE(A1161,""PRICEOPEN"")"),9.56)</f>
        <v>9.56</v>
      </c>
      <c r="D1161" s="11">
        <f ca="1">IFERROR(__xludf.DUMMYFUNCTION("GOOGLEFINANCE(A1161,""HIGH"")"),9.56)</f>
        <v>9.56</v>
      </c>
      <c r="E1161" s="11">
        <f ca="1">IFERROR(__xludf.DUMMYFUNCTION("GOOGLEFINANCE(A1161,""LOW"")"),9.31)</f>
        <v>9.31</v>
      </c>
      <c r="F1161" s="12" t="str">
        <f t="shared" ca="1" si="35"/>
        <v>SELL</v>
      </c>
      <c r="G1161" s="13">
        <f ca="1">IFERROR(__xludf.DUMMYFUNCTION("GOOGLEFINANCE(A1161,""CLOSEYEST"")"),9.44)</f>
        <v>9.44</v>
      </c>
      <c r="H1161" s="14" t="str">
        <f t="shared" ca="1" si="41"/>
        <v>GAP UP</v>
      </c>
      <c r="I1161" s="15">
        <f t="shared" ca="1" si="36"/>
        <v>9.4366666666666674</v>
      </c>
      <c r="J1161" s="16">
        <f t="shared" ca="1" si="37"/>
        <v>9.5633333333333344</v>
      </c>
      <c r="K1161" s="16"/>
      <c r="L1161" s="16">
        <f t="shared" ca="1" si="38"/>
        <v>9.3133333333333344</v>
      </c>
      <c r="M1161" s="16">
        <f t="shared" ca="1" si="39"/>
        <v>9.6866666666666674</v>
      </c>
      <c r="N1161" s="16">
        <f t="shared" ca="1" si="40"/>
        <v>9.1866666666666674</v>
      </c>
    </row>
    <row r="1162" spans="1:14" ht="24.75" customHeight="1" x14ac:dyDescent="0.8">
      <c r="A1162" s="18" t="s">
        <v>1125</v>
      </c>
      <c r="B1162" s="10">
        <f ca="1">IFERROR(__xludf.DUMMYFUNCTION("GOOGLEFINANCE(A1162,""PRICE"")"),1.51)</f>
        <v>1.51</v>
      </c>
      <c r="C1162" s="11">
        <f ca="1">IFERROR(__xludf.DUMMYFUNCTION("GOOGLEFINANCE(A1162,""PRICEOPEN"")"),1.51)</f>
        <v>1.51</v>
      </c>
      <c r="D1162" s="11">
        <f ca="1">IFERROR(__xludf.DUMMYFUNCTION("GOOGLEFINANCE(A1162,""HIGH"")"),1.54)</f>
        <v>1.54</v>
      </c>
      <c r="E1162" s="11">
        <f ca="1">IFERROR(__xludf.DUMMYFUNCTION("GOOGLEFINANCE(A1162,""LOW"")"),1.49)</f>
        <v>1.49</v>
      </c>
      <c r="F1162" s="12" t="str">
        <f t="shared" ca="1" si="35"/>
        <v/>
      </c>
      <c r="G1162" s="13">
        <f ca="1">IFERROR(__xludf.DUMMYFUNCTION("GOOGLEFINANCE(A1162,""CLOSEYEST"")"),1.49)</f>
        <v>1.49</v>
      </c>
      <c r="H1162" s="14" t="str">
        <f t="shared" ca="1" si="41"/>
        <v>GAP UP</v>
      </c>
      <c r="I1162" s="15">
        <f t="shared" ca="1" si="36"/>
        <v>1.5066666666666668</v>
      </c>
      <c r="J1162" s="16">
        <f t="shared" ca="1" si="37"/>
        <v>1.5233333333333337</v>
      </c>
      <c r="K1162" s="16"/>
      <c r="L1162" s="16">
        <f t="shared" ca="1" si="38"/>
        <v>1.4733333333333336</v>
      </c>
      <c r="M1162" s="16">
        <f t="shared" ca="1" si="39"/>
        <v>1.5566666666666669</v>
      </c>
      <c r="N1162" s="16">
        <f t="shared" ca="1" si="40"/>
        <v>1.4566666666666668</v>
      </c>
    </row>
    <row r="1163" spans="1:14" ht="24.75" customHeight="1" x14ac:dyDescent="0.8">
      <c r="A1163" s="18" t="s">
        <v>1126</v>
      </c>
      <c r="B1163" s="10">
        <f ca="1">IFERROR(__xludf.DUMMYFUNCTION("GOOGLEFINANCE(A1163,""PRICE"")"),10.99)</f>
        <v>10.99</v>
      </c>
      <c r="C1163" s="11">
        <f ca="1">IFERROR(__xludf.DUMMYFUNCTION("GOOGLEFINANCE(A1163,""PRICEOPEN"")"),10.99)</f>
        <v>10.99</v>
      </c>
      <c r="D1163" s="11">
        <f ca="1">IFERROR(__xludf.DUMMYFUNCTION("GOOGLEFINANCE(A1163,""HIGH"")"),10.99)</f>
        <v>10.99</v>
      </c>
      <c r="E1163" s="11">
        <f ca="1">IFERROR(__xludf.DUMMYFUNCTION("GOOGLEFINANCE(A1163,""LOW"")"),10.99)</f>
        <v>10.99</v>
      </c>
      <c r="F1163" s="12" t="str">
        <f t="shared" ca="1" si="35"/>
        <v>SELL</v>
      </c>
      <c r="G1163" s="13">
        <f ca="1">IFERROR(__xludf.DUMMYFUNCTION("GOOGLEFINANCE(A1163,""CLOSEYEST"")"),10.99)</f>
        <v>10.99</v>
      </c>
      <c r="H1163" s="14" t="str">
        <f t="shared" ca="1" si="41"/>
        <v/>
      </c>
      <c r="I1163" s="15">
        <f t="shared" ca="1" si="36"/>
        <v>10.99</v>
      </c>
      <c r="J1163" s="16">
        <f t="shared" ca="1" si="37"/>
        <v>10.99</v>
      </c>
      <c r="K1163" s="16"/>
      <c r="L1163" s="16">
        <f t="shared" ca="1" si="38"/>
        <v>10.99</v>
      </c>
      <c r="M1163" s="16">
        <f t="shared" ca="1" si="39"/>
        <v>10.99</v>
      </c>
      <c r="N1163" s="16">
        <f t="shared" ca="1" si="40"/>
        <v>10.99</v>
      </c>
    </row>
    <row r="1164" spans="1:14" ht="24.75" customHeight="1" x14ac:dyDescent="0.8">
      <c r="A1164" s="18" t="s">
        <v>1127</v>
      </c>
      <c r="B1164" s="10" t="str">
        <f ca="1">IFERROR(__xludf.DUMMYFUNCTION("GOOGLEFINANCE(A1164,""PRICE"")"),"#N/A")</f>
        <v>#N/A</v>
      </c>
      <c r="C1164" s="11" t="str">
        <f ca="1">IFERROR(__xludf.DUMMYFUNCTION("GOOGLEFINANCE(A1164,""PRICEOPEN"")"),"#N/A")</f>
        <v>#N/A</v>
      </c>
      <c r="D1164" s="11" t="str">
        <f ca="1">IFERROR(__xludf.DUMMYFUNCTION("GOOGLEFINANCE(A1164,""HIGH"")"),"#N/A")</f>
        <v>#N/A</v>
      </c>
      <c r="E1164" s="11" t="str">
        <f ca="1">IFERROR(__xludf.DUMMYFUNCTION("GOOGLEFINANCE(A1164,""LOW"")"),"#N/A")</f>
        <v>#N/A</v>
      </c>
      <c r="F1164" s="12" t="str">
        <f t="shared" ca="1" si="35"/>
        <v>SELL</v>
      </c>
      <c r="G1164" s="13" t="str">
        <f ca="1">IFERROR(__xludf.DUMMYFUNCTION("GOOGLEFINANCE(A1164,""CLOSEYEST"")"),"#N/A")</f>
        <v>#N/A</v>
      </c>
      <c r="H1164" s="14" t="e">
        <f t="shared" ca="1" si="41"/>
        <v>#VALUE!</v>
      </c>
      <c r="I1164" s="15" t="e">
        <f t="shared" ca="1" si="36"/>
        <v>#VALUE!</v>
      </c>
      <c r="J1164" s="16" t="e">
        <f t="shared" ca="1" si="37"/>
        <v>#VALUE!</v>
      </c>
      <c r="K1164" s="16"/>
      <c r="L1164" s="16" t="e">
        <f t="shared" ca="1" si="38"/>
        <v>#VALUE!</v>
      </c>
      <c r="M1164" s="16" t="e">
        <f t="shared" ca="1" si="39"/>
        <v>#VALUE!</v>
      </c>
      <c r="N1164" s="16" t="e">
        <f t="shared" ca="1" si="40"/>
        <v>#VALUE!</v>
      </c>
    </row>
    <row r="1165" spans="1:14" ht="24.75" customHeight="1" x14ac:dyDescent="0.8">
      <c r="A1165" s="18" t="s">
        <v>1128</v>
      </c>
      <c r="B1165" s="10">
        <f ca="1">IFERROR(__xludf.DUMMYFUNCTION("GOOGLEFINANCE(A1165,""PRICE"")"),104.92)</f>
        <v>104.92</v>
      </c>
      <c r="C1165" s="11">
        <f ca="1">IFERROR(__xludf.DUMMYFUNCTION("GOOGLEFINANCE(A1165,""PRICEOPEN"")"),104.4)</f>
        <v>104.4</v>
      </c>
      <c r="D1165" s="11">
        <f ca="1">IFERROR(__xludf.DUMMYFUNCTION("GOOGLEFINANCE(A1165,""HIGH"")"),108.49)</f>
        <v>108.49</v>
      </c>
      <c r="E1165" s="11">
        <f ca="1">IFERROR(__xludf.DUMMYFUNCTION("GOOGLEFINANCE(A1165,""LOW"")"),103.11)</f>
        <v>103.11</v>
      </c>
      <c r="F1165" s="12" t="str">
        <f t="shared" ca="1" si="35"/>
        <v/>
      </c>
      <c r="G1165" s="13">
        <f ca="1">IFERROR(__xludf.DUMMYFUNCTION("GOOGLEFINANCE(A1165,""CLOSEYEST"")"),103.21)</f>
        <v>103.21</v>
      </c>
      <c r="H1165" s="14" t="str">
        <f t="shared" ca="1" si="41"/>
        <v>GAP UP</v>
      </c>
      <c r="I1165" s="15">
        <f t="shared" ca="1" si="36"/>
        <v>104.93666666666667</v>
      </c>
      <c r="J1165" s="16">
        <f t="shared" ca="1" si="37"/>
        <v>106.76333333333334</v>
      </c>
      <c r="K1165" s="16"/>
      <c r="L1165" s="16">
        <f t="shared" ca="1" si="38"/>
        <v>101.38333333333334</v>
      </c>
      <c r="M1165" s="16">
        <f t="shared" ca="1" si="39"/>
        <v>110.31666666666666</v>
      </c>
      <c r="N1165" s="16">
        <f t="shared" ca="1" si="40"/>
        <v>99.556666666666672</v>
      </c>
    </row>
    <row r="1166" spans="1:14" ht="24.75" customHeight="1" x14ac:dyDescent="0.8">
      <c r="A1166" s="18" t="s">
        <v>1129</v>
      </c>
      <c r="B1166" s="10">
        <f ca="1">IFERROR(__xludf.DUMMYFUNCTION("GOOGLEFINANCE(A1166,""PRICE"")"),3.9)</f>
        <v>3.9</v>
      </c>
      <c r="C1166" s="11">
        <f ca="1">IFERROR(__xludf.DUMMYFUNCTION("GOOGLEFINANCE(A1166,""PRICEOPEN"")"),3.88)</f>
        <v>3.88</v>
      </c>
      <c r="D1166" s="11">
        <f ca="1">IFERROR(__xludf.DUMMYFUNCTION("GOOGLEFINANCE(A1166,""HIGH"")"),3.97)</f>
        <v>3.97</v>
      </c>
      <c r="E1166" s="11">
        <f ca="1">IFERROR(__xludf.DUMMYFUNCTION("GOOGLEFINANCE(A1166,""LOW"")"),3.88)</f>
        <v>3.88</v>
      </c>
      <c r="F1166" s="12" t="str">
        <f t="shared" ca="1" si="35"/>
        <v>BUY</v>
      </c>
      <c r="G1166" s="13">
        <f ca="1">IFERROR(__xludf.DUMMYFUNCTION("GOOGLEFINANCE(A1166,""CLOSEYEST"")"),3.88)</f>
        <v>3.88</v>
      </c>
      <c r="H1166" s="14" t="str">
        <f t="shared" ca="1" si="41"/>
        <v/>
      </c>
      <c r="I1166" s="15">
        <f t="shared" ca="1" si="36"/>
        <v>3.91</v>
      </c>
      <c r="J1166" s="16">
        <f t="shared" ca="1" si="37"/>
        <v>3.9400000000000004</v>
      </c>
      <c r="K1166" s="16"/>
      <c r="L1166" s="16">
        <f t="shared" ca="1" si="38"/>
        <v>3.85</v>
      </c>
      <c r="M1166" s="16">
        <f t="shared" ca="1" si="39"/>
        <v>4</v>
      </c>
      <c r="N1166" s="16">
        <f t="shared" ca="1" si="40"/>
        <v>3.82</v>
      </c>
    </row>
    <row r="1167" spans="1:14" ht="24.75" customHeight="1" x14ac:dyDescent="0.8">
      <c r="A1167" s="18" t="s">
        <v>1130</v>
      </c>
      <c r="B1167" s="10">
        <f ca="1">IFERROR(__xludf.DUMMYFUNCTION("GOOGLEFINANCE(A1167,""PRICE"")"),116.7)</f>
        <v>116.7</v>
      </c>
      <c r="C1167" s="11">
        <f ca="1">IFERROR(__xludf.DUMMYFUNCTION("GOOGLEFINANCE(A1167,""PRICEOPEN"")"),114.85)</f>
        <v>114.85</v>
      </c>
      <c r="D1167" s="11">
        <f ca="1">IFERROR(__xludf.DUMMYFUNCTION("GOOGLEFINANCE(A1167,""HIGH"")"),118.9)</f>
        <v>118.9</v>
      </c>
      <c r="E1167" s="11">
        <f ca="1">IFERROR(__xludf.DUMMYFUNCTION("GOOGLEFINANCE(A1167,""LOW"")"),113.86)</f>
        <v>113.86</v>
      </c>
      <c r="F1167" s="12" t="str">
        <f t="shared" ca="1" si="35"/>
        <v/>
      </c>
      <c r="G1167" s="13">
        <f ca="1">IFERROR(__xludf.DUMMYFUNCTION("GOOGLEFINANCE(A1167,""CLOSEYEST"")"),113.73)</f>
        <v>113.73</v>
      </c>
      <c r="H1167" s="14" t="str">
        <f t="shared" ca="1" si="41"/>
        <v/>
      </c>
      <c r="I1167" s="15">
        <f t="shared" ca="1" si="36"/>
        <v>115.49666666666667</v>
      </c>
      <c r="J1167" s="16">
        <f t="shared" ca="1" si="37"/>
        <v>117.13333333333334</v>
      </c>
      <c r="K1167" s="16"/>
      <c r="L1167" s="16">
        <f t="shared" ca="1" si="38"/>
        <v>112.09333333333333</v>
      </c>
      <c r="M1167" s="16">
        <f t="shared" ca="1" si="39"/>
        <v>120.53666666666668</v>
      </c>
      <c r="N1167" s="16">
        <f t="shared" ca="1" si="40"/>
        <v>110.45666666666666</v>
      </c>
    </row>
    <row r="1168" spans="1:14" ht="24.75" customHeight="1" x14ac:dyDescent="0.8">
      <c r="A1168" s="18" t="s">
        <v>1131</v>
      </c>
      <c r="B1168" s="10">
        <f ca="1">IFERROR(__xludf.DUMMYFUNCTION("GOOGLEFINANCE(A1168,""PRICE"")"),203.8)</f>
        <v>203.8</v>
      </c>
      <c r="C1168" s="11">
        <f ca="1">IFERROR(__xludf.DUMMYFUNCTION("GOOGLEFINANCE(A1168,""PRICEOPEN"")"),187.53)</f>
        <v>187.53</v>
      </c>
      <c r="D1168" s="11">
        <f ca="1">IFERROR(__xludf.DUMMYFUNCTION("GOOGLEFINANCE(A1168,""HIGH"")"),203.8)</f>
        <v>203.8</v>
      </c>
      <c r="E1168" s="11">
        <f ca="1">IFERROR(__xludf.DUMMYFUNCTION("GOOGLEFINANCE(A1168,""LOW"")"),186.96)</f>
        <v>186.96</v>
      </c>
      <c r="F1168" s="12" t="str">
        <f t="shared" ca="1" si="35"/>
        <v/>
      </c>
      <c r="G1168" s="13">
        <f ca="1">IFERROR(__xludf.DUMMYFUNCTION("GOOGLEFINANCE(A1168,""CLOSEYEST"")"),187.53)</f>
        <v>187.53</v>
      </c>
      <c r="H1168" s="14" t="str">
        <f t="shared" ca="1" si="41"/>
        <v/>
      </c>
      <c r="I1168" s="15">
        <f t="shared" ca="1" si="36"/>
        <v>192.76333333333332</v>
      </c>
      <c r="J1168" s="16">
        <f t="shared" ca="1" si="37"/>
        <v>198.56666666666663</v>
      </c>
      <c r="K1168" s="16"/>
      <c r="L1168" s="16">
        <f t="shared" ca="1" si="38"/>
        <v>181.72666666666663</v>
      </c>
      <c r="M1168" s="16">
        <f t="shared" ca="1" si="39"/>
        <v>209.60333333333332</v>
      </c>
      <c r="N1168" s="16">
        <f t="shared" ca="1" si="40"/>
        <v>175.92333333333332</v>
      </c>
    </row>
    <row r="1169" spans="1:14" ht="24.75" customHeight="1" x14ac:dyDescent="0.8">
      <c r="A1169" s="18" t="s">
        <v>1132</v>
      </c>
      <c r="B1169" s="10">
        <f ca="1">IFERROR(__xludf.DUMMYFUNCTION("GOOGLEFINANCE(A1169,""PRICE"")"),470)</f>
        <v>470</v>
      </c>
      <c r="C1169" s="11">
        <f ca="1">IFERROR(__xludf.DUMMYFUNCTION("GOOGLEFINANCE(A1169,""PRICEOPEN"")"),470)</f>
        <v>470</v>
      </c>
      <c r="D1169" s="11">
        <f ca="1">IFERROR(__xludf.DUMMYFUNCTION("GOOGLEFINANCE(A1169,""HIGH"")"),470)</f>
        <v>470</v>
      </c>
      <c r="E1169" s="11">
        <f ca="1">IFERROR(__xludf.DUMMYFUNCTION("GOOGLEFINANCE(A1169,""LOW"")"),452.05)</f>
        <v>452.05</v>
      </c>
      <c r="F1169" s="12" t="str">
        <f t="shared" ca="1" si="35"/>
        <v>SELL</v>
      </c>
      <c r="G1169" s="13">
        <f ca="1">IFERROR(__xludf.DUMMYFUNCTION("GOOGLEFINANCE(A1169,""CLOSEYEST"")"),453.95)</f>
        <v>453.95</v>
      </c>
      <c r="H1169" s="14" t="str">
        <f t="shared" ca="1" si="41"/>
        <v>GAP UP</v>
      </c>
      <c r="I1169" s="15">
        <f t="shared" ca="1" si="36"/>
        <v>458.66666666666669</v>
      </c>
      <c r="J1169" s="16">
        <f t="shared" ca="1" si="37"/>
        <v>465.28333333333336</v>
      </c>
      <c r="K1169" s="16"/>
      <c r="L1169" s="16">
        <f t="shared" ca="1" si="38"/>
        <v>447.33333333333337</v>
      </c>
      <c r="M1169" s="16">
        <f t="shared" ca="1" si="39"/>
        <v>476.61666666666667</v>
      </c>
      <c r="N1169" s="16">
        <f t="shared" ca="1" si="40"/>
        <v>440.7166666666667</v>
      </c>
    </row>
    <row r="1170" spans="1:14" ht="24.75" customHeight="1" x14ac:dyDescent="0.8">
      <c r="A1170" s="18" t="s">
        <v>1133</v>
      </c>
      <c r="B1170" s="10">
        <f ca="1">IFERROR(__xludf.DUMMYFUNCTION("GOOGLEFINANCE(A1170,""PRICE"")"),86.02)</f>
        <v>86.02</v>
      </c>
      <c r="C1170" s="11">
        <f ca="1">IFERROR(__xludf.DUMMYFUNCTION("GOOGLEFINANCE(A1170,""PRICEOPEN"")"),85)</f>
        <v>85</v>
      </c>
      <c r="D1170" s="11">
        <f ca="1">IFERROR(__xludf.DUMMYFUNCTION("GOOGLEFINANCE(A1170,""HIGH"")"),86.95)</f>
        <v>86.95</v>
      </c>
      <c r="E1170" s="11">
        <f ca="1">IFERROR(__xludf.DUMMYFUNCTION("GOOGLEFINANCE(A1170,""LOW"")"),84.94)</f>
        <v>84.94</v>
      </c>
      <c r="F1170" s="12" t="str">
        <f t="shared" ca="1" si="35"/>
        <v/>
      </c>
      <c r="G1170" s="13">
        <f ca="1">IFERROR(__xludf.DUMMYFUNCTION("GOOGLEFINANCE(A1170,""CLOSEYEST"")"),84.9)</f>
        <v>84.9</v>
      </c>
      <c r="H1170" s="14" t="str">
        <f t="shared" ca="1" si="41"/>
        <v/>
      </c>
      <c r="I1170" s="15">
        <f t="shared" ca="1" si="36"/>
        <v>85.59666666666665</v>
      </c>
      <c r="J1170" s="16">
        <f t="shared" ca="1" si="37"/>
        <v>86.253333333333302</v>
      </c>
      <c r="K1170" s="16"/>
      <c r="L1170" s="16">
        <f t="shared" ca="1" si="38"/>
        <v>84.243333333333297</v>
      </c>
      <c r="M1170" s="16">
        <f t="shared" ca="1" si="39"/>
        <v>87.606666666666655</v>
      </c>
      <c r="N1170" s="16">
        <f t="shared" ca="1" si="40"/>
        <v>83.586666666666645</v>
      </c>
    </row>
    <row r="1171" spans="1:14" ht="24.75" customHeight="1" x14ac:dyDescent="0.8">
      <c r="A1171" s="18" t="s">
        <v>1134</v>
      </c>
      <c r="B1171" s="10">
        <f ca="1">IFERROR(__xludf.DUMMYFUNCTION("GOOGLEFINANCE(A1171,""PRICE"")"),188.88)</f>
        <v>188.88</v>
      </c>
      <c r="C1171" s="11">
        <f ca="1">IFERROR(__xludf.DUMMYFUNCTION("GOOGLEFINANCE(A1171,""PRICEOPEN"")"),185.97)</f>
        <v>185.97</v>
      </c>
      <c r="D1171" s="11">
        <f ca="1">IFERROR(__xludf.DUMMYFUNCTION("GOOGLEFINANCE(A1171,""HIGH"")"),189.7)</f>
        <v>189.7</v>
      </c>
      <c r="E1171" s="11">
        <f ca="1">IFERROR(__xludf.DUMMYFUNCTION("GOOGLEFINANCE(A1171,""LOW"")"),185.05)</f>
        <v>185.05</v>
      </c>
      <c r="F1171" s="12" t="str">
        <f t="shared" ca="1" si="35"/>
        <v/>
      </c>
      <c r="G1171" s="13">
        <f ca="1">IFERROR(__xludf.DUMMYFUNCTION("GOOGLEFINANCE(A1171,""CLOSEYEST"")"),185.25)</f>
        <v>185.25</v>
      </c>
      <c r="H1171" s="14" t="str">
        <f t="shared" ca="1" si="41"/>
        <v/>
      </c>
      <c r="I1171" s="15">
        <f t="shared" ca="1" si="36"/>
        <v>186.66666666666666</v>
      </c>
      <c r="J1171" s="16">
        <f t="shared" ca="1" si="37"/>
        <v>188.2833333333333</v>
      </c>
      <c r="K1171" s="16"/>
      <c r="L1171" s="16">
        <f t="shared" ca="1" si="38"/>
        <v>183.63333333333333</v>
      </c>
      <c r="M1171" s="16">
        <f t="shared" ca="1" si="39"/>
        <v>191.31666666666663</v>
      </c>
      <c r="N1171" s="16">
        <f t="shared" ca="1" si="40"/>
        <v>182.01666666666668</v>
      </c>
    </row>
    <row r="1172" spans="1:14" ht="24.75" customHeight="1" x14ac:dyDescent="0.8">
      <c r="A1172" s="18" t="s">
        <v>1135</v>
      </c>
      <c r="B1172" s="10">
        <f ca="1">IFERROR(__xludf.DUMMYFUNCTION("GOOGLEFINANCE(A1172,""PRICE"")"),55.84)</f>
        <v>55.84</v>
      </c>
      <c r="C1172" s="11">
        <f ca="1">IFERROR(__xludf.DUMMYFUNCTION("GOOGLEFINANCE(A1172,""PRICEOPEN"")"),55.5)</f>
        <v>55.5</v>
      </c>
      <c r="D1172" s="11">
        <f ca="1">IFERROR(__xludf.DUMMYFUNCTION("GOOGLEFINANCE(A1172,""HIGH"")"),56.26)</f>
        <v>56.26</v>
      </c>
      <c r="E1172" s="11">
        <f ca="1">IFERROR(__xludf.DUMMYFUNCTION("GOOGLEFINANCE(A1172,""LOW"")"),54.07)</f>
        <v>54.07</v>
      </c>
      <c r="F1172" s="12" t="str">
        <f t="shared" ca="1" si="35"/>
        <v/>
      </c>
      <c r="G1172" s="13">
        <f ca="1">IFERROR(__xludf.DUMMYFUNCTION("GOOGLEFINANCE(A1172,""CLOSEYEST"")"),55.7)</f>
        <v>55.7</v>
      </c>
      <c r="H1172" s="14" t="str">
        <f t="shared" ca="1" si="41"/>
        <v/>
      </c>
      <c r="I1172" s="15">
        <f t="shared" ca="1" si="36"/>
        <v>55.343333333333334</v>
      </c>
      <c r="J1172" s="16">
        <f t="shared" ca="1" si="37"/>
        <v>56.616666666666667</v>
      </c>
      <c r="K1172" s="16"/>
      <c r="L1172" s="16">
        <f t="shared" ca="1" si="38"/>
        <v>54.426666666666669</v>
      </c>
      <c r="M1172" s="16">
        <f t="shared" ca="1" si="39"/>
        <v>57.533333333333331</v>
      </c>
      <c r="N1172" s="16">
        <f t="shared" ca="1" si="40"/>
        <v>53.153333333333336</v>
      </c>
    </row>
    <row r="1173" spans="1:14" ht="24.75" customHeight="1" x14ac:dyDescent="0.8">
      <c r="A1173" s="18" t="s">
        <v>1136</v>
      </c>
      <c r="B1173" s="10">
        <f ca="1">IFERROR(__xludf.DUMMYFUNCTION("GOOGLEFINANCE(A1173,""PRICE"")"),245.5)</f>
        <v>245.5</v>
      </c>
      <c r="C1173" s="11">
        <f ca="1">IFERROR(__xludf.DUMMYFUNCTION("GOOGLEFINANCE(A1173,""PRICEOPEN"")"),239)</f>
        <v>239</v>
      </c>
      <c r="D1173" s="11">
        <f ca="1">IFERROR(__xludf.DUMMYFUNCTION("GOOGLEFINANCE(A1173,""HIGH"")"),245.5)</f>
        <v>245.5</v>
      </c>
      <c r="E1173" s="11">
        <f ca="1">IFERROR(__xludf.DUMMYFUNCTION("GOOGLEFINANCE(A1173,""LOW"")"),238.83)</f>
        <v>238.83</v>
      </c>
      <c r="F1173" s="12" t="str">
        <f t="shared" ca="1" si="35"/>
        <v/>
      </c>
      <c r="G1173" s="13">
        <f ca="1">IFERROR(__xludf.DUMMYFUNCTION("GOOGLEFINANCE(A1173,""CLOSEYEST"")"),239.33)</f>
        <v>239.33</v>
      </c>
      <c r="H1173" s="14" t="str">
        <f t="shared" ca="1" si="41"/>
        <v/>
      </c>
      <c r="I1173" s="15">
        <f t="shared" ca="1" si="36"/>
        <v>241.22000000000003</v>
      </c>
      <c r="J1173" s="16">
        <f t="shared" ca="1" si="37"/>
        <v>243.61000000000004</v>
      </c>
      <c r="K1173" s="16"/>
      <c r="L1173" s="16">
        <f t="shared" ca="1" si="38"/>
        <v>236.94000000000005</v>
      </c>
      <c r="M1173" s="16">
        <f t="shared" ca="1" si="39"/>
        <v>247.89000000000001</v>
      </c>
      <c r="N1173" s="16">
        <f t="shared" ca="1" si="40"/>
        <v>234.55000000000004</v>
      </c>
    </row>
    <row r="1174" spans="1:14" ht="24.75" customHeight="1" x14ac:dyDescent="0.8">
      <c r="A1174" s="18" t="s">
        <v>1137</v>
      </c>
      <c r="B1174" s="10">
        <f ca="1">IFERROR(__xludf.DUMMYFUNCTION("GOOGLEFINANCE(A1174,""PRICE"")"),275)</f>
        <v>275</v>
      </c>
      <c r="C1174" s="11">
        <f ca="1">IFERROR(__xludf.DUMMYFUNCTION("GOOGLEFINANCE(A1174,""PRICEOPEN"")"),276.95)</f>
        <v>276.95</v>
      </c>
      <c r="D1174" s="11">
        <f ca="1">IFERROR(__xludf.DUMMYFUNCTION("GOOGLEFINANCE(A1174,""HIGH"")"),276.95)</f>
        <v>276.95</v>
      </c>
      <c r="E1174" s="11">
        <f ca="1">IFERROR(__xludf.DUMMYFUNCTION("GOOGLEFINANCE(A1174,""LOW"")"),271.1)</f>
        <v>271.10000000000002</v>
      </c>
      <c r="F1174" s="12" t="str">
        <f t="shared" ca="1" si="35"/>
        <v>SELL</v>
      </c>
      <c r="G1174" s="13">
        <f ca="1">IFERROR(__xludf.DUMMYFUNCTION("GOOGLEFINANCE(A1174,""CLOSEYEST"")"),274.65)</f>
        <v>274.64999999999998</v>
      </c>
      <c r="H1174" s="14" t="str">
        <f t="shared" ca="1" si="41"/>
        <v/>
      </c>
      <c r="I1174" s="15">
        <f t="shared" ca="1" si="36"/>
        <v>274.23333333333329</v>
      </c>
      <c r="J1174" s="16">
        <f t="shared" ca="1" si="37"/>
        <v>277.36666666666656</v>
      </c>
      <c r="K1174" s="16"/>
      <c r="L1174" s="16">
        <f t="shared" ca="1" si="38"/>
        <v>271.51666666666659</v>
      </c>
      <c r="M1174" s="16">
        <f t="shared" ca="1" si="39"/>
        <v>280.08333333333326</v>
      </c>
      <c r="N1174" s="16">
        <f t="shared" ca="1" si="40"/>
        <v>268.38333333333333</v>
      </c>
    </row>
    <row r="1175" spans="1:14" ht="24.75" customHeight="1" x14ac:dyDescent="0.8">
      <c r="A1175" s="18" t="s">
        <v>1138</v>
      </c>
      <c r="B1175" s="10">
        <f ca="1">IFERROR(__xludf.DUMMYFUNCTION("GOOGLEFINANCE(A1175,""PRICE"")"),2233)</f>
        <v>2233</v>
      </c>
      <c r="C1175" s="11">
        <f ca="1">IFERROR(__xludf.DUMMYFUNCTION("GOOGLEFINANCE(A1175,""PRICEOPEN"")"),2207)</f>
        <v>2207</v>
      </c>
      <c r="D1175" s="11">
        <f ca="1">IFERROR(__xludf.DUMMYFUNCTION("GOOGLEFINANCE(A1175,""HIGH"")"),2348.9)</f>
        <v>2348.9</v>
      </c>
      <c r="E1175" s="11">
        <f ca="1">IFERROR(__xludf.DUMMYFUNCTION("GOOGLEFINANCE(A1175,""LOW"")"),2133.1)</f>
        <v>2133.1</v>
      </c>
      <c r="F1175" s="12" t="str">
        <f t="shared" ca="1" si="35"/>
        <v/>
      </c>
      <c r="G1175" s="13">
        <f ca="1">IFERROR(__xludf.DUMMYFUNCTION("GOOGLEFINANCE(A1175,""CLOSEYEST"")"),2168.5)</f>
        <v>2168.5</v>
      </c>
      <c r="H1175" s="14" t="str">
        <f t="shared" ca="1" si="41"/>
        <v>GAP UP</v>
      </c>
      <c r="I1175" s="15">
        <f t="shared" ca="1" si="36"/>
        <v>2216.8333333333335</v>
      </c>
      <c r="J1175" s="16">
        <f t="shared" ca="1" si="37"/>
        <v>2300.5666666666671</v>
      </c>
      <c r="K1175" s="16"/>
      <c r="L1175" s="16">
        <f t="shared" ca="1" si="38"/>
        <v>2084.7666666666669</v>
      </c>
      <c r="M1175" s="16">
        <f t="shared" ca="1" si="39"/>
        <v>2432.6333333333337</v>
      </c>
      <c r="N1175" s="16">
        <f t="shared" ca="1" si="40"/>
        <v>2001.0333333333333</v>
      </c>
    </row>
    <row r="1176" spans="1:14" ht="24.75" customHeight="1" x14ac:dyDescent="0.8">
      <c r="A1176" s="18" t="s">
        <v>1139</v>
      </c>
      <c r="B1176" s="10" t="str">
        <f ca="1">IFERROR(__xludf.DUMMYFUNCTION("GOOGLEFINANCE(A1176,""PRICE"")"),"#N/A")</f>
        <v>#N/A</v>
      </c>
      <c r="C1176" s="11" t="str">
        <f ca="1">IFERROR(__xludf.DUMMYFUNCTION("GOOGLEFINANCE(A1176,""PRICEOPEN"")"),"#N/A")</f>
        <v>#N/A</v>
      </c>
      <c r="D1176" s="11" t="str">
        <f ca="1">IFERROR(__xludf.DUMMYFUNCTION("GOOGLEFINANCE(A1176,""HIGH"")"),"#N/A")</f>
        <v>#N/A</v>
      </c>
      <c r="E1176" s="11" t="str">
        <f ca="1">IFERROR(__xludf.DUMMYFUNCTION("GOOGLEFINANCE(A1176,""LOW"")"),"#N/A")</f>
        <v>#N/A</v>
      </c>
      <c r="F1176" s="12" t="str">
        <f t="shared" ca="1" si="35"/>
        <v>SELL</v>
      </c>
      <c r="G1176" s="13" t="str">
        <f ca="1">IFERROR(__xludf.DUMMYFUNCTION("GOOGLEFINANCE(A1176,""CLOSEYEST"")"),"#N/A")</f>
        <v>#N/A</v>
      </c>
      <c r="H1176" s="14" t="e">
        <f t="shared" ca="1" si="41"/>
        <v>#VALUE!</v>
      </c>
      <c r="I1176" s="15" t="e">
        <f t="shared" ca="1" si="36"/>
        <v>#VALUE!</v>
      </c>
      <c r="J1176" s="16" t="e">
        <f t="shared" ca="1" si="37"/>
        <v>#VALUE!</v>
      </c>
      <c r="K1176" s="16"/>
      <c r="L1176" s="16" t="e">
        <f t="shared" ca="1" si="38"/>
        <v>#VALUE!</v>
      </c>
      <c r="M1176" s="16" t="e">
        <f t="shared" ca="1" si="39"/>
        <v>#VALUE!</v>
      </c>
      <c r="N1176" s="16" t="e">
        <f t="shared" ca="1" si="40"/>
        <v>#VALUE!</v>
      </c>
    </row>
    <row r="1177" spans="1:14" ht="24.75" customHeight="1" x14ac:dyDescent="0.8">
      <c r="A1177" s="18" t="s">
        <v>1140</v>
      </c>
      <c r="B1177" s="10">
        <f ca="1">IFERROR(__xludf.DUMMYFUNCTION("GOOGLEFINANCE(A1177,""PRICE"")"),141.72)</f>
        <v>141.72</v>
      </c>
      <c r="C1177" s="11">
        <f ca="1">IFERROR(__xludf.DUMMYFUNCTION("GOOGLEFINANCE(A1177,""PRICEOPEN"")"),142.23)</f>
        <v>142.22999999999999</v>
      </c>
      <c r="D1177" s="11">
        <f ca="1">IFERROR(__xludf.DUMMYFUNCTION("GOOGLEFINANCE(A1177,""HIGH"")"),142.23)</f>
        <v>142.22999999999999</v>
      </c>
      <c r="E1177" s="11">
        <f ca="1">IFERROR(__xludf.DUMMYFUNCTION("GOOGLEFINANCE(A1177,""LOW"")"),139.44)</f>
        <v>139.44</v>
      </c>
      <c r="F1177" s="12" t="str">
        <f t="shared" ca="1" si="35"/>
        <v>SELL</v>
      </c>
      <c r="G1177" s="13">
        <f ca="1">IFERROR(__xludf.DUMMYFUNCTION("GOOGLEFINANCE(A1177,""CLOSEYEST"")"),140.84)</f>
        <v>140.84</v>
      </c>
      <c r="H1177" s="14" t="str">
        <f t="shared" ca="1" si="41"/>
        <v/>
      </c>
      <c r="I1177" s="15">
        <f t="shared" ca="1" si="36"/>
        <v>140.83666666666667</v>
      </c>
      <c r="J1177" s="16">
        <f t="shared" ca="1" si="37"/>
        <v>142.23333333333335</v>
      </c>
      <c r="K1177" s="16"/>
      <c r="L1177" s="16">
        <f t="shared" ca="1" si="38"/>
        <v>139.44333333333336</v>
      </c>
      <c r="M1177" s="16">
        <f t="shared" ca="1" si="39"/>
        <v>143.62666666666667</v>
      </c>
      <c r="N1177" s="16">
        <f t="shared" ca="1" si="40"/>
        <v>138.04666666666668</v>
      </c>
    </row>
    <row r="1178" spans="1:14" ht="24.75" customHeight="1" x14ac:dyDescent="0.8">
      <c r="A1178" s="18" t="s">
        <v>1141</v>
      </c>
      <c r="B1178" s="10">
        <f ca="1">IFERROR(__xludf.DUMMYFUNCTION("GOOGLEFINANCE(A1178,""PRICE"")"),1.91)</f>
        <v>1.91</v>
      </c>
      <c r="C1178" s="11">
        <f ca="1">IFERROR(__xludf.DUMMYFUNCTION("GOOGLEFINANCE(A1178,""PRICEOPEN"")"),1.91)</f>
        <v>1.91</v>
      </c>
      <c r="D1178" s="11">
        <f ca="1">IFERROR(__xludf.DUMMYFUNCTION("GOOGLEFINANCE(A1178,""HIGH"")"),1.91)</f>
        <v>1.91</v>
      </c>
      <c r="E1178" s="11">
        <f ca="1">IFERROR(__xludf.DUMMYFUNCTION("GOOGLEFINANCE(A1178,""LOW"")"),1.91)</f>
        <v>1.91</v>
      </c>
      <c r="F1178" s="12" t="str">
        <f t="shared" ca="1" si="35"/>
        <v>SELL</v>
      </c>
      <c r="G1178" s="13">
        <f ca="1">IFERROR(__xludf.DUMMYFUNCTION("GOOGLEFINANCE(A1178,""CLOSEYEST"")"),1.88)</f>
        <v>1.88</v>
      </c>
      <c r="H1178" s="14" t="str">
        <f t="shared" ca="1" si="41"/>
        <v>GAP UP</v>
      </c>
      <c r="I1178" s="15">
        <f t="shared" ca="1" si="36"/>
        <v>1.8999999999999997</v>
      </c>
      <c r="J1178" s="16">
        <f t="shared" ca="1" si="37"/>
        <v>1.8899999999999995</v>
      </c>
      <c r="K1178" s="16"/>
      <c r="L1178" s="16">
        <f t="shared" ca="1" si="38"/>
        <v>1.8899999999999995</v>
      </c>
      <c r="M1178" s="16">
        <f t="shared" ca="1" si="39"/>
        <v>1.8999999999999997</v>
      </c>
      <c r="N1178" s="16">
        <f t="shared" ca="1" si="40"/>
        <v>1.8999999999999997</v>
      </c>
    </row>
    <row r="1179" spans="1:14" ht="24.75" customHeight="1" x14ac:dyDescent="0.8">
      <c r="A1179" s="18" t="s">
        <v>1142</v>
      </c>
      <c r="B1179" s="10">
        <f ca="1">IFERROR(__xludf.DUMMYFUNCTION("GOOGLEFINANCE(A1179,""PRICE"")"),76)</f>
        <v>76</v>
      </c>
      <c r="C1179" s="11">
        <f ca="1">IFERROR(__xludf.DUMMYFUNCTION("GOOGLEFINANCE(A1179,""PRICEOPEN"")"),73.11)</f>
        <v>73.11</v>
      </c>
      <c r="D1179" s="11">
        <f ca="1">IFERROR(__xludf.DUMMYFUNCTION("GOOGLEFINANCE(A1179,""HIGH"")"),76.65)</f>
        <v>76.650000000000006</v>
      </c>
      <c r="E1179" s="11">
        <f ca="1">IFERROR(__xludf.DUMMYFUNCTION("GOOGLEFINANCE(A1179,""LOW"")"),73.11)</f>
        <v>73.11</v>
      </c>
      <c r="F1179" s="12" t="str">
        <f t="shared" ca="1" si="35"/>
        <v>BUY</v>
      </c>
      <c r="G1179" s="13">
        <f ca="1">IFERROR(__xludf.DUMMYFUNCTION("GOOGLEFINANCE(A1179,""CLOSEYEST"")"),73.5)</f>
        <v>73.5</v>
      </c>
      <c r="H1179" s="14" t="str">
        <f t="shared" ca="1" si="41"/>
        <v/>
      </c>
      <c r="I1179" s="15">
        <f t="shared" ca="1" si="36"/>
        <v>74.42</v>
      </c>
      <c r="J1179" s="16">
        <f t="shared" ca="1" si="37"/>
        <v>75.73</v>
      </c>
      <c r="K1179" s="16"/>
      <c r="L1179" s="16">
        <f t="shared" ca="1" si="38"/>
        <v>72.19</v>
      </c>
      <c r="M1179" s="16">
        <f t="shared" ca="1" si="39"/>
        <v>77.960000000000008</v>
      </c>
      <c r="N1179" s="16">
        <f t="shared" ca="1" si="40"/>
        <v>70.88</v>
      </c>
    </row>
    <row r="1180" spans="1:14" ht="24.75" customHeight="1" x14ac:dyDescent="0.8">
      <c r="A1180" s="18" t="s">
        <v>1143</v>
      </c>
      <c r="B1180" s="10">
        <f ca="1">IFERROR(__xludf.DUMMYFUNCTION("GOOGLEFINANCE(A1180,""PRICE"")"),67.8)</f>
        <v>67.8</v>
      </c>
      <c r="C1180" s="11">
        <f ca="1">IFERROR(__xludf.DUMMYFUNCTION("GOOGLEFINANCE(A1180,""PRICEOPEN"")"),67.71)</f>
        <v>67.709999999999994</v>
      </c>
      <c r="D1180" s="11">
        <f ca="1">IFERROR(__xludf.DUMMYFUNCTION("GOOGLEFINANCE(A1180,""HIGH"")"),69)</f>
        <v>69</v>
      </c>
      <c r="E1180" s="11">
        <f ca="1">IFERROR(__xludf.DUMMYFUNCTION("GOOGLEFINANCE(A1180,""LOW"")"),67.11)</f>
        <v>67.11</v>
      </c>
      <c r="F1180" s="12" t="str">
        <f t="shared" ca="1" si="35"/>
        <v/>
      </c>
      <c r="G1180" s="13">
        <f ca="1">IFERROR(__xludf.DUMMYFUNCTION("GOOGLEFINANCE(A1180,""CLOSEYEST"")"),67.71)</f>
        <v>67.709999999999994</v>
      </c>
      <c r="H1180" s="14" t="str">
        <f t="shared" ca="1" si="41"/>
        <v/>
      </c>
      <c r="I1180" s="15">
        <f t="shared" ca="1" si="36"/>
        <v>67.94</v>
      </c>
      <c r="J1180" s="16">
        <f t="shared" ca="1" si="37"/>
        <v>68.77</v>
      </c>
      <c r="K1180" s="16"/>
      <c r="L1180" s="16">
        <f t="shared" ca="1" si="38"/>
        <v>66.88</v>
      </c>
      <c r="M1180" s="16">
        <f t="shared" ca="1" si="39"/>
        <v>69.83</v>
      </c>
      <c r="N1180" s="16">
        <f t="shared" ca="1" si="40"/>
        <v>66.05</v>
      </c>
    </row>
    <row r="1181" spans="1:14" ht="24.75" customHeight="1" x14ac:dyDescent="0.8">
      <c r="A1181" s="18" t="s">
        <v>1144</v>
      </c>
      <c r="B1181" s="10" t="str">
        <f ca="1">IFERROR(__xludf.DUMMYFUNCTION("GOOGLEFINANCE(A1181,""PRICE"")"),"#N/A")</f>
        <v>#N/A</v>
      </c>
      <c r="C1181" s="11" t="str">
        <f ca="1">IFERROR(__xludf.DUMMYFUNCTION("GOOGLEFINANCE(A1181,""PRICEOPEN"")"),"#N/A")</f>
        <v>#N/A</v>
      </c>
      <c r="D1181" s="11" t="str">
        <f ca="1">IFERROR(__xludf.DUMMYFUNCTION("GOOGLEFINANCE(A1181,""HIGH"")"),"#N/A")</f>
        <v>#N/A</v>
      </c>
      <c r="E1181" s="11" t="str">
        <f ca="1">IFERROR(__xludf.DUMMYFUNCTION("GOOGLEFINANCE(A1181,""LOW"")"),"#N/A")</f>
        <v>#N/A</v>
      </c>
      <c r="F1181" s="12" t="str">
        <f t="shared" ca="1" si="35"/>
        <v>SELL</v>
      </c>
      <c r="G1181" s="13" t="str">
        <f ca="1">IFERROR(__xludf.DUMMYFUNCTION("GOOGLEFINANCE(A1181,""CLOSEYEST"")"),"#N/A")</f>
        <v>#N/A</v>
      </c>
      <c r="H1181" s="14" t="e">
        <f t="shared" ca="1" si="41"/>
        <v>#VALUE!</v>
      </c>
      <c r="I1181" s="15" t="e">
        <f t="shared" ca="1" si="36"/>
        <v>#VALUE!</v>
      </c>
      <c r="J1181" s="16" t="e">
        <f t="shared" ca="1" si="37"/>
        <v>#VALUE!</v>
      </c>
      <c r="K1181" s="16"/>
      <c r="L1181" s="16" t="e">
        <f t="shared" ca="1" si="38"/>
        <v>#VALUE!</v>
      </c>
      <c r="M1181" s="16" t="e">
        <f t="shared" ca="1" si="39"/>
        <v>#VALUE!</v>
      </c>
      <c r="N1181" s="16" t="e">
        <f t="shared" ca="1" si="40"/>
        <v>#VALUE!</v>
      </c>
    </row>
    <row r="1182" spans="1:14" ht="24.75" customHeight="1" x14ac:dyDescent="0.8">
      <c r="A1182" s="18" t="s">
        <v>1145</v>
      </c>
      <c r="B1182" s="10">
        <f ca="1">IFERROR(__xludf.DUMMYFUNCTION("GOOGLEFINANCE(A1182,""PRICE"")"),0.54)</f>
        <v>0.54</v>
      </c>
      <c r="C1182" s="11">
        <f ca="1">IFERROR(__xludf.DUMMYFUNCTION("GOOGLEFINANCE(A1182,""PRICEOPEN"")"),0.56)</f>
        <v>0.56000000000000005</v>
      </c>
      <c r="D1182" s="11">
        <f ca="1">IFERROR(__xludf.DUMMYFUNCTION("GOOGLEFINANCE(A1182,""HIGH"")"),0.56)</f>
        <v>0.56000000000000005</v>
      </c>
      <c r="E1182" s="11">
        <f ca="1">IFERROR(__xludf.DUMMYFUNCTION("GOOGLEFINANCE(A1182,""LOW"")"),0.54)</f>
        <v>0.54</v>
      </c>
      <c r="F1182" s="12" t="str">
        <f t="shared" ca="1" si="35"/>
        <v>SELL</v>
      </c>
      <c r="G1182" s="13">
        <f ca="1">IFERROR(__xludf.DUMMYFUNCTION("GOOGLEFINANCE(A1182,""CLOSEYEST"")"),0.55)</f>
        <v>0.55000000000000004</v>
      </c>
      <c r="H1182" s="14" t="str">
        <f t="shared" ca="1" si="41"/>
        <v>GAP UP</v>
      </c>
      <c r="I1182" s="15">
        <f t="shared" ca="1" si="36"/>
        <v>0.55000000000000004</v>
      </c>
      <c r="J1182" s="16">
        <f t="shared" ca="1" si="37"/>
        <v>0.56000000000000005</v>
      </c>
      <c r="K1182" s="16"/>
      <c r="L1182" s="16">
        <f t="shared" ca="1" si="38"/>
        <v>0.54</v>
      </c>
      <c r="M1182" s="16">
        <f t="shared" ca="1" si="39"/>
        <v>0.57000000000000006</v>
      </c>
      <c r="N1182" s="16">
        <f t="shared" ca="1" si="40"/>
        <v>0.53</v>
      </c>
    </row>
    <row r="1183" spans="1:14" ht="24.75" customHeight="1" x14ac:dyDescent="0.8">
      <c r="A1183" s="18" t="s">
        <v>1146</v>
      </c>
      <c r="B1183" s="10">
        <f ca="1">IFERROR(__xludf.DUMMYFUNCTION("GOOGLEFINANCE(A1183,""PRICE"")"),295.95)</f>
        <v>295.95</v>
      </c>
      <c r="C1183" s="11">
        <f ca="1">IFERROR(__xludf.DUMMYFUNCTION("GOOGLEFINANCE(A1183,""PRICEOPEN"")"),292.5)</f>
        <v>292.5</v>
      </c>
      <c r="D1183" s="11">
        <f ca="1">IFERROR(__xludf.DUMMYFUNCTION("GOOGLEFINANCE(A1183,""HIGH"")"),298.45)</f>
        <v>298.45</v>
      </c>
      <c r="E1183" s="11">
        <f ca="1">IFERROR(__xludf.DUMMYFUNCTION("GOOGLEFINANCE(A1183,""LOW"")"),290.25)</f>
        <v>290.25</v>
      </c>
      <c r="F1183" s="12" t="str">
        <f t="shared" ca="1" si="35"/>
        <v/>
      </c>
      <c r="G1183" s="13">
        <f ca="1">IFERROR(__xludf.DUMMYFUNCTION("GOOGLEFINANCE(A1183,""CLOSEYEST"")"),291.25)</f>
        <v>291.25</v>
      </c>
      <c r="H1183" s="14" t="str">
        <f t="shared" ca="1" si="41"/>
        <v/>
      </c>
      <c r="I1183" s="15">
        <f t="shared" ca="1" si="36"/>
        <v>293.31666666666666</v>
      </c>
      <c r="J1183" s="16">
        <f t="shared" ca="1" si="37"/>
        <v>296.38333333333333</v>
      </c>
      <c r="K1183" s="16"/>
      <c r="L1183" s="16">
        <f t="shared" ca="1" si="38"/>
        <v>288.18333333333334</v>
      </c>
      <c r="M1183" s="16">
        <f t="shared" ca="1" si="39"/>
        <v>301.51666666666665</v>
      </c>
      <c r="N1183" s="16">
        <f t="shared" ca="1" si="40"/>
        <v>285.11666666666667</v>
      </c>
    </row>
    <row r="1184" spans="1:14" ht="24.75" customHeight="1" x14ac:dyDescent="0.8">
      <c r="A1184" s="18" t="s">
        <v>1147</v>
      </c>
      <c r="B1184" s="10">
        <f ca="1">IFERROR(__xludf.DUMMYFUNCTION("GOOGLEFINANCE(A1184,""PRICE"")"),1214)</f>
        <v>1214</v>
      </c>
      <c r="C1184" s="11">
        <f ca="1">IFERROR(__xludf.DUMMYFUNCTION("GOOGLEFINANCE(A1184,""PRICEOPEN"")"),1242)</f>
        <v>1242</v>
      </c>
      <c r="D1184" s="11">
        <f ca="1">IFERROR(__xludf.DUMMYFUNCTION("GOOGLEFINANCE(A1184,""HIGH"")"),1245)</f>
        <v>1245</v>
      </c>
      <c r="E1184" s="11">
        <f ca="1">IFERROR(__xludf.DUMMYFUNCTION("GOOGLEFINANCE(A1184,""LOW"")"),1194)</f>
        <v>1194</v>
      </c>
      <c r="F1184" s="12" t="str">
        <f t="shared" ca="1" si="35"/>
        <v/>
      </c>
      <c r="G1184" s="13">
        <f ca="1">IFERROR(__xludf.DUMMYFUNCTION("GOOGLEFINANCE(A1184,""CLOSEYEST"")"),1221.3)</f>
        <v>1221.3</v>
      </c>
      <c r="H1184" s="14" t="str">
        <f t="shared" ca="1" si="41"/>
        <v>GAP UP</v>
      </c>
      <c r="I1184" s="15">
        <f t="shared" ca="1" si="36"/>
        <v>1220.1000000000001</v>
      </c>
      <c r="J1184" s="16">
        <f t="shared" ca="1" si="37"/>
        <v>1246.2000000000003</v>
      </c>
      <c r="K1184" s="16"/>
      <c r="L1184" s="16">
        <f t="shared" ca="1" si="38"/>
        <v>1195.2000000000003</v>
      </c>
      <c r="M1184" s="16">
        <f t="shared" ca="1" si="39"/>
        <v>1271.1000000000001</v>
      </c>
      <c r="N1184" s="16">
        <f t="shared" ca="1" si="40"/>
        <v>1169.1000000000001</v>
      </c>
    </row>
    <row r="1185" spans="1:14" ht="24.75" customHeight="1" x14ac:dyDescent="0.8">
      <c r="A1185" s="18" t="s">
        <v>1148</v>
      </c>
      <c r="B1185" s="10" t="str">
        <f ca="1">IFERROR(__xludf.DUMMYFUNCTION("GOOGLEFINANCE(A1185,""PRICE"")"),"#N/A")</f>
        <v>#N/A</v>
      </c>
      <c r="C1185" s="11" t="str">
        <f ca="1">IFERROR(__xludf.DUMMYFUNCTION("GOOGLEFINANCE(A1185,""PRICEOPEN"")"),"#N/A")</f>
        <v>#N/A</v>
      </c>
      <c r="D1185" s="11" t="str">
        <f ca="1">IFERROR(__xludf.DUMMYFUNCTION("GOOGLEFINANCE(A1185,""HIGH"")"),"#N/A")</f>
        <v>#N/A</v>
      </c>
      <c r="E1185" s="11" t="str">
        <f ca="1">IFERROR(__xludf.DUMMYFUNCTION("GOOGLEFINANCE(A1185,""LOW"")"),"#N/A")</f>
        <v>#N/A</v>
      </c>
      <c r="F1185" s="12" t="str">
        <f t="shared" ca="1" si="35"/>
        <v>SELL</v>
      </c>
      <c r="G1185" s="13" t="str">
        <f ca="1">IFERROR(__xludf.DUMMYFUNCTION("GOOGLEFINANCE(A1185,""CLOSEYEST"")"),"#N/A")</f>
        <v>#N/A</v>
      </c>
      <c r="H1185" s="14" t="e">
        <f t="shared" ca="1" si="41"/>
        <v>#VALUE!</v>
      </c>
      <c r="I1185" s="15" t="e">
        <f t="shared" ca="1" si="36"/>
        <v>#VALUE!</v>
      </c>
      <c r="J1185" s="16" t="e">
        <f t="shared" ca="1" si="37"/>
        <v>#VALUE!</v>
      </c>
      <c r="K1185" s="16"/>
      <c r="L1185" s="16" t="e">
        <f t="shared" ca="1" si="38"/>
        <v>#VALUE!</v>
      </c>
      <c r="M1185" s="16" t="e">
        <f t="shared" ca="1" si="39"/>
        <v>#VALUE!</v>
      </c>
      <c r="N1185" s="16" t="e">
        <f t="shared" ca="1" si="40"/>
        <v>#VALUE!</v>
      </c>
    </row>
    <row r="1186" spans="1:14" ht="24.75" customHeight="1" x14ac:dyDescent="0.8">
      <c r="A1186" s="18" t="s">
        <v>1149</v>
      </c>
      <c r="B1186" s="10">
        <f ca="1">IFERROR(__xludf.DUMMYFUNCTION("GOOGLEFINANCE(A1186,""PRICE"")"),167)</f>
        <v>167</v>
      </c>
      <c r="C1186" s="11">
        <f ca="1">IFERROR(__xludf.DUMMYFUNCTION("GOOGLEFINANCE(A1186,""PRICEOPEN"")"),163)</f>
        <v>163</v>
      </c>
      <c r="D1186" s="11">
        <f ca="1">IFERROR(__xludf.DUMMYFUNCTION("GOOGLEFINANCE(A1186,""HIGH"")"),168.79)</f>
        <v>168.79</v>
      </c>
      <c r="E1186" s="11">
        <f ca="1">IFERROR(__xludf.DUMMYFUNCTION("GOOGLEFINANCE(A1186,""LOW"")"),161.55)</f>
        <v>161.55000000000001</v>
      </c>
      <c r="F1186" s="12" t="str">
        <f t="shared" ca="1" si="35"/>
        <v/>
      </c>
      <c r="G1186" s="13">
        <f ca="1">IFERROR(__xludf.DUMMYFUNCTION("GOOGLEFINANCE(A1186,""CLOSEYEST"")"),164.76)</f>
        <v>164.76</v>
      </c>
      <c r="H1186" s="14" t="str">
        <f t="shared" ca="1" si="41"/>
        <v>GAP DOWN</v>
      </c>
      <c r="I1186" s="15">
        <f t="shared" ca="1" si="36"/>
        <v>165.03333333333333</v>
      </c>
      <c r="J1186" s="16">
        <f t="shared" ca="1" si="37"/>
        <v>168.51666666666665</v>
      </c>
      <c r="K1186" s="16"/>
      <c r="L1186" s="16">
        <f t="shared" ca="1" si="38"/>
        <v>161.27666666666667</v>
      </c>
      <c r="M1186" s="16">
        <f t="shared" ca="1" si="39"/>
        <v>172.27333333333331</v>
      </c>
      <c r="N1186" s="16">
        <f t="shared" ca="1" si="40"/>
        <v>157.79333333333335</v>
      </c>
    </row>
    <row r="1187" spans="1:14" ht="24.75" customHeight="1" x14ac:dyDescent="0.8">
      <c r="A1187" s="18" t="s">
        <v>1150</v>
      </c>
      <c r="B1187" s="10">
        <f ca="1">IFERROR(__xludf.DUMMYFUNCTION("GOOGLEFINANCE(A1187,""PRICE"")"),129.95)</f>
        <v>129.94999999999999</v>
      </c>
      <c r="C1187" s="11">
        <f ca="1">IFERROR(__xludf.DUMMYFUNCTION("GOOGLEFINANCE(A1187,""PRICEOPEN"")"),128.3)</f>
        <v>128.30000000000001</v>
      </c>
      <c r="D1187" s="11">
        <f ca="1">IFERROR(__xludf.DUMMYFUNCTION("GOOGLEFINANCE(A1187,""HIGH"")"),131.46)</f>
        <v>131.46</v>
      </c>
      <c r="E1187" s="11">
        <f ca="1">IFERROR(__xludf.DUMMYFUNCTION("GOOGLEFINANCE(A1187,""LOW"")"),128.3)</f>
        <v>128.30000000000001</v>
      </c>
      <c r="F1187" s="12" t="str">
        <f t="shared" ca="1" si="35"/>
        <v>BUY</v>
      </c>
      <c r="G1187" s="13">
        <f ca="1">IFERROR(__xludf.DUMMYFUNCTION("GOOGLEFINANCE(A1187,""CLOSEYEST"")"),128.91)</f>
        <v>128.91</v>
      </c>
      <c r="H1187" s="14" t="str">
        <f t="shared" ca="1" si="41"/>
        <v/>
      </c>
      <c r="I1187" s="15">
        <f t="shared" ca="1" si="36"/>
        <v>129.55666666666664</v>
      </c>
      <c r="J1187" s="16">
        <f t="shared" ca="1" si="37"/>
        <v>130.81333333333328</v>
      </c>
      <c r="K1187" s="16"/>
      <c r="L1187" s="16">
        <f t="shared" ca="1" si="38"/>
        <v>127.65333333333328</v>
      </c>
      <c r="M1187" s="16">
        <f t="shared" ca="1" si="39"/>
        <v>132.71666666666664</v>
      </c>
      <c r="N1187" s="16">
        <f t="shared" ca="1" si="40"/>
        <v>126.39666666666665</v>
      </c>
    </row>
    <row r="1188" spans="1:14" ht="24.75" customHeight="1" x14ac:dyDescent="0.8">
      <c r="A1188" s="18" t="s">
        <v>1151</v>
      </c>
      <c r="B1188" s="10">
        <f ca="1">IFERROR(__xludf.DUMMYFUNCTION("GOOGLEFINANCE(A1188,""PRICE"")"),169)</f>
        <v>169</v>
      </c>
      <c r="C1188" s="11">
        <f ca="1">IFERROR(__xludf.DUMMYFUNCTION("GOOGLEFINANCE(A1188,""PRICEOPEN"")"),171.9)</f>
        <v>171.9</v>
      </c>
      <c r="D1188" s="11">
        <f ca="1">IFERROR(__xludf.DUMMYFUNCTION("GOOGLEFINANCE(A1188,""HIGH"")"),176.84)</f>
        <v>176.84</v>
      </c>
      <c r="E1188" s="11">
        <f ca="1">IFERROR(__xludf.DUMMYFUNCTION("GOOGLEFINANCE(A1188,""LOW"")"),168.05)</f>
        <v>168.05</v>
      </c>
      <c r="F1188" s="12" t="str">
        <f t="shared" ca="1" si="35"/>
        <v/>
      </c>
      <c r="G1188" s="13">
        <f ca="1">IFERROR(__xludf.DUMMYFUNCTION("GOOGLEFINANCE(A1188,""CLOSEYEST"")"),169.13)</f>
        <v>169.13</v>
      </c>
      <c r="H1188" s="14" t="str">
        <f t="shared" ca="1" si="41"/>
        <v>GAP UP</v>
      </c>
      <c r="I1188" s="15">
        <f t="shared" ca="1" si="36"/>
        <v>171.34</v>
      </c>
      <c r="J1188" s="16">
        <f t="shared" ca="1" si="37"/>
        <v>174.63</v>
      </c>
      <c r="K1188" s="16"/>
      <c r="L1188" s="16">
        <f t="shared" ca="1" si="38"/>
        <v>165.84</v>
      </c>
      <c r="M1188" s="16">
        <f t="shared" ca="1" si="39"/>
        <v>180.13</v>
      </c>
      <c r="N1188" s="16">
        <f t="shared" ca="1" si="40"/>
        <v>162.55000000000001</v>
      </c>
    </row>
    <row r="1189" spans="1:14" ht="24.75" customHeight="1" x14ac:dyDescent="0.8">
      <c r="A1189" s="18" t="s">
        <v>1152</v>
      </c>
      <c r="B1189" s="10">
        <f ca="1">IFERROR(__xludf.DUMMYFUNCTION("GOOGLEFINANCE(A1189,""PRICE"")"),251.36)</f>
        <v>251.36</v>
      </c>
      <c r="C1189" s="11">
        <f ca="1">IFERROR(__xludf.DUMMYFUNCTION("GOOGLEFINANCE(A1189,""PRICEOPEN"")"),252.27)</f>
        <v>252.27</v>
      </c>
      <c r="D1189" s="11">
        <f ca="1">IFERROR(__xludf.DUMMYFUNCTION("GOOGLEFINANCE(A1189,""HIGH"")"),252.27)</f>
        <v>252.27</v>
      </c>
      <c r="E1189" s="11">
        <f ca="1">IFERROR(__xludf.DUMMYFUNCTION("GOOGLEFINANCE(A1189,""LOW"")"),251.77)</f>
        <v>251.77</v>
      </c>
      <c r="F1189" s="12" t="str">
        <f t="shared" ca="1" si="35"/>
        <v>SELL</v>
      </c>
      <c r="G1189" s="13">
        <f ca="1">IFERROR(__xludf.DUMMYFUNCTION("GOOGLEFINANCE(A1189,""CLOSEYEST"")"),251.53)</f>
        <v>251.53</v>
      </c>
      <c r="H1189" s="14" t="str">
        <f t="shared" ca="1" si="41"/>
        <v/>
      </c>
      <c r="I1189" s="15">
        <f t="shared" ca="1" si="36"/>
        <v>251.85666666666668</v>
      </c>
      <c r="J1189" s="16">
        <f t="shared" ca="1" si="37"/>
        <v>251.94333333333336</v>
      </c>
      <c r="K1189" s="16"/>
      <c r="L1189" s="16">
        <f t="shared" ca="1" si="38"/>
        <v>251.44333333333336</v>
      </c>
      <c r="M1189" s="16">
        <f t="shared" ca="1" si="39"/>
        <v>252.35666666666668</v>
      </c>
      <c r="N1189" s="16">
        <f t="shared" ca="1" si="40"/>
        <v>251.35666666666668</v>
      </c>
    </row>
    <row r="1190" spans="1:14" ht="24.75" customHeight="1" x14ac:dyDescent="0.8">
      <c r="A1190" s="18" t="s">
        <v>1153</v>
      </c>
      <c r="B1190" s="10">
        <f ca="1">IFERROR(__xludf.DUMMYFUNCTION("GOOGLEFINANCE(A1190,""PRICE"")"),44.83)</f>
        <v>44.83</v>
      </c>
      <c r="C1190" s="11">
        <f ca="1">IFERROR(__xludf.DUMMYFUNCTION("GOOGLEFINANCE(A1190,""PRICEOPEN"")"),44.6)</f>
        <v>44.6</v>
      </c>
      <c r="D1190" s="11">
        <f ca="1">IFERROR(__xludf.DUMMYFUNCTION("GOOGLEFINANCE(A1190,""HIGH"")"),45.34)</f>
        <v>45.34</v>
      </c>
      <c r="E1190" s="11">
        <f ca="1">IFERROR(__xludf.DUMMYFUNCTION("GOOGLEFINANCE(A1190,""LOW"")"),44.53)</f>
        <v>44.53</v>
      </c>
      <c r="F1190" s="12" t="str">
        <f t="shared" ca="1" si="35"/>
        <v/>
      </c>
      <c r="G1190" s="13">
        <f ca="1">IFERROR(__xludf.DUMMYFUNCTION("GOOGLEFINANCE(A1190,""CLOSEYEST"")"),44.53)</f>
        <v>44.53</v>
      </c>
      <c r="H1190" s="14" t="str">
        <f t="shared" ca="1" si="41"/>
        <v/>
      </c>
      <c r="I1190" s="15">
        <f t="shared" ca="1" si="36"/>
        <v>44.800000000000004</v>
      </c>
      <c r="J1190" s="16">
        <f t="shared" ca="1" si="37"/>
        <v>45.070000000000007</v>
      </c>
      <c r="K1190" s="16"/>
      <c r="L1190" s="16">
        <f t="shared" ca="1" si="38"/>
        <v>44.260000000000005</v>
      </c>
      <c r="M1190" s="16">
        <f t="shared" ca="1" si="39"/>
        <v>45.610000000000007</v>
      </c>
      <c r="N1190" s="16">
        <f t="shared" ca="1" si="40"/>
        <v>43.99</v>
      </c>
    </row>
    <row r="1191" spans="1:14" ht="24.75" customHeight="1" x14ac:dyDescent="0.8">
      <c r="A1191" s="18" t="s">
        <v>1154</v>
      </c>
      <c r="B1191" s="10">
        <f ca="1">IFERROR(__xludf.DUMMYFUNCTION("GOOGLEFINANCE(A1191,""PRICE"")"),8.09)</f>
        <v>8.09</v>
      </c>
      <c r="C1191" s="11">
        <f ca="1">IFERROR(__xludf.DUMMYFUNCTION("GOOGLEFINANCE(A1191,""PRICEOPEN"")"),8.14)</f>
        <v>8.14</v>
      </c>
      <c r="D1191" s="11">
        <f ca="1">IFERROR(__xludf.DUMMYFUNCTION("GOOGLEFINANCE(A1191,""HIGH"")"),8.14)</f>
        <v>8.14</v>
      </c>
      <c r="E1191" s="11">
        <f ca="1">IFERROR(__xludf.DUMMYFUNCTION("GOOGLEFINANCE(A1191,""LOW"")"),8)</f>
        <v>8</v>
      </c>
      <c r="F1191" s="12" t="str">
        <f t="shared" ca="1" si="35"/>
        <v>SELL</v>
      </c>
      <c r="G1191" s="13">
        <f ca="1">IFERROR(__xludf.DUMMYFUNCTION("GOOGLEFINANCE(A1191,""CLOSEYEST"")"),8.07)</f>
        <v>8.07</v>
      </c>
      <c r="H1191" s="14" t="str">
        <f t="shared" ca="1" si="41"/>
        <v/>
      </c>
      <c r="I1191" s="15">
        <f t="shared" ca="1" si="36"/>
        <v>8.07</v>
      </c>
      <c r="J1191" s="16">
        <f t="shared" ca="1" si="37"/>
        <v>8.14</v>
      </c>
      <c r="K1191" s="16"/>
      <c r="L1191" s="16">
        <f t="shared" ca="1" si="38"/>
        <v>8</v>
      </c>
      <c r="M1191" s="16">
        <f t="shared" ca="1" si="39"/>
        <v>8.2100000000000009</v>
      </c>
      <c r="N1191" s="16">
        <f t="shared" ca="1" si="40"/>
        <v>7.93</v>
      </c>
    </row>
    <row r="1192" spans="1:14" ht="24.75" customHeight="1" x14ac:dyDescent="0.8">
      <c r="A1192" s="18" t="s">
        <v>1155</v>
      </c>
      <c r="B1192" s="10" t="str">
        <f ca="1">IFERROR(__xludf.DUMMYFUNCTION("GOOGLEFINANCE(A1192,""PRICE"")"),"#N/A")</f>
        <v>#N/A</v>
      </c>
      <c r="C1192" s="11" t="str">
        <f ca="1">IFERROR(__xludf.DUMMYFUNCTION("GOOGLEFINANCE(A1192,""PRICEOPEN"")"),"#N/A")</f>
        <v>#N/A</v>
      </c>
      <c r="D1192" s="11" t="str">
        <f ca="1">IFERROR(__xludf.DUMMYFUNCTION("GOOGLEFINANCE(A1192,""HIGH"")"),"#N/A")</f>
        <v>#N/A</v>
      </c>
      <c r="E1192" s="11" t="str">
        <f ca="1">IFERROR(__xludf.DUMMYFUNCTION("GOOGLEFINANCE(A1192,""LOW"")"),"#N/A")</f>
        <v>#N/A</v>
      </c>
      <c r="F1192" s="12" t="str">
        <f t="shared" ca="1" si="35"/>
        <v>SELL</v>
      </c>
      <c r="G1192" s="13" t="str">
        <f ca="1">IFERROR(__xludf.DUMMYFUNCTION("GOOGLEFINANCE(A1192,""CLOSEYEST"")"),"#N/A")</f>
        <v>#N/A</v>
      </c>
      <c r="H1192" s="14" t="e">
        <f t="shared" ca="1" si="41"/>
        <v>#VALUE!</v>
      </c>
      <c r="I1192" s="15" t="e">
        <f t="shared" ca="1" si="36"/>
        <v>#VALUE!</v>
      </c>
      <c r="J1192" s="16" t="e">
        <f t="shared" ca="1" si="37"/>
        <v>#VALUE!</v>
      </c>
      <c r="K1192" s="16"/>
      <c r="L1192" s="16" t="e">
        <f t="shared" ca="1" si="38"/>
        <v>#VALUE!</v>
      </c>
      <c r="M1192" s="16" t="e">
        <f t="shared" ca="1" si="39"/>
        <v>#VALUE!</v>
      </c>
      <c r="N1192" s="16" t="e">
        <f t="shared" ca="1" si="40"/>
        <v>#VALUE!</v>
      </c>
    </row>
    <row r="1193" spans="1:14" ht="24.75" customHeight="1" x14ac:dyDescent="0.8">
      <c r="A1193" s="18" t="s">
        <v>1156</v>
      </c>
      <c r="B1193" s="10">
        <f ca="1">IFERROR(__xludf.DUMMYFUNCTION("GOOGLEFINANCE(A1193,""PRICE"")"),762.8)</f>
        <v>762.8</v>
      </c>
      <c r="C1193" s="11">
        <f ca="1">IFERROR(__xludf.DUMMYFUNCTION("GOOGLEFINANCE(A1193,""PRICEOPEN"")"),750)</f>
        <v>750</v>
      </c>
      <c r="D1193" s="11">
        <f ca="1">IFERROR(__xludf.DUMMYFUNCTION("GOOGLEFINANCE(A1193,""HIGH"")"),762.8)</f>
        <v>762.8</v>
      </c>
      <c r="E1193" s="11">
        <f ca="1">IFERROR(__xludf.DUMMYFUNCTION("GOOGLEFINANCE(A1193,""LOW"")"),740)</f>
        <v>740</v>
      </c>
      <c r="F1193" s="12" t="str">
        <f t="shared" ca="1" si="35"/>
        <v/>
      </c>
      <c r="G1193" s="13">
        <f ca="1">IFERROR(__xludf.DUMMYFUNCTION("GOOGLEFINANCE(A1193,""CLOSEYEST"")"),749.35)</f>
        <v>749.35</v>
      </c>
      <c r="H1193" s="14" t="str">
        <f t="shared" ca="1" si="41"/>
        <v/>
      </c>
      <c r="I1193" s="15">
        <f t="shared" ca="1" si="36"/>
        <v>750.7166666666667</v>
      </c>
      <c r="J1193" s="16">
        <f t="shared" ca="1" si="37"/>
        <v>761.43333333333339</v>
      </c>
      <c r="K1193" s="16"/>
      <c r="L1193" s="16">
        <f t="shared" ca="1" si="38"/>
        <v>738.63333333333344</v>
      </c>
      <c r="M1193" s="16">
        <f t="shared" ca="1" si="39"/>
        <v>773.51666666666665</v>
      </c>
      <c r="N1193" s="16">
        <f t="shared" ca="1" si="40"/>
        <v>727.91666666666674</v>
      </c>
    </row>
    <row r="1194" spans="1:14" ht="24.75" customHeight="1" x14ac:dyDescent="0.8">
      <c r="A1194" s="18" t="s">
        <v>1157</v>
      </c>
      <c r="B1194" s="10">
        <f ca="1">IFERROR(__xludf.DUMMYFUNCTION("GOOGLEFINANCE(A1194,""PRICE"")"),600)</f>
        <v>600</v>
      </c>
      <c r="C1194" s="11">
        <f ca="1">IFERROR(__xludf.DUMMYFUNCTION("GOOGLEFINANCE(A1194,""PRICEOPEN"")"),595.5)</f>
        <v>595.5</v>
      </c>
      <c r="D1194" s="11">
        <f ca="1">IFERROR(__xludf.DUMMYFUNCTION("GOOGLEFINANCE(A1194,""HIGH"")"),603.9)</f>
        <v>603.9</v>
      </c>
      <c r="E1194" s="11">
        <f ca="1">IFERROR(__xludf.DUMMYFUNCTION("GOOGLEFINANCE(A1194,""LOW"")"),585.55)</f>
        <v>585.54999999999995</v>
      </c>
      <c r="F1194" s="12" t="str">
        <f t="shared" ca="1" si="35"/>
        <v/>
      </c>
      <c r="G1194" s="13">
        <f ca="1">IFERROR(__xludf.DUMMYFUNCTION("GOOGLEFINANCE(A1194,""CLOSEYEST"")"),595.5)</f>
        <v>595.5</v>
      </c>
      <c r="H1194" s="14" t="str">
        <f t="shared" ca="1" si="41"/>
        <v/>
      </c>
      <c r="I1194" s="15">
        <f t="shared" ca="1" si="36"/>
        <v>594.98333333333323</v>
      </c>
      <c r="J1194" s="16">
        <f t="shared" ca="1" si="37"/>
        <v>604.41666666666652</v>
      </c>
      <c r="K1194" s="16"/>
      <c r="L1194" s="16">
        <f t="shared" ca="1" si="38"/>
        <v>586.06666666666649</v>
      </c>
      <c r="M1194" s="16">
        <f t="shared" ca="1" si="39"/>
        <v>613.33333333333326</v>
      </c>
      <c r="N1194" s="16">
        <f t="shared" ca="1" si="40"/>
        <v>576.63333333333321</v>
      </c>
    </row>
    <row r="1195" spans="1:14" ht="24.75" customHeight="1" x14ac:dyDescent="0.8">
      <c r="A1195" s="18" t="s">
        <v>1158</v>
      </c>
      <c r="B1195" s="10">
        <f ca="1">IFERROR(__xludf.DUMMYFUNCTION("GOOGLEFINANCE(A1195,""PRICE"")"),127.53)</f>
        <v>127.53</v>
      </c>
      <c r="C1195" s="11">
        <f ca="1">IFERROR(__xludf.DUMMYFUNCTION("GOOGLEFINANCE(A1195,""PRICEOPEN"")"),126.99)</f>
        <v>126.99</v>
      </c>
      <c r="D1195" s="11">
        <f ca="1">IFERROR(__xludf.DUMMYFUNCTION("GOOGLEFINANCE(A1195,""HIGH"")"),130.41)</f>
        <v>130.41</v>
      </c>
      <c r="E1195" s="11">
        <f ca="1">IFERROR(__xludf.DUMMYFUNCTION("GOOGLEFINANCE(A1195,""LOW"")"),125.49)</f>
        <v>125.49</v>
      </c>
      <c r="F1195" s="12" t="str">
        <f t="shared" ca="1" si="35"/>
        <v/>
      </c>
      <c r="G1195" s="13">
        <f ca="1">IFERROR(__xludf.DUMMYFUNCTION("GOOGLEFINANCE(A1195,""CLOSEYEST"")"),124.99)</f>
        <v>124.99</v>
      </c>
      <c r="H1195" s="14" t="str">
        <f t="shared" ca="1" si="41"/>
        <v>GAP UP</v>
      </c>
      <c r="I1195" s="15">
        <f t="shared" ca="1" si="36"/>
        <v>126.96333333333332</v>
      </c>
      <c r="J1195" s="16">
        <f t="shared" ca="1" si="37"/>
        <v>128.43666666666667</v>
      </c>
      <c r="K1195" s="16"/>
      <c r="L1195" s="16">
        <f t="shared" ca="1" si="38"/>
        <v>123.51666666666665</v>
      </c>
      <c r="M1195" s="16">
        <f t="shared" ca="1" si="39"/>
        <v>131.88333333333333</v>
      </c>
      <c r="N1195" s="16">
        <f t="shared" ca="1" si="40"/>
        <v>122.04333333333331</v>
      </c>
    </row>
    <row r="1196" spans="1:14" ht="24.75" customHeight="1" x14ac:dyDescent="0.8">
      <c r="A1196" s="18" t="s">
        <v>1159</v>
      </c>
      <c r="B1196" s="10">
        <f ca="1">IFERROR(__xludf.DUMMYFUNCTION("GOOGLEFINANCE(A1196,""PRICE"")"),44.5)</f>
        <v>44.5</v>
      </c>
      <c r="C1196" s="11">
        <f ca="1">IFERROR(__xludf.DUMMYFUNCTION("GOOGLEFINANCE(A1196,""PRICEOPEN"")"),44.21)</f>
        <v>44.21</v>
      </c>
      <c r="D1196" s="11">
        <f ca="1">IFERROR(__xludf.DUMMYFUNCTION("GOOGLEFINANCE(A1196,""HIGH"")"),44.63)</f>
        <v>44.63</v>
      </c>
      <c r="E1196" s="11">
        <f ca="1">IFERROR(__xludf.DUMMYFUNCTION("GOOGLEFINANCE(A1196,""LOW"")"),44.1)</f>
        <v>44.1</v>
      </c>
      <c r="F1196" s="12" t="str">
        <f t="shared" ca="1" si="35"/>
        <v/>
      </c>
      <c r="G1196" s="13">
        <f ca="1">IFERROR(__xludf.DUMMYFUNCTION("GOOGLEFINANCE(A1196,""CLOSEYEST"")"),44.22)</f>
        <v>44.22</v>
      </c>
      <c r="H1196" s="14" t="str">
        <f t="shared" ca="1" si="41"/>
        <v/>
      </c>
      <c r="I1196" s="15">
        <f t="shared" ca="1" si="36"/>
        <v>44.316666666666663</v>
      </c>
      <c r="J1196" s="16">
        <f t="shared" ca="1" si="37"/>
        <v>44.533333333333324</v>
      </c>
      <c r="K1196" s="16"/>
      <c r="L1196" s="16">
        <f t="shared" ca="1" si="38"/>
        <v>44.003333333333323</v>
      </c>
      <c r="M1196" s="16">
        <f t="shared" ca="1" si="39"/>
        <v>44.846666666666664</v>
      </c>
      <c r="N1196" s="16">
        <f t="shared" ca="1" si="40"/>
        <v>43.786666666666662</v>
      </c>
    </row>
    <row r="1197" spans="1:14" ht="24.75" customHeight="1" x14ac:dyDescent="0.8">
      <c r="A1197" s="18" t="s">
        <v>1160</v>
      </c>
      <c r="B1197" s="10">
        <f ca="1">IFERROR(__xludf.DUMMYFUNCTION("GOOGLEFINANCE(A1197,""PRICE"")"),186.1)</f>
        <v>186.1</v>
      </c>
      <c r="C1197" s="11">
        <f ca="1">IFERROR(__xludf.DUMMYFUNCTION("GOOGLEFINANCE(A1197,""PRICEOPEN"")"),185)</f>
        <v>185</v>
      </c>
      <c r="D1197" s="11">
        <f ca="1">IFERROR(__xludf.DUMMYFUNCTION("GOOGLEFINANCE(A1197,""HIGH"")"),189.85)</f>
        <v>189.85</v>
      </c>
      <c r="E1197" s="11">
        <f ca="1">IFERROR(__xludf.DUMMYFUNCTION("GOOGLEFINANCE(A1197,""LOW"")"),185)</f>
        <v>185</v>
      </c>
      <c r="F1197" s="12" t="str">
        <f t="shared" ca="1" si="35"/>
        <v>BUY</v>
      </c>
      <c r="G1197" s="13">
        <f ca="1">IFERROR(__xludf.DUMMYFUNCTION("GOOGLEFINANCE(A1197,""CLOSEYEST"")"),184.61)</f>
        <v>184.61</v>
      </c>
      <c r="H1197" s="14" t="str">
        <f t="shared" ca="1" si="41"/>
        <v/>
      </c>
      <c r="I1197" s="15">
        <f t="shared" ca="1" si="36"/>
        <v>186.48666666666668</v>
      </c>
      <c r="J1197" s="16">
        <f t="shared" ca="1" si="37"/>
        <v>187.97333333333336</v>
      </c>
      <c r="K1197" s="16"/>
      <c r="L1197" s="16">
        <f t="shared" ca="1" si="38"/>
        <v>183.12333333333336</v>
      </c>
      <c r="M1197" s="16">
        <f t="shared" ca="1" si="39"/>
        <v>191.33666666666667</v>
      </c>
      <c r="N1197" s="16">
        <f t="shared" ca="1" si="40"/>
        <v>181.63666666666668</v>
      </c>
    </row>
    <row r="1198" spans="1:14" ht="24.75" customHeight="1" x14ac:dyDescent="0.8">
      <c r="A1198" s="18" t="s">
        <v>1161</v>
      </c>
      <c r="B1198" s="10">
        <f ca="1">IFERROR(__xludf.DUMMYFUNCTION("GOOGLEFINANCE(A1198,""PRICE"")"),265.6)</f>
        <v>265.60000000000002</v>
      </c>
      <c r="C1198" s="11">
        <f ca="1">IFERROR(__xludf.DUMMYFUNCTION("GOOGLEFINANCE(A1198,""PRICEOPEN"")"),259)</f>
        <v>259</v>
      </c>
      <c r="D1198" s="11">
        <f ca="1">IFERROR(__xludf.DUMMYFUNCTION("GOOGLEFINANCE(A1198,""HIGH"")"),279.55)</f>
        <v>279.55</v>
      </c>
      <c r="E1198" s="11">
        <f ca="1">IFERROR(__xludf.DUMMYFUNCTION("GOOGLEFINANCE(A1198,""LOW"")"),257.8)</f>
        <v>257.8</v>
      </c>
      <c r="F1198" s="12" t="str">
        <f t="shared" ca="1" si="35"/>
        <v/>
      </c>
      <c r="G1198" s="13">
        <f ca="1">IFERROR(__xludf.DUMMYFUNCTION("GOOGLEFINANCE(A1198,""CLOSEYEST"")"),257.95)</f>
        <v>257.95</v>
      </c>
      <c r="H1198" s="14" t="str">
        <f t="shared" ca="1" si="41"/>
        <v/>
      </c>
      <c r="I1198" s="15">
        <f t="shared" ca="1" si="36"/>
        <v>265.09999999999997</v>
      </c>
      <c r="J1198" s="16">
        <f t="shared" ca="1" si="37"/>
        <v>272.39999999999992</v>
      </c>
      <c r="K1198" s="16"/>
      <c r="L1198" s="16">
        <f t="shared" ca="1" si="38"/>
        <v>250.64999999999992</v>
      </c>
      <c r="M1198" s="16">
        <f t="shared" ca="1" si="39"/>
        <v>286.84999999999997</v>
      </c>
      <c r="N1198" s="16">
        <f t="shared" ca="1" si="40"/>
        <v>243.34999999999997</v>
      </c>
    </row>
    <row r="1199" spans="1:14" ht="24.75" customHeight="1" x14ac:dyDescent="0.8">
      <c r="A1199" s="18" t="s">
        <v>1162</v>
      </c>
      <c r="B1199" s="10">
        <f ca="1">IFERROR(__xludf.DUMMYFUNCTION("GOOGLEFINANCE(A1199,""PRICE"")"),2840)</f>
        <v>2840</v>
      </c>
      <c r="C1199" s="11">
        <f ca="1">IFERROR(__xludf.DUMMYFUNCTION("GOOGLEFINANCE(A1199,""PRICEOPEN"")"),2840)</f>
        <v>2840</v>
      </c>
      <c r="D1199" s="11">
        <f ca="1">IFERROR(__xludf.DUMMYFUNCTION("GOOGLEFINANCE(A1199,""HIGH"")"),2840)</f>
        <v>2840</v>
      </c>
      <c r="E1199" s="11">
        <f ca="1">IFERROR(__xludf.DUMMYFUNCTION("GOOGLEFINANCE(A1199,""LOW"")"),2840)</f>
        <v>2840</v>
      </c>
      <c r="F1199" s="12" t="str">
        <f t="shared" ca="1" si="35"/>
        <v>SELL</v>
      </c>
      <c r="G1199" s="13">
        <f ca="1">IFERROR(__xludf.DUMMYFUNCTION("GOOGLEFINANCE(A1199,""CLOSEYEST"")"),2776)</f>
        <v>2776</v>
      </c>
      <c r="H1199" s="14" t="str">
        <f t="shared" ca="1" si="41"/>
        <v>GAP UP</v>
      </c>
      <c r="I1199" s="15">
        <f t="shared" ca="1" si="36"/>
        <v>2818.6666666666665</v>
      </c>
      <c r="J1199" s="16">
        <f t="shared" ca="1" si="37"/>
        <v>2797.333333333333</v>
      </c>
      <c r="K1199" s="16"/>
      <c r="L1199" s="16">
        <f t="shared" ca="1" si="38"/>
        <v>2797.333333333333</v>
      </c>
      <c r="M1199" s="16">
        <f t="shared" ca="1" si="39"/>
        <v>2818.6666666666665</v>
      </c>
      <c r="N1199" s="16">
        <f t="shared" ca="1" si="40"/>
        <v>2818.6666666666665</v>
      </c>
    </row>
    <row r="1200" spans="1:14" ht="24.75" customHeight="1" x14ac:dyDescent="0.8">
      <c r="A1200" s="18" t="s">
        <v>1163</v>
      </c>
      <c r="B1200" s="10">
        <f ca="1">IFERROR(__xludf.DUMMYFUNCTION("GOOGLEFINANCE(A1200,""PRICE"")"),946)</f>
        <v>946</v>
      </c>
      <c r="C1200" s="11">
        <f ca="1">IFERROR(__xludf.DUMMYFUNCTION("GOOGLEFINANCE(A1200,""PRICEOPEN"")"),960.75)</f>
        <v>960.75</v>
      </c>
      <c r="D1200" s="11">
        <f ca="1">IFERROR(__xludf.DUMMYFUNCTION("GOOGLEFINANCE(A1200,""HIGH"")"),984.95)</f>
        <v>984.95</v>
      </c>
      <c r="E1200" s="11">
        <f ca="1">IFERROR(__xludf.DUMMYFUNCTION("GOOGLEFINANCE(A1200,""LOW"")"),937)</f>
        <v>937</v>
      </c>
      <c r="F1200" s="12" t="str">
        <f t="shared" ca="1" si="35"/>
        <v/>
      </c>
      <c r="G1200" s="13">
        <f ca="1">IFERROR(__xludf.DUMMYFUNCTION("GOOGLEFINANCE(A1200,""CLOSEYEST"")"),960.65)</f>
        <v>960.65</v>
      </c>
      <c r="H1200" s="14" t="str">
        <f t="shared" ca="1" si="41"/>
        <v/>
      </c>
      <c r="I1200" s="15">
        <f t="shared" ca="1" si="36"/>
        <v>960.86666666666667</v>
      </c>
      <c r="J1200" s="16">
        <f t="shared" ca="1" si="37"/>
        <v>984.73333333333335</v>
      </c>
      <c r="K1200" s="16"/>
      <c r="L1200" s="16">
        <f t="shared" ca="1" si="38"/>
        <v>936.7833333333333</v>
      </c>
      <c r="M1200" s="16">
        <f t="shared" ca="1" si="39"/>
        <v>1008.8166666666667</v>
      </c>
      <c r="N1200" s="16">
        <f t="shared" ca="1" si="40"/>
        <v>912.91666666666663</v>
      </c>
    </row>
    <row r="1201" spans="1:14" ht="24.75" customHeight="1" x14ac:dyDescent="0.8">
      <c r="A1201" s="18" t="s">
        <v>1164</v>
      </c>
      <c r="B1201" s="10">
        <f ca="1">IFERROR(__xludf.DUMMYFUNCTION("GOOGLEFINANCE(A1201,""PRICE"")"),0.08)</f>
        <v>0.08</v>
      </c>
      <c r="C1201" s="11">
        <f ca="1">IFERROR(__xludf.DUMMYFUNCTION("GOOGLEFINANCE(A1201,""PRICEOPEN"")"),0.08)</f>
        <v>0.08</v>
      </c>
      <c r="D1201" s="11">
        <f ca="1">IFERROR(__xludf.DUMMYFUNCTION("GOOGLEFINANCE(A1201,""HIGH"")"),0.08)</f>
        <v>0.08</v>
      </c>
      <c r="E1201" s="11">
        <f ca="1">IFERROR(__xludf.DUMMYFUNCTION("GOOGLEFINANCE(A1201,""LOW"")"),0.08)</f>
        <v>0.08</v>
      </c>
      <c r="F1201" s="12" t="str">
        <f t="shared" ca="1" si="35"/>
        <v>SELL</v>
      </c>
      <c r="G1201" s="13">
        <f ca="1">IFERROR(__xludf.DUMMYFUNCTION("GOOGLEFINANCE(A1201,""CLOSEYEST"")"),0.08)</f>
        <v>0.08</v>
      </c>
      <c r="H1201" s="14" t="str">
        <f t="shared" ca="1" si="41"/>
        <v/>
      </c>
      <c r="I1201" s="15">
        <f t="shared" ca="1" si="36"/>
        <v>0.08</v>
      </c>
      <c r="J1201" s="16">
        <f t="shared" ca="1" si="37"/>
        <v>0.08</v>
      </c>
      <c r="K1201" s="16"/>
      <c r="L1201" s="16">
        <f t="shared" ca="1" si="38"/>
        <v>0.08</v>
      </c>
      <c r="M1201" s="16">
        <f t="shared" ca="1" si="39"/>
        <v>0.08</v>
      </c>
      <c r="N1201" s="16">
        <f t="shared" ca="1" si="40"/>
        <v>0.08</v>
      </c>
    </row>
    <row r="1202" spans="1:14" ht="24.75" customHeight="1" x14ac:dyDescent="0.8">
      <c r="A1202" s="18" t="s">
        <v>1165</v>
      </c>
      <c r="B1202" s="10">
        <f ca="1">IFERROR(__xludf.DUMMYFUNCTION("GOOGLEFINANCE(A1202,""PRICE"")"),3410)</f>
        <v>3410</v>
      </c>
      <c r="C1202" s="11">
        <f ca="1">IFERROR(__xludf.DUMMYFUNCTION("GOOGLEFINANCE(A1202,""PRICEOPEN"")"),3406.9)</f>
        <v>3406.9</v>
      </c>
      <c r="D1202" s="11">
        <f ca="1">IFERROR(__xludf.DUMMYFUNCTION("GOOGLEFINANCE(A1202,""HIGH"")"),3410)</f>
        <v>3410</v>
      </c>
      <c r="E1202" s="11">
        <f ca="1">IFERROR(__xludf.DUMMYFUNCTION("GOOGLEFINANCE(A1202,""LOW"")"),3381)</f>
        <v>3381</v>
      </c>
      <c r="F1202" s="12" t="str">
        <f t="shared" ca="1" si="35"/>
        <v/>
      </c>
      <c r="G1202" s="13">
        <f ca="1">IFERROR(__xludf.DUMMYFUNCTION("GOOGLEFINANCE(A1202,""CLOSEYEST"")"),3407.1)</f>
        <v>3407.1</v>
      </c>
      <c r="H1202" s="14" t="str">
        <f t="shared" ca="1" si="41"/>
        <v/>
      </c>
      <c r="I1202" s="15">
        <f t="shared" ca="1" si="36"/>
        <v>3399.3666666666668</v>
      </c>
      <c r="J1202" s="16">
        <f t="shared" ca="1" si="37"/>
        <v>3417.7333333333336</v>
      </c>
      <c r="K1202" s="16"/>
      <c r="L1202" s="16">
        <f t="shared" ca="1" si="38"/>
        <v>3388.7333333333336</v>
      </c>
      <c r="M1202" s="16">
        <f t="shared" ca="1" si="39"/>
        <v>3428.3666666666668</v>
      </c>
      <c r="N1202" s="16">
        <f t="shared" ca="1" si="40"/>
        <v>3370.3666666666668</v>
      </c>
    </row>
    <row r="1203" spans="1:14" ht="24.75" customHeight="1" x14ac:dyDescent="0.8">
      <c r="A1203" s="18" t="s">
        <v>1166</v>
      </c>
      <c r="B1203" s="10">
        <f ca="1">IFERROR(__xludf.DUMMYFUNCTION("GOOGLEFINANCE(A1203,""PRICE"")"),0.47)</f>
        <v>0.47</v>
      </c>
      <c r="C1203" s="11">
        <f ca="1">IFERROR(__xludf.DUMMYFUNCTION("GOOGLEFINANCE(A1203,""PRICEOPEN"")"),0.46)</f>
        <v>0.46</v>
      </c>
      <c r="D1203" s="11">
        <f ca="1">IFERROR(__xludf.DUMMYFUNCTION("GOOGLEFINANCE(A1203,""HIGH"")"),0.48)</f>
        <v>0.48</v>
      </c>
      <c r="E1203" s="11">
        <f ca="1">IFERROR(__xludf.DUMMYFUNCTION("GOOGLEFINANCE(A1203,""LOW"")"),0.46)</f>
        <v>0.46</v>
      </c>
      <c r="F1203" s="12" t="str">
        <f t="shared" ca="1" si="35"/>
        <v>BUY</v>
      </c>
      <c r="G1203" s="13">
        <f ca="1">IFERROR(__xludf.DUMMYFUNCTION("GOOGLEFINANCE(A1203,""CLOSEYEST"")"),0.47)</f>
        <v>0.47</v>
      </c>
      <c r="H1203" s="14" t="str">
        <f t="shared" ca="1" si="41"/>
        <v>GAP DOWN</v>
      </c>
      <c r="I1203" s="15">
        <f t="shared" ca="1" si="36"/>
        <v>0.47</v>
      </c>
      <c r="J1203" s="16">
        <f t="shared" ca="1" si="37"/>
        <v>0.47999999999999993</v>
      </c>
      <c r="K1203" s="16"/>
      <c r="L1203" s="16">
        <f t="shared" ca="1" si="38"/>
        <v>0.45999999999999996</v>
      </c>
      <c r="M1203" s="16">
        <f t="shared" ca="1" si="39"/>
        <v>0.48999999999999994</v>
      </c>
      <c r="N1203" s="16">
        <f t="shared" ca="1" si="40"/>
        <v>0.45</v>
      </c>
    </row>
    <row r="1204" spans="1:14" ht="24.75" customHeight="1" x14ac:dyDescent="0.8">
      <c r="A1204" s="18" t="s">
        <v>1167</v>
      </c>
      <c r="B1204" s="10">
        <f ca="1">IFERROR(__xludf.DUMMYFUNCTION("GOOGLEFINANCE(A1204,""PRICE"")"),154.22)</f>
        <v>154.22</v>
      </c>
      <c r="C1204" s="11">
        <f ca="1">IFERROR(__xludf.DUMMYFUNCTION("GOOGLEFINANCE(A1204,""PRICEOPEN"")"),156.65)</f>
        <v>156.65</v>
      </c>
      <c r="D1204" s="11">
        <f ca="1">IFERROR(__xludf.DUMMYFUNCTION("GOOGLEFINANCE(A1204,""HIGH"")"),157.85)</f>
        <v>157.85</v>
      </c>
      <c r="E1204" s="11">
        <f ca="1">IFERROR(__xludf.DUMMYFUNCTION("GOOGLEFINANCE(A1204,""LOW"")"),152.09)</f>
        <v>152.09</v>
      </c>
      <c r="F1204" s="12" t="str">
        <f t="shared" ca="1" si="35"/>
        <v/>
      </c>
      <c r="G1204" s="13">
        <f ca="1">IFERROR(__xludf.DUMMYFUNCTION("GOOGLEFINANCE(A1204,""CLOSEYEST"")"),156.73)</f>
        <v>156.72999999999999</v>
      </c>
      <c r="H1204" s="14" t="str">
        <f t="shared" ca="1" si="41"/>
        <v/>
      </c>
      <c r="I1204" s="15">
        <f t="shared" ca="1" si="36"/>
        <v>155.55666666666664</v>
      </c>
      <c r="J1204" s="16">
        <f t="shared" ca="1" si="37"/>
        <v>159.02333333333328</v>
      </c>
      <c r="K1204" s="16"/>
      <c r="L1204" s="16">
        <f t="shared" ca="1" si="38"/>
        <v>153.26333333333329</v>
      </c>
      <c r="M1204" s="16">
        <f t="shared" ca="1" si="39"/>
        <v>161.31666666666663</v>
      </c>
      <c r="N1204" s="16">
        <f t="shared" ca="1" si="40"/>
        <v>149.79666666666665</v>
      </c>
    </row>
    <row r="1205" spans="1:14" ht="24.75" customHeight="1" x14ac:dyDescent="0.8">
      <c r="A1205" s="18" t="s">
        <v>1168</v>
      </c>
      <c r="B1205" s="10">
        <f ca="1">IFERROR(__xludf.DUMMYFUNCTION("GOOGLEFINANCE(A1205,""PRICE"")"),308.85)</f>
        <v>308.85000000000002</v>
      </c>
      <c r="C1205" s="11">
        <f ca="1">IFERROR(__xludf.DUMMYFUNCTION("GOOGLEFINANCE(A1205,""PRICEOPEN"")"),282.35)</f>
        <v>282.35000000000002</v>
      </c>
      <c r="D1205" s="11">
        <f ca="1">IFERROR(__xludf.DUMMYFUNCTION("GOOGLEFINANCE(A1205,""HIGH"")"),312.55)</f>
        <v>312.55</v>
      </c>
      <c r="E1205" s="11">
        <f ca="1">IFERROR(__xludf.DUMMYFUNCTION("GOOGLEFINANCE(A1205,""LOW"")"),277.95)</f>
        <v>277.95</v>
      </c>
      <c r="F1205" s="12" t="str">
        <f t="shared" ca="1" si="35"/>
        <v/>
      </c>
      <c r="G1205" s="13">
        <f ca="1">IFERROR(__xludf.DUMMYFUNCTION("GOOGLEFINANCE(A1205,""CLOSEYEST"")"),281.5)</f>
        <v>281.5</v>
      </c>
      <c r="H1205" s="14" t="str">
        <f t="shared" ca="1" si="41"/>
        <v/>
      </c>
      <c r="I1205" s="15">
        <f t="shared" ca="1" si="36"/>
        <v>290.66666666666669</v>
      </c>
      <c r="J1205" s="16">
        <f t="shared" ca="1" si="37"/>
        <v>303.38333333333338</v>
      </c>
      <c r="K1205" s="16"/>
      <c r="L1205" s="16">
        <f t="shared" ca="1" si="38"/>
        <v>268.78333333333336</v>
      </c>
      <c r="M1205" s="16">
        <f t="shared" ca="1" si="39"/>
        <v>325.26666666666671</v>
      </c>
      <c r="N1205" s="16">
        <f t="shared" ca="1" si="40"/>
        <v>256.06666666666666</v>
      </c>
    </row>
    <row r="1206" spans="1:14" ht="24.75" customHeight="1" x14ac:dyDescent="0.8">
      <c r="A1206" s="18" t="s">
        <v>1169</v>
      </c>
      <c r="B1206" s="10">
        <f ca="1">IFERROR(__xludf.DUMMYFUNCTION("GOOGLEFINANCE(A1206,""PRICE"")"),227.43)</f>
        <v>227.43</v>
      </c>
      <c r="C1206" s="11">
        <f ca="1">IFERROR(__xludf.DUMMYFUNCTION("GOOGLEFINANCE(A1206,""PRICEOPEN"")"),229.8)</f>
        <v>229.8</v>
      </c>
      <c r="D1206" s="11">
        <f ca="1">IFERROR(__xludf.DUMMYFUNCTION("GOOGLEFINANCE(A1206,""HIGH"")"),229.8)</f>
        <v>229.8</v>
      </c>
      <c r="E1206" s="11">
        <f ca="1">IFERROR(__xludf.DUMMYFUNCTION("GOOGLEFINANCE(A1206,""LOW"")"),224.71)</f>
        <v>224.71</v>
      </c>
      <c r="F1206" s="12" t="str">
        <f t="shared" ca="1" si="35"/>
        <v>SELL</v>
      </c>
      <c r="G1206" s="13">
        <f ca="1">IFERROR(__xludf.DUMMYFUNCTION("GOOGLEFINANCE(A1206,""CLOSEYEST"")"),228.01)</f>
        <v>228.01</v>
      </c>
      <c r="H1206" s="14" t="str">
        <f t="shared" ca="1" si="41"/>
        <v/>
      </c>
      <c r="I1206" s="15">
        <f t="shared" ca="1" si="36"/>
        <v>227.50666666666666</v>
      </c>
      <c r="J1206" s="16">
        <f t="shared" ca="1" si="37"/>
        <v>230.30333333333331</v>
      </c>
      <c r="K1206" s="16"/>
      <c r="L1206" s="16">
        <f t="shared" ca="1" si="38"/>
        <v>225.21333333333331</v>
      </c>
      <c r="M1206" s="16">
        <f t="shared" ca="1" si="39"/>
        <v>232.59666666666666</v>
      </c>
      <c r="N1206" s="16">
        <f t="shared" ca="1" si="40"/>
        <v>222.41666666666666</v>
      </c>
    </row>
    <row r="1207" spans="1:14" ht="24.75" customHeight="1" x14ac:dyDescent="0.8">
      <c r="A1207" s="18" t="s">
        <v>1170</v>
      </c>
      <c r="B1207" s="10">
        <f ca="1">IFERROR(__xludf.DUMMYFUNCTION("GOOGLEFINANCE(A1207,""PRICE"")"),223.8)</f>
        <v>223.8</v>
      </c>
      <c r="C1207" s="11">
        <f ca="1">IFERROR(__xludf.DUMMYFUNCTION("GOOGLEFINANCE(A1207,""PRICEOPEN"")"),223.9)</f>
        <v>223.9</v>
      </c>
      <c r="D1207" s="11">
        <f ca="1">IFERROR(__xludf.DUMMYFUNCTION("GOOGLEFINANCE(A1207,""HIGH"")"),226)</f>
        <v>226</v>
      </c>
      <c r="E1207" s="11">
        <f ca="1">IFERROR(__xludf.DUMMYFUNCTION("GOOGLEFINANCE(A1207,""LOW"")"),216.03)</f>
        <v>216.03</v>
      </c>
      <c r="F1207" s="12" t="str">
        <f t="shared" ca="1" si="35"/>
        <v/>
      </c>
      <c r="G1207" s="13">
        <f ca="1">IFERROR(__xludf.DUMMYFUNCTION("GOOGLEFINANCE(A1207,""CLOSEYEST"")"),221.25)</f>
        <v>221.25</v>
      </c>
      <c r="H1207" s="14" t="str">
        <f t="shared" ca="1" si="41"/>
        <v>GAP UP</v>
      </c>
      <c r="I1207" s="15">
        <f t="shared" ca="1" si="36"/>
        <v>221.09333333333333</v>
      </c>
      <c r="J1207" s="16">
        <f t="shared" ca="1" si="37"/>
        <v>226.15666666666667</v>
      </c>
      <c r="K1207" s="16"/>
      <c r="L1207" s="16">
        <f t="shared" ca="1" si="38"/>
        <v>216.18666666666667</v>
      </c>
      <c r="M1207" s="16">
        <f t="shared" ca="1" si="39"/>
        <v>231.06333333333333</v>
      </c>
      <c r="N1207" s="16">
        <f t="shared" ca="1" si="40"/>
        <v>211.12333333333333</v>
      </c>
    </row>
    <row r="1208" spans="1:14" ht="24.75" customHeight="1" x14ac:dyDescent="0.8">
      <c r="A1208" s="18" t="s">
        <v>1171</v>
      </c>
      <c r="B1208" s="10">
        <f ca="1">IFERROR(__xludf.DUMMYFUNCTION("GOOGLEFINANCE(A1208,""PRICE"")"),1416.1)</f>
        <v>1416.1</v>
      </c>
      <c r="C1208" s="11">
        <f ca="1">IFERROR(__xludf.DUMMYFUNCTION("GOOGLEFINANCE(A1208,""PRICEOPEN"")"),1426.5)</f>
        <v>1426.5</v>
      </c>
      <c r="D1208" s="11">
        <f ca="1">IFERROR(__xludf.DUMMYFUNCTION("GOOGLEFINANCE(A1208,""HIGH"")"),1459.8)</f>
        <v>1459.8</v>
      </c>
      <c r="E1208" s="11">
        <f ca="1">IFERROR(__xludf.DUMMYFUNCTION("GOOGLEFINANCE(A1208,""LOW"")"),1415.1)</f>
        <v>1415.1</v>
      </c>
      <c r="F1208" s="12" t="str">
        <f t="shared" ca="1" si="35"/>
        <v/>
      </c>
      <c r="G1208" s="13">
        <f ca="1">IFERROR(__xludf.DUMMYFUNCTION("GOOGLEFINANCE(A1208,""CLOSEYEST"")"),1433.6)</f>
        <v>1433.6</v>
      </c>
      <c r="H1208" s="14" t="str">
        <f t="shared" ca="1" si="41"/>
        <v/>
      </c>
      <c r="I1208" s="15">
        <f t="shared" ca="1" si="36"/>
        <v>1436.1666666666667</v>
      </c>
      <c r="J1208" s="16">
        <f t="shared" ca="1" si="37"/>
        <v>1457.2333333333336</v>
      </c>
      <c r="K1208" s="16"/>
      <c r="L1208" s="16">
        <f t="shared" ca="1" si="38"/>
        <v>1412.5333333333335</v>
      </c>
      <c r="M1208" s="16">
        <f t="shared" ca="1" si="39"/>
        <v>1480.8666666666668</v>
      </c>
      <c r="N1208" s="16">
        <f t="shared" ca="1" si="40"/>
        <v>1391.4666666666667</v>
      </c>
    </row>
    <row r="1209" spans="1:14" ht="24.75" customHeight="1" x14ac:dyDescent="0.8">
      <c r="A1209" s="18" t="s">
        <v>1172</v>
      </c>
      <c r="B1209" s="10">
        <f ca="1">IFERROR(__xludf.DUMMYFUNCTION("GOOGLEFINANCE(A1209,""PRICE"")"),594.1)</f>
        <v>594.1</v>
      </c>
      <c r="C1209" s="11">
        <f ca="1">IFERROR(__xludf.DUMMYFUNCTION("GOOGLEFINANCE(A1209,""PRICEOPEN"")"),591.05)</f>
        <v>591.04999999999995</v>
      </c>
      <c r="D1209" s="11">
        <f ca="1">IFERROR(__xludf.DUMMYFUNCTION("GOOGLEFINANCE(A1209,""HIGH"")"),601.45)</f>
        <v>601.45000000000005</v>
      </c>
      <c r="E1209" s="11">
        <f ca="1">IFERROR(__xludf.DUMMYFUNCTION("GOOGLEFINANCE(A1209,""LOW"")"),590.3)</f>
        <v>590.29999999999995</v>
      </c>
      <c r="F1209" s="12" t="str">
        <f t="shared" ca="1" si="35"/>
        <v/>
      </c>
      <c r="G1209" s="13">
        <f ca="1">IFERROR(__xludf.DUMMYFUNCTION("GOOGLEFINANCE(A1209,""CLOSEYEST"")"),593.35)</f>
        <v>593.35</v>
      </c>
      <c r="H1209" s="14" t="str">
        <f t="shared" ca="1" si="41"/>
        <v/>
      </c>
      <c r="I1209" s="15">
        <f t="shared" ca="1" si="36"/>
        <v>595.0333333333333</v>
      </c>
      <c r="J1209" s="16">
        <f t="shared" ca="1" si="37"/>
        <v>599.76666666666665</v>
      </c>
      <c r="K1209" s="16"/>
      <c r="L1209" s="16">
        <f t="shared" ca="1" si="38"/>
        <v>588.61666666666656</v>
      </c>
      <c r="M1209" s="16">
        <f t="shared" ca="1" si="39"/>
        <v>606.18333333333339</v>
      </c>
      <c r="N1209" s="16">
        <f t="shared" ca="1" si="40"/>
        <v>583.88333333333321</v>
      </c>
    </row>
    <row r="1210" spans="1:14" ht="24.75" customHeight="1" x14ac:dyDescent="0.8">
      <c r="A1210" s="18" t="s">
        <v>1173</v>
      </c>
      <c r="B1210" s="10">
        <f ca="1">IFERROR(__xludf.DUMMYFUNCTION("GOOGLEFINANCE(A1210,""PRICE"")"),97)</f>
        <v>97</v>
      </c>
      <c r="C1210" s="11">
        <f ca="1">IFERROR(__xludf.DUMMYFUNCTION("GOOGLEFINANCE(A1210,""PRICEOPEN"")"),96.1)</f>
        <v>96.1</v>
      </c>
      <c r="D1210" s="11">
        <f ca="1">IFERROR(__xludf.DUMMYFUNCTION("GOOGLEFINANCE(A1210,""HIGH"")"),99.9)</f>
        <v>99.9</v>
      </c>
      <c r="E1210" s="11">
        <f ca="1">IFERROR(__xludf.DUMMYFUNCTION("GOOGLEFINANCE(A1210,""LOW"")"),95)</f>
        <v>95</v>
      </c>
      <c r="F1210" s="12" t="str">
        <f t="shared" ca="1" si="35"/>
        <v/>
      </c>
      <c r="G1210" s="13">
        <f ca="1">IFERROR(__xludf.DUMMYFUNCTION("GOOGLEFINANCE(A1210,""CLOSEYEST"")"),97.37)</f>
        <v>97.37</v>
      </c>
      <c r="H1210" s="14" t="str">
        <f t="shared" ca="1" si="41"/>
        <v>GAP DOWN</v>
      </c>
      <c r="I1210" s="15">
        <f t="shared" ca="1" si="36"/>
        <v>97.423333333333332</v>
      </c>
      <c r="J1210" s="16">
        <f t="shared" ca="1" si="37"/>
        <v>99.846666666666664</v>
      </c>
      <c r="K1210" s="16"/>
      <c r="L1210" s="16">
        <f t="shared" ca="1" si="38"/>
        <v>94.946666666666658</v>
      </c>
      <c r="M1210" s="16">
        <f t="shared" ca="1" si="39"/>
        <v>102.32333333333334</v>
      </c>
      <c r="N1210" s="16">
        <f t="shared" ca="1" si="40"/>
        <v>92.523333333333326</v>
      </c>
    </row>
    <row r="1211" spans="1:14" ht="24.75" customHeight="1" x14ac:dyDescent="0.8">
      <c r="A1211" s="18" t="s">
        <v>1174</v>
      </c>
      <c r="B1211" s="10" t="str">
        <f ca="1">IFERROR(__xludf.DUMMYFUNCTION("GOOGLEFINANCE(A1211,""PRICE"")"),"#N/A")</f>
        <v>#N/A</v>
      </c>
      <c r="C1211" s="11" t="str">
        <f ca="1">IFERROR(__xludf.DUMMYFUNCTION("GOOGLEFINANCE(A1211,""PRICEOPEN"")"),"#N/A")</f>
        <v>#N/A</v>
      </c>
      <c r="D1211" s="11" t="str">
        <f ca="1">IFERROR(__xludf.DUMMYFUNCTION("GOOGLEFINANCE(A1211,""HIGH"")"),"#N/A")</f>
        <v>#N/A</v>
      </c>
      <c r="E1211" s="11" t="str">
        <f ca="1">IFERROR(__xludf.DUMMYFUNCTION("GOOGLEFINANCE(A1211,""LOW"")"),"#N/A")</f>
        <v>#N/A</v>
      </c>
      <c r="F1211" s="12" t="str">
        <f t="shared" ca="1" si="35"/>
        <v>SELL</v>
      </c>
      <c r="G1211" s="13" t="str">
        <f ca="1">IFERROR(__xludf.DUMMYFUNCTION("GOOGLEFINANCE(A1211,""CLOSEYEST"")"),"#N/A")</f>
        <v>#N/A</v>
      </c>
      <c r="H1211" s="14" t="e">
        <f t="shared" ca="1" si="41"/>
        <v>#VALUE!</v>
      </c>
      <c r="I1211" s="15" t="e">
        <f t="shared" ca="1" si="36"/>
        <v>#VALUE!</v>
      </c>
      <c r="J1211" s="16" t="e">
        <f t="shared" ca="1" si="37"/>
        <v>#VALUE!</v>
      </c>
      <c r="K1211" s="16"/>
      <c r="L1211" s="16" t="e">
        <f t="shared" ca="1" si="38"/>
        <v>#VALUE!</v>
      </c>
      <c r="M1211" s="16" t="e">
        <f t="shared" ca="1" si="39"/>
        <v>#VALUE!</v>
      </c>
      <c r="N1211" s="16" t="e">
        <f t="shared" ca="1" si="40"/>
        <v>#VALUE!</v>
      </c>
    </row>
    <row r="1212" spans="1:14" ht="24.75" customHeight="1" x14ac:dyDescent="0.8">
      <c r="A1212" s="18" t="s">
        <v>1175</v>
      </c>
      <c r="B1212" s="10">
        <f ca="1">IFERROR(__xludf.DUMMYFUNCTION("GOOGLEFINANCE(A1212,""PRICE"")"),126.12)</f>
        <v>126.12</v>
      </c>
      <c r="C1212" s="11">
        <f ca="1">IFERROR(__xludf.DUMMYFUNCTION("GOOGLEFINANCE(A1212,""PRICEOPEN"")"),125.4)</f>
        <v>125.4</v>
      </c>
      <c r="D1212" s="11">
        <f ca="1">IFERROR(__xludf.DUMMYFUNCTION("GOOGLEFINANCE(A1212,""HIGH"")"),126.75)</f>
        <v>126.75</v>
      </c>
      <c r="E1212" s="11">
        <f ca="1">IFERROR(__xludf.DUMMYFUNCTION("GOOGLEFINANCE(A1212,""LOW"")"),124.91)</f>
        <v>124.91</v>
      </c>
      <c r="F1212" s="12" t="str">
        <f t="shared" ca="1" si="35"/>
        <v/>
      </c>
      <c r="G1212" s="13">
        <f ca="1">IFERROR(__xludf.DUMMYFUNCTION("GOOGLEFINANCE(A1212,""CLOSEYEST"")"),125.21)</f>
        <v>125.21</v>
      </c>
      <c r="H1212" s="14" t="str">
        <f t="shared" ca="1" si="41"/>
        <v/>
      </c>
      <c r="I1212" s="15">
        <f t="shared" ca="1" si="36"/>
        <v>125.62333333333333</v>
      </c>
      <c r="J1212" s="16">
        <f t="shared" ca="1" si="37"/>
        <v>126.33666666666667</v>
      </c>
      <c r="K1212" s="16"/>
      <c r="L1212" s="16">
        <f t="shared" ca="1" si="38"/>
        <v>124.49666666666667</v>
      </c>
      <c r="M1212" s="16">
        <f t="shared" ca="1" si="39"/>
        <v>127.46333333333334</v>
      </c>
      <c r="N1212" s="16">
        <f t="shared" ca="1" si="40"/>
        <v>123.78333333333333</v>
      </c>
    </row>
    <row r="1213" spans="1:14" ht="24.75" customHeight="1" x14ac:dyDescent="0.8">
      <c r="A1213" s="18" t="s">
        <v>1176</v>
      </c>
      <c r="B1213" s="10" t="str">
        <f ca="1">IFERROR(__xludf.DUMMYFUNCTION("GOOGLEFINANCE(A1213,""PRICE"")"),"#N/A")</f>
        <v>#N/A</v>
      </c>
      <c r="C1213" s="11" t="str">
        <f ca="1">IFERROR(__xludf.DUMMYFUNCTION("GOOGLEFINANCE(A1213,""PRICEOPEN"")"),"#N/A")</f>
        <v>#N/A</v>
      </c>
      <c r="D1213" s="11" t="str">
        <f ca="1">IFERROR(__xludf.DUMMYFUNCTION("GOOGLEFINANCE(A1213,""HIGH"")"),"#N/A")</f>
        <v>#N/A</v>
      </c>
      <c r="E1213" s="11" t="str">
        <f ca="1">IFERROR(__xludf.DUMMYFUNCTION("GOOGLEFINANCE(A1213,""LOW"")"),"#N/A")</f>
        <v>#N/A</v>
      </c>
      <c r="F1213" s="12" t="str">
        <f t="shared" ca="1" si="35"/>
        <v>SELL</v>
      </c>
      <c r="G1213" s="13" t="str">
        <f ca="1">IFERROR(__xludf.DUMMYFUNCTION("GOOGLEFINANCE(A1213,""CLOSEYEST"")"),"#N/A")</f>
        <v>#N/A</v>
      </c>
      <c r="H1213" s="14" t="e">
        <f t="shared" ca="1" si="41"/>
        <v>#VALUE!</v>
      </c>
      <c r="I1213" s="15" t="e">
        <f t="shared" ca="1" si="36"/>
        <v>#VALUE!</v>
      </c>
      <c r="J1213" s="16" t="e">
        <f t="shared" ca="1" si="37"/>
        <v>#VALUE!</v>
      </c>
      <c r="K1213" s="16"/>
      <c r="L1213" s="16" t="e">
        <f t="shared" ca="1" si="38"/>
        <v>#VALUE!</v>
      </c>
      <c r="M1213" s="16" t="e">
        <f t="shared" ca="1" si="39"/>
        <v>#VALUE!</v>
      </c>
      <c r="N1213" s="16" t="e">
        <f t="shared" ca="1" si="40"/>
        <v>#VALUE!</v>
      </c>
    </row>
    <row r="1214" spans="1:14" ht="24.75" customHeight="1" x14ac:dyDescent="0.8">
      <c r="A1214" s="18" t="s">
        <v>1177</v>
      </c>
      <c r="B1214" s="10">
        <f ca="1">IFERROR(__xludf.DUMMYFUNCTION("GOOGLEFINANCE(A1214,""PRICE"")"),20.14)</f>
        <v>20.14</v>
      </c>
      <c r="C1214" s="11">
        <f ca="1">IFERROR(__xludf.DUMMYFUNCTION("GOOGLEFINANCE(A1214,""PRICEOPEN"")"),20.43)</f>
        <v>20.43</v>
      </c>
      <c r="D1214" s="11">
        <f ca="1">IFERROR(__xludf.DUMMYFUNCTION("GOOGLEFINANCE(A1214,""HIGH"")"),20.43)</f>
        <v>20.43</v>
      </c>
      <c r="E1214" s="11">
        <f ca="1">IFERROR(__xludf.DUMMYFUNCTION("GOOGLEFINANCE(A1214,""LOW"")"),20.12)</f>
        <v>20.12</v>
      </c>
      <c r="F1214" s="12" t="str">
        <f t="shared" ca="1" si="35"/>
        <v>SELL</v>
      </c>
      <c r="G1214" s="13">
        <f ca="1">IFERROR(__xludf.DUMMYFUNCTION("GOOGLEFINANCE(A1214,""CLOSEYEST"")"),20.19)</f>
        <v>20.190000000000001</v>
      </c>
      <c r="H1214" s="14" t="str">
        <f t="shared" ca="1" si="41"/>
        <v>GAP UP</v>
      </c>
      <c r="I1214" s="15">
        <f t="shared" ca="1" si="36"/>
        <v>20.246666666666666</v>
      </c>
      <c r="J1214" s="16">
        <f t="shared" ca="1" si="37"/>
        <v>20.373333333333331</v>
      </c>
      <c r="K1214" s="16"/>
      <c r="L1214" s="16">
        <f t="shared" ca="1" si="38"/>
        <v>20.063333333333333</v>
      </c>
      <c r="M1214" s="16">
        <f t="shared" ca="1" si="39"/>
        <v>20.556666666666665</v>
      </c>
      <c r="N1214" s="16">
        <f t="shared" ca="1" si="40"/>
        <v>19.936666666666667</v>
      </c>
    </row>
    <row r="1215" spans="1:14" ht="24.75" customHeight="1" x14ac:dyDescent="0.8">
      <c r="A1215" s="18" t="s">
        <v>1178</v>
      </c>
      <c r="B1215" s="10">
        <f ca="1">IFERROR(__xludf.DUMMYFUNCTION("GOOGLEFINANCE(A1215,""PRICE"")"),910.1)</f>
        <v>910.1</v>
      </c>
      <c r="C1215" s="11">
        <f ca="1">IFERROR(__xludf.DUMMYFUNCTION("GOOGLEFINANCE(A1215,""PRICEOPEN"")"),899.55)</f>
        <v>899.55</v>
      </c>
      <c r="D1215" s="11">
        <f ca="1">IFERROR(__xludf.DUMMYFUNCTION("GOOGLEFINANCE(A1215,""HIGH"")"),914)</f>
        <v>914</v>
      </c>
      <c r="E1215" s="11">
        <f ca="1">IFERROR(__xludf.DUMMYFUNCTION("GOOGLEFINANCE(A1215,""LOW"")"),899)</f>
        <v>899</v>
      </c>
      <c r="F1215" s="12" t="str">
        <f t="shared" ca="1" si="35"/>
        <v/>
      </c>
      <c r="G1215" s="13">
        <f ca="1">IFERROR(__xludf.DUMMYFUNCTION("GOOGLEFINANCE(A1215,""CLOSEYEST"")"),895.15)</f>
        <v>895.15</v>
      </c>
      <c r="H1215" s="14" t="str">
        <f t="shared" ca="1" si="41"/>
        <v/>
      </c>
      <c r="I1215" s="15">
        <f t="shared" ca="1" si="36"/>
        <v>902.7166666666667</v>
      </c>
      <c r="J1215" s="16">
        <f t="shared" ca="1" si="37"/>
        <v>906.43333333333339</v>
      </c>
      <c r="K1215" s="16"/>
      <c r="L1215" s="16">
        <f t="shared" ca="1" si="38"/>
        <v>891.43333333333339</v>
      </c>
      <c r="M1215" s="16">
        <f t="shared" ca="1" si="39"/>
        <v>917.7166666666667</v>
      </c>
      <c r="N1215" s="16">
        <f t="shared" ca="1" si="40"/>
        <v>887.7166666666667</v>
      </c>
    </row>
    <row r="1216" spans="1:14" ht="24.75" customHeight="1" x14ac:dyDescent="0.8">
      <c r="A1216" s="18" t="s">
        <v>1179</v>
      </c>
      <c r="B1216" s="10">
        <f ca="1">IFERROR(__xludf.DUMMYFUNCTION("GOOGLEFINANCE(A1216,""PRICE"")"),454.25)</f>
        <v>454.25</v>
      </c>
      <c r="C1216" s="11">
        <f ca="1">IFERROR(__xludf.DUMMYFUNCTION("GOOGLEFINANCE(A1216,""PRICEOPEN"")"),452)</f>
        <v>452</v>
      </c>
      <c r="D1216" s="11">
        <f ca="1">IFERROR(__xludf.DUMMYFUNCTION("GOOGLEFINANCE(A1216,""HIGH"")"),457.4)</f>
        <v>457.4</v>
      </c>
      <c r="E1216" s="11">
        <f ca="1">IFERROR(__xludf.DUMMYFUNCTION("GOOGLEFINANCE(A1216,""LOW"")"),451.95)</f>
        <v>451.95</v>
      </c>
      <c r="F1216" s="12" t="str">
        <f t="shared" ca="1" si="35"/>
        <v/>
      </c>
      <c r="G1216" s="13">
        <f ca="1">IFERROR(__xludf.DUMMYFUNCTION("GOOGLEFINANCE(A1216,""CLOSEYEST"")"),451.6)</f>
        <v>451.6</v>
      </c>
      <c r="H1216" s="14" t="str">
        <f t="shared" ca="1" si="41"/>
        <v/>
      </c>
      <c r="I1216" s="15">
        <f t="shared" ca="1" si="36"/>
        <v>453.64999999999992</v>
      </c>
      <c r="J1216" s="16">
        <f t="shared" ca="1" si="37"/>
        <v>455.34999999999985</v>
      </c>
      <c r="K1216" s="16"/>
      <c r="L1216" s="16">
        <f t="shared" ca="1" si="38"/>
        <v>449.89999999999986</v>
      </c>
      <c r="M1216" s="16">
        <f t="shared" ca="1" si="39"/>
        <v>459.09999999999991</v>
      </c>
      <c r="N1216" s="16">
        <f t="shared" ca="1" si="40"/>
        <v>448.19999999999993</v>
      </c>
    </row>
    <row r="1217" spans="1:14" ht="24.75" customHeight="1" x14ac:dyDescent="0.8">
      <c r="A1217" s="18" t="s">
        <v>1180</v>
      </c>
      <c r="B1217" s="10">
        <f ca="1">IFERROR(__xludf.DUMMYFUNCTION("GOOGLEFINANCE(A1217,""PRICE"")"),291)</f>
        <v>291</v>
      </c>
      <c r="C1217" s="11">
        <f ca="1">IFERROR(__xludf.DUMMYFUNCTION("GOOGLEFINANCE(A1217,""PRICEOPEN"")"),283.9)</f>
        <v>283.89999999999998</v>
      </c>
      <c r="D1217" s="11">
        <f ca="1">IFERROR(__xludf.DUMMYFUNCTION("GOOGLEFINANCE(A1217,""HIGH"")"),309)</f>
        <v>309</v>
      </c>
      <c r="E1217" s="11">
        <f ca="1">IFERROR(__xludf.DUMMYFUNCTION("GOOGLEFINANCE(A1217,""LOW"")"),282.6)</f>
        <v>282.60000000000002</v>
      </c>
      <c r="F1217" s="12" t="str">
        <f t="shared" ca="1" si="35"/>
        <v/>
      </c>
      <c r="G1217" s="13">
        <f ca="1">IFERROR(__xludf.DUMMYFUNCTION("GOOGLEFINANCE(A1217,""CLOSEYEST"")"),283.9)</f>
        <v>283.89999999999998</v>
      </c>
      <c r="H1217" s="14" t="str">
        <f t="shared" ca="1" si="41"/>
        <v/>
      </c>
      <c r="I1217" s="15">
        <f t="shared" ca="1" si="36"/>
        <v>291.83333333333331</v>
      </c>
      <c r="J1217" s="16">
        <f t="shared" ca="1" si="37"/>
        <v>301.06666666666661</v>
      </c>
      <c r="K1217" s="16"/>
      <c r="L1217" s="16">
        <f t="shared" ca="1" si="38"/>
        <v>274.66666666666663</v>
      </c>
      <c r="M1217" s="16">
        <f t="shared" ca="1" si="39"/>
        <v>318.23333333333329</v>
      </c>
      <c r="N1217" s="16">
        <f t="shared" ca="1" si="40"/>
        <v>265.43333333333334</v>
      </c>
    </row>
    <row r="1218" spans="1:14" ht="24.75" customHeight="1" x14ac:dyDescent="0.8">
      <c r="A1218" s="18" t="s">
        <v>1181</v>
      </c>
      <c r="B1218" s="10">
        <f ca="1">IFERROR(__xludf.DUMMYFUNCTION("GOOGLEFINANCE(A1218,""PRICE"")"),4.73)</f>
        <v>4.7300000000000004</v>
      </c>
      <c r="C1218" s="11">
        <f ca="1">IFERROR(__xludf.DUMMYFUNCTION("GOOGLEFINANCE(A1218,""PRICEOPEN"")"),4.63)</f>
        <v>4.63</v>
      </c>
      <c r="D1218" s="11">
        <f ca="1">IFERROR(__xludf.DUMMYFUNCTION("GOOGLEFINANCE(A1218,""HIGH"")"),4.77)</f>
        <v>4.7699999999999996</v>
      </c>
      <c r="E1218" s="11">
        <f ca="1">IFERROR(__xludf.DUMMYFUNCTION("GOOGLEFINANCE(A1218,""LOW"")"),4.6)</f>
        <v>4.5999999999999996</v>
      </c>
      <c r="F1218" s="12" t="str">
        <f t="shared" ca="1" si="35"/>
        <v/>
      </c>
      <c r="G1218" s="13">
        <f ca="1">IFERROR(__xludf.DUMMYFUNCTION("GOOGLEFINANCE(A1218,""CLOSEYEST"")"),4.65)</f>
        <v>4.6500000000000004</v>
      </c>
      <c r="H1218" s="14" t="str">
        <f t="shared" ca="1" si="41"/>
        <v/>
      </c>
      <c r="I1218" s="15">
        <f t="shared" ca="1" si="36"/>
        <v>4.6733333333333329</v>
      </c>
      <c r="J1218" s="16">
        <f t="shared" ca="1" si="37"/>
        <v>4.7466666666666661</v>
      </c>
      <c r="K1218" s="16"/>
      <c r="L1218" s="16">
        <f t="shared" ca="1" si="38"/>
        <v>4.5766666666666662</v>
      </c>
      <c r="M1218" s="16">
        <f t="shared" ca="1" si="39"/>
        <v>4.8433333333333328</v>
      </c>
      <c r="N1218" s="16">
        <f t="shared" ca="1" si="40"/>
        <v>4.503333333333333</v>
      </c>
    </row>
    <row r="1219" spans="1:14" ht="24.75" customHeight="1" x14ac:dyDescent="0.8">
      <c r="A1219" s="18" t="s">
        <v>1182</v>
      </c>
      <c r="B1219" s="10">
        <f ca="1">IFERROR(__xludf.DUMMYFUNCTION("GOOGLEFINANCE(A1219,""PRICE"")"),221.2)</f>
        <v>221.2</v>
      </c>
      <c r="C1219" s="11">
        <f ca="1">IFERROR(__xludf.DUMMYFUNCTION("GOOGLEFINANCE(A1219,""PRICEOPEN"")"),225.49)</f>
        <v>225.49</v>
      </c>
      <c r="D1219" s="11">
        <f ca="1">IFERROR(__xludf.DUMMYFUNCTION("GOOGLEFINANCE(A1219,""HIGH"")"),225.49)</f>
        <v>225.49</v>
      </c>
      <c r="E1219" s="11">
        <f ca="1">IFERROR(__xludf.DUMMYFUNCTION("GOOGLEFINANCE(A1219,""LOW"")"),220.55)</f>
        <v>220.55</v>
      </c>
      <c r="F1219" s="12" t="str">
        <f t="shared" ca="1" si="35"/>
        <v>SELL</v>
      </c>
      <c r="G1219" s="13">
        <f ca="1">IFERROR(__xludf.DUMMYFUNCTION("GOOGLEFINANCE(A1219,""CLOSEYEST"")"),222.38)</f>
        <v>222.38</v>
      </c>
      <c r="H1219" s="14" t="str">
        <f t="shared" ca="1" si="41"/>
        <v>GAP UP</v>
      </c>
      <c r="I1219" s="15">
        <f t="shared" ca="1" si="36"/>
        <v>222.8066666666667</v>
      </c>
      <c r="J1219" s="16">
        <f t="shared" ca="1" si="37"/>
        <v>225.06333333333339</v>
      </c>
      <c r="K1219" s="16"/>
      <c r="L1219" s="16">
        <f t="shared" ca="1" si="38"/>
        <v>220.12333333333339</v>
      </c>
      <c r="M1219" s="16">
        <f t="shared" ca="1" si="39"/>
        <v>227.7466666666667</v>
      </c>
      <c r="N1219" s="16">
        <f t="shared" ca="1" si="40"/>
        <v>217.8666666666667</v>
      </c>
    </row>
    <row r="1220" spans="1:14" ht="24.75" customHeight="1" x14ac:dyDescent="0.8">
      <c r="A1220" s="18" t="s">
        <v>1183</v>
      </c>
      <c r="B1220" s="10">
        <f ca="1">IFERROR(__xludf.DUMMYFUNCTION("GOOGLEFINANCE(A1220,""PRICE"")"),14.52)</f>
        <v>14.52</v>
      </c>
      <c r="C1220" s="11">
        <f ca="1">IFERROR(__xludf.DUMMYFUNCTION("GOOGLEFINANCE(A1220,""PRICEOPEN"")"),14.7)</f>
        <v>14.7</v>
      </c>
      <c r="D1220" s="11">
        <f ca="1">IFERROR(__xludf.DUMMYFUNCTION("GOOGLEFINANCE(A1220,""HIGH"")"),14.7)</f>
        <v>14.7</v>
      </c>
      <c r="E1220" s="11">
        <f ca="1">IFERROR(__xludf.DUMMYFUNCTION("GOOGLEFINANCE(A1220,""LOW"")"),14.23)</f>
        <v>14.23</v>
      </c>
      <c r="F1220" s="12" t="str">
        <f t="shared" ca="1" si="35"/>
        <v>SELL</v>
      </c>
      <c r="G1220" s="13">
        <f ca="1">IFERROR(__xludf.DUMMYFUNCTION("GOOGLEFINANCE(A1220,""CLOSEYEST"")"),14.22)</f>
        <v>14.22</v>
      </c>
      <c r="H1220" s="14" t="str">
        <f t="shared" ca="1" si="41"/>
        <v>GAP UP</v>
      </c>
      <c r="I1220" s="15">
        <f t="shared" ca="1" si="36"/>
        <v>14.383333333333333</v>
      </c>
      <c r="J1220" s="16">
        <f t="shared" ca="1" si="37"/>
        <v>14.536666666666665</v>
      </c>
      <c r="K1220" s="16"/>
      <c r="L1220" s="16">
        <f t="shared" ca="1" si="38"/>
        <v>14.066666666666666</v>
      </c>
      <c r="M1220" s="16">
        <f t="shared" ca="1" si="39"/>
        <v>14.853333333333332</v>
      </c>
      <c r="N1220" s="16">
        <f t="shared" ca="1" si="40"/>
        <v>13.913333333333334</v>
      </c>
    </row>
    <row r="1221" spans="1:14" ht="24.75" customHeight="1" x14ac:dyDescent="0.8">
      <c r="A1221" s="18" t="s">
        <v>1184</v>
      </c>
      <c r="B1221" s="10">
        <f ca="1">IFERROR(__xludf.DUMMYFUNCTION("GOOGLEFINANCE(A1221,""PRICE"")"),130)</f>
        <v>130</v>
      </c>
      <c r="C1221" s="11">
        <f ca="1">IFERROR(__xludf.DUMMYFUNCTION("GOOGLEFINANCE(A1221,""PRICEOPEN"")"),133.89)</f>
        <v>133.88999999999999</v>
      </c>
      <c r="D1221" s="11">
        <f ca="1">IFERROR(__xludf.DUMMYFUNCTION("GOOGLEFINANCE(A1221,""HIGH"")"),133.89)</f>
        <v>133.88999999999999</v>
      </c>
      <c r="E1221" s="11">
        <f ca="1">IFERROR(__xludf.DUMMYFUNCTION("GOOGLEFINANCE(A1221,""LOW"")"),129.02)</f>
        <v>129.02000000000001</v>
      </c>
      <c r="F1221" s="12" t="str">
        <f t="shared" ca="1" si="35"/>
        <v>SELL</v>
      </c>
      <c r="G1221" s="13">
        <f ca="1">IFERROR(__xludf.DUMMYFUNCTION("GOOGLEFINANCE(A1221,""CLOSEYEST"")"),131.89)</f>
        <v>131.88999999999999</v>
      </c>
      <c r="H1221" s="14" t="str">
        <f t="shared" ca="1" si="41"/>
        <v>GAP UP</v>
      </c>
      <c r="I1221" s="15">
        <f t="shared" ca="1" si="36"/>
        <v>131.6</v>
      </c>
      <c r="J1221" s="16">
        <f t="shared" ca="1" si="37"/>
        <v>134.17999999999998</v>
      </c>
      <c r="K1221" s="16"/>
      <c r="L1221" s="16">
        <f t="shared" ca="1" si="38"/>
        <v>129.31</v>
      </c>
      <c r="M1221" s="16">
        <f t="shared" ca="1" si="39"/>
        <v>136.46999999999997</v>
      </c>
      <c r="N1221" s="16">
        <f t="shared" ca="1" si="40"/>
        <v>126.73000000000002</v>
      </c>
    </row>
    <row r="1222" spans="1:14" ht="24.75" customHeight="1" x14ac:dyDescent="0.8">
      <c r="A1222" s="18" t="s">
        <v>1185</v>
      </c>
      <c r="B1222" s="10">
        <f ca="1">IFERROR(__xludf.DUMMYFUNCTION("GOOGLEFINANCE(A1222,""PRICE"")"),462.7)</f>
        <v>462.7</v>
      </c>
      <c r="C1222" s="11">
        <f ca="1">IFERROR(__xludf.DUMMYFUNCTION("GOOGLEFINANCE(A1222,""PRICEOPEN"")"),437)</f>
        <v>437</v>
      </c>
      <c r="D1222" s="11">
        <f ca="1">IFERROR(__xludf.DUMMYFUNCTION("GOOGLEFINANCE(A1222,""HIGH"")"),466)</f>
        <v>466</v>
      </c>
      <c r="E1222" s="11">
        <f ca="1">IFERROR(__xludf.DUMMYFUNCTION("GOOGLEFINANCE(A1222,""LOW"")"),437)</f>
        <v>437</v>
      </c>
      <c r="F1222" s="12" t="str">
        <f t="shared" ca="1" si="35"/>
        <v>BUY</v>
      </c>
      <c r="G1222" s="13">
        <f ca="1">IFERROR(__xludf.DUMMYFUNCTION("GOOGLEFINANCE(A1222,""CLOSEYEST"")"),442.85)</f>
        <v>442.85</v>
      </c>
      <c r="H1222" s="14" t="str">
        <f t="shared" ca="1" si="41"/>
        <v>GAP DOWN</v>
      </c>
      <c r="I1222" s="15">
        <f t="shared" ca="1" si="36"/>
        <v>448.61666666666662</v>
      </c>
      <c r="J1222" s="16">
        <f t="shared" ca="1" si="37"/>
        <v>460.23333333333323</v>
      </c>
      <c r="K1222" s="16"/>
      <c r="L1222" s="16">
        <f t="shared" ca="1" si="38"/>
        <v>431.23333333333323</v>
      </c>
      <c r="M1222" s="16">
        <f t="shared" ca="1" si="39"/>
        <v>477.61666666666662</v>
      </c>
      <c r="N1222" s="16">
        <f t="shared" ca="1" si="40"/>
        <v>419.61666666666662</v>
      </c>
    </row>
    <row r="1223" spans="1:14" ht="24.75" customHeight="1" x14ac:dyDescent="0.8">
      <c r="A1223" s="18" t="s">
        <v>1186</v>
      </c>
      <c r="B1223" s="10">
        <f ca="1">IFERROR(__xludf.DUMMYFUNCTION("GOOGLEFINANCE(A1223,""PRICE"")"),147.9)</f>
        <v>147.9</v>
      </c>
      <c r="C1223" s="11">
        <f ca="1">IFERROR(__xludf.DUMMYFUNCTION("GOOGLEFINANCE(A1223,""PRICEOPEN"")"),142.4)</f>
        <v>142.4</v>
      </c>
      <c r="D1223" s="11">
        <f ca="1">IFERROR(__xludf.DUMMYFUNCTION("GOOGLEFINANCE(A1223,""HIGH"")"),149.95)</f>
        <v>149.94999999999999</v>
      </c>
      <c r="E1223" s="11">
        <f ca="1">IFERROR(__xludf.DUMMYFUNCTION("GOOGLEFINANCE(A1223,""LOW"")"),140.48)</f>
        <v>140.47999999999999</v>
      </c>
      <c r="F1223" s="12" t="str">
        <f t="shared" ca="1" si="35"/>
        <v/>
      </c>
      <c r="G1223" s="13">
        <f ca="1">IFERROR(__xludf.DUMMYFUNCTION("GOOGLEFINANCE(A1223,""CLOSEYEST"")"),141.15)</f>
        <v>141.15</v>
      </c>
      <c r="H1223" s="14" t="str">
        <f t="shared" ca="1" si="41"/>
        <v/>
      </c>
      <c r="I1223" s="15">
        <f t="shared" ca="1" si="36"/>
        <v>143.85999999999999</v>
      </c>
      <c r="J1223" s="16">
        <f t="shared" ca="1" si="37"/>
        <v>147.23999999999998</v>
      </c>
      <c r="K1223" s="16"/>
      <c r="L1223" s="16">
        <f t="shared" ca="1" si="38"/>
        <v>137.76999999999998</v>
      </c>
      <c r="M1223" s="16">
        <f t="shared" ca="1" si="39"/>
        <v>153.32999999999998</v>
      </c>
      <c r="N1223" s="16">
        <f t="shared" ca="1" si="40"/>
        <v>134.38999999999999</v>
      </c>
    </row>
    <row r="1224" spans="1:14" ht="24.75" customHeight="1" x14ac:dyDescent="0.8">
      <c r="A1224" s="18" t="s">
        <v>1187</v>
      </c>
      <c r="B1224" s="10">
        <f ca="1">IFERROR(__xludf.DUMMYFUNCTION("GOOGLEFINANCE(A1224,""PRICE"")"),306.5)</f>
        <v>306.5</v>
      </c>
      <c r="C1224" s="11">
        <f ca="1">IFERROR(__xludf.DUMMYFUNCTION("GOOGLEFINANCE(A1224,""PRICEOPEN"")"),298.75)</f>
        <v>298.75</v>
      </c>
      <c r="D1224" s="11">
        <f ca="1">IFERROR(__xludf.DUMMYFUNCTION("GOOGLEFINANCE(A1224,""HIGH"")"),306.5)</f>
        <v>306.5</v>
      </c>
      <c r="E1224" s="11">
        <f ca="1">IFERROR(__xludf.DUMMYFUNCTION("GOOGLEFINANCE(A1224,""LOW"")"),298)</f>
        <v>298</v>
      </c>
      <c r="F1224" s="12" t="str">
        <f t="shared" ca="1" si="35"/>
        <v/>
      </c>
      <c r="G1224" s="13">
        <f ca="1">IFERROR(__xludf.DUMMYFUNCTION("GOOGLEFINANCE(A1224,""CLOSEYEST"")"),293.25)</f>
        <v>293.25</v>
      </c>
      <c r="H1224" s="14" t="str">
        <f t="shared" ca="1" si="41"/>
        <v>GAP UP</v>
      </c>
      <c r="I1224" s="15">
        <f t="shared" ca="1" si="36"/>
        <v>299.25</v>
      </c>
      <c r="J1224" s="16">
        <f t="shared" ca="1" si="37"/>
        <v>300.5</v>
      </c>
      <c r="K1224" s="16"/>
      <c r="L1224" s="16">
        <f t="shared" ca="1" si="38"/>
        <v>292</v>
      </c>
      <c r="M1224" s="16">
        <f t="shared" ca="1" si="39"/>
        <v>307.75</v>
      </c>
      <c r="N1224" s="16">
        <f t="shared" ca="1" si="40"/>
        <v>290.75</v>
      </c>
    </row>
    <row r="1225" spans="1:14" ht="24.75" customHeight="1" x14ac:dyDescent="0.8">
      <c r="A1225" s="18" t="s">
        <v>1188</v>
      </c>
      <c r="B1225" s="10">
        <f ca="1">IFERROR(__xludf.DUMMYFUNCTION("GOOGLEFINANCE(A1225,""PRICE"")"),23.08)</f>
        <v>23.08</v>
      </c>
      <c r="C1225" s="11">
        <f ca="1">IFERROR(__xludf.DUMMYFUNCTION("GOOGLEFINANCE(A1225,""PRICEOPEN"")"),23.3)</f>
        <v>23.3</v>
      </c>
      <c r="D1225" s="11">
        <f ca="1">IFERROR(__xludf.DUMMYFUNCTION("GOOGLEFINANCE(A1225,""HIGH"")"),23.7)</f>
        <v>23.7</v>
      </c>
      <c r="E1225" s="11">
        <f ca="1">IFERROR(__xludf.DUMMYFUNCTION("GOOGLEFINANCE(A1225,""LOW"")"),22.8)</f>
        <v>22.8</v>
      </c>
      <c r="F1225" s="12" t="str">
        <f t="shared" ca="1" si="35"/>
        <v/>
      </c>
      <c r="G1225" s="13">
        <f ca="1">IFERROR(__xludf.DUMMYFUNCTION("GOOGLEFINANCE(A1225,""CLOSEYEST"")"),23.05)</f>
        <v>23.05</v>
      </c>
      <c r="H1225" s="14" t="str">
        <f t="shared" ca="1" si="41"/>
        <v>GAP UP</v>
      </c>
      <c r="I1225" s="15">
        <f t="shared" ca="1" si="36"/>
        <v>23.183333333333334</v>
      </c>
      <c r="J1225" s="16">
        <f t="shared" ca="1" si="37"/>
        <v>23.566666666666666</v>
      </c>
      <c r="K1225" s="16"/>
      <c r="L1225" s="16">
        <f t="shared" ca="1" si="38"/>
        <v>22.666666666666668</v>
      </c>
      <c r="M1225" s="16">
        <f t="shared" ca="1" si="39"/>
        <v>24.083333333333332</v>
      </c>
      <c r="N1225" s="16">
        <f t="shared" ca="1" si="40"/>
        <v>22.283333333333335</v>
      </c>
    </row>
    <row r="1226" spans="1:14" ht="24.75" customHeight="1" x14ac:dyDescent="0.8">
      <c r="A1226" s="18" t="s">
        <v>1189</v>
      </c>
      <c r="B1226" s="10" t="str">
        <f ca="1">IFERROR(__xludf.DUMMYFUNCTION("GOOGLEFINANCE(A1226,""PRICE"")"),"#N/A")</f>
        <v>#N/A</v>
      </c>
      <c r="C1226" s="11" t="str">
        <f ca="1">IFERROR(__xludf.DUMMYFUNCTION("GOOGLEFINANCE(A1226,""PRICEOPEN"")"),"#N/A")</f>
        <v>#N/A</v>
      </c>
      <c r="D1226" s="11" t="str">
        <f ca="1">IFERROR(__xludf.DUMMYFUNCTION("GOOGLEFINANCE(A1226,""HIGH"")"),"#N/A")</f>
        <v>#N/A</v>
      </c>
      <c r="E1226" s="11" t="str">
        <f ca="1">IFERROR(__xludf.DUMMYFUNCTION("GOOGLEFINANCE(A1226,""LOW"")"),"#N/A")</f>
        <v>#N/A</v>
      </c>
      <c r="F1226" s="12" t="str">
        <f t="shared" ca="1" si="35"/>
        <v>SELL</v>
      </c>
      <c r="G1226" s="13" t="str">
        <f ca="1">IFERROR(__xludf.DUMMYFUNCTION("GOOGLEFINANCE(A1226,""CLOSEYEST"")"),"#N/A")</f>
        <v>#N/A</v>
      </c>
      <c r="H1226" s="14" t="e">
        <f t="shared" ca="1" si="41"/>
        <v>#VALUE!</v>
      </c>
      <c r="I1226" s="15" t="e">
        <f t="shared" ca="1" si="36"/>
        <v>#VALUE!</v>
      </c>
      <c r="J1226" s="16" t="e">
        <f t="shared" ca="1" si="37"/>
        <v>#VALUE!</v>
      </c>
      <c r="K1226" s="16"/>
      <c r="L1226" s="16" t="e">
        <f t="shared" ca="1" si="38"/>
        <v>#VALUE!</v>
      </c>
      <c r="M1226" s="16" t="e">
        <f t="shared" ca="1" si="39"/>
        <v>#VALUE!</v>
      </c>
      <c r="N1226" s="16" t="e">
        <f t="shared" ca="1" si="40"/>
        <v>#VALUE!</v>
      </c>
    </row>
    <row r="1227" spans="1:14" ht="24.75" customHeight="1" x14ac:dyDescent="0.8">
      <c r="A1227" s="18" t="s">
        <v>1190</v>
      </c>
      <c r="B1227" s="10" t="str">
        <f ca="1">IFERROR(__xludf.DUMMYFUNCTION("GOOGLEFINANCE(A1227,""PRICE"")"),"#N/A")</f>
        <v>#N/A</v>
      </c>
      <c r="C1227" s="11" t="str">
        <f ca="1">IFERROR(__xludf.DUMMYFUNCTION("GOOGLEFINANCE(A1227,""PRICEOPEN"")"),"#N/A")</f>
        <v>#N/A</v>
      </c>
      <c r="D1227" s="11" t="str">
        <f ca="1">IFERROR(__xludf.DUMMYFUNCTION("GOOGLEFINANCE(A1227,""HIGH"")"),"#N/A")</f>
        <v>#N/A</v>
      </c>
      <c r="E1227" s="11" t="str">
        <f ca="1">IFERROR(__xludf.DUMMYFUNCTION("GOOGLEFINANCE(A1227,""LOW"")"),"#N/A")</f>
        <v>#N/A</v>
      </c>
      <c r="F1227" s="12" t="str">
        <f t="shared" ca="1" si="35"/>
        <v>SELL</v>
      </c>
      <c r="G1227" s="13" t="str">
        <f ca="1">IFERROR(__xludf.DUMMYFUNCTION("GOOGLEFINANCE(A1227,""CLOSEYEST"")"),"#N/A")</f>
        <v>#N/A</v>
      </c>
      <c r="H1227" s="14" t="e">
        <f t="shared" ca="1" si="41"/>
        <v>#VALUE!</v>
      </c>
      <c r="I1227" s="15" t="e">
        <f t="shared" ca="1" si="36"/>
        <v>#VALUE!</v>
      </c>
      <c r="J1227" s="16" t="e">
        <f t="shared" ca="1" si="37"/>
        <v>#VALUE!</v>
      </c>
      <c r="K1227" s="16"/>
      <c r="L1227" s="16" t="e">
        <f t="shared" ca="1" si="38"/>
        <v>#VALUE!</v>
      </c>
      <c r="M1227" s="16" t="e">
        <f t="shared" ca="1" si="39"/>
        <v>#VALUE!</v>
      </c>
      <c r="N1227" s="16" t="e">
        <f t="shared" ca="1" si="40"/>
        <v>#VALUE!</v>
      </c>
    </row>
    <row r="1228" spans="1:14" ht="24.75" customHeight="1" x14ac:dyDescent="0.8">
      <c r="A1228" s="18" t="s">
        <v>1191</v>
      </c>
      <c r="B1228" s="10">
        <f ca="1">IFERROR(__xludf.DUMMYFUNCTION("GOOGLEFINANCE(A1228,""PRICE"")"),424.1)</f>
        <v>424.1</v>
      </c>
      <c r="C1228" s="11">
        <f ca="1">IFERROR(__xludf.DUMMYFUNCTION("GOOGLEFINANCE(A1228,""PRICEOPEN"")"),428)</f>
        <v>428</v>
      </c>
      <c r="D1228" s="11">
        <f ca="1">IFERROR(__xludf.DUMMYFUNCTION("GOOGLEFINANCE(A1228,""HIGH"")"),449.75)</f>
        <v>449.75</v>
      </c>
      <c r="E1228" s="11">
        <f ca="1">IFERROR(__xludf.DUMMYFUNCTION("GOOGLEFINANCE(A1228,""LOW"")"),422.55)</f>
        <v>422.55</v>
      </c>
      <c r="F1228" s="12" t="str">
        <f t="shared" ca="1" si="35"/>
        <v/>
      </c>
      <c r="G1228" s="13">
        <f ca="1">IFERROR(__xludf.DUMMYFUNCTION("GOOGLEFINANCE(A1228,""CLOSEYEST"")"),427.55)</f>
        <v>427.55</v>
      </c>
      <c r="H1228" s="14" t="str">
        <f t="shared" ca="1" si="41"/>
        <v/>
      </c>
      <c r="I1228" s="15">
        <f t="shared" ca="1" si="36"/>
        <v>433.2833333333333</v>
      </c>
      <c r="J1228" s="16">
        <f t="shared" ca="1" si="37"/>
        <v>444.01666666666659</v>
      </c>
      <c r="K1228" s="16"/>
      <c r="L1228" s="16">
        <f t="shared" ca="1" si="38"/>
        <v>416.81666666666661</v>
      </c>
      <c r="M1228" s="16">
        <f t="shared" ca="1" si="39"/>
        <v>460.48333333333329</v>
      </c>
      <c r="N1228" s="16">
        <f t="shared" ca="1" si="40"/>
        <v>406.08333333333331</v>
      </c>
    </row>
    <row r="1229" spans="1:14" ht="24.75" customHeight="1" x14ac:dyDescent="0.8">
      <c r="A1229" s="18" t="s">
        <v>1192</v>
      </c>
      <c r="B1229" s="10">
        <f ca="1">IFERROR(__xludf.DUMMYFUNCTION("GOOGLEFINANCE(A1229,""PRICE"")"),165.83)</f>
        <v>165.83</v>
      </c>
      <c r="C1229" s="11">
        <f ca="1">IFERROR(__xludf.DUMMYFUNCTION("GOOGLEFINANCE(A1229,""PRICEOPEN"")"),164.7)</f>
        <v>164.7</v>
      </c>
      <c r="D1229" s="11">
        <f ca="1">IFERROR(__xludf.DUMMYFUNCTION("GOOGLEFINANCE(A1229,""HIGH"")"),169.68)</f>
        <v>169.68</v>
      </c>
      <c r="E1229" s="11">
        <f ca="1">IFERROR(__xludf.DUMMYFUNCTION("GOOGLEFINANCE(A1229,""LOW"")"),163.98)</f>
        <v>163.98</v>
      </c>
      <c r="F1229" s="12" t="str">
        <f t="shared" ca="1" si="35"/>
        <v/>
      </c>
      <c r="G1229" s="13">
        <f ca="1">IFERROR(__xludf.DUMMYFUNCTION("GOOGLEFINANCE(A1229,""CLOSEYEST"")"),164.01)</f>
        <v>164.01</v>
      </c>
      <c r="H1229" s="14" t="str">
        <f t="shared" ca="1" si="41"/>
        <v/>
      </c>
      <c r="I1229" s="15">
        <f t="shared" ca="1" si="36"/>
        <v>165.89</v>
      </c>
      <c r="J1229" s="16">
        <f t="shared" ca="1" si="37"/>
        <v>167.79999999999998</v>
      </c>
      <c r="K1229" s="16"/>
      <c r="L1229" s="16">
        <f t="shared" ca="1" si="38"/>
        <v>162.09999999999997</v>
      </c>
      <c r="M1229" s="16">
        <f t="shared" ca="1" si="39"/>
        <v>171.59</v>
      </c>
      <c r="N1229" s="16">
        <f t="shared" ca="1" si="40"/>
        <v>160.18999999999997</v>
      </c>
    </row>
    <row r="1230" spans="1:14" ht="24.75" customHeight="1" x14ac:dyDescent="0.8">
      <c r="A1230" s="18" t="s">
        <v>1193</v>
      </c>
      <c r="B1230" s="10">
        <f ca="1">IFERROR(__xludf.DUMMYFUNCTION("GOOGLEFINANCE(A1230,""PRICE"")"),35.07)</f>
        <v>35.07</v>
      </c>
      <c r="C1230" s="11">
        <f ca="1">IFERROR(__xludf.DUMMYFUNCTION("GOOGLEFINANCE(A1230,""PRICEOPEN"")"),34.99)</f>
        <v>34.99</v>
      </c>
      <c r="D1230" s="11">
        <f ca="1">IFERROR(__xludf.DUMMYFUNCTION("GOOGLEFINANCE(A1230,""HIGH"")"),36.12)</f>
        <v>36.119999999999997</v>
      </c>
      <c r="E1230" s="11">
        <f ca="1">IFERROR(__xludf.DUMMYFUNCTION("GOOGLEFINANCE(A1230,""LOW"")"),34.44)</f>
        <v>34.44</v>
      </c>
      <c r="F1230" s="12" t="str">
        <f t="shared" ca="1" si="35"/>
        <v/>
      </c>
      <c r="G1230" s="13">
        <f ca="1">IFERROR(__xludf.DUMMYFUNCTION("GOOGLEFINANCE(A1230,""CLOSEYEST"")"),35.3)</f>
        <v>35.299999999999997</v>
      </c>
      <c r="H1230" s="14" t="str">
        <f t="shared" ca="1" si="41"/>
        <v/>
      </c>
      <c r="I1230" s="15">
        <f t="shared" ca="1" si="36"/>
        <v>35.286666666666669</v>
      </c>
      <c r="J1230" s="16">
        <f t="shared" ca="1" si="37"/>
        <v>36.13333333333334</v>
      </c>
      <c r="K1230" s="16"/>
      <c r="L1230" s="16">
        <f t="shared" ca="1" si="38"/>
        <v>34.45333333333334</v>
      </c>
      <c r="M1230" s="16">
        <f t="shared" ca="1" si="39"/>
        <v>36.966666666666669</v>
      </c>
      <c r="N1230" s="16">
        <f t="shared" ca="1" si="40"/>
        <v>33.606666666666669</v>
      </c>
    </row>
    <row r="1231" spans="1:14" ht="24.75" customHeight="1" x14ac:dyDescent="0.8">
      <c r="A1231" s="18" t="s">
        <v>1194</v>
      </c>
      <c r="B1231" s="10">
        <f ca="1">IFERROR(__xludf.DUMMYFUNCTION("GOOGLEFINANCE(A1231,""PRICE"")"),141.06)</f>
        <v>141.06</v>
      </c>
      <c r="C1231" s="11">
        <f ca="1">IFERROR(__xludf.DUMMYFUNCTION("GOOGLEFINANCE(A1231,""PRICEOPEN"")"),140.45)</f>
        <v>140.44999999999999</v>
      </c>
      <c r="D1231" s="11">
        <f ca="1">IFERROR(__xludf.DUMMYFUNCTION("GOOGLEFINANCE(A1231,""HIGH"")"),143)</f>
        <v>143</v>
      </c>
      <c r="E1231" s="11">
        <f ca="1">IFERROR(__xludf.DUMMYFUNCTION("GOOGLEFINANCE(A1231,""LOW"")"),139.61)</f>
        <v>139.61000000000001</v>
      </c>
      <c r="F1231" s="12" t="str">
        <f t="shared" ca="1" si="35"/>
        <v/>
      </c>
      <c r="G1231" s="13">
        <f ca="1">IFERROR(__xludf.DUMMYFUNCTION("GOOGLEFINANCE(A1231,""CLOSEYEST"")"),139.4)</f>
        <v>139.4</v>
      </c>
      <c r="H1231" s="14" t="str">
        <f t="shared" ca="1" si="41"/>
        <v/>
      </c>
      <c r="I1231" s="15">
        <f t="shared" ca="1" si="36"/>
        <v>140.66999999999999</v>
      </c>
      <c r="J1231" s="16">
        <f t="shared" ca="1" si="37"/>
        <v>141.72999999999996</v>
      </c>
      <c r="K1231" s="16"/>
      <c r="L1231" s="16">
        <f t="shared" ca="1" si="38"/>
        <v>138.33999999999997</v>
      </c>
      <c r="M1231" s="16">
        <f t="shared" ca="1" si="39"/>
        <v>144.05999999999997</v>
      </c>
      <c r="N1231" s="16">
        <f t="shared" ca="1" si="40"/>
        <v>137.28</v>
      </c>
    </row>
    <row r="1232" spans="1:14" ht="24.75" customHeight="1" x14ac:dyDescent="0.8">
      <c r="A1232" s="18" t="s">
        <v>1195</v>
      </c>
      <c r="B1232" s="10">
        <f ca="1">IFERROR(__xludf.DUMMYFUNCTION("GOOGLEFINANCE(A1232,""PRICE"")"),490.9)</f>
        <v>490.9</v>
      </c>
      <c r="C1232" s="11">
        <f ca="1">IFERROR(__xludf.DUMMYFUNCTION("GOOGLEFINANCE(A1232,""PRICEOPEN"")"),492.8)</f>
        <v>492.8</v>
      </c>
      <c r="D1232" s="11">
        <f ca="1">IFERROR(__xludf.DUMMYFUNCTION("GOOGLEFINANCE(A1232,""HIGH"")"),492.8)</f>
        <v>492.8</v>
      </c>
      <c r="E1232" s="11">
        <f ca="1">IFERROR(__xludf.DUMMYFUNCTION("GOOGLEFINANCE(A1232,""LOW"")"),485.55)</f>
        <v>485.55</v>
      </c>
      <c r="F1232" s="12" t="str">
        <f t="shared" ca="1" si="35"/>
        <v>SELL</v>
      </c>
      <c r="G1232" s="13">
        <f ca="1">IFERROR(__xludf.DUMMYFUNCTION("GOOGLEFINANCE(A1232,""CLOSEYEST"")"),490.2)</f>
        <v>490.2</v>
      </c>
      <c r="H1232" s="14" t="str">
        <f t="shared" ca="1" si="41"/>
        <v/>
      </c>
      <c r="I1232" s="15">
        <f t="shared" ca="1" si="36"/>
        <v>489.51666666666665</v>
      </c>
      <c r="J1232" s="16">
        <f t="shared" ca="1" si="37"/>
        <v>493.48333333333329</v>
      </c>
      <c r="K1232" s="16"/>
      <c r="L1232" s="16">
        <f t="shared" ca="1" si="38"/>
        <v>486.23333333333329</v>
      </c>
      <c r="M1232" s="16">
        <f t="shared" ca="1" si="39"/>
        <v>496.76666666666665</v>
      </c>
      <c r="N1232" s="16">
        <f t="shared" ca="1" si="40"/>
        <v>482.26666666666665</v>
      </c>
    </row>
    <row r="1233" spans="1:14" ht="24.75" customHeight="1" x14ac:dyDescent="0.8">
      <c r="A1233" s="18" t="s">
        <v>1196</v>
      </c>
      <c r="B1233" s="10">
        <f ca="1">IFERROR(__xludf.DUMMYFUNCTION("GOOGLEFINANCE(A1233,""PRICE"")"),3.59)</f>
        <v>3.59</v>
      </c>
      <c r="C1233" s="11">
        <f ca="1">IFERROR(__xludf.DUMMYFUNCTION("GOOGLEFINANCE(A1233,""PRICEOPEN"")"),3.56)</f>
        <v>3.56</v>
      </c>
      <c r="D1233" s="11">
        <f ca="1">IFERROR(__xludf.DUMMYFUNCTION("GOOGLEFINANCE(A1233,""HIGH"")"),3.59)</f>
        <v>3.59</v>
      </c>
      <c r="E1233" s="11">
        <f ca="1">IFERROR(__xludf.DUMMYFUNCTION("GOOGLEFINANCE(A1233,""LOW"")"),3.46)</f>
        <v>3.46</v>
      </c>
      <c r="F1233" s="12" t="str">
        <f t="shared" ca="1" si="35"/>
        <v/>
      </c>
      <c r="G1233" s="13">
        <f ca="1">IFERROR(__xludf.DUMMYFUNCTION("GOOGLEFINANCE(A1233,""CLOSEYEST"")"),3.52)</f>
        <v>3.52</v>
      </c>
      <c r="H1233" s="14" t="str">
        <f t="shared" ca="1" si="41"/>
        <v>GAP UP</v>
      </c>
      <c r="I1233" s="15">
        <f t="shared" ca="1" si="36"/>
        <v>3.5233333333333334</v>
      </c>
      <c r="J1233" s="16">
        <f t="shared" ca="1" si="37"/>
        <v>3.5866666666666669</v>
      </c>
      <c r="K1233" s="16"/>
      <c r="L1233" s="16">
        <f t="shared" ca="1" si="38"/>
        <v>3.456666666666667</v>
      </c>
      <c r="M1233" s="16">
        <f t="shared" ca="1" si="39"/>
        <v>3.6533333333333333</v>
      </c>
      <c r="N1233" s="16">
        <f t="shared" ca="1" si="40"/>
        <v>3.3933333333333335</v>
      </c>
    </row>
    <row r="1234" spans="1:14" ht="24.75" customHeight="1" x14ac:dyDescent="0.8">
      <c r="A1234" s="18" t="s">
        <v>1197</v>
      </c>
      <c r="B1234" s="10">
        <f ca="1">IFERROR(__xludf.DUMMYFUNCTION("GOOGLEFINANCE(A1234,""PRICE"")"),384.95)</f>
        <v>384.95</v>
      </c>
      <c r="C1234" s="11">
        <f ca="1">IFERROR(__xludf.DUMMYFUNCTION("GOOGLEFINANCE(A1234,""PRICEOPEN"")"),392)</f>
        <v>392</v>
      </c>
      <c r="D1234" s="11">
        <f ca="1">IFERROR(__xludf.DUMMYFUNCTION("GOOGLEFINANCE(A1234,""HIGH"")"),392)</f>
        <v>392</v>
      </c>
      <c r="E1234" s="11">
        <f ca="1">IFERROR(__xludf.DUMMYFUNCTION("GOOGLEFINANCE(A1234,""LOW"")"),382.3)</f>
        <v>382.3</v>
      </c>
      <c r="F1234" s="12" t="str">
        <f t="shared" ca="1" si="35"/>
        <v>SELL</v>
      </c>
      <c r="G1234" s="13">
        <f ca="1">IFERROR(__xludf.DUMMYFUNCTION("GOOGLEFINANCE(A1234,""CLOSEYEST"")"),396.35)</f>
        <v>396.35</v>
      </c>
      <c r="H1234" s="14" t="str">
        <f t="shared" ca="1" si="41"/>
        <v>GAP DOWN</v>
      </c>
      <c r="I1234" s="15">
        <f t="shared" ca="1" si="36"/>
        <v>390.2166666666667</v>
      </c>
      <c r="J1234" s="16">
        <f t="shared" ca="1" si="37"/>
        <v>398.13333333333338</v>
      </c>
      <c r="K1234" s="16"/>
      <c r="L1234" s="16">
        <f t="shared" ca="1" si="38"/>
        <v>388.43333333333339</v>
      </c>
      <c r="M1234" s="16">
        <f t="shared" ca="1" si="39"/>
        <v>399.91666666666669</v>
      </c>
      <c r="N1234" s="16">
        <f t="shared" ca="1" si="40"/>
        <v>380.51666666666671</v>
      </c>
    </row>
    <row r="1235" spans="1:14" ht="24.75" customHeight="1" x14ac:dyDescent="0.8">
      <c r="A1235" s="18" t="s">
        <v>1198</v>
      </c>
      <c r="B1235" s="10">
        <f ca="1">IFERROR(__xludf.DUMMYFUNCTION("GOOGLEFINANCE(A1235,""PRICE"")"),43.59)</f>
        <v>43.59</v>
      </c>
      <c r="C1235" s="11">
        <f ca="1">IFERROR(__xludf.DUMMYFUNCTION("GOOGLEFINANCE(A1235,""PRICEOPEN"")"),44)</f>
        <v>44</v>
      </c>
      <c r="D1235" s="11">
        <f ca="1">IFERROR(__xludf.DUMMYFUNCTION("GOOGLEFINANCE(A1235,""HIGH"")"),44)</f>
        <v>44</v>
      </c>
      <c r="E1235" s="11">
        <f ca="1">IFERROR(__xludf.DUMMYFUNCTION("GOOGLEFINANCE(A1235,""LOW"")"),42.41)</f>
        <v>42.41</v>
      </c>
      <c r="F1235" s="12" t="str">
        <f t="shared" ca="1" si="35"/>
        <v>SELL</v>
      </c>
      <c r="G1235" s="13">
        <f ca="1">IFERROR(__xludf.DUMMYFUNCTION("GOOGLEFINANCE(A1235,""CLOSEYEST"")"),42.82)</f>
        <v>42.82</v>
      </c>
      <c r="H1235" s="14" t="str">
        <f t="shared" ca="1" si="41"/>
        <v>GAP UP</v>
      </c>
      <c r="I1235" s="15">
        <f t="shared" ca="1" si="36"/>
        <v>43.076666666666661</v>
      </c>
      <c r="J1235" s="16">
        <f t="shared" ca="1" si="37"/>
        <v>43.743333333333325</v>
      </c>
      <c r="K1235" s="16"/>
      <c r="L1235" s="16">
        <f t="shared" ca="1" si="38"/>
        <v>42.153333333333322</v>
      </c>
      <c r="M1235" s="16">
        <f t="shared" ca="1" si="39"/>
        <v>44.666666666666664</v>
      </c>
      <c r="N1235" s="16">
        <f t="shared" ca="1" si="40"/>
        <v>41.486666666666657</v>
      </c>
    </row>
    <row r="1236" spans="1:14" ht="24.75" customHeight="1" x14ac:dyDescent="0.8">
      <c r="A1236" s="18" t="s">
        <v>1199</v>
      </c>
      <c r="B1236" s="10">
        <f ca="1">IFERROR(__xludf.DUMMYFUNCTION("GOOGLEFINANCE(A1236,""PRICE"")"),23.1)</f>
        <v>23.1</v>
      </c>
      <c r="C1236" s="11">
        <f ca="1">IFERROR(__xludf.DUMMYFUNCTION("GOOGLEFINANCE(A1236,""PRICEOPEN"")"),22.55)</f>
        <v>22.55</v>
      </c>
      <c r="D1236" s="11">
        <f ca="1">IFERROR(__xludf.DUMMYFUNCTION("GOOGLEFINANCE(A1236,""HIGH"")"),23.34)</f>
        <v>23.34</v>
      </c>
      <c r="E1236" s="11">
        <f ca="1">IFERROR(__xludf.DUMMYFUNCTION("GOOGLEFINANCE(A1236,""LOW"")"),22.35)</f>
        <v>22.35</v>
      </c>
      <c r="F1236" s="12" t="str">
        <f t="shared" ca="1" si="35"/>
        <v/>
      </c>
      <c r="G1236" s="13">
        <f ca="1">IFERROR(__xludf.DUMMYFUNCTION("GOOGLEFINANCE(A1236,""CLOSEYEST"")"),22.61)</f>
        <v>22.61</v>
      </c>
      <c r="H1236" s="14" t="str">
        <f t="shared" ca="1" si="41"/>
        <v/>
      </c>
      <c r="I1236" s="15">
        <f t="shared" ca="1" si="36"/>
        <v>22.766666666666666</v>
      </c>
      <c r="J1236" s="16">
        <f t="shared" ca="1" si="37"/>
        <v>23.18333333333333</v>
      </c>
      <c r="K1236" s="16"/>
      <c r="L1236" s="16">
        <f t="shared" ca="1" si="38"/>
        <v>22.193333333333332</v>
      </c>
      <c r="M1236" s="16">
        <f t="shared" ca="1" si="39"/>
        <v>23.756666666666664</v>
      </c>
      <c r="N1236" s="16">
        <f t="shared" ca="1" si="40"/>
        <v>21.776666666666667</v>
      </c>
    </row>
    <row r="1237" spans="1:14" ht="24.75" customHeight="1" x14ac:dyDescent="0.8">
      <c r="A1237" s="18" t="s">
        <v>1200</v>
      </c>
      <c r="B1237" s="10">
        <f ca="1">IFERROR(__xludf.DUMMYFUNCTION("GOOGLEFINANCE(A1237,""PRICE"")"),124.98)</f>
        <v>124.98</v>
      </c>
      <c r="C1237" s="11">
        <f ca="1">IFERROR(__xludf.DUMMYFUNCTION("GOOGLEFINANCE(A1237,""PRICEOPEN"")"),122)</f>
        <v>122</v>
      </c>
      <c r="D1237" s="11">
        <f ca="1">IFERROR(__xludf.DUMMYFUNCTION("GOOGLEFINANCE(A1237,""HIGH"")"),127.18)</f>
        <v>127.18</v>
      </c>
      <c r="E1237" s="11">
        <f ca="1">IFERROR(__xludf.DUMMYFUNCTION("GOOGLEFINANCE(A1237,""LOW"")"),121.92)</f>
        <v>121.92</v>
      </c>
      <c r="F1237" s="12" t="str">
        <f t="shared" ca="1" si="35"/>
        <v/>
      </c>
      <c r="G1237" s="13">
        <f ca="1">IFERROR(__xludf.DUMMYFUNCTION("GOOGLEFINANCE(A1237,""CLOSEYEST"")"),122.69)</f>
        <v>122.69</v>
      </c>
      <c r="H1237" s="14" t="str">
        <f t="shared" ca="1" si="41"/>
        <v/>
      </c>
      <c r="I1237" s="15">
        <f t="shared" ca="1" si="36"/>
        <v>123.93</v>
      </c>
      <c r="J1237" s="16">
        <f t="shared" ca="1" si="37"/>
        <v>125.94000000000001</v>
      </c>
      <c r="K1237" s="16"/>
      <c r="L1237" s="16">
        <f t="shared" ca="1" si="38"/>
        <v>120.68</v>
      </c>
      <c r="M1237" s="16">
        <f t="shared" ca="1" si="39"/>
        <v>129.19</v>
      </c>
      <c r="N1237" s="16">
        <f t="shared" ca="1" si="40"/>
        <v>118.67</v>
      </c>
    </row>
    <row r="1238" spans="1:14" ht="24.75" customHeight="1" x14ac:dyDescent="0.8">
      <c r="A1238" s="18" t="s">
        <v>1201</v>
      </c>
      <c r="B1238" s="10">
        <f ca="1">IFERROR(__xludf.DUMMYFUNCTION("GOOGLEFINANCE(A1238,""PRICE"")"),228.75)</f>
        <v>228.75</v>
      </c>
      <c r="C1238" s="11">
        <f ca="1">IFERROR(__xludf.DUMMYFUNCTION("GOOGLEFINANCE(A1238,""PRICEOPEN"")"),232.9)</f>
        <v>232.9</v>
      </c>
      <c r="D1238" s="11">
        <f ca="1">IFERROR(__xludf.DUMMYFUNCTION("GOOGLEFINANCE(A1238,""HIGH"")"),232.9)</f>
        <v>232.9</v>
      </c>
      <c r="E1238" s="11">
        <f ca="1">IFERROR(__xludf.DUMMYFUNCTION("GOOGLEFINANCE(A1238,""LOW"")"),226.51)</f>
        <v>226.51</v>
      </c>
      <c r="F1238" s="12" t="str">
        <f t="shared" ca="1" si="35"/>
        <v>SELL</v>
      </c>
      <c r="G1238" s="13">
        <f ca="1">IFERROR(__xludf.DUMMYFUNCTION("GOOGLEFINANCE(A1238,""CLOSEYEST"")"),228.35)</f>
        <v>228.35</v>
      </c>
      <c r="H1238" s="14" t="str">
        <f t="shared" ca="1" si="41"/>
        <v>GAP UP</v>
      </c>
      <c r="I1238" s="15">
        <f t="shared" ca="1" si="36"/>
        <v>229.25333333333333</v>
      </c>
      <c r="J1238" s="16">
        <f t="shared" ca="1" si="37"/>
        <v>231.99666666666667</v>
      </c>
      <c r="K1238" s="16"/>
      <c r="L1238" s="16">
        <f t="shared" ca="1" si="38"/>
        <v>225.60666666666665</v>
      </c>
      <c r="M1238" s="16">
        <f t="shared" ca="1" si="39"/>
        <v>235.64333333333335</v>
      </c>
      <c r="N1238" s="16">
        <f t="shared" ca="1" si="40"/>
        <v>222.86333333333332</v>
      </c>
    </row>
    <row r="1239" spans="1:14" ht="24.75" customHeight="1" x14ac:dyDescent="0.8">
      <c r="A1239" s="18" t="s">
        <v>1202</v>
      </c>
      <c r="B1239" s="10" t="str">
        <f ca="1">IFERROR(__xludf.DUMMYFUNCTION("GOOGLEFINANCE(A1239,""PRICE"")"),"#N/A")</f>
        <v>#N/A</v>
      </c>
      <c r="C1239" s="11" t="str">
        <f ca="1">IFERROR(__xludf.DUMMYFUNCTION("GOOGLEFINANCE(A1239,""PRICEOPEN"")"),"#N/A")</f>
        <v>#N/A</v>
      </c>
      <c r="D1239" s="11" t="str">
        <f ca="1">IFERROR(__xludf.DUMMYFUNCTION("GOOGLEFINANCE(A1239,""HIGH"")"),"#N/A")</f>
        <v>#N/A</v>
      </c>
      <c r="E1239" s="11" t="str">
        <f ca="1">IFERROR(__xludf.DUMMYFUNCTION("GOOGLEFINANCE(A1239,""LOW"")"),"#N/A")</f>
        <v>#N/A</v>
      </c>
      <c r="F1239" s="12" t="str">
        <f t="shared" ca="1" si="35"/>
        <v>SELL</v>
      </c>
      <c r="G1239" s="13" t="str">
        <f ca="1">IFERROR(__xludf.DUMMYFUNCTION("GOOGLEFINANCE(A1239,""CLOSEYEST"")"),"#N/A")</f>
        <v>#N/A</v>
      </c>
      <c r="H1239" s="14" t="e">
        <f t="shared" ca="1" si="41"/>
        <v>#VALUE!</v>
      </c>
      <c r="I1239" s="15" t="e">
        <f t="shared" ca="1" si="36"/>
        <v>#VALUE!</v>
      </c>
      <c r="J1239" s="16" t="e">
        <f t="shared" ca="1" si="37"/>
        <v>#VALUE!</v>
      </c>
      <c r="K1239" s="16"/>
      <c r="L1239" s="16" t="e">
        <f t="shared" ca="1" si="38"/>
        <v>#VALUE!</v>
      </c>
      <c r="M1239" s="16" t="e">
        <f t="shared" ca="1" si="39"/>
        <v>#VALUE!</v>
      </c>
      <c r="N1239" s="16" t="e">
        <f t="shared" ca="1" si="40"/>
        <v>#VALUE!</v>
      </c>
    </row>
    <row r="1240" spans="1:14" ht="24.75" customHeight="1" x14ac:dyDescent="0.8">
      <c r="A1240" s="18" t="s">
        <v>1203</v>
      </c>
      <c r="B1240" s="10">
        <f ca="1">IFERROR(__xludf.DUMMYFUNCTION("GOOGLEFINANCE(A1240,""PRICE"")"),45)</f>
        <v>45</v>
      </c>
      <c r="C1240" s="11">
        <f ca="1">IFERROR(__xludf.DUMMYFUNCTION("GOOGLEFINANCE(A1240,""PRICEOPEN"")"),44.05)</f>
        <v>44.05</v>
      </c>
      <c r="D1240" s="11">
        <f ca="1">IFERROR(__xludf.DUMMYFUNCTION("GOOGLEFINANCE(A1240,""HIGH"")"),46)</f>
        <v>46</v>
      </c>
      <c r="E1240" s="11">
        <f ca="1">IFERROR(__xludf.DUMMYFUNCTION("GOOGLEFINANCE(A1240,""LOW"")"),44)</f>
        <v>44</v>
      </c>
      <c r="F1240" s="12" t="str">
        <f t="shared" ca="1" si="35"/>
        <v/>
      </c>
      <c r="G1240" s="13">
        <f ca="1">IFERROR(__xludf.DUMMYFUNCTION("GOOGLEFINANCE(A1240,""CLOSEYEST"")"),45.04)</f>
        <v>45.04</v>
      </c>
      <c r="H1240" s="14" t="str">
        <f t="shared" ca="1" si="41"/>
        <v>GAP DOWN</v>
      </c>
      <c r="I1240" s="15">
        <f t="shared" ca="1" si="36"/>
        <v>45.013333333333328</v>
      </c>
      <c r="J1240" s="16">
        <f t="shared" ca="1" si="37"/>
        <v>46.026666666666657</v>
      </c>
      <c r="K1240" s="16"/>
      <c r="L1240" s="16">
        <f t="shared" ca="1" si="38"/>
        <v>44.026666666666657</v>
      </c>
      <c r="M1240" s="16">
        <f t="shared" ca="1" si="39"/>
        <v>47.013333333333328</v>
      </c>
      <c r="N1240" s="16">
        <f t="shared" ca="1" si="40"/>
        <v>43.013333333333328</v>
      </c>
    </row>
    <row r="1241" spans="1:14" ht="24.75" customHeight="1" x14ac:dyDescent="0.8">
      <c r="A1241" s="18" t="s">
        <v>1204</v>
      </c>
      <c r="B1241" s="10">
        <f ca="1">IFERROR(__xludf.DUMMYFUNCTION("GOOGLEFINANCE(A1241,""PRICE"")"),71.21)</f>
        <v>71.209999999999994</v>
      </c>
      <c r="C1241" s="11">
        <f ca="1">IFERROR(__xludf.DUMMYFUNCTION("GOOGLEFINANCE(A1241,""PRICEOPEN"")"),70.06)</f>
        <v>70.06</v>
      </c>
      <c r="D1241" s="11">
        <f ca="1">IFERROR(__xludf.DUMMYFUNCTION("GOOGLEFINANCE(A1241,""HIGH"")"),72.95)</f>
        <v>72.95</v>
      </c>
      <c r="E1241" s="11">
        <f ca="1">IFERROR(__xludf.DUMMYFUNCTION("GOOGLEFINANCE(A1241,""LOW"")"),70.06)</f>
        <v>70.06</v>
      </c>
      <c r="F1241" s="12" t="str">
        <f t="shared" ca="1" si="35"/>
        <v>BUY</v>
      </c>
      <c r="G1241" s="13">
        <f ca="1">IFERROR(__xludf.DUMMYFUNCTION("GOOGLEFINANCE(A1241,""CLOSEYEST"")"),71.3)</f>
        <v>71.3</v>
      </c>
      <c r="H1241" s="14" t="str">
        <f t="shared" ca="1" si="41"/>
        <v>GAP DOWN</v>
      </c>
      <c r="I1241" s="15">
        <f t="shared" ca="1" si="36"/>
        <v>71.436666666666667</v>
      </c>
      <c r="J1241" s="16">
        <f t="shared" ca="1" si="37"/>
        <v>72.813333333333333</v>
      </c>
      <c r="K1241" s="16"/>
      <c r="L1241" s="16">
        <f t="shared" ca="1" si="38"/>
        <v>69.923333333333332</v>
      </c>
      <c r="M1241" s="16">
        <f t="shared" ca="1" si="39"/>
        <v>74.326666666666668</v>
      </c>
      <c r="N1241" s="16">
        <f t="shared" ca="1" si="40"/>
        <v>68.546666666666667</v>
      </c>
    </row>
    <row r="1242" spans="1:14" ht="24.75" customHeight="1" x14ac:dyDescent="0.8">
      <c r="A1242" s="18" t="s">
        <v>1205</v>
      </c>
      <c r="B1242" s="10">
        <f ca="1">IFERROR(__xludf.DUMMYFUNCTION("GOOGLEFINANCE(A1242,""PRICE"")"),565)</f>
        <v>565</v>
      </c>
      <c r="C1242" s="11">
        <f ca="1">IFERROR(__xludf.DUMMYFUNCTION("GOOGLEFINANCE(A1242,""PRICEOPEN"")"),545.6)</f>
        <v>545.6</v>
      </c>
      <c r="D1242" s="11">
        <f ca="1">IFERROR(__xludf.DUMMYFUNCTION("GOOGLEFINANCE(A1242,""HIGH"")"),569.1)</f>
        <v>569.1</v>
      </c>
      <c r="E1242" s="11">
        <f ca="1">IFERROR(__xludf.DUMMYFUNCTION("GOOGLEFINANCE(A1242,""LOW"")"),545.6)</f>
        <v>545.6</v>
      </c>
      <c r="F1242" s="12" t="str">
        <f t="shared" ca="1" si="35"/>
        <v>BUY</v>
      </c>
      <c r="G1242" s="13">
        <f ca="1">IFERROR(__xludf.DUMMYFUNCTION("GOOGLEFINANCE(A1242,""CLOSEYEST"")"),545.8)</f>
        <v>545.79999999999995</v>
      </c>
      <c r="H1242" s="14" t="str">
        <f t="shared" ca="1" si="41"/>
        <v/>
      </c>
      <c r="I1242" s="15">
        <f t="shared" ca="1" si="36"/>
        <v>553.5</v>
      </c>
      <c r="J1242" s="16">
        <f t="shared" ca="1" si="37"/>
        <v>561.4</v>
      </c>
      <c r="K1242" s="16"/>
      <c r="L1242" s="16">
        <f t="shared" ca="1" si="38"/>
        <v>537.9</v>
      </c>
      <c r="M1242" s="16">
        <f t="shared" ca="1" si="39"/>
        <v>577</v>
      </c>
      <c r="N1242" s="16">
        <f t="shared" ca="1" si="40"/>
        <v>530</v>
      </c>
    </row>
    <row r="1243" spans="1:14" ht="24.75" customHeight="1" x14ac:dyDescent="0.8">
      <c r="A1243" s="18" t="s">
        <v>1206</v>
      </c>
      <c r="B1243" s="10" t="str">
        <f ca="1">IFERROR(__xludf.DUMMYFUNCTION("GOOGLEFINANCE(A1243,""PRICE"")"),"#N/A")</f>
        <v>#N/A</v>
      </c>
      <c r="C1243" s="11" t="str">
        <f ca="1">IFERROR(__xludf.DUMMYFUNCTION("GOOGLEFINANCE(A1243,""PRICEOPEN"")"),"#N/A")</f>
        <v>#N/A</v>
      </c>
      <c r="D1243" s="11" t="str">
        <f ca="1">IFERROR(__xludf.DUMMYFUNCTION("GOOGLEFINANCE(A1243,""HIGH"")"),"#N/A")</f>
        <v>#N/A</v>
      </c>
      <c r="E1243" s="11" t="str">
        <f ca="1">IFERROR(__xludf.DUMMYFUNCTION("GOOGLEFINANCE(A1243,""LOW"")"),"#N/A")</f>
        <v>#N/A</v>
      </c>
      <c r="F1243" s="12" t="str">
        <f t="shared" ca="1" si="35"/>
        <v>SELL</v>
      </c>
      <c r="G1243" s="13" t="str">
        <f ca="1">IFERROR(__xludf.DUMMYFUNCTION("GOOGLEFINANCE(A1243,""CLOSEYEST"")"),"#N/A")</f>
        <v>#N/A</v>
      </c>
      <c r="H1243" s="14" t="e">
        <f t="shared" ca="1" si="41"/>
        <v>#VALUE!</v>
      </c>
      <c r="I1243" s="15" t="e">
        <f t="shared" ca="1" si="36"/>
        <v>#VALUE!</v>
      </c>
      <c r="J1243" s="16" t="e">
        <f t="shared" ca="1" si="37"/>
        <v>#VALUE!</v>
      </c>
      <c r="K1243" s="16"/>
      <c r="L1243" s="16" t="e">
        <f t="shared" ca="1" si="38"/>
        <v>#VALUE!</v>
      </c>
      <c r="M1243" s="16" t="e">
        <f t="shared" ca="1" si="39"/>
        <v>#VALUE!</v>
      </c>
      <c r="N1243" s="16" t="e">
        <f t="shared" ca="1" si="40"/>
        <v>#VALUE!</v>
      </c>
    </row>
    <row r="1244" spans="1:14" ht="24.75" customHeight="1" x14ac:dyDescent="0.8">
      <c r="A1244" s="18" t="s">
        <v>1207</v>
      </c>
      <c r="B1244" s="10">
        <f ca="1">IFERROR(__xludf.DUMMYFUNCTION("GOOGLEFINANCE(A1244,""PRICE"")"),31.7)</f>
        <v>31.7</v>
      </c>
      <c r="C1244" s="11">
        <f ca="1">IFERROR(__xludf.DUMMYFUNCTION("GOOGLEFINANCE(A1244,""PRICEOPEN"")"),31.6)</f>
        <v>31.6</v>
      </c>
      <c r="D1244" s="11">
        <f ca="1">IFERROR(__xludf.DUMMYFUNCTION("GOOGLEFINANCE(A1244,""HIGH"")"),32)</f>
        <v>32</v>
      </c>
      <c r="E1244" s="11">
        <f ca="1">IFERROR(__xludf.DUMMYFUNCTION("GOOGLEFINANCE(A1244,""LOW"")"),31.31)</f>
        <v>31.31</v>
      </c>
      <c r="F1244" s="12" t="str">
        <f t="shared" ca="1" si="35"/>
        <v/>
      </c>
      <c r="G1244" s="13">
        <f ca="1">IFERROR(__xludf.DUMMYFUNCTION("GOOGLEFINANCE(A1244,""CLOSEYEST"")"),31.69)</f>
        <v>31.69</v>
      </c>
      <c r="H1244" s="14" t="str">
        <f t="shared" ca="1" si="41"/>
        <v/>
      </c>
      <c r="I1244" s="15">
        <f t="shared" ca="1" si="36"/>
        <v>31.666666666666668</v>
      </c>
      <c r="J1244" s="16">
        <f t="shared" ca="1" si="37"/>
        <v>32.023333333333341</v>
      </c>
      <c r="K1244" s="16"/>
      <c r="L1244" s="16">
        <f t="shared" ca="1" si="38"/>
        <v>31.333333333333336</v>
      </c>
      <c r="M1244" s="16">
        <f t="shared" ca="1" si="39"/>
        <v>32.356666666666669</v>
      </c>
      <c r="N1244" s="16">
        <f t="shared" ca="1" si="40"/>
        <v>30.976666666666663</v>
      </c>
    </row>
    <row r="1245" spans="1:14" ht="24.75" customHeight="1" x14ac:dyDescent="0.8">
      <c r="A1245" s="18" t="s">
        <v>1208</v>
      </c>
      <c r="B1245" s="10">
        <f ca="1">IFERROR(__xludf.DUMMYFUNCTION("GOOGLEFINANCE(A1245,""PRICE"")"),1706.2)</f>
        <v>1706.2</v>
      </c>
      <c r="C1245" s="11">
        <f ca="1">IFERROR(__xludf.DUMMYFUNCTION("GOOGLEFINANCE(A1245,""PRICEOPEN"")"),1630)</f>
        <v>1630</v>
      </c>
      <c r="D1245" s="11">
        <f ca="1">IFERROR(__xludf.DUMMYFUNCTION("GOOGLEFINANCE(A1245,""HIGH"")"),1706.2)</f>
        <v>1706.2</v>
      </c>
      <c r="E1245" s="11">
        <f ca="1">IFERROR(__xludf.DUMMYFUNCTION("GOOGLEFINANCE(A1245,""LOW"")"),1600.9)</f>
        <v>1600.9</v>
      </c>
      <c r="F1245" s="12" t="str">
        <f t="shared" ca="1" si="35"/>
        <v/>
      </c>
      <c r="G1245" s="13">
        <f ca="1">IFERROR(__xludf.DUMMYFUNCTION("GOOGLEFINANCE(A1245,""CLOSEYEST"")"),1625)</f>
        <v>1625</v>
      </c>
      <c r="H1245" s="14" t="str">
        <f t="shared" ca="1" si="41"/>
        <v/>
      </c>
      <c r="I1245" s="15">
        <f t="shared" ca="1" si="36"/>
        <v>1644.0333333333335</v>
      </c>
      <c r="J1245" s="16">
        <f t="shared" ca="1" si="37"/>
        <v>1687.166666666667</v>
      </c>
      <c r="K1245" s="16"/>
      <c r="L1245" s="16">
        <f t="shared" ca="1" si="38"/>
        <v>1581.866666666667</v>
      </c>
      <c r="M1245" s="16">
        <f t="shared" ca="1" si="39"/>
        <v>1749.3333333333335</v>
      </c>
      <c r="N1245" s="16">
        <f t="shared" ca="1" si="40"/>
        <v>1538.7333333333336</v>
      </c>
    </row>
    <row r="1246" spans="1:14" ht="24.75" customHeight="1" x14ac:dyDescent="0.8">
      <c r="A1246" s="18" t="s">
        <v>1209</v>
      </c>
      <c r="B1246" s="10">
        <f ca="1">IFERROR(__xludf.DUMMYFUNCTION("GOOGLEFINANCE(A1246,""PRICE"")"),140.5)</f>
        <v>140.5</v>
      </c>
      <c r="C1246" s="11">
        <f ca="1">IFERROR(__xludf.DUMMYFUNCTION("GOOGLEFINANCE(A1246,""PRICEOPEN"")"),133.91)</f>
        <v>133.91</v>
      </c>
      <c r="D1246" s="11">
        <f ca="1">IFERROR(__xludf.DUMMYFUNCTION("GOOGLEFINANCE(A1246,""HIGH"")"),141.66)</f>
        <v>141.66</v>
      </c>
      <c r="E1246" s="11">
        <f ca="1">IFERROR(__xludf.DUMMYFUNCTION("GOOGLEFINANCE(A1246,""LOW"")"),133.91)</f>
        <v>133.91</v>
      </c>
      <c r="F1246" s="12" t="str">
        <f t="shared" ca="1" si="35"/>
        <v>BUY</v>
      </c>
      <c r="G1246" s="13">
        <f ca="1">IFERROR(__xludf.DUMMYFUNCTION("GOOGLEFINANCE(A1246,""CLOSEYEST"")"),135.26)</f>
        <v>135.26</v>
      </c>
      <c r="H1246" s="14" t="str">
        <f t="shared" ca="1" si="41"/>
        <v/>
      </c>
      <c r="I1246" s="15">
        <f t="shared" ca="1" si="36"/>
        <v>136.94333333333333</v>
      </c>
      <c r="J1246" s="16">
        <f t="shared" ca="1" si="37"/>
        <v>139.97666666666666</v>
      </c>
      <c r="K1246" s="16"/>
      <c r="L1246" s="16">
        <f t="shared" ca="1" si="38"/>
        <v>132.22666666666666</v>
      </c>
      <c r="M1246" s="16">
        <f t="shared" ca="1" si="39"/>
        <v>144.69333333333333</v>
      </c>
      <c r="N1246" s="16">
        <f t="shared" ca="1" si="40"/>
        <v>129.19333333333333</v>
      </c>
    </row>
    <row r="1247" spans="1:14" ht="24.75" customHeight="1" x14ac:dyDescent="0.8">
      <c r="A1247" s="18" t="s">
        <v>1210</v>
      </c>
      <c r="B1247" s="10">
        <f ca="1">IFERROR(__xludf.DUMMYFUNCTION("GOOGLEFINANCE(A1247,""PRICE"")"),176.65)</f>
        <v>176.65</v>
      </c>
      <c r="C1247" s="11">
        <f ca="1">IFERROR(__xludf.DUMMYFUNCTION("GOOGLEFINANCE(A1247,""PRICEOPEN"")"),173.83)</f>
        <v>173.83</v>
      </c>
      <c r="D1247" s="11">
        <f ca="1">IFERROR(__xludf.DUMMYFUNCTION("GOOGLEFINANCE(A1247,""HIGH"")"),176.89)</f>
        <v>176.89</v>
      </c>
      <c r="E1247" s="11">
        <f ca="1">IFERROR(__xludf.DUMMYFUNCTION("GOOGLEFINANCE(A1247,""LOW"")"),172.79)</f>
        <v>172.79</v>
      </c>
      <c r="F1247" s="12" t="str">
        <f t="shared" ca="1" si="35"/>
        <v/>
      </c>
      <c r="G1247" s="13">
        <f ca="1">IFERROR(__xludf.DUMMYFUNCTION("GOOGLEFINANCE(A1247,""CLOSEYEST"")"),173.83)</f>
        <v>173.83</v>
      </c>
      <c r="H1247" s="14" t="str">
        <f t="shared" ca="1" si="41"/>
        <v/>
      </c>
      <c r="I1247" s="15">
        <f t="shared" ca="1" si="36"/>
        <v>174.50333333333333</v>
      </c>
      <c r="J1247" s="16">
        <f t="shared" ca="1" si="37"/>
        <v>176.21666666666667</v>
      </c>
      <c r="K1247" s="16"/>
      <c r="L1247" s="16">
        <f t="shared" ca="1" si="38"/>
        <v>172.11666666666667</v>
      </c>
      <c r="M1247" s="16">
        <f t="shared" ca="1" si="39"/>
        <v>178.60333333333332</v>
      </c>
      <c r="N1247" s="16">
        <f t="shared" ca="1" si="40"/>
        <v>170.40333333333334</v>
      </c>
    </row>
    <row r="1248" spans="1:14" ht="24.75" customHeight="1" x14ac:dyDescent="0.8">
      <c r="A1248" s="18" t="s">
        <v>1211</v>
      </c>
      <c r="B1248" s="10">
        <f ca="1">IFERROR(__xludf.DUMMYFUNCTION("GOOGLEFINANCE(A1248,""PRICE"")"),1684.6)</f>
        <v>1684.6</v>
      </c>
      <c r="C1248" s="11">
        <f ca="1">IFERROR(__xludf.DUMMYFUNCTION("GOOGLEFINANCE(A1248,""PRICEOPEN"")"),1675)</f>
        <v>1675</v>
      </c>
      <c r="D1248" s="11">
        <f ca="1">IFERROR(__xludf.DUMMYFUNCTION("GOOGLEFINANCE(A1248,""HIGH"")"),1709.9)</f>
        <v>1709.9</v>
      </c>
      <c r="E1248" s="11">
        <f ca="1">IFERROR(__xludf.DUMMYFUNCTION("GOOGLEFINANCE(A1248,""LOW"")"),1666.2)</f>
        <v>1666.2</v>
      </c>
      <c r="F1248" s="12" t="str">
        <f t="shared" ca="1" si="35"/>
        <v/>
      </c>
      <c r="G1248" s="13">
        <f ca="1">IFERROR(__xludf.DUMMYFUNCTION("GOOGLEFINANCE(A1248,""CLOSEYEST"")"),1673.7)</f>
        <v>1673.7</v>
      </c>
      <c r="H1248" s="14" t="str">
        <f t="shared" ca="1" si="41"/>
        <v/>
      </c>
      <c r="I1248" s="15">
        <f t="shared" ca="1" si="36"/>
        <v>1683.2666666666667</v>
      </c>
      <c r="J1248" s="16">
        <f t="shared" ca="1" si="37"/>
        <v>1700.3333333333333</v>
      </c>
      <c r="K1248" s="16"/>
      <c r="L1248" s="16">
        <f t="shared" ca="1" si="38"/>
        <v>1656.6333333333332</v>
      </c>
      <c r="M1248" s="16">
        <f t="shared" ca="1" si="39"/>
        <v>1726.9666666666667</v>
      </c>
      <c r="N1248" s="16">
        <f t="shared" ca="1" si="40"/>
        <v>1639.5666666666666</v>
      </c>
    </row>
    <row r="1249" spans="1:14" ht="24.75" customHeight="1" x14ac:dyDescent="0.8">
      <c r="A1249" s="18" t="s">
        <v>1212</v>
      </c>
      <c r="B1249" s="10">
        <f ca="1">IFERROR(__xludf.DUMMYFUNCTION("GOOGLEFINANCE(A1249,""PRICE"")"),218.26)</f>
        <v>218.26</v>
      </c>
      <c r="C1249" s="11">
        <f ca="1">IFERROR(__xludf.DUMMYFUNCTION("GOOGLEFINANCE(A1249,""PRICEOPEN"")"),216.01)</f>
        <v>216.01</v>
      </c>
      <c r="D1249" s="11">
        <f ca="1">IFERROR(__xludf.DUMMYFUNCTION("GOOGLEFINANCE(A1249,""HIGH"")"),220.84)</f>
        <v>220.84</v>
      </c>
      <c r="E1249" s="11">
        <f ca="1">IFERROR(__xludf.DUMMYFUNCTION("GOOGLEFINANCE(A1249,""LOW"")"),215.65)</f>
        <v>215.65</v>
      </c>
      <c r="F1249" s="12" t="str">
        <f t="shared" ca="1" si="35"/>
        <v/>
      </c>
      <c r="G1249" s="13">
        <f ca="1">IFERROR(__xludf.DUMMYFUNCTION("GOOGLEFINANCE(A1249,""CLOSEYEST"")"),218.01)</f>
        <v>218.01</v>
      </c>
      <c r="H1249" s="14" t="str">
        <f t="shared" ca="1" si="41"/>
        <v/>
      </c>
      <c r="I1249" s="15">
        <f t="shared" ca="1" si="36"/>
        <v>218.16666666666666</v>
      </c>
      <c r="J1249" s="16">
        <f t="shared" ca="1" si="37"/>
        <v>220.68333333333331</v>
      </c>
      <c r="K1249" s="16"/>
      <c r="L1249" s="16">
        <f t="shared" ca="1" si="38"/>
        <v>215.49333333333331</v>
      </c>
      <c r="M1249" s="16">
        <f t="shared" ca="1" si="39"/>
        <v>223.35666666666665</v>
      </c>
      <c r="N1249" s="16">
        <f t="shared" ca="1" si="40"/>
        <v>212.97666666666666</v>
      </c>
    </row>
    <row r="1250" spans="1:14" ht="24.75" customHeight="1" x14ac:dyDescent="0.8">
      <c r="A1250" s="18" t="s">
        <v>1213</v>
      </c>
      <c r="B1250" s="10">
        <f ca="1">IFERROR(__xludf.DUMMYFUNCTION("GOOGLEFINANCE(A1250,""PRICE"")"),42.55)</f>
        <v>42.55</v>
      </c>
      <c r="C1250" s="11">
        <f ca="1">IFERROR(__xludf.DUMMYFUNCTION("GOOGLEFINANCE(A1250,""PRICEOPEN"")"),41.91)</f>
        <v>41.91</v>
      </c>
      <c r="D1250" s="11">
        <f ca="1">IFERROR(__xludf.DUMMYFUNCTION("GOOGLEFINANCE(A1250,""HIGH"")"),42.95)</f>
        <v>42.95</v>
      </c>
      <c r="E1250" s="11">
        <f ca="1">IFERROR(__xludf.DUMMYFUNCTION("GOOGLEFINANCE(A1250,""LOW"")"),41.91)</f>
        <v>41.91</v>
      </c>
      <c r="F1250" s="12" t="str">
        <f t="shared" ca="1" si="35"/>
        <v>BUY</v>
      </c>
      <c r="G1250" s="13">
        <f ca="1">IFERROR(__xludf.DUMMYFUNCTION("GOOGLEFINANCE(A1250,""CLOSEYEST"")"),41.91)</f>
        <v>41.91</v>
      </c>
      <c r="H1250" s="14" t="str">
        <f t="shared" ca="1" si="41"/>
        <v/>
      </c>
      <c r="I1250" s="15">
        <f t="shared" ca="1" si="36"/>
        <v>42.256666666666668</v>
      </c>
      <c r="J1250" s="16">
        <f t="shared" ca="1" si="37"/>
        <v>42.603333333333339</v>
      </c>
      <c r="K1250" s="16"/>
      <c r="L1250" s="16">
        <f t="shared" ca="1" si="38"/>
        <v>41.563333333333333</v>
      </c>
      <c r="M1250" s="16">
        <f t="shared" ca="1" si="39"/>
        <v>43.296666666666674</v>
      </c>
      <c r="N1250" s="16">
        <f t="shared" ca="1" si="40"/>
        <v>41.216666666666661</v>
      </c>
    </row>
    <row r="1251" spans="1:14" ht="24.75" customHeight="1" x14ac:dyDescent="0.8">
      <c r="A1251" s="18" t="s">
        <v>1214</v>
      </c>
      <c r="B1251" s="10">
        <f ca="1">IFERROR(__xludf.DUMMYFUNCTION("GOOGLEFINANCE(A1251,""PRICE"")"),11.34)</f>
        <v>11.34</v>
      </c>
      <c r="C1251" s="11">
        <f ca="1">IFERROR(__xludf.DUMMYFUNCTION("GOOGLEFINANCE(A1251,""PRICEOPEN"")"),11.34)</f>
        <v>11.34</v>
      </c>
      <c r="D1251" s="11">
        <f ca="1">IFERROR(__xludf.DUMMYFUNCTION("GOOGLEFINANCE(A1251,""HIGH"")"),11.34)</f>
        <v>11.34</v>
      </c>
      <c r="E1251" s="11">
        <f ca="1">IFERROR(__xludf.DUMMYFUNCTION("GOOGLEFINANCE(A1251,""LOW"")"),11.34)</f>
        <v>11.34</v>
      </c>
      <c r="F1251" s="12" t="str">
        <f t="shared" ca="1" si="35"/>
        <v>SELL</v>
      </c>
      <c r="G1251" s="13">
        <f ca="1">IFERROR(__xludf.DUMMYFUNCTION("GOOGLEFINANCE(A1251,""CLOSEYEST"")"),11.12)</f>
        <v>11.12</v>
      </c>
      <c r="H1251" s="14" t="str">
        <f t="shared" ca="1" si="41"/>
        <v>GAP UP</v>
      </c>
      <c r="I1251" s="15">
        <f t="shared" ca="1" si="36"/>
        <v>11.266666666666666</v>
      </c>
      <c r="J1251" s="16">
        <f t="shared" ca="1" si="37"/>
        <v>11.193333333333332</v>
      </c>
      <c r="K1251" s="16"/>
      <c r="L1251" s="16">
        <f t="shared" ca="1" si="38"/>
        <v>11.193333333333332</v>
      </c>
      <c r="M1251" s="16">
        <f t="shared" ca="1" si="39"/>
        <v>11.266666666666666</v>
      </c>
      <c r="N1251" s="16">
        <f t="shared" ca="1" si="40"/>
        <v>11.266666666666666</v>
      </c>
    </row>
    <row r="1252" spans="1:14" ht="24.75" customHeight="1" x14ac:dyDescent="0.8">
      <c r="A1252" s="18" t="s">
        <v>1215</v>
      </c>
      <c r="B1252" s="10" t="str">
        <f ca="1">IFERROR(__xludf.DUMMYFUNCTION("GOOGLEFINANCE(A1252,""PRICE"")"),"#N/A")</f>
        <v>#N/A</v>
      </c>
      <c r="C1252" s="11" t="str">
        <f ca="1">IFERROR(__xludf.DUMMYFUNCTION("GOOGLEFINANCE(A1252,""PRICEOPEN"")"),"#N/A")</f>
        <v>#N/A</v>
      </c>
      <c r="D1252" s="11" t="str">
        <f ca="1">IFERROR(__xludf.DUMMYFUNCTION("GOOGLEFINANCE(A1252,""HIGH"")"),"#N/A")</f>
        <v>#N/A</v>
      </c>
      <c r="E1252" s="11" t="str">
        <f ca="1">IFERROR(__xludf.DUMMYFUNCTION("GOOGLEFINANCE(A1252,""LOW"")"),"#N/A")</f>
        <v>#N/A</v>
      </c>
      <c r="F1252" s="12" t="str">
        <f t="shared" ca="1" si="35"/>
        <v>SELL</v>
      </c>
      <c r="G1252" s="13" t="str">
        <f ca="1">IFERROR(__xludf.DUMMYFUNCTION("GOOGLEFINANCE(A1252,""CLOSEYEST"")"),"#N/A")</f>
        <v>#N/A</v>
      </c>
      <c r="H1252" s="14" t="e">
        <f t="shared" ca="1" si="41"/>
        <v>#VALUE!</v>
      </c>
      <c r="I1252" s="15" t="e">
        <f t="shared" ca="1" si="36"/>
        <v>#VALUE!</v>
      </c>
      <c r="J1252" s="16" t="e">
        <f t="shared" ca="1" si="37"/>
        <v>#VALUE!</v>
      </c>
      <c r="K1252" s="16"/>
      <c r="L1252" s="16" t="e">
        <f t="shared" ca="1" si="38"/>
        <v>#VALUE!</v>
      </c>
      <c r="M1252" s="16" t="e">
        <f t="shared" ca="1" si="39"/>
        <v>#VALUE!</v>
      </c>
      <c r="N1252" s="16" t="e">
        <f t="shared" ca="1" si="40"/>
        <v>#VALUE!</v>
      </c>
    </row>
    <row r="1253" spans="1:14" ht="24.75" customHeight="1" x14ac:dyDescent="0.8">
      <c r="A1253" s="18" t="s">
        <v>1216</v>
      </c>
      <c r="B1253" s="10" t="str">
        <f ca="1">IFERROR(__xludf.DUMMYFUNCTION("GOOGLEFINANCE(A1253,""PRICE"")"),"#N/A")</f>
        <v>#N/A</v>
      </c>
      <c r="C1253" s="11" t="str">
        <f ca="1">IFERROR(__xludf.DUMMYFUNCTION("GOOGLEFINANCE(A1253,""PRICEOPEN"")"),"#N/A")</f>
        <v>#N/A</v>
      </c>
      <c r="D1253" s="11" t="str">
        <f ca="1">IFERROR(__xludf.DUMMYFUNCTION("GOOGLEFINANCE(A1253,""HIGH"")"),"#N/A")</f>
        <v>#N/A</v>
      </c>
      <c r="E1253" s="11" t="str">
        <f ca="1">IFERROR(__xludf.DUMMYFUNCTION("GOOGLEFINANCE(A1253,""LOW"")"),"#N/A")</f>
        <v>#N/A</v>
      </c>
      <c r="F1253" s="12" t="str">
        <f t="shared" ca="1" si="35"/>
        <v>SELL</v>
      </c>
      <c r="G1253" s="13" t="str">
        <f ca="1">IFERROR(__xludf.DUMMYFUNCTION("GOOGLEFINANCE(A1253,""CLOSEYEST"")"),"#N/A")</f>
        <v>#N/A</v>
      </c>
      <c r="H1253" s="14" t="e">
        <f t="shared" ca="1" si="41"/>
        <v>#VALUE!</v>
      </c>
      <c r="I1253" s="15" t="e">
        <f t="shared" ca="1" si="36"/>
        <v>#VALUE!</v>
      </c>
      <c r="J1253" s="16" t="e">
        <f t="shared" ca="1" si="37"/>
        <v>#VALUE!</v>
      </c>
      <c r="K1253" s="16"/>
      <c r="L1253" s="16" t="e">
        <f t="shared" ca="1" si="38"/>
        <v>#VALUE!</v>
      </c>
      <c r="M1253" s="16" t="e">
        <f t="shared" ca="1" si="39"/>
        <v>#VALUE!</v>
      </c>
      <c r="N1253" s="16" t="e">
        <f t="shared" ca="1" si="40"/>
        <v>#VALUE!</v>
      </c>
    </row>
    <row r="1254" spans="1:14" ht="24.75" customHeight="1" x14ac:dyDescent="0.8">
      <c r="A1254" s="18" t="s">
        <v>1217</v>
      </c>
      <c r="B1254" s="10">
        <f ca="1">IFERROR(__xludf.DUMMYFUNCTION("GOOGLEFINANCE(A1254,""PRICE"")"),2.03)</f>
        <v>2.0299999999999998</v>
      </c>
      <c r="C1254" s="11">
        <f ca="1">IFERROR(__xludf.DUMMYFUNCTION("GOOGLEFINANCE(A1254,""PRICEOPEN"")"),1.96)</f>
        <v>1.96</v>
      </c>
      <c r="D1254" s="11">
        <f ca="1">IFERROR(__xludf.DUMMYFUNCTION("GOOGLEFINANCE(A1254,""HIGH"")"),2.04)</f>
        <v>2.04</v>
      </c>
      <c r="E1254" s="11">
        <f ca="1">IFERROR(__xludf.DUMMYFUNCTION("GOOGLEFINANCE(A1254,""LOW"")"),1.95)</f>
        <v>1.95</v>
      </c>
      <c r="F1254" s="12" t="str">
        <f t="shared" ca="1" si="35"/>
        <v/>
      </c>
      <c r="G1254" s="13">
        <f ca="1">IFERROR(__xludf.DUMMYFUNCTION("GOOGLEFINANCE(A1254,""CLOSEYEST"")"),1.96)</f>
        <v>1.96</v>
      </c>
      <c r="H1254" s="14" t="str">
        <f t="shared" ca="1" si="41"/>
        <v/>
      </c>
      <c r="I1254" s="15">
        <f t="shared" ca="1" si="36"/>
        <v>1.9833333333333334</v>
      </c>
      <c r="J1254" s="16">
        <f t="shared" ca="1" si="37"/>
        <v>2.0166666666666666</v>
      </c>
      <c r="K1254" s="16"/>
      <c r="L1254" s="16">
        <f t="shared" ca="1" si="38"/>
        <v>1.9266666666666667</v>
      </c>
      <c r="M1254" s="16">
        <f t="shared" ca="1" si="39"/>
        <v>2.0733333333333333</v>
      </c>
      <c r="N1254" s="16">
        <f t="shared" ca="1" si="40"/>
        <v>1.8933333333333335</v>
      </c>
    </row>
    <row r="1255" spans="1:14" ht="24.75" customHeight="1" x14ac:dyDescent="0.8">
      <c r="A1255" s="18" t="s">
        <v>1218</v>
      </c>
      <c r="B1255" s="10">
        <f ca="1">IFERROR(__xludf.DUMMYFUNCTION("GOOGLEFINANCE(A1255,""PRICE"")"),94.89)</f>
        <v>94.89</v>
      </c>
      <c r="C1255" s="11">
        <f ca="1">IFERROR(__xludf.DUMMYFUNCTION("GOOGLEFINANCE(A1255,""PRICEOPEN"")"),93.02)</f>
        <v>93.02</v>
      </c>
      <c r="D1255" s="11">
        <f ca="1">IFERROR(__xludf.DUMMYFUNCTION("GOOGLEFINANCE(A1255,""HIGH"")"),95.78)</f>
        <v>95.78</v>
      </c>
      <c r="E1255" s="11">
        <f ca="1">IFERROR(__xludf.DUMMYFUNCTION("GOOGLEFINANCE(A1255,""LOW"")"),93.02)</f>
        <v>93.02</v>
      </c>
      <c r="F1255" s="12" t="str">
        <f t="shared" ca="1" si="35"/>
        <v>BUY</v>
      </c>
      <c r="G1255" s="13">
        <f ca="1">IFERROR(__xludf.DUMMYFUNCTION("GOOGLEFINANCE(A1255,""CLOSEYEST"")"),94.04)</f>
        <v>94.04</v>
      </c>
      <c r="H1255" s="14" t="str">
        <f t="shared" ca="1" si="41"/>
        <v>GAP DOWN</v>
      </c>
      <c r="I1255" s="15">
        <f t="shared" ca="1" si="36"/>
        <v>94.280000000000015</v>
      </c>
      <c r="J1255" s="16">
        <f t="shared" ca="1" si="37"/>
        <v>95.540000000000035</v>
      </c>
      <c r="K1255" s="16"/>
      <c r="L1255" s="16">
        <f t="shared" ca="1" si="38"/>
        <v>92.78000000000003</v>
      </c>
      <c r="M1255" s="16">
        <f t="shared" ca="1" si="39"/>
        <v>97.04000000000002</v>
      </c>
      <c r="N1255" s="16">
        <f t="shared" ca="1" si="40"/>
        <v>91.52000000000001</v>
      </c>
    </row>
    <row r="1256" spans="1:14" ht="24.75" customHeight="1" x14ac:dyDescent="0.8">
      <c r="A1256" s="18" t="s">
        <v>1219</v>
      </c>
      <c r="B1256" s="10">
        <f ca="1">IFERROR(__xludf.DUMMYFUNCTION("GOOGLEFINANCE(A1256,""PRICE"")"),91.49)</f>
        <v>91.49</v>
      </c>
      <c r="C1256" s="11">
        <f ca="1">IFERROR(__xludf.DUMMYFUNCTION("GOOGLEFINANCE(A1256,""PRICEOPEN"")"),91.5)</f>
        <v>91.5</v>
      </c>
      <c r="D1256" s="11">
        <f ca="1">IFERROR(__xludf.DUMMYFUNCTION("GOOGLEFINANCE(A1256,""HIGH"")"),91.5)</f>
        <v>91.5</v>
      </c>
      <c r="E1256" s="11">
        <f ca="1">IFERROR(__xludf.DUMMYFUNCTION("GOOGLEFINANCE(A1256,""LOW"")"),91.49)</f>
        <v>91.49</v>
      </c>
      <c r="F1256" s="12" t="str">
        <f t="shared" ca="1" si="35"/>
        <v>SELL</v>
      </c>
      <c r="G1256" s="13">
        <f ca="1">IFERROR(__xludf.DUMMYFUNCTION("GOOGLEFINANCE(A1256,""CLOSEYEST"")"),91.47)</f>
        <v>91.47</v>
      </c>
      <c r="H1256" s="14" t="str">
        <f t="shared" ca="1" si="41"/>
        <v/>
      </c>
      <c r="I1256" s="15">
        <f t="shared" ca="1" si="36"/>
        <v>91.486666666666679</v>
      </c>
      <c r="J1256" s="16">
        <f t="shared" ca="1" si="37"/>
        <v>91.483333333333363</v>
      </c>
      <c r="K1256" s="16"/>
      <c r="L1256" s="16">
        <f t="shared" ca="1" si="38"/>
        <v>91.473333333333358</v>
      </c>
      <c r="M1256" s="16">
        <f t="shared" ca="1" si="39"/>
        <v>91.496666666666684</v>
      </c>
      <c r="N1256" s="16">
        <f t="shared" ca="1" si="40"/>
        <v>91.476666666666674</v>
      </c>
    </row>
    <row r="1257" spans="1:14" ht="24.75" customHeight="1" x14ac:dyDescent="0.8">
      <c r="A1257" s="18" t="s">
        <v>1220</v>
      </c>
      <c r="B1257" s="10">
        <f ca="1">IFERROR(__xludf.DUMMYFUNCTION("GOOGLEFINANCE(A1257,""PRICE"")"),785.5)</f>
        <v>785.5</v>
      </c>
      <c r="C1257" s="11">
        <f ca="1">IFERROR(__xludf.DUMMYFUNCTION("GOOGLEFINANCE(A1257,""PRICEOPEN"")"),784.95)</f>
        <v>784.95</v>
      </c>
      <c r="D1257" s="11">
        <f ca="1">IFERROR(__xludf.DUMMYFUNCTION("GOOGLEFINANCE(A1257,""HIGH"")"),789.9)</f>
        <v>789.9</v>
      </c>
      <c r="E1257" s="11">
        <f ca="1">IFERROR(__xludf.DUMMYFUNCTION("GOOGLEFINANCE(A1257,""LOW"")"),777.25)</f>
        <v>777.25</v>
      </c>
      <c r="F1257" s="12" t="str">
        <f t="shared" ca="1" si="35"/>
        <v/>
      </c>
      <c r="G1257" s="13">
        <f ca="1">IFERROR(__xludf.DUMMYFUNCTION("GOOGLEFINANCE(A1257,""CLOSEYEST"")"),776.55)</f>
        <v>776.55</v>
      </c>
      <c r="H1257" s="14" t="str">
        <f t="shared" ca="1" si="41"/>
        <v>GAP UP</v>
      </c>
      <c r="I1257" s="15">
        <f t="shared" ca="1" si="36"/>
        <v>781.23333333333323</v>
      </c>
      <c r="J1257" s="16">
        <f t="shared" ca="1" si="37"/>
        <v>785.21666666666647</v>
      </c>
      <c r="K1257" s="16"/>
      <c r="L1257" s="16">
        <f t="shared" ca="1" si="38"/>
        <v>772.56666666666649</v>
      </c>
      <c r="M1257" s="16">
        <f t="shared" ca="1" si="39"/>
        <v>793.88333333333321</v>
      </c>
      <c r="N1257" s="16">
        <f t="shared" ca="1" si="40"/>
        <v>768.58333333333326</v>
      </c>
    </row>
    <row r="1258" spans="1:14" ht="24.75" customHeight="1" x14ac:dyDescent="0.8">
      <c r="A1258" s="18" t="s">
        <v>1221</v>
      </c>
      <c r="B1258" s="10">
        <f ca="1">IFERROR(__xludf.DUMMYFUNCTION("GOOGLEFINANCE(A1258,""PRICE"")"),36.7)</f>
        <v>36.700000000000003</v>
      </c>
      <c r="C1258" s="11">
        <f ca="1">IFERROR(__xludf.DUMMYFUNCTION("GOOGLEFINANCE(A1258,""PRICEOPEN"")"),36.47)</f>
        <v>36.47</v>
      </c>
      <c r="D1258" s="11">
        <f ca="1">IFERROR(__xludf.DUMMYFUNCTION("GOOGLEFINANCE(A1258,""HIGH"")"),36.9)</f>
        <v>36.9</v>
      </c>
      <c r="E1258" s="11">
        <f ca="1">IFERROR(__xludf.DUMMYFUNCTION("GOOGLEFINANCE(A1258,""LOW"")"),36.44)</f>
        <v>36.44</v>
      </c>
      <c r="F1258" s="12" t="str">
        <f t="shared" ca="1" si="35"/>
        <v/>
      </c>
      <c r="G1258" s="13">
        <f ca="1">IFERROR(__xludf.DUMMYFUNCTION("GOOGLEFINANCE(A1258,""CLOSEYEST"")"),36.41)</f>
        <v>36.409999999999997</v>
      </c>
      <c r="H1258" s="14" t="str">
        <f t="shared" ca="1" si="41"/>
        <v/>
      </c>
      <c r="I1258" s="15">
        <f t="shared" ca="1" si="36"/>
        <v>36.583333333333336</v>
      </c>
      <c r="J1258" s="16">
        <f t="shared" ca="1" si="37"/>
        <v>36.726666666666674</v>
      </c>
      <c r="K1258" s="16"/>
      <c r="L1258" s="16">
        <f t="shared" ca="1" si="38"/>
        <v>36.266666666666673</v>
      </c>
      <c r="M1258" s="16">
        <f t="shared" ca="1" si="39"/>
        <v>37.043333333333337</v>
      </c>
      <c r="N1258" s="16">
        <f t="shared" ca="1" si="40"/>
        <v>36.123333333333335</v>
      </c>
    </row>
    <row r="1259" spans="1:14" ht="24.75" customHeight="1" x14ac:dyDescent="0.8">
      <c r="A1259" s="18" t="s">
        <v>1222</v>
      </c>
      <c r="B1259" s="10">
        <f ca="1">IFERROR(__xludf.DUMMYFUNCTION("GOOGLEFINANCE(A1259,""PRICE"")"),777.5)</f>
        <v>777.5</v>
      </c>
      <c r="C1259" s="11">
        <f ca="1">IFERROR(__xludf.DUMMYFUNCTION("GOOGLEFINANCE(A1259,""PRICEOPEN"")"),775)</f>
        <v>775</v>
      </c>
      <c r="D1259" s="11">
        <f ca="1">IFERROR(__xludf.DUMMYFUNCTION("GOOGLEFINANCE(A1259,""HIGH"")"),786.9)</f>
        <v>786.9</v>
      </c>
      <c r="E1259" s="11">
        <f ca="1">IFERROR(__xludf.DUMMYFUNCTION("GOOGLEFINANCE(A1259,""LOW"")"),766)</f>
        <v>766</v>
      </c>
      <c r="F1259" s="12" t="str">
        <f t="shared" ca="1" si="35"/>
        <v/>
      </c>
      <c r="G1259" s="13">
        <f ca="1">IFERROR(__xludf.DUMMYFUNCTION("GOOGLEFINANCE(A1259,""CLOSEYEST"")"),772.45)</f>
        <v>772.45</v>
      </c>
      <c r="H1259" s="14" t="str">
        <f t="shared" ca="1" si="41"/>
        <v/>
      </c>
      <c r="I1259" s="15">
        <f t="shared" ca="1" si="36"/>
        <v>775.11666666666679</v>
      </c>
      <c r="J1259" s="16">
        <f t="shared" ca="1" si="37"/>
        <v>784.23333333333358</v>
      </c>
      <c r="K1259" s="16"/>
      <c r="L1259" s="16">
        <f t="shared" ca="1" si="38"/>
        <v>763.3333333333336</v>
      </c>
      <c r="M1259" s="16">
        <f t="shared" ca="1" si="39"/>
        <v>796.01666666666677</v>
      </c>
      <c r="N1259" s="16">
        <f t="shared" ca="1" si="40"/>
        <v>754.21666666666681</v>
      </c>
    </row>
    <row r="1260" spans="1:14" ht="24.75" customHeight="1" x14ac:dyDescent="0.8">
      <c r="A1260" s="18" t="s">
        <v>1223</v>
      </c>
      <c r="B1260" s="10">
        <f ca="1">IFERROR(__xludf.DUMMYFUNCTION("GOOGLEFINANCE(A1260,""PRICE"")"),390.1)</f>
        <v>390.1</v>
      </c>
      <c r="C1260" s="11">
        <f ca="1">IFERROR(__xludf.DUMMYFUNCTION("GOOGLEFINANCE(A1260,""PRICEOPEN"")"),384.4)</f>
        <v>384.4</v>
      </c>
      <c r="D1260" s="11">
        <f ca="1">IFERROR(__xludf.DUMMYFUNCTION("GOOGLEFINANCE(A1260,""HIGH"")"),397.8)</f>
        <v>397.8</v>
      </c>
      <c r="E1260" s="11">
        <f ca="1">IFERROR(__xludf.DUMMYFUNCTION("GOOGLEFINANCE(A1260,""LOW"")"),384.4)</f>
        <v>384.4</v>
      </c>
      <c r="F1260" s="12" t="str">
        <f t="shared" ca="1" si="35"/>
        <v>BUY</v>
      </c>
      <c r="G1260" s="13">
        <f ca="1">IFERROR(__xludf.DUMMYFUNCTION("GOOGLEFINANCE(A1260,""CLOSEYEST"")"),388.3)</f>
        <v>388.3</v>
      </c>
      <c r="H1260" s="14" t="str">
        <f t="shared" ca="1" si="41"/>
        <v>GAP DOWN</v>
      </c>
      <c r="I1260" s="15">
        <f t="shared" ca="1" si="36"/>
        <v>390.16666666666669</v>
      </c>
      <c r="J1260" s="16">
        <f t="shared" ca="1" si="37"/>
        <v>395.93333333333339</v>
      </c>
      <c r="K1260" s="16"/>
      <c r="L1260" s="16">
        <f t="shared" ca="1" si="38"/>
        <v>382.53333333333336</v>
      </c>
      <c r="M1260" s="16">
        <f t="shared" ca="1" si="39"/>
        <v>403.56666666666672</v>
      </c>
      <c r="N1260" s="16">
        <f t="shared" ca="1" si="40"/>
        <v>376.76666666666665</v>
      </c>
    </row>
    <row r="1261" spans="1:14" ht="24.75" customHeight="1" x14ac:dyDescent="0.8">
      <c r="A1261" s="18" t="s">
        <v>1224</v>
      </c>
      <c r="B1261" s="10">
        <f ca="1">IFERROR(__xludf.DUMMYFUNCTION("GOOGLEFINANCE(A1261,""PRICE"")"),457)</f>
        <v>457</v>
      </c>
      <c r="C1261" s="11">
        <f ca="1">IFERROR(__xludf.DUMMYFUNCTION("GOOGLEFINANCE(A1261,""PRICEOPEN"")"),454.75)</f>
        <v>454.75</v>
      </c>
      <c r="D1261" s="11">
        <f ca="1">IFERROR(__xludf.DUMMYFUNCTION("GOOGLEFINANCE(A1261,""HIGH"")"),457.15)</f>
        <v>457.15</v>
      </c>
      <c r="E1261" s="11">
        <f ca="1">IFERROR(__xludf.DUMMYFUNCTION("GOOGLEFINANCE(A1261,""LOW"")"),453)</f>
        <v>453</v>
      </c>
      <c r="F1261" s="12" t="str">
        <f t="shared" ca="1" si="35"/>
        <v/>
      </c>
      <c r="G1261" s="13">
        <f ca="1">IFERROR(__xludf.DUMMYFUNCTION("GOOGLEFINANCE(A1261,""CLOSEYEST"")"),449.7)</f>
        <v>449.7</v>
      </c>
      <c r="H1261" s="14" t="str">
        <f t="shared" ca="1" si="41"/>
        <v>GAP UP</v>
      </c>
      <c r="I1261" s="15">
        <f t="shared" ca="1" si="36"/>
        <v>453.2833333333333</v>
      </c>
      <c r="J1261" s="16">
        <f t="shared" ca="1" si="37"/>
        <v>453.56666666666661</v>
      </c>
      <c r="K1261" s="16"/>
      <c r="L1261" s="16">
        <f t="shared" ca="1" si="38"/>
        <v>449.41666666666663</v>
      </c>
      <c r="M1261" s="16">
        <f t="shared" ca="1" si="39"/>
        <v>457.43333333333328</v>
      </c>
      <c r="N1261" s="16">
        <f t="shared" ca="1" si="40"/>
        <v>449.13333333333333</v>
      </c>
    </row>
    <row r="1262" spans="1:14" ht="24.75" customHeight="1" x14ac:dyDescent="0.8">
      <c r="A1262" s="18" t="s">
        <v>1225</v>
      </c>
      <c r="B1262" s="10">
        <f ca="1">IFERROR(__xludf.DUMMYFUNCTION("GOOGLEFINANCE(A1262,""PRICE"")"),344.3)</f>
        <v>344.3</v>
      </c>
      <c r="C1262" s="11">
        <f ca="1">IFERROR(__xludf.DUMMYFUNCTION("GOOGLEFINANCE(A1262,""PRICEOPEN"")"),342.45)</f>
        <v>342.45</v>
      </c>
      <c r="D1262" s="11">
        <f ca="1">IFERROR(__xludf.DUMMYFUNCTION("GOOGLEFINANCE(A1262,""HIGH"")"),351.35)</f>
        <v>351.35</v>
      </c>
      <c r="E1262" s="11">
        <f ca="1">IFERROR(__xludf.DUMMYFUNCTION("GOOGLEFINANCE(A1262,""LOW"")"),338.45)</f>
        <v>338.45</v>
      </c>
      <c r="F1262" s="12" t="str">
        <f t="shared" ca="1" si="35"/>
        <v/>
      </c>
      <c r="G1262" s="13">
        <f ca="1">IFERROR(__xludf.DUMMYFUNCTION("GOOGLEFINANCE(A1262,""CLOSEYEST"")"),344.15)</f>
        <v>344.15</v>
      </c>
      <c r="H1262" s="14" t="str">
        <f t="shared" ca="1" si="41"/>
        <v/>
      </c>
      <c r="I1262" s="15">
        <f t="shared" ca="1" si="36"/>
        <v>344.64999999999992</v>
      </c>
      <c r="J1262" s="16">
        <f t="shared" ca="1" si="37"/>
        <v>350.84999999999985</v>
      </c>
      <c r="K1262" s="16"/>
      <c r="L1262" s="16">
        <f t="shared" ca="1" si="38"/>
        <v>337.94999999999982</v>
      </c>
      <c r="M1262" s="16">
        <f t="shared" ca="1" si="39"/>
        <v>357.54999999999995</v>
      </c>
      <c r="N1262" s="16">
        <f t="shared" ca="1" si="40"/>
        <v>331.74999999999989</v>
      </c>
    </row>
    <row r="1263" spans="1:14" ht="24.75" customHeight="1" x14ac:dyDescent="0.8">
      <c r="A1263" s="18" t="s">
        <v>1226</v>
      </c>
      <c r="B1263" s="10">
        <f ca="1">IFERROR(__xludf.DUMMYFUNCTION("GOOGLEFINANCE(A1263,""PRICE"")"),7.02)</f>
        <v>7.02</v>
      </c>
      <c r="C1263" s="11">
        <f ca="1">IFERROR(__xludf.DUMMYFUNCTION("GOOGLEFINANCE(A1263,""PRICEOPEN"")"),7.04)</f>
        <v>7.04</v>
      </c>
      <c r="D1263" s="11">
        <f ca="1">IFERROR(__xludf.DUMMYFUNCTION("GOOGLEFINANCE(A1263,""HIGH"")"),7.12)</f>
        <v>7.12</v>
      </c>
      <c r="E1263" s="11">
        <f ca="1">IFERROR(__xludf.DUMMYFUNCTION("GOOGLEFINANCE(A1263,""LOW"")"),6.95)</f>
        <v>6.95</v>
      </c>
      <c r="F1263" s="12" t="str">
        <f t="shared" ca="1" si="35"/>
        <v/>
      </c>
      <c r="G1263" s="13">
        <f ca="1">IFERROR(__xludf.DUMMYFUNCTION("GOOGLEFINANCE(A1263,""CLOSEYEST"")"),7)</f>
        <v>7</v>
      </c>
      <c r="H1263" s="14" t="str">
        <f t="shared" ca="1" si="41"/>
        <v/>
      </c>
      <c r="I1263" s="15">
        <f t="shared" ca="1" si="36"/>
        <v>7.0233333333333334</v>
      </c>
      <c r="J1263" s="16">
        <f t="shared" ca="1" si="37"/>
        <v>7.0966666666666667</v>
      </c>
      <c r="K1263" s="16"/>
      <c r="L1263" s="16">
        <f t="shared" ca="1" si="38"/>
        <v>6.9266666666666667</v>
      </c>
      <c r="M1263" s="16">
        <f t="shared" ca="1" si="39"/>
        <v>7.1933333333333334</v>
      </c>
      <c r="N1263" s="16">
        <f t="shared" ca="1" si="40"/>
        <v>6.8533333333333335</v>
      </c>
    </row>
    <row r="1264" spans="1:14" ht="24.75" customHeight="1" x14ac:dyDescent="0.8">
      <c r="A1264" s="18" t="s">
        <v>1227</v>
      </c>
      <c r="B1264" s="10">
        <f ca="1">IFERROR(__xludf.DUMMYFUNCTION("GOOGLEFINANCE(A1264,""PRICE"")"),25.32)</f>
        <v>25.32</v>
      </c>
      <c r="C1264" s="11">
        <f ca="1">IFERROR(__xludf.DUMMYFUNCTION("GOOGLEFINANCE(A1264,""PRICEOPEN"")"),25.2)</f>
        <v>25.2</v>
      </c>
      <c r="D1264" s="11">
        <f ca="1">IFERROR(__xludf.DUMMYFUNCTION("GOOGLEFINANCE(A1264,""HIGH"")"),25.66)</f>
        <v>25.66</v>
      </c>
      <c r="E1264" s="11">
        <f ca="1">IFERROR(__xludf.DUMMYFUNCTION("GOOGLEFINANCE(A1264,""LOW"")"),25.02)</f>
        <v>25.02</v>
      </c>
      <c r="F1264" s="12" t="str">
        <f t="shared" ca="1" si="35"/>
        <v/>
      </c>
      <c r="G1264" s="13">
        <f ca="1">IFERROR(__xludf.DUMMYFUNCTION("GOOGLEFINANCE(A1264,""CLOSEYEST"")"),25.15)</f>
        <v>25.15</v>
      </c>
      <c r="H1264" s="14" t="str">
        <f t="shared" ca="1" si="41"/>
        <v/>
      </c>
      <c r="I1264" s="15">
        <f t="shared" ca="1" si="36"/>
        <v>25.276666666666667</v>
      </c>
      <c r="J1264" s="16">
        <f t="shared" ca="1" si="37"/>
        <v>25.533333333333335</v>
      </c>
      <c r="K1264" s="16"/>
      <c r="L1264" s="16">
        <f t="shared" ca="1" si="38"/>
        <v>24.893333333333334</v>
      </c>
      <c r="M1264" s="16">
        <f t="shared" ca="1" si="39"/>
        <v>25.916666666666668</v>
      </c>
      <c r="N1264" s="16">
        <f t="shared" ca="1" si="40"/>
        <v>24.636666666666667</v>
      </c>
    </row>
    <row r="1265" spans="1:14" ht="24.75" customHeight="1" x14ac:dyDescent="0.8">
      <c r="A1265" s="18" t="s">
        <v>1228</v>
      </c>
      <c r="B1265" s="10">
        <f ca="1">IFERROR(__xludf.DUMMYFUNCTION("GOOGLEFINANCE(A1265,""PRICE"")"),268.3)</f>
        <v>268.3</v>
      </c>
      <c r="C1265" s="11">
        <f ca="1">IFERROR(__xludf.DUMMYFUNCTION("GOOGLEFINANCE(A1265,""PRICEOPEN"")"),267.15)</f>
        <v>267.14999999999998</v>
      </c>
      <c r="D1265" s="11">
        <f ca="1">IFERROR(__xludf.DUMMYFUNCTION("GOOGLEFINANCE(A1265,""HIGH"")"),272.4)</f>
        <v>272.39999999999998</v>
      </c>
      <c r="E1265" s="11">
        <f ca="1">IFERROR(__xludf.DUMMYFUNCTION("GOOGLEFINANCE(A1265,""LOW"")"),267.15)</f>
        <v>267.14999999999998</v>
      </c>
      <c r="F1265" s="12" t="str">
        <f t="shared" ca="1" si="35"/>
        <v>BUY</v>
      </c>
      <c r="G1265" s="13">
        <f ca="1">IFERROR(__xludf.DUMMYFUNCTION("GOOGLEFINANCE(A1265,""CLOSEYEST"")"),267.15)</f>
        <v>267.14999999999998</v>
      </c>
      <c r="H1265" s="14" t="str">
        <f t="shared" ca="1" si="41"/>
        <v/>
      </c>
      <c r="I1265" s="15">
        <f t="shared" ca="1" si="36"/>
        <v>268.89999999999998</v>
      </c>
      <c r="J1265" s="16">
        <f t="shared" ca="1" si="37"/>
        <v>270.64999999999998</v>
      </c>
      <c r="K1265" s="16"/>
      <c r="L1265" s="16">
        <f t="shared" ca="1" si="38"/>
        <v>265.39999999999998</v>
      </c>
      <c r="M1265" s="16">
        <f t="shared" ca="1" si="39"/>
        <v>274.14999999999998</v>
      </c>
      <c r="N1265" s="16">
        <f t="shared" ca="1" si="40"/>
        <v>263.64999999999998</v>
      </c>
    </row>
    <row r="1266" spans="1:14" ht="24.75" customHeight="1" x14ac:dyDescent="0.8">
      <c r="A1266" s="18" t="s">
        <v>1229</v>
      </c>
      <c r="B1266" s="10">
        <f ca="1">IFERROR(__xludf.DUMMYFUNCTION("GOOGLEFINANCE(A1266,""PRICE"")"),536)</f>
        <v>536</v>
      </c>
      <c r="C1266" s="11">
        <f ca="1">IFERROR(__xludf.DUMMYFUNCTION("GOOGLEFINANCE(A1266,""PRICEOPEN"")"),503.55)</f>
        <v>503.55</v>
      </c>
      <c r="D1266" s="11">
        <f ca="1">IFERROR(__xludf.DUMMYFUNCTION("GOOGLEFINANCE(A1266,""HIGH"")"),584)</f>
        <v>584</v>
      </c>
      <c r="E1266" s="11">
        <f ca="1">IFERROR(__xludf.DUMMYFUNCTION("GOOGLEFINANCE(A1266,""LOW"")"),503.55)</f>
        <v>503.55</v>
      </c>
      <c r="F1266" s="12" t="str">
        <f t="shared" ca="1" si="35"/>
        <v>BUY</v>
      </c>
      <c r="G1266" s="13">
        <f ca="1">IFERROR(__xludf.DUMMYFUNCTION("GOOGLEFINANCE(A1266,""CLOSEYEST"")"),513.15)</f>
        <v>513.15</v>
      </c>
      <c r="H1266" s="14" t="str">
        <f t="shared" ca="1" si="41"/>
        <v>GAP DOWN</v>
      </c>
      <c r="I1266" s="15">
        <f t="shared" ca="1" si="36"/>
        <v>533.56666666666661</v>
      </c>
      <c r="J1266" s="16">
        <f t="shared" ca="1" si="37"/>
        <v>563.58333333333326</v>
      </c>
      <c r="K1266" s="16"/>
      <c r="L1266" s="16">
        <f t="shared" ca="1" si="38"/>
        <v>483.13333333333321</v>
      </c>
      <c r="M1266" s="16">
        <f t="shared" ca="1" si="39"/>
        <v>614.01666666666665</v>
      </c>
      <c r="N1266" s="16">
        <f t="shared" ca="1" si="40"/>
        <v>453.11666666666656</v>
      </c>
    </row>
    <row r="1267" spans="1:14" ht="24.75" customHeight="1" x14ac:dyDescent="0.8">
      <c r="A1267" s="18" t="s">
        <v>1230</v>
      </c>
      <c r="B1267" s="10">
        <f ca="1">IFERROR(__xludf.DUMMYFUNCTION("GOOGLEFINANCE(A1267,""PRICE"")"),43.29)</f>
        <v>43.29</v>
      </c>
      <c r="C1267" s="11">
        <f ca="1">IFERROR(__xludf.DUMMYFUNCTION("GOOGLEFINANCE(A1267,""PRICEOPEN"")"),42.58)</f>
        <v>42.58</v>
      </c>
      <c r="D1267" s="11">
        <f ca="1">IFERROR(__xludf.DUMMYFUNCTION("GOOGLEFINANCE(A1267,""HIGH"")"),43.4)</f>
        <v>43.4</v>
      </c>
      <c r="E1267" s="11">
        <f ca="1">IFERROR(__xludf.DUMMYFUNCTION("GOOGLEFINANCE(A1267,""LOW"")"),42.32)</f>
        <v>42.32</v>
      </c>
      <c r="F1267" s="12" t="str">
        <f t="shared" ca="1" si="35"/>
        <v/>
      </c>
      <c r="G1267" s="13">
        <f ca="1">IFERROR(__xludf.DUMMYFUNCTION("GOOGLEFINANCE(A1267,""CLOSEYEST"")"),42.58)</f>
        <v>42.58</v>
      </c>
      <c r="H1267" s="14" t="str">
        <f t="shared" ca="1" si="41"/>
        <v/>
      </c>
      <c r="I1267" s="15">
        <f t="shared" ca="1" si="36"/>
        <v>42.766666666666673</v>
      </c>
      <c r="J1267" s="16">
        <f t="shared" ca="1" si="37"/>
        <v>43.213333333333345</v>
      </c>
      <c r="K1267" s="16"/>
      <c r="L1267" s="16">
        <f t="shared" ca="1" si="38"/>
        <v>42.133333333333347</v>
      </c>
      <c r="M1267" s="16">
        <f t="shared" ca="1" si="39"/>
        <v>43.846666666666671</v>
      </c>
      <c r="N1267" s="16">
        <f t="shared" ca="1" si="40"/>
        <v>41.686666666666675</v>
      </c>
    </row>
    <row r="1268" spans="1:14" ht="24.75" customHeight="1" x14ac:dyDescent="0.8">
      <c r="A1268" s="18" t="s">
        <v>1231</v>
      </c>
      <c r="B1268" s="10">
        <f ca="1">IFERROR(__xludf.DUMMYFUNCTION("GOOGLEFINANCE(A1268,""PRICE"")"),191)</f>
        <v>191</v>
      </c>
      <c r="C1268" s="11">
        <f ca="1">IFERROR(__xludf.DUMMYFUNCTION("GOOGLEFINANCE(A1268,""PRICEOPEN"")"),190)</f>
        <v>190</v>
      </c>
      <c r="D1268" s="11">
        <f ca="1">IFERROR(__xludf.DUMMYFUNCTION("GOOGLEFINANCE(A1268,""HIGH"")"),196.9)</f>
        <v>196.9</v>
      </c>
      <c r="E1268" s="11">
        <f ca="1">IFERROR(__xludf.DUMMYFUNCTION("GOOGLEFINANCE(A1268,""LOW"")"),188)</f>
        <v>188</v>
      </c>
      <c r="F1268" s="12" t="str">
        <f t="shared" ca="1" si="35"/>
        <v/>
      </c>
      <c r="G1268" s="13">
        <f ca="1">IFERROR(__xludf.DUMMYFUNCTION("GOOGLEFINANCE(A1268,""CLOSEYEST"")"),189.46)</f>
        <v>189.46</v>
      </c>
      <c r="H1268" s="14" t="str">
        <f t="shared" ca="1" si="41"/>
        <v/>
      </c>
      <c r="I1268" s="15">
        <f t="shared" ca="1" si="36"/>
        <v>191.45333333333335</v>
      </c>
      <c r="J1268" s="16">
        <f t="shared" ca="1" si="37"/>
        <v>194.90666666666669</v>
      </c>
      <c r="K1268" s="16"/>
      <c r="L1268" s="16">
        <f t="shared" ca="1" si="38"/>
        <v>186.00666666666669</v>
      </c>
      <c r="M1268" s="16">
        <f t="shared" ca="1" si="39"/>
        <v>200.35333333333335</v>
      </c>
      <c r="N1268" s="16">
        <f t="shared" ca="1" si="40"/>
        <v>182.55333333333334</v>
      </c>
    </row>
    <row r="1269" spans="1:14" ht="24.75" customHeight="1" x14ac:dyDescent="0.8">
      <c r="A1269" s="18" t="s">
        <v>1232</v>
      </c>
      <c r="B1269" s="10">
        <f ca="1">IFERROR(__xludf.DUMMYFUNCTION("GOOGLEFINANCE(A1269,""PRICE"")"),242.81)</f>
        <v>242.81</v>
      </c>
      <c r="C1269" s="11">
        <f ca="1">IFERROR(__xludf.DUMMYFUNCTION("GOOGLEFINANCE(A1269,""PRICEOPEN"")"),243.64)</f>
        <v>243.64</v>
      </c>
      <c r="D1269" s="11">
        <f ca="1">IFERROR(__xludf.DUMMYFUNCTION("GOOGLEFINANCE(A1269,""HIGH"")"),244.5)</f>
        <v>244.5</v>
      </c>
      <c r="E1269" s="11">
        <f ca="1">IFERROR(__xludf.DUMMYFUNCTION("GOOGLEFINANCE(A1269,""LOW"")"),240.48)</f>
        <v>240.48</v>
      </c>
      <c r="F1269" s="12" t="str">
        <f t="shared" ca="1" si="35"/>
        <v/>
      </c>
      <c r="G1269" s="13">
        <f ca="1">IFERROR(__xludf.DUMMYFUNCTION("GOOGLEFINANCE(A1269,""CLOSEYEST"")"),243.64)</f>
        <v>243.64</v>
      </c>
      <c r="H1269" s="14" t="str">
        <f t="shared" ca="1" si="41"/>
        <v/>
      </c>
      <c r="I1269" s="15">
        <f t="shared" ca="1" si="36"/>
        <v>242.87333333333333</v>
      </c>
      <c r="J1269" s="16">
        <f t="shared" ca="1" si="37"/>
        <v>245.26666666666668</v>
      </c>
      <c r="K1269" s="16"/>
      <c r="L1269" s="16">
        <f t="shared" ca="1" si="38"/>
        <v>241.24666666666667</v>
      </c>
      <c r="M1269" s="16">
        <f t="shared" ca="1" si="39"/>
        <v>246.89333333333335</v>
      </c>
      <c r="N1269" s="16">
        <f t="shared" ca="1" si="40"/>
        <v>238.85333333333332</v>
      </c>
    </row>
    <row r="1270" spans="1:14" ht="24.75" customHeight="1" x14ac:dyDescent="0.8">
      <c r="A1270" s="18" t="s">
        <v>1233</v>
      </c>
      <c r="B1270" s="10">
        <f ca="1">IFERROR(__xludf.DUMMYFUNCTION("GOOGLEFINANCE(A1270,""PRICE"")"),13.77)</f>
        <v>13.77</v>
      </c>
      <c r="C1270" s="11">
        <f ca="1">IFERROR(__xludf.DUMMYFUNCTION("GOOGLEFINANCE(A1270,""PRICEOPEN"")"),13.66)</f>
        <v>13.66</v>
      </c>
      <c r="D1270" s="11">
        <f ca="1">IFERROR(__xludf.DUMMYFUNCTION("GOOGLEFINANCE(A1270,""HIGH"")"),13.89)</f>
        <v>13.89</v>
      </c>
      <c r="E1270" s="11">
        <f ca="1">IFERROR(__xludf.DUMMYFUNCTION("GOOGLEFINANCE(A1270,""LOW"")"),13.6)</f>
        <v>13.6</v>
      </c>
      <c r="F1270" s="12" t="str">
        <f t="shared" ca="1" si="35"/>
        <v/>
      </c>
      <c r="G1270" s="13">
        <f ca="1">IFERROR(__xludf.DUMMYFUNCTION("GOOGLEFINANCE(A1270,""CLOSEYEST"")"),13.66)</f>
        <v>13.66</v>
      </c>
      <c r="H1270" s="14" t="str">
        <f t="shared" ca="1" si="41"/>
        <v/>
      </c>
      <c r="I1270" s="15">
        <f t="shared" ca="1" si="36"/>
        <v>13.716666666666669</v>
      </c>
      <c r="J1270" s="16">
        <f t="shared" ca="1" si="37"/>
        <v>13.833333333333337</v>
      </c>
      <c r="K1270" s="16"/>
      <c r="L1270" s="16">
        <f t="shared" ca="1" si="38"/>
        <v>13.543333333333337</v>
      </c>
      <c r="M1270" s="16">
        <f t="shared" ca="1" si="39"/>
        <v>14.006666666666669</v>
      </c>
      <c r="N1270" s="16">
        <f t="shared" ca="1" si="40"/>
        <v>13.426666666666668</v>
      </c>
    </row>
    <row r="1271" spans="1:14" ht="24.75" customHeight="1" x14ac:dyDescent="0.8">
      <c r="A1271" s="18" t="s">
        <v>1234</v>
      </c>
      <c r="B1271" s="10" t="str">
        <f ca="1">IFERROR(__xludf.DUMMYFUNCTION("GOOGLEFINANCE(A1271,""PRICE"")"),"#N/A")</f>
        <v>#N/A</v>
      </c>
      <c r="C1271" s="11" t="str">
        <f ca="1">IFERROR(__xludf.DUMMYFUNCTION("GOOGLEFINANCE(A1271,""PRICEOPEN"")"),"#N/A")</f>
        <v>#N/A</v>
      </c>
      <c r="D1271" s="11" t="str">
        <f ca="1">IFERROR(__xludf.DUMMYFUNCTION("GOOGLEFINANCE(A1271,""HIGH"")"),"#N/A")</f>
        <v>#N/A</v>
      </c>
      <c r="E1271" s="11" t="str">
        <f ca="1">IFERROR(__xludf.DUMMYFUNCTION("GOOGLEFINANCE(A1271,""LOW"")"),"#N/A")</f>
        <v>#N/A</v>
      </c>
      <c r="F1271" s="12" t="str">
        <f t="shared" ca="1" si="35"/>
        <v>SELL</v>
      </c>
      <c r="G1271" s="13" t="str">
        <f ca="1">IFERROR(__xludf.DUMMYFUNCTION("GOOGLEFINANCE(A1271,""CLOSEYEST"")"),"#N/A")</f>
        <v>#N/A</v>
      </c>
      <c r="H1271" s="14" t="e">
        <f t="shared" ca="1" si="41"/>
        <v>#VALUE!</v>
      </c>
      <c r="I1271" s="15" t="e">
        <f t="shared" ca="1" si="36"/>
        <v>#VALUE!</v>
      </c>
      <c r="J1271" s="16" t="e">
        <f t="shared" ca="1" si="37"/>
        <v>#VALUE!</v>
      </c>
      <c r="K1271" s="16"/>
      <c r="L1271" s="16" t="e">
        <f t="shared" ca="1" si="38"/>
        <v>#VALUE!</v>
      </c>
      <c r="M1271" s="16" t="e">
        <f t="shared" ca="1" si="39"/>
        <v>#VALUE!</v>
      </c>
      <c r="N1271" s="16" t="e">
        <f t="shared" ca="1" si="40"/>
        <v>#VALUE!</v>
      </c>
    </row>
    <row r="1272" spans="1:14" ht="24.75" customHeight="1" x14ac:dyDescent="0.8">
      <c r="A1272" s="18" t="s">
        <v>1235</v>
      </c>
      <c r="B1272" s="10" t="str">
        <f ca="1">IFERROR(__xludf.DUMMYFUNCTION("GOOGLEFINANCE(A1272,""PRICE"")"),"#N/A")</f>
        <v>#N/A</v>
      </c>
      <c r="C1272" s="11" t="str">
        <f ca="1">IFERROR(__xludf.DUMMYFUNCTION("GOOGLEFINANCE(A1272,""PRICEOPEN"")"),"#N/A")</f>
        <v>#N/A</v>
      </c>
      <c r="D1272" s="11" t="str">
        <f ca="1">IFERROR(__xludf.DUMMYFUNCTION("GOOGLEFINANCE(A1272,""HIGH"")"),"#N/A")</f>
        <v>#N/A</v>
      </c>
      <c r="E1272" s="11" t="str">
        <f ca="1">IFERROR(__xludf.DUMMYFUNCTION("GOOGLEFINANCE(A1272,""LOW"")"),"#N/A")</f>
        <v>#N/A</v>
      </c>
      <c r="F1272" s="12" t="str">
        <f t="shared" ca="1" si="35"/>
        <v>SELL</v>
      </c>
      <c r="G1272" s="13" t="str">
        <f ca="1">IFERROR(__xludf.DUMMYFUNCTION("GOOGLEFINANCE(A1272,""CLOSEYEST"")"),"#N/A")</f>
        <v>#N/A</v>
      </c>
      <c r="H1272" s="14" t="e">
        <f t="shared" ca="1" si="41"/>
        <v>#VALUE!</v>
      </c>
      <c r="I1272" s="15" t="e">
        <f t="shared" ca="1" si="36"/>
        <v>#VALUE!</v>
      </c>
      <c r="J1272" s="16" t="e">
        <f t="shared" ca="1" si="37"/>
        <v>#VALUE!</v>
      </c>
      <c r="K1272" s="16"/>
      <c r="L1272" s="16" t="e">
        <f t="shared" ca="1" si="38"/>
        <v>#VALUE!</v>
      </c>
      <c r="M1272" s="16" t="e">
        <f t="shared" ca="1" si="39"/>
        <v>#VALUE!</v>
      </c>
      <c r="N1272" s="16" t="e">
        <f t="shared" ca="1" si="40"/>
        <v>#VALUE!</v>
      </c>
    </row>
    <row r="1273" spans="1:14" ht="24.75" customHeight="1" x14ac:dyDescent="0.8">
      <c r="A1273" s="18" t="s">
        <v>1236</v>
      </c>
      <c r="B1273" s="10">
        <f ca="1">IFERROR(__xludf.DUMMYFUNCTION("GOOGLEFINANCE(A1273,""PRICE"")"),281.35)</f>
        <v>281.35000000000002</v>
      </c>
      <c r="C1273" s="11">
        <f ca="1">IFERROR(__xludf.DUMMYFUNCTION("GOOGLEFINANCE(A1273,""PRICEOPEN"")"),278.8)</f>
        <v>278.8</v>
      </c>
      <c r="D1273" s="11">
        <f ca="1">IFERROR(__xludf.DUMMYFUNCTION("GOOGLEFINANCE(A1273,""HIGH"")"),285.35)</f>
        <v>285.35000000000002</v>
      </c>
      <c r="E1273" s="11">
        <f ca="1">IFERROR(__xludf.DUMMYFUNCTION("GOOGLEFINANCE(A1273,""LOW"")"),277)</f>
        <v>277</v>
      </c>
      <c r="F1273" s="12" t="str">
        <f t="shared" ca="1" si="35"/>
        <v/>
      </c>
      <c r="G1273" s="13">
        <f ca="1">IFERROR(__xludf.DUMMYFUNCTION("GOOGLEFINANCE(A1273,""CLOSEYEST"")"),276.55)</f>
        <v>276.55</v>
      </c>
      <c r="H1273" s="14" t="str">
        <f t="shared" ca="1" si="41"/>
        <v/>
      </c>
      <c r="I1273" s="15">
        <f t="shared" ca="1" si="36"/>
        <v>279.63333333333338</v>
      </c>
      <c r="J1273" s="16">
        <f t="shared" ca="1" si="37"/>
        <v>282.26666666666677</v>
      </c>
      <c r="K1273" s="16"/>
      <c r="L1273" s="16">
        <f t="shared" ca="1" si="38"/>
        <v>273.91666666666674</v>
      </c>
      <c r="M1273" s="16">
        <f t="shared" ca="1" si="39"/>
        <v>287.98333333333341</v>
      </c>
      <c r="N1273" s="16">
        <f t="shared" ca="1" si="40"/>
        <v>271.28333333333336</v>
      </c>
    </row>
    <row r="1274" spans="1:14" ht="24.75" customHeight="1" x14ac:dyDescent="0.8">
      <c r="A1274" s="18" t="s">
        <v>1237</v>
      </c>
      <c r="B1274" s="10">
        <f ca="1">IFERROR(__xludf.DUMMYFUNCTION("GOOGLEFINANCE(A1274,""PRICE"")"),0.05)</f>
        <v>0.05</v>
      </c>
      <c r="C1274" s="11">
        <f ca="1">IFERROR(__xludf.DUMMYFUNCTION("GOOGLEFINANCE(A1274,""PRICEOPEN"")"),0.05)</f>
        <v>0.05</v>
      </c>
      <c r="D1274" s="11">
        <f ca="1">IFERROR(__xludf.DUMMYFUNCTION("GOOGLEFINANCE(A1274,""HIGH"")"),0.05)</f>
        <v>0.05</v>
      </c>
      <c r="E1274" s="11">
        <f ca="1">IFERROR(__xludf.DUMMYFUNCTION("GOOGLEFINANCE(A1274,""LOW"")"),0.05)</f>
        <v>0.05</v>
      </c>
      <c r="F1274" s="12" t="str">
        <f t="shared" ca="1" si="35"/>
        <v>SELL</v>
      </c>
      <c r="G1274" s="13">
        <f ca="1">IFERROR(__xludf.DUMMYFUNCTION("GOOGLEFINANCE(A1274,""CLOSEYEST"")"),0.05)</f>
        <v>0.05</v>
      </c>
      <c r="H1274" s="14" t="str">
        <f t="shared" ca="1" si="41"/>
        <v/>
      </c>
      <c r="I1274" s="15">
        <f t="shared" ca="1" si="36"/>
        <v>5.000000000000001E-2</v>
      </c>
      <c r="J1274" s="16">
        <f t="shared" ca="1" si="37"/>
        <v>5.0000000000000017E-2</v>
      </c>
      <c r="K1274" s="16"/>
      <c r="L1274" s="16">
        <f t="shared" ca="1" si="38"/>
        <v>5.0000000000000017E-2</v>
      </c>
      <c r="M1274" s="16">
        <f t="shared" ca="1" si="39"/>
        <v>5.000000000000001E-2</v>
      </c>
      <c r="N1274" s="16">
        <f t="shared" ca="1" si="40"/>
        <v>5.000000000000001E-2</v>
      </c>
    </row>
    <row r="1275" spans="1:14" ht="24.75" customHeight="1" x14ac:dyDescent="0.8">
      <c r="A1275" s="18" t="s">
        <v>1238</v>
      </c>
      <c r="B1275" s="10" t="str">
        <f ca="1">IFERROR(__xludf.DUMMYFUNCTION("GOOGLEFINANCE(A1275,""PRICE"")"),"#N/A")</f>
        <v>#N/A</v>
      </c>
      <c r="C1275" s="11" t="str">
        <f ca="1">IFERROR(__xludf.DUMMYFUNCTION("GOOGLEFINANCE(A1275,""PRICEOPEN"")"),"#N/A")</f>
        <v>#N/A</v>
      </c>
      <c r="D1275" s="11" t="str">
        <f ca="1">IFERROR(__xludf.DUMMYFUNCTION("GOOGLEFINANCE(A1275,""HIGH"")"),"#N/A")</f>
        <v>#N/A</v>
      </c>
      <c r="E1275" s="11" t="str">
        <f ca="1">IFERROR(__xludf.DUMMYFUNCTION("GOOGLEFINANCE(A1275,""LOW"")"),"#N/A")</f>
        <v>#N/A</v>
      </c>
      <c r="F1275" s="12" t="str">
        <f t="shared" ca="1" si="35"/>
        <v>SELL</v>
      </c>
      <c r="G1275" s="13" t="str">
        <f ca="1">IFERROR(__xludf.DUMMYFUNCTION("GOOGLEFINANCE(A1275,""CLOSEYEST"")"),"#N/A")</f>
        <v>#N/A</v>
      </c>
      <c r="H1275" s="14" t="e">
        <f t="shared" ca="1" si="41"/>
        <v>#VALUE!</v>
      </c>
      <c r="I1275" s="15" t="e">
        <f t="shared" ca="1" si="36"/>
        <v>#VALUE!</v>
      </c>
      <c r="J1275" s="16" t="e">
        <f t="shared" ca="1" si="37"/>
        <v>#VALUE!</v>
      </c>
      <c r="K1275" s="16"/>
      <c r="L1275" s="16" t="e">
        <f t="shared" ca="1" si="38"/>
        <v>#VALUE!</v>
      </c>
      <c r="M1275" s="16" t="e">
        <f t="shared" ca="1" si="39"/>
        <v>#VALUE!</v>
      </c>
      <c r="N1275" s="16" t="e">
        <f t="shared" ca="1" si="40"/>
        <v>#VALUE!</v>
      </c>
    </row>
    <row r="1276" spans="1:14" ht="24.75" customHeight="1" x14ac:dyDescent="0.8">
      <c r="A1276" s="18" t="s">
        <v>1239</v>
      </c>
      <c r="B1276" s="10">
        <f ca="1">IFERROR(__xludf.DUMMYFUNCTION("GOOGLEFINANCE(A1276,""PRICE"")"),1655)</f>
        <v>1655</v>
      </c>
      <c r="C1276" s="11">
        <f ca="1">IFERROR(__xludf.DUMMYFUNCTION("GOOGLEFINANCE(A1276,""PRICEOPEN"")"),1698.8)</f>
        <v>1698.8</v>
      </c>
      <c r="D1276" s="11">
        <f ca="1">IFERROR(__xludf.DUMMYFUNCTION("GOOGLEFINANCE(A1276,""HIGH"")"),1698.8)</f>
        <v>1698.8</v>
      </c>
      <c r="E1276" s="11">
        <f ca="1">IFERROR(__xludf.DUMMYFUNCTION("GOOGLEFINANCE(A1276,""LOW"")"),1651)</f>
        <v>1651</v>
      </c>
      <c r="F1276" s="12" t="str">
        <f t="shared" ca="1" si="35"/>
        <v>SELL</v>
      </c>
      <c r="G1276" s="13">
        <f ca="1">IFERROR(__xludf.DUMMYFUNCTION("GOOGLEFINANCE(A1276,""CLOSEYEST"")"),1656.4)</f>
        <v>1656.4</v>
      </c>
      <c r="H1276" s="14" t="str">
        <f t="shared" ca="1" si="41"/>
        <v>GAP UP</v>
      </c>
      <c r="I1276" s="15">
        <f t="shared" ca="1" si="36"/>
        <v>1668.7333333333336</v>
      </c>
      <c r="J1276" s="16">
        <f t="shared" ca="1" si="37"/>
        <v>1686.4666666666672</v>
      </c>
      <c r="K1276" s="16"/>
      <c r="L1276" s="16">
        <f t="shared" ca="1" si="38"/>
        <v>1638.6666666666672</v>
      </c>
      <c r="M1276" s="16">
        <f t="shared" ca="1" si="39"/>
        <v>1716.5333333333335</v>
      </c>
      <c r="N1276" s="16">
        <f t="shared" ca="1" si="40"/>
        <v>1620.9333333333336</v>
      </c>
    </row>
    <row r="1277" spans="1:14" ht="24.75" customHeight="1" x14ac:dyDescent="0.8">
      <c r="A1277" s="18" t="s">
        <v>1240</v>
      </c>
      <c r="B1277" s="10">
        <f ca="1">IFERROR(__xludf.DUMMYFUNCTION("GOOGLEFINANCE(A1277,""PRICE"")"),94.05)</f>
        <v>94.05</v>
      </c>
      <c r="C1277" s="11">
        <f ca="1">IFERROR(__xludf.DUMMYFUNCTION("GOOGLEFINANCE(A1277,""PRICEOPEN"")"),93.7)</f>
        <v>93.7</v>
      </c>
      <c r="D1277" s="11">
        <f ca="1">IFERROR(__xludf.DUMMYFUNCTION("GOOGLEFINANCE(A1277,""HIGH"")"),95.6)</f>
        <v>95.6</v>
      </c>
      <c r="E1277" s="11">
        <f ca="1">IFERROR(__xludf.DUMMYFUNCTION("GOOGLEFINANCE(A1277,""LOW"")"),93.11)</f>
        <v>93.11</v>
      </c>
      <c r="F1277" s="12" t="str">
        <f t="shared" ca="1" si="35"/>
        <v/>
      </c>
      <c r="G1277" s="13">
        <f ca="1">IFERROR(__xludf.DUMMYFUNCTION("GOOGLEFINANCE(A1277,""CLOSEYEST"")"),93.5)</f>
        <v>93.5</v>
      </c>
      <c r="H1277" s="14" t="str">
        <f t="shared" ca="1" si="41"/>
        <v/>
      </c>
      <c r="I1277" s="15">
        <f t="shared" ca="1" si="36"/>
        <v>94.07</v>
      </c>
      <c r="J1277" s="16">
        <f t="shared" ca="1" si="37"/>
        <v>95.029999999999987</v>
      </c>
      <c r="K1277" s="16"/>
      <c r="L1277" s="16">
        <f t="shared" ca="1" si="38"/>
        <v>92.539999999999992</v>
      </c>
      <c r="M1277" s="16">
        <f t="shared" ca="1" si="39"/>
        <v>96.559999999999988</v>
      </c>
      <c r="N1277" s="16">
        <f t="shared" ca="1" si="40"/>
        <v>91.58</v>
      </c>
    </row>
    <row r="1278" spans="1:14" ht="24.75" customHeight="1" x14ac:dyDescent="0.8">
      <c r="A1278" s="18" t="s">
        <v>1241</v>
      </c>
      <c r="B1278" s="10" t="str">
        <f ca="1">IFERROR(__xludf.DUMMYFUNCTION("GOOGLEFINANCE(A1278,""PRICE"")"),"#N/A")</f>
        <v>#N/A</v>
      </c>
      <c r="C1278" s="11" t="str">
        <f ca="1">IFERROR(__xludf.DUMMYFUNCTION("GOOGLEFINANCE(A1278,""PRICEOPEN"")"),"#N/A")</f>
        <v>#N/A</v>
      </c>
      <c r="D1278" s="11" t="str">
        <f ca="1">IFERROR(__xludf.DUMMYFUNCTION("GOOGLEFINANCE(A1278,""HIGH"")"),"#N/A")</f>
        <v>#N/A</v>
      </c>
      <c r="E1278" s="11" t="str">
        <f ca="1">IFERROR(__xludf.DUMMYFUNCTION("GOOGLEFINANCE(A1278,""LOW"")"),"#N/A")</f>
        <v>#N/A</v>
      </c>
      <c r="F1278" s="12" t="str">
        <f t="shared" ca="1" si="35"/>
        <v>SELL</v>
      </c>
      <c r="G1278" s="13" t="str">
        <f ca="1">IFERROR(__xludf.DUMMYFUNCTION("GOOGLEFINANCE(A1278,""CLOSEYEST"")"),"#N/A")</f>
        <v>#N/A</v>
      </c>
      <c r="H1278" s="14" t="e">
        <f t="shared" ca="1" si="41"/>
        <v>#VALUE!</v>
      </c>
      <c r="I1278" s="15" t="e">
        <f t="shared" ca="1" si="36"/>
        <v>#VALUE!</v>
      </c>
      <c r="J1278" s="16" t="e">
        <f t="shared" ca="1" si="37"/>
        <v>#VALUE!</v>
      </c>
      <c r="K1278" s="16"/>
      <c r="L1278" s="16" t="e">
        <f t="shared" ca="1" si="38"/>
        <v>#VALUE!</v>
      </c>
      <c r="M1278" s="16" t="e">
        <f t="shared" ca="1" si="39"/>
        <v>#VALUE!</v>
      </c>
      <c r="N1278" s="16" t="e">
        <f t="shared" ca="1" si="40"/>
        <v>#VALUE!</v>
      </c>
    </row>
    <row r="1279" spans="1:14" ht="24.75" customHeight="1" x14ac:dyDescent="0.8">
      <c r="A1279" s="18" t="s">
        <v>1242</v>
      </c>
      <c r="B1279" s="10">
        <f ca="1">IFERROR(__xludf.DUMMYFUNCTION("GOOGLEFINANCE(A1279,""PRICE"")"),59.89)</f>
        <v>59.89</v>
      </c>
      <c r="C1279" s="11">
        <f ca="1">IFERROR(__xludf.DUMMYFUNCTION("GOOGLEFINANCE(A1279,""PRICEOPEN"")"),59.65)</f>
        <v>59.65</v>
      </c>
      <c r="D1279" s="11">
        <f ca="1">IFERROR(__xludf.DUMMYFUNCTION("GOOGLEFINANCE(A1279,""HIGH"")"),60.28)</f>
        <v>60.28</v>
      </c>
      <c r="E1279" s="11">
        <f ca="1">IFERROR(__xludf.DUMMYFUNCTION("GOOGLEFINANCE(A1279,""LOW"")"),58.8)</f>
        <v>58.8</v>
      </c>
      <c r="F1279" s="12" t="str">
        <f t="shared" ca="1" si="35"/>
        <v/>
      </c>
      <c r="G1279" s="13">
        <f ca="1">IFERROR(__xludf.DUMMYFUNCTION("GOOGLEFINANCE(A1279,""CLOSEYEST"")"),59.05)</f>
        <v>59.05</v>
      </c>
      <c r="H1279" s="14" t="str">
        <f t="shared" ca="1" si="41"/>
        <v>GAP UP</v>
      </c>
      <c r="I1279" s="15">
        <f t="shared" ca="1" si="36"/>
        <v>59.376666666666665</v>
      </c>
      <c r="J1279" s="16">
        <f t="shared" ca="1" si="37"/>
        <v>59.953333333333333</v>
      </c>
      <c r="K1279" s="16"/>
      <c r="L1279" s="16">
        <f t="shared" ca="1" si="38"/>
        <v>58.473333333333329</v>
      </c>
      <c r="M1279" s="16">
        <f t="shared" ca="1" si="39"/>
        <v>60.856666666666669</v>
      </c>
      <c r="N1279" s="16">
        <f t="shared" ca="1" si="40"/>
        <v>57.896666666666661</v>
      </c>
    </row>
    <row r="1280" spans="1:14" ht="24.75" customHeight="1" x14ac:dyDescent="0.8">
      <c r="A1280" s="18" t="s">
        <v>1243</v>
      </c>
      <c r="B1280" s="10">
        <f ca="1">IFERROR(__xludf.DUMMYFUNCTION("GOOGLEFINANCE(A1280,""PRICE"")"),150)</f>
        <v>150</v>
      </c>
      <c r="C1280" s="11">
        <f ca="1">IFERROR(__xludf.DUMMYFUNCTION("GOOGLEFINANCE(A1280,""PRICEOPEN"")"),152)</f>
        <v>152</v>
      </c>
      <c r="D1280" s="11">
        <f ca="1">IFERROR(__xludf.DUMMYFUNCTION("GOOGLEFINANCE(A1280,""HIGH"")"),153.39)</f>
        <v>153.38999999999999</v>
      </c>
      <c r="E1280" s="11">
        <f ca="1">IFERROR(__xludf.DUMMYFUNCTION("GOOGLEFINANCE(A1280,""LOW"")"),148.01)</f>
        <v>148.01</v>
      </c>
      <c r="F1280" s="12" t="str">
        <f t="shared" ca="1" si="35"/>
        <v/>
      </c>
      <c r="G1280" s="13">
        <f ca="1">IFERROR(__xludf.DUMMYFUNCTION("GOOGLEFINANCE(A1280,""CLOSEYEST"")"),153.24)</f>
        <v>153.24</v>
      </c>
      <c r="H1280" s="14" t="str">
        <f t="shared" ca="1" si="41"/>
        <v/>
      </c>
      <c r="I1280" s="15">
        <f t="shared" ca="1" si="36"/>
        <v>151.54666666666665</v>
      </c>
      <c r="J1280" s="16">
        <f t="shared" ca="1" si="37"/>
        <v>155.08333333333331</v>
      </c>
      <c r="K1280" s="16"/>
      <c r="L1280" s="16">
        <f t="shared" ca="1" si="38"/>
        <v>149.70333333333332</v>
      </c>
      <c r="M1280" s="16">
        <f t="shared" ca="1" si="39"/>
        <v>156.92666666666665</v>
      </c>
      <c r="N1280" s="16">
        <f t="shared" ca="1" si="40"/>
        <v>146.16666666666666</v>
      </c>
    </row>
    <row r="1281" spans="1:14" ht="24.75" customHeight="1" x14ac:dyDescent="0.8">
      <c r="A1281" s="18" t="s">
        <v>1244</v>
      </c>
      <c r="B1281" s="10">
        <f ca="1">IFERROR(__xludf.DUMMYFUNCTION("GOOGLEFINANCE(A1281,""PRICE"")"),627.1)</f>
        <v>627.1</v>
      </c>
      <c r="C1281" s="11">
        <f ca="1">IFERROR(__xludf.DUMMYFUNCTION("GOOGLEFINANCE(A1281,""PRICEOPEN"")"),624.45)</f>
        <v>624.45000000000005</v>
      </c>
      <c r="D1281" s="11">
        <f ca="1">IFERROR(__xludf.DUMMYFUNCTION("GOOGLEFINANCE(A1281,""HIGH"")"),644.9)</f>
        <v>644.9</v>
      </c>
      <c r="E1281" s="11">
        <f ca="1">IFERROR(__xludf.DUMMYFUNCTION("GOOGLEFINANCE(A1281,""LOW"")"),611.15)</f>
        <v>611.15</v>
      </c>
      <c r="F1281" s="12" t="str">
        <f t="shared" ca="1" si="35"/>
        <v/>
      </c>
      <c r="G1281" s="13">
        <f ca="1">IFERROR(__xludf.DUMMYFUNCTION("GOOGLEFINANCE(A1281,""CLOSEYEST"")"),618.3)</f>
        <v>618.29999999999995</v>
      </c>
      <c r="H1281" s="14" t="str">
        <f t="shared" ca="1" si="41"/>
        <v/>
      </c>
      <c r="I1281" s="15">
        <f t="shared" ca="1" si="36"/>
        <v>624.7833333333333</v>
      </c>
      <c r="J1281" s="16">
        <f t="shared" ca="1" si="37"/>
        <v>638.41666666666663</v>
      </c>
      <c r="K1281" s="16"/>
      <c r="L1281" s="16">
        <f t="shared" ca="1" si="38"/>
        <v>604.66666666666663</v>
      </c>
      <c r="M1281" s="16">
        <f t="shared" ca="1" si="39"/>
        <v>658.5333333333333</v>
      </c>
      <c r="N1281" s="16">
        <f t="shared" ca="1" si="40"/>
        <v>591.0333333333333</v>
      </c>
    </row>
    <row r="1282" spans="1:14" ht="24.75" customHeight="1" x14ac:dyDescent="0.8">
      <c r="A1282" s="18" t="s">
        <v>1245</v>
      </c>
      <c r="B1282" s="10">
        <f ca="1">IFERROR(__xludf.DUMMYFUNCTION("GOOGLEFINANCE(A1282,""PRICE"")"),2.5)</f>
        <v>2.5</v>
      </c>
      <c r="C1282" s="11">
        <f ca="1">IFERROR(__xludf.DUMMYFUNCTION("GOOGLEFINANCE(A1282,""PRICEOPEN"")"),2.47)</f>
        <v>2.4700000000000002</v>
      </c>
      <c r="D1282" s="11">
        <f ca="1">IFERROR(__xludf.DUMMYFUNCTION("GOOGLEFINANCE(A1282,""HIGH"")"),2.51)</f>
        <v>2.5099999999999998</v>
      </c>
      <c r="E1282" s="11">
        <f ca="1">IFERROR(__xludf.DUMMYFUNCTION("GOOGLEFINANCE(A1282,""LOW"")"),2.47)</f>
        <v>2.4700000000000002</v>
      </c>
      <c r="F1282" s="12" t="str">
        <f t="shared" ca="1" si="35"/>
        <v>BUY</v>
      </c>
      <c r="G1282" s="13">
        <f ca="1">IFERROR(__xludf.DUMMYFUNCTION("GOOGLEFINANCE(A1282,""CLOSEYEST"")"),2.47)</f>
        <v>2.4700000000000002</v>
      </c>
      <c r="H1282" s="14" t="str">
        <f t="shared" ca="1" si="41"/>
        <v/>
      </c>
      <c r="I1282" s="15">
        <f t="shared" ca="1" si="36"/>
        <v>2.4833333333333338</v>
      </c>
      <c r="J1282" s="16">
        <f t="shared" ca="1" si="37"/>
        <v>2.4966666666666675</v>
      </c>
      <c r="K1282" s="16"/>
      <c r="L1282" s="16">
        <f t="shared" ca="1" si="38"/>
        <v>2.4566666666666679</v>
      </c>
      <c r="M1282" s="16">
        <f t="shared" ca="1" si="39"/>
        <v>2.5233333333333334</v>
      </c>
      <c r="N1282" s="16">
        <f t="shared" ca="1" si="40"/>
        <v>2.4433333333333342</v>
      </c>
    </row>
    <row r="1283" spans="1:14" ht="24.75" customHeight="1" x14ac:dyDescent="0.8">
      <c r="A1283" s="18" t="s">
        <v>1246</v>
      </c>
      <c r="B1283" s="10">
        <f ca="1">IFERROR(__xludf.DUMMYFUNCTION("GOOGLEFINANCE(A1283,""PRICE"")"),636)</f>
        <v>636</v>
      </c>
      <c r="C1283" s="11">
        <f ca="1">IFERROR(__xludf.DUMMYFUNCTION("GOOGLEFINANCE(A1283,""PRICEOPEN"")"),623)</f>
        <v>623</v>
      </c>
      <c r="D1283" s="11">
        <f ca="1">IFERROR(__xludf.DUMMYFUNCTION("GOOGLEFINANCE(A1283,""HIGH"")"),680)</f>
        <v>680</v>
      </c>
      <c r="E1283" s="11">
        <f ca="1">IFERROR(__xludf.DUMMYFUNCTION("GOOGLEFINANCE(A1283,""LOW"")"),621.4)</f>
        <v>621.4</v>
      </c>
      <c r="F1283" s="12" t="str">
        <f t="shared" ca="1" si="35"/>
        <v/>
      </c>
      <c r="G1283" s="13">
        <f ca="1">IFERROR(__xludf.DUMMYFUNCTION("GOOGLEFINANCE(A1283,""CLOSEYEST"")"),626.2)</f>
        <v>626.20000000000005</v>
      </c>
      <c r="H1283" s="14" t="str">
        <f t="shared" ca="1" si="41"/>
        <v/>
      </c>
      <c r="I1283" s="15">
        <f t="shared" ca="1" si="36"/>
        <v>642.53333333333342</v>
      </c>
      <c r="J1283" s="16">
        <f t="shared" ca="1" si="37"/>
        <v>663.66666666666686</v>
      </c>
      <c r="K1283" s="16"/>
      <c r="L1283" s="16">
        <f t="shared" ca="1" si="38"/>
        <v>605.06666666666683</v>
      </c>
      <c r="M1283" s="16">
        <f t="shared" ca="1" si="39"/>
        <v>701.13333333333344</v>
      </c>
      <c r="N1283" s="16">
        <f t="shared" ca="1" si="40"/>
        <v>583.93333333333339</v>
      </c>
    </row>
    <row r="1284" spans="1:14" ht="24.75" customHeight="1" x14ac:dyDescent="0.8">
      <c r="A1284" s="18" t="s">
        <v>1247</v>
      </c>
      <c r="B1284" s="10">
        <f ca="1">IFERROR(__xludf.DUMMYFUNCTION("GOOGLEFINANCE(A1284,""PRICE"")"),275.2)</f>
        <v>275.2</v>
      </c>
      <c r="C1284" s="11">
        <f ca="1">IFERROR(__xludf.DUMMYFUNCTION("GOOGLEFINANCE(A1284,""PRICEOPEN"")"),271.4)</f>
        <v>271.39999999999998</v>
      </c>
      <c r="D1284" s="11">
        <f ca="1">IFERROR(__xludf.DUMMYFUNCTION("GOOGLEFINANCE(A1284,""HIGH"")"),280)</f>
        <v>280</v>
      </c>
      <c r="E1284" s="11">
        <f ca="1">IFERROR(__xludf.DUMMYFUNCTION("GOOGLEFINANCE(A1284,""LOW"")"),267.8)</f>
        <v>267.8</v>
      </c>
      <c r="F1284" s="12" t="str">
        <f t="shared" ca="1" si="35"/>
        <v/>
      </c>
      <c r="G1284" s="13">
        <f ca="1">IFERROR(__xludf.DUMMYFUNCTION("GOOGLEFINANCE(A1284,""CLOSEYEST"")"),269.95)</f>
        <v>269.95</v>
      </c>
      <c r="H1284" s="14" t="str">
        <f t="shared" ca="1" si="41"/>
        <v/>
      </c>
      <c r="I1284" s="15">
        <f t="shared" ca="1" si="36"/>
        <v>272.58333333333331</v>
      </c>
      <c r="J1284" s="16">
        <f t="shared" ca="1" si="37"/>
        <v>277.36666666666662</v>
      </c>
      <c r="K1284" s="16"/>
      <c r="L1284" s="16">
        <f t="shared" ca="1" si="38"/>
        <v>265.16666666666663</v>
      </c>
      <c r="M1284" s="16">
        <f t="shared" ca="1" si="39"/>
        <v>284.7833333333333</v>
      </c>
      <c r="N1284" s="16">
        <f t="shared" ca="1" si="40"/>
        <v>260.38333333333333</v>
      </c>
    </row>
    <row r="1285" spans="1:14" ht="24.75" customHeight="1" x14ac:dyDescent="0.8">
      <c r="A1285" s="18" t="s">
        <v>1248</v>
      </c>
      <c r="B1285" s="10">
        <f ca="1">IFERROR(__xludf.DUMMYFUNCTION("GOOGLEFINANCE(A1285,""PRICE"")"),277)</f>
        <v>277</v>
      </c>
      <c r="C1285" s="11">
        <f ca="1">IFERROR(__xludf.DUMMYFUNCTION("GOOGLEFINANCE(A1285,""PRICEOPEN"")"),270.75)</f>
        <v>270.75</v>
      </c>
      <c r="D1285" s="11">
        <f ca="1">IFERROR(__xludf.DUMMYFUNCTION("GOOGLEFINANCE(A1285,""HIGH"")"),277.35)</f>
        <v>277.35000000000002</v>
      </c>
      <c r="E1285" s="11">
        <f ca="1">IFERROR(__xludf.DUMMYFUNCTION("GOOGLEFINANCE(A1285,""LOW"")"),267.65)</f>
        <v>267.64999999999998</v>
      </c>
      <c r="F1285" s="12" t="str">
        <f t="shared" ca="1" si="35"/>
        <v/>
      </c>
      <c r="G1285" s="13">
        <f ca="1">IFERROR(__xludf.DUMMYFUNCTION("GOOGLEFINANCE(A1285,""CLOSEYEST"")"),270.7)</f>
        <v>270.7</v>
      </c>
      <c r="H1285" s="14" t="str">
        <f t="shared" ca="1" si="41"/>
        <v/>
      </c>
      <c r="I1285" s="15">
        <f t="shared" ca="1" si="36"/>
        <v>271.90000000000003</v>
      </c>
      <c r="J1285" s="16">
        <f t="shared" ca="1" si="37"/>
        <v>276.15000000000009</v>
      </c>
      <c r="K1285" s="16"/>
      <c r="L1285" s="16">
        <f t="shared" ca="1" si="38"/>
        <v>266.45000000000005</v>
      </c>
      <c r="M1285" s="16">
        <f t="shared" ca="1" si="39"/>
        <v>281.60000000000008</v>
      </c>
      <c r="N1285" s="16">
        <f t="shared" ca="1" si="40"/>
        <v>262.2</v>
      </c>
    </row>
    <row r="1286" spans="1:14" ht="24.75" customHeight="1" x14ac:dyDescent="0.8">
      <c r="A1286" s="18" t="s">
        <v>1249</v>
      </c>
      <c r="B1286" s="10">
        <f ca="1">IFERROR(__xludf.DUMMYFUNCTION("GOOGLEFINANCE(A1286,""PRICE"")"),10.37)</f>
        <v>10.37</v>
      </c>
      <c r="C1286" s="11">
        <f ca="1">IFERROR(__xludf.DUMMYFUNCTION("GOOGLEFINANCE(A1286,""PRICEOPEN"")"),10.14)</f>
        <v>10.14</v>
      </c>
      <c r="D1286" s="11">
        <f ca="1">IFERROR(__xludf.DUMMYFUNCTION("GOOGLEFINANCE(A1286,""HIGH"")"),10.4)</f>
        <v>10.4</v>
      </c>
      <c r="E1286" s="11">
        <f ca="1">IFERROR(__xludf.DUMMYFUNCTION("GOOGLEFINANCE(A1286,""LOW"")"),10.09)</f>
        <v>10.09</v>
      </c>
      <c r="F1286" s="12" t="str">
        <f t="shared" ca="1" si="35"/>
        <v/>
      </c>
      <c r="G1286" s="13">
        <f ca="1">IFERROR(__xludf.DUMMYFUNCTION("GOOGLEFINANCE(A1286,""CLOSEYEST"")"),10.11)</f>
        <v>10.11</v>
      </c>
      <c r="H1286" s="14" t="str">
        <f t="shared" ca="1" si="41"/>
        <v/>
      </c>
      <c r="I1286" s="15">
        <f t="shared" ca="1" si="36"/>
        <v>10.200000000000001</v>
      </c>
      <c r="J1286" s="16">
        <f t="shared" ca="1" si="37"/>
        <v>10.310000000000002</v>
      </c>
      <c r="K1286" s="16"/>
      <c r="L1286" s="16">
        <f t="shared" ca="1" si="38"/>
        <v>10.000000000000002</v>
      </c>
      <c r="M1286" s="16">
        <f t="shared" ca="1" si="39"/>
        <v>10.510000000000002</v>
      </c>
      <c r="N1286" s="16">
        <f t="shared" ca="1" si="40"/>
        <v>9.89</v>
      </c>
    </row>
    <row r="1287" spans="1:14" ht="24.75" customHeight="1" x14ac:dyDescent="0.8">
      <c r="A1287" s="18" t="s">
        <v>1250</v>
      </c>
      <c r="B1287" s="10">
        <f ca="1">IFERROR(__xludf.DUMMYFUNCTION("GOOGLEFINANCE(A1287,""PRICE"")"),17.98)</f>
        <v>17.98</v>
      </c>
      <c r="C1287" s="11">
        <f ca="1">IFERROR(__xludf.DUMMYFUNCTION("GOOGLEFINANCE(A1287,""PRICEOPEN"")"),17.24)</f>
        <v>17.239999999999998</v>
      </c>
      <c r="D1287" s="11">
        <f ca="1">IFERROR(__xludf.DUMMYFUNCTION("GOOGLEFINANCE(A1287,""HIGH"")"),18.1)</f>
        <v>18.100000000000001</v>
      </c>
      <c r="E1287" s="11">
        <f ca="1">IFERROR(__xludf.DUMMYFUNCTION("GOOGLEFINANCE(A1287,""LOW"")"),16.98)</f>
        <v>16.98</v>
      </c>
      <c r="F1287" s="12" t="str">
        <f t="shared" ca="1" si="35"/>
        <v/>
      </c>
      <c r="G1287" s="13">
        <f ca="1">IFERROR(__xludf.DUMMYFUNCTION("GOOGLEFINANCE(A1287,""CLOSEYEST"")"),17.1)</f>
        <v>17.100000000000001</v>
      </c>
      <c r="H1287" s="14" t="str">
        <f t="shared" ca="1" si="41"/>
        <v/>
      </c>
      <c r="I1287" s="15">
        <f t="shared" ca="1" si="36"/>
        <v>17.393333333333334</v>
      </c>
      <c r="J1287" s="16">
        <f t="shared" ca="1" si="37"/>
        <v>17.806666666666668</v>
      </c>
      <c r="K1287" s="16"/>
      <c r="L1287" s="16">
        <f t="shared" ca="1" si="38"/>
        <v>16.686666666666667</v>
      </c>
      <c r="M1287" s="16">
        <f t="shared" ca="1" si="39"/>
        <v>18.513333333333335</v>
      </c>
      <c r="N1287" s="16">
        <f t="shared" ca="1" si="40"/>
        <v>16.273333333333333</v>
      </c>
    </row>
    <row r="1288" spans="1:14" ht="24.75" customHeight="1" x14ac:dyDescent="0.8">
      <c r="A1288" s="18" t="s">
        <v>1251</v>
      </c>
      <c r="B1288" s="10">
        <f ca="1">IFERROR(__xludf.DUMMYFUNCTION("GOOGLEFINANCE(A1288,""PRICE"")"),17.76)</f>
        <v>17.760000000000002</v>
      </c>
      <c r="C1288" s="11">
        <f ca="1">IFERROR(__xludf.DUMMYFUNCTION("GOOGLEFINANCE(A1288,""PRICEOPEN"")"),17.44)</f>
        <v>17.440000000000001</v>
      </c>
      <c r="D1288" s="11">
        <f ca="1">IFERROR(__xludf.DUMMYFUNCTION("GOOGLEFINANCE(A1288,""HIGH"")"),17.89)</f>
        <v>17.89</v>
      </c>
      <c r="E1288" s="11">
        <f ca="1">IFERROR(__xludf.DUMMYFUNCTION("GOOGLEFINANCE(A1288,""LOW"")"),17.41)</f>
        <v>17.41</v>
      </c>
      <c r="F1288" s="12" t="str">
        <f t="shared" ca="1" si="35"/>
        <v/>
      </c>
      <c r="G1288" s="13">
        <f ca="1">IFERROR(__xludf.DUMMYFUNCTION("GOOGLEFINANCE(A1288,""CLOSEYEST"")"),17.28)</f>
        <v>17.28</v>
      </c>
      <c r="H1288" s="14" t="str">
        <f t="shared" ca="1" si="41"/>
        <v/>
      </c>
      <c r="I1288" s="15">
        <f t="shared" ca="1" si="36"/>
        <v>17.526666666666667</v>
      </c>
      <c r="J1288" s="16">
        <f t="shared" ca="1" si="37"/>
        <v>17.643333333333334</v>
      </c>
      <c r="K1288" s="16"/>
      <c r="L1288" s="16">
        <f t="shared" ca="1" si="38"/>
        <v>17.163333333333334</v>
      </c>
      <c r="M1288" s="16">
        <f t="shared" ca="1" si="39"/>
        <v>18.006666666666668</v>
      </c>
      <c r="N1288" s="16">
        <f t="shared" ca="1" si="40"/>
        <v>17.046666666666667</v>
      </c>
    </row>
    <row r="1289" spans="1:14" ht="24.75" customHeight="1" x14ac:dyDescent="0.8">
      <c r="A1289" s="18" t="s">
        <v>1252</v>
      </c>
      <c r="B1289" s="10" t="str">
        <f ca="1">IFERROR(__xludf.DUMMYFUNCTION("GOOGLEFINANCE(A1289,""PRICE"")"),"#N/A")</f>
        <v>#N/A</v>
      </c>
      <c r="C1289" s="11" t="str">
        <f ca="1">IFERROR(__xludf.DUMMYFUNCTION("GOOGLEFINANCE(A1289,""PRICEOPEN"")"),"#N/A")</f>
        <v>#N/A</v>
      </c>
      <c r="D1289" s="11" t="str">
        <f ca="1">IFERROR(__xludf.DUMMYFUNCTION("GOOGLEFINANCE(A1289,""HIGH"")"),"#N/A")</f>
        <v>#N/A</v>
      </c>
      <c r="E1289" s="11" t="str">
        <f ca="1">IFERROR(__xludf.DUMMYFUNCTION("GOOGLEFINANCE(A1289,""LOW"")"),"#N/A")</f>
        <v>#N/A</v>
      </c>
      <c r="F1289" s="12" t="str">
        <f t="shared" ca="1" si="35"/>
        <v>SELL</v>
      </c>
      <c r="G1289" s="13" t="str">
        <f ca="1">IFERROR(__xludf.DUMMYFUNCTION("GOOGLEFINANCE(A1289,""CLOSEYEST"")"),"#N/A")</f>
        <v>#N/A</v>
      </c>
      <c r="H1289" s="14" t="e">
        <f t="shared" ca="1" si="41"/>
        <v>#VALUE!</v>
      </c>
      <c r="I1289" s="15" t="e">
        <f t="shared" ca="1" si="36"/>
        <v>#VALUE!</v>
      </c>
      <c r="J1289" s="16" t="e">
        <f t="shared" ca="1" si="37"/>
        <v>#VALUE!</v>
      </c>
      <c r="K1289" s="16"/>
      <c r="L1289" s="16" t="e">
        <f t="shared" ca="1" si="38"/>
        <v>#VALUE!</v>
      </c>
      <c r="M1289" s="16" t="e">
        <f t="shared" ca="1" si="39"/>
        <v>#VALUE!</v>
      </c>
      <c r="N1289" s="16" t="e">
        <f t="shared" ca="1" si="40"/>
        <v>#VALUE!</v>
      </c>
    </row>
    <row r="1290" spans="1:14" ht="24.75" customHeight="1" x14ac:dyDescent="0.8">
      <c r="A1290" s="18" t="s">
        <v>1253</v>
      </c>
      <c r="B1290" s="10">
        <f ca="1">IFERROR(__xludf.DUMMYFUNCTION("GOOGLEFINANCE(A1290,""PRICE"")"),442.95)</f>
        <v>442.95</v>
      </c>
      <c r="C1290" s="11">
        <f ca="1">IFERROR(__xludf.DUMMYFUNCTION("GOOGLEFINANCE(A1290,""PRICEOPEN"")"),444)</f>
        <v>444</v>
      </c>
      <c r="D1290" s="11">
        <f ca="1">IFERROR(__xludf.DUMMYFUNCTION("GOOGLEFINANCE(A1290,""HIGH"")"),444.95)</f>
        <v>444.95</v>
      </c>
      <c r="E1290" s="11">
        <f ca="1">IFERROR(__xludf.DUMMYFUNCTION("GOOGLEFINANCE(A1290,""LOW"")"),439)</f>
        <v>439</v>
      </c>
      <c r="F1290" s="12" t="str">
        <f t="shared" ca="1" si="35"/>
        <v/>
      </c>
      <c r="G1290" s="13">
        <f ca="1">IFERROR(__xludf.DUMMYFUNCTION("GOOGLEFINANCE(A1290,""CLOSEYEST"")"),443.1)</f>
        <v>443.1</v>
      </c>
      <c r="H1290" s="14" t="str">
        <f t="shared" ca="1" si="41"/>
        <v/>
      </c>
      <c r="I1290" s="15">
        <f t="shared" ca="1" si="36"/>
        <v>442.35000000000008</v>
      </c>
      <c r="J1290" s="16">
        <f t="shared" ca="1" si="37"/>
        <v>445.70000000000016</v>
      </c>
      <c r="K1290" s="16"/>
      <c r="L1290" s="16">
        <f t="shared" ca="1" si="38"/>
        <v>439.75000000000017</v>
      </c>
      <c r="M1290" s="16">
        <f t="shared" ca="1" si="39"/>
        <v>448.30000000000007</v>
      </c>
      <c r="N1290" s="16">
        <f t="shared" ca="1" si="40"/>
        <v>436.40000000000009</v>
      </c>
    </row>
    <row r="1291" spans="1:14" ht="24.75" customHeight="1" x14ac:dyDescent="0.8">
      <c r="A1291" s="18" t="s">
        <v>1254</v>
      </c>
      <c r="B1291" s="10">
        <f ca="1">IFERROR(__xludf.DUMMYFUNCTION("GOOGLEFINANCE(A1291,""PRICE"")"),32)</f>
        <v>32</v>
      </c>
      <c r="C1291" s="11">
        <f ca="1">IFERROR(__xludf.DUMMYFUNCTION("GOOGLEFINANCE(A1291,""PRICEOPEN"")"),32.46)</f>
        <v>32.46</v>
      </c>
      <c r="D1291" s="11">
        <f ca="1">IFERROR(__xludf.DUMMYFUNCTION("GOOGLEFINANCE(A1291,""HIGH"")"),32.46)</f>
        <v>32.46</v>
      </c>
      <c r="E1291" s="11">
        <f ca="1">IFERROR(__xludf.DUMMYFUNCTION("GOOGLEFINANCE(A1291,""LOW"")"),31)</f>
        <v>31</v>
      </c>
      <c r="F1291" s="12" t="str">
        <f t="shared" ca="1" si="35"/>
        <v>SELL</v>
      </c>
      <c r="G1291" s="13">
        <f ca="1">IFERROR(__xludf.DUMMYFUNCTION("GOOGLEFINANCE(A1291,""CLOSEYEST"")"),31.34)</f>
        <v>31.34</v>
      </c>
      <c r="H1291" s="14" t="str">
        <f t="shared" ca="1" si="41"/>
        <v>GAP UP</v>
      </c>
      <c r="I1291" s="15">
        <f t="shared" ca="1" si="36"/>
        <v>31.599999999999998</v>
      </c>
      <c r="J1291" s="16">
        <f t="shared" ca="1" si="37"/>
        <v>32.199999999999996</v>
      </c>
      <c r="K1291" s="16"/>
      <c r="L1291" s="16">
        <f t="shared" ca="1" si="38"/>
        <v>30.739999999999995</v>
      </c>
      <c r="M1291" s="16">
        <f t="shared" ca="1" si="39"/>
        <v>33.06</v>
      </c>
      <c r="N1291" s="16">
        <f t="shared" ca="1" si="40"/>
        <v>30.139999999999997</v>
      </c>
    </row>
    <row r="1292" spans="1:14" ht="24.75" customHeight="1" x14ac:dyDescent="0.8">
      <c r="A1292" s="18" t="s">
        <v>1255</v>
      </c>
      <c r="B1292" s="10">
        <f ca="1">IFERROR(__xludf.DUMMYFUNCTION("GOOGLEFINANCE(A1292,""PRICE"")"),5.44)</f>
        <v>5.44</v>
      </c>
      <c r="C1292" s="11">
        <f ca="1">IFERROR(__xludf.DUMMYFUNCTION("GOOGLEFINANCE(A1292,""PRICEOPEN"")"),5.44)</f>
        <v>5.44</v>
      </c>
      <c r="D1292" s="11">
        <f ca="1">IFERROR(__xludf.DUMMYFUNCTION("GOOGLEFINANCE(A1292,""HIGH"")"),5.45)</f>
        <v>5.45</v>
      </c>
      <c r="E1292" s="11">
        <f ca="1">IFERROR(__xludf.DUMMYFUNCTION("GOOGLEFINANCE(A1292,""LOW"")"),5.36)</f>
        <v>5.36</v>
      </c>
      <c r="F1292" s="12" t="str">
        <f t="shared" ca="1" si="35"/>
        <v/>
      </c>
      <c r="G1292" s="13">
        <f ca="1">IFERROR(__xludf.DUMMYFUNCTION("GOOGLEFINANCE(A1292,""CLOSEYEST"")"),5.42)</f>
        <v>5.42</v>
      </c>
      <c r="H1292" s="14" t="str">
        <f t="shared" ca="1" si="41"/>
        <v/>
      </c>
      <c r="I1292" s="15">
        <f t="shared" ca="1" si="36"/>
        <v>5.41</v>
      </c>
      <c r="J1292" s="16">
        <f t="shared" ca="1" si="37"/>
        <v>5.46</v>
      </c>
      <c r="K1292" s="16"/>
      <c r="L1292" s="16">
        <f t="shared" ca="1" si="38"/>
        <v>5.37</v>
      </c>
      <c r="M1292" s="16">
        <f t="shared" ca="1" si="39"/>
        <v>5.5</v>
      </c>
      <c r="N1292" s="16">
        <f t="shared" ca="1" si="40"/>
        <v>5.32</v>
      </c>
    </row>
    <row r="1293" spans="1:14" ht="24.75" customHeight="1" x14ac:dyDescent="0.8">
      <c r="A1293" s="18" t="s">
        <v>1256</v>
      </c>
      <c r="B1293" s="10">
        <f ca="1">IFERROR(__xludf.DUMMYFUNCTION("GOOGLEFINANCE(A1293,""PRICE"")"),162.21)</f>
        <v>162.21</v>
      </c>
      <c r="C1293" s="11">
        <f ca="1">IFERROR(__xludf.DUMMYFUNCTION("GOOGLEFINANCE(A1293,""PRICEOPEN"")"),160)</f>
        <v>160</v>
      </c>
      <c r="D1293" s="11">
        <f ca="1">IFERROR(__xludf.DUMMYFUNCTION("GOOGLEFINANCE(A1293,""HIGH"")"),164.4)</f>
        <v>164.4</v>
      </c>
      <c r="E1293" s="11">
        <f ca="1">IFERROR(__xludf.DUMMYFUNCTION("GOOGLEFINANCE(A1293,""LOW"")"),160)</f>
        <v>160</v>
      </c>
      <c r="F1293" s="12" t="str">
        <f t="shared" ca="1" si="35"/>
        <v>BUY</v>
      </c>
      <c r="G1293" s="13">
        <f ca="1">IFERROR(__xludf.DUMMYFUNCTION("GOOGLEFINANCE(A1293,""CLOSEYEST"")"),161.33)</f>
        <v>161.33000000000001</v>
      </c>
      <c r="H1293" s="14" t="str">
        <f t="shared" ca="1" si="41"/>
        <v/>
      </c>
      <c r="I1293" s="15">
        <f t="shared" ca="1" si="36"/>
        <v>161.91</v>
      </c>
      <c r="J1293" s="16">
        <f t="shared" ca="1" si="37"/>
        <v>163.82</v>
      </c>
      <c r="K1293" s="16"/>
      <c r="L1293" s="16">
        <f t="shared" ca="1" si="38"/>
        <v>159.41999999999999</v>
      </c>
      <c r="M1293" s="16">
        <f t="shared" ca="1" si="39"/>
        <v>166.31</v>
      </c>
      <c r="N1293" s="16">
        <f t="shared" ca="1" si="40"/>
        <v>157.51</v>
      </c>
    </row>
    <row r="1294" spans="1:14" ht="24.75" customHeight="1" x14ac:dyDescent="0.8">
      <c r="A1294" s="18" t="s">
        <v>1257</v>
      </c>
      <c r="B1294" s="10">
        <f ca="1">IFERROR(__xludf.DUMMYFUNCTION("GOOGLEFINANCE(A1294,""PRICE"")"),113.2)</f>
        <v>113.2</v>
      </c>
      <c r="C1294" s="11">
        <f ca="1">IFERROR(__xludf.DUMMYFUNCTION("GOOGLEFINANCE(A1294,""PRICEOPEN"")"),114.85)</f>
        <v>114.85</v>
      </c>
      <c r="D1294" s="11">
        <f ca="1">IFERROR(__xludf.DUMMYFUNCTION("GOOGLEFINANCE(A1294,""HIGH"")"),114.85)</f>
        <v>114.85</v>
      </c>
      <c r="E1294" s="11">
        <f ca="1">IFERROR(__xludf.DUMMYFUNCTION("GOOGLEFINANCE(A1294,""LOW"")"),111.61)</f>
        <v>111.61</v>
      </c>
      <c r="F1294" s="12" t="str">
        <f t="shared" ca="1" si="35"/>
        <v>SELL</v>
      </c>
      <c r="G1294" s="13">
        <f ca="1">IFERROR(__xludf.DUMMYFUNCTION("GOOGLEFINANCE(A1294,""CLOSEYEST"")"),111.39)</f>
        <v>111.39</v>
      </c>
      <c r="H1294" s="14" t="str">
        <f t="shared" ca="1" si="41"/>
        <v>GAP UP</v>
      </c>
      <c r="I1294" s="15">
        <f t="shared" ca="1" si="36"/>
        <v>112.61666666666666</v>
      </c>
      <c r="J1294" s="16">
        <f t="shared" ca="1" si="37"/>
        <v>113.62333333333332</v>
      </c>
      <c r="K1294" s="16"/>
      <c r="L1294" s="16">
        <f t="shared" ca="1" si="38"/>
        <v>110.38333333333333</v>
      </c>
      <c r="M1294" s="16">
        <f t="shared" ca="1" si="39"/>
        <v>115.85666666666665</v>
      </c>
      <c r="N1294" s="16">
        <f t="shared" ca="1" si="40"/>
        <v>109.37666666666667</v>
      </c>
    </row>
    <row r="1295" spans="1:14" ht="24.75" customHeight="1" x14ac:dyDescent="0.8">
      <c r="A1295" s="18" t="s">
        <v>1258</v>
      </c>
      <c r="B1295" s="10">
        <f ca="1">IFERROR(__xludf.DUMMYFUNCTION("GOOGLEFINANCE(A1295,""PRICE"")"),80.1)</f>
        <v>80.099999999999994</v>
      </c>
      <c r="C1295" s="11">
        <f ca="1">IFERROR(__xludf.DUMMYFUNCTION("GOOGLEFINANCE(A1295,""PRICEOPEN"")"),81.81)</f>
        <v>81.81</v>
      </c>
      <c r="D1295" s="11">
        <f ca="1">IFERROR(__xludf.DUMMYFUNCTION("GOOGLEFINANCE(A1295,""HIGH"")"),82.7)</f>
        <v>82.7</v>
      </c>
      <c r="E1295" s="11">
        <f ca="1">IFERROR(__xludf.DUMMYFUNCTION("GOOGLEFINANCE(A1295,""LOW"")"),79.37)</f>
        <v>79.37</v>
      </c>
      <c r="F1295" s="12" t="str">
        <f t="shared" ca="1" si="35"/>
        <v/>
      </c>
      <c r="G1295" s="13">
        <f ca="1">IFERROR(__xludf.DUMMYFUNCTION("GOOGLEFINANCE(A1295,""CLOSEYEST"")"),81.06)</f>
        <v>81.06</v>
      </c>
      <c r="H1295" s="14" t="str">
        <f t="shared" ca="1" si="41"/>
        <v/>
      </c>
      <c r="I1295" s="15">
        <f t="shared" ca="1" si="36"/>
        <v>81.043333333333337</v>
      </c>
      <c r="J1295" s="16">
        <f t="shared" ca="1" si="37"/>
        <v>82.716666666666669</v>
      </c>
      <c r="K1295" s="16"/>
      <c r="L1295" s="16">
        <f t="shared" ca="1" si="38"/>
        <v>79.38666666666667</v>
      </c>
      <c r="M1295" s="16">
        <f t="shared" ca="1" si="39"/>
        <v>84.373333333333335</v>
      </c>
      <c r="N1295" s="16">
        <f t="shared" ca="1" si="40"/>
        <v>77.713333333333338</v>
      </c>
    </row>
    <row r="1296" spans="1:14" ht="24.75" customHeight="1" x14ac:dyDescent="0.8">
      <c r="A1296" s="18" t="s">
        <v>1259</v>
      </c>
      <c r="B1296" s="10" t="str">
        <f ca="1">IFERROR(__xludf.DUMMYFUNCTION("GOOGLEFINANCE(A1296,""PRICE"")"),"#N/A")</f>
        <v>#N/A</v>
      </c>
      <c r="C1296" s="11" t="str">
        <f ca="1">IFERROR(__xludf.DUMMYFUNCTION("GOOGLEFINANCE(A1296,""PRICEOPEN"")"),"#N/A")</f>
        <v>#N/A</v>
      </c>
      <c r="D1296" s="11" t="str">
        <f ca="1">IFERROR(__xludf.DUMMYFUNCTION("GOOGLEFINANCE(A1296,""HIGH"")"),"#N/A")</f>
        <v>#N/A</v>
      </c>
      <c r="E1296" s="11" t="str">
        <f ca="1">IFERROR(__xludf.DUMMYFUNCTION("GOOGLEFINANCE(A1296,""LOW"")"),"#N/A")</f>
        <v>#N/A</v>
      </c>
      <c r="F1296" s="12" t="str">
        <f t="shared" ca="1" si="35"/>
        <v>SELL</v>
      </c>
      <c r="G1296" s="13" t="str">
        <f ca="1">IFERROR(__xludf.DUMMYFUNCTION("GOOGLEFINANCE(A1296,""CLOSEYEST"")"),"#N/A")</f>
        <v>#N/A</v>
      </c>
      <c r="H1296" s="14" t="e">
        <f t="shared" ca="1" si="41"/>
        <v>#VALUE!</v>
      </c>
      <c r="I1296" s="15" t="e">
        <f t="shared" ca="1" si="36"/>
        <v>#VALUE!</v>
      </c>
      <c r="J1296" s="16" t="e">
        <f t="shared" ca="1" si="37"/>
        <v>#VALUE!</v>
      </c>
      <c r="K1296" s="16"/>
      <c r="L1296" s="16" t="e">
        <f t="shared" ca="1" si="38"/>
        <v>#VALUE!</v>
      </c>
      <c r="M1296" s="16" t="e">
        <f t="shared" ca="1" si="39"/>
        <v>#VALUE!</v>
      </c>
      <c r="N1296" s="16" t="e">
        <f t="shared" ca="1" si="40"/>
        <v>#VALUE!</v>
      </c>
    </row>
    <row r="1297" spans="1:14" ht="24.75" customHeight="1" x14ac:dyDescent="0.8">
      <c r="A1297" s="18" t="s">
        <v>1260</v>
      </c>
      <c r="B1297" s="10">
        <f ca="1">IFERROR(__xludf.DUMMYFUNCTION("GOOGLEFINANCE(A1297,""PRICE"")"),222.6)</f>
        <v>222.6</v>
      </c>
      <c r="C1297" s="11">
        <f ca="1">IFERROR(__xludf.DUMMYFUNCTION("GOOGLEFINANCE(A1297,""PRICEOPEN"")"),213)</f>
        <v>213</v>
      </c>
      <c r="D1297" s="11">
        <f ca="1">IFERROR(__xludf.DUMMYFUNCTION("GOOGLEFINANCE(A1297,""HIGH"")"),222.62)</f>
        <v>222.62</v>
      </c>
      <c r="E1297" s="11">
        <f ca="1">IFERROR(__xludf.DUMMYFUNCTION("GOOGLEFINANCE(A1297,""LOW"")"),208.05)</f>
        <v>208.05</v>
      </c>
      <c r="F1297" s="12" t="str">
        <f t="shared" ca="1" si="35"/>
        <v/>
      </c>
      <c r="G1297" s="13">
        <f ca="1">IFERROR(__xludf.DUMMYFUNCTION("GOOGLEFINANCE(A1297,""CLOSEYEST"")"),212.02)</f>
        <v>212.02</v>
      </c>
      <c r="H1297" s="14" t="str">
        <f t="shared" ca="1" si="41"/>
        <v/>
      </c>
      <c r="I1297" s="15">
        <f t="shared" ca="1" si="36"/>
        <v>214.23000000000002</v>
      </c>
      <c r="J1297" s="16">
        <f t="shared" ca="1" si="37"/>
        <v>220.41000000000003</v>
      </c>
      <c r="K1297" s="16"/>
      <c r="L1297" s="16">
        <f t="shared" ca="1" si="38"/>
        <v>205.84000000000003</v>
      </c>
      <c r="M1297" s="16">
        <f t="shared" ca="1" si="39"/>
        <v>228.8</v>
      </c>
      <c r="N1297" s="16">
        <f t="shared" ca="1" si="40"/>
        <v>199.66000000000003</v>
      </c>
    </row>
    <row r="1298" spans="1:14" ht="24.75" customHeight="1" x14ac:dyDescent="0.8">
      <c r="A1298" s="18" t="s">
        <v>1261</v>
      </c>
      <c r="B1298" s="10">
        <f ca="1">IFERROR(__xludf.DUMMYFUNCTION("GOOGLEFINANCE(A1298,""PRICE"")"),89.2)</f>
        <v>89.2</v>
      </c>
      <c r="C1298" s="11">
        <f ca="1">IFERROR(__xludf.DUMMYFUNCTION("GOOGLEFINANCE(A1298,""PRICEOPEN"")"),88)</f>
        <v>88</v>
      </c>
      <c r="D1298" s="11">
        <f ca="1">IFERROR(__xludf.DUMMYFUNCTION("GOOGLEFINANCE(A1298,""HIGH"")"),90.39)</f>
        <v>90.39</v>
      </c>
      <c r="E1298" s="11">
        <f ca="1">IFERROR(__xludf.DUMMYFUNCTION("GOOGLEFINANCE(A1298,""LOW"")"),88)</f>
        <v>88</v>
      </c>
      <c r="F1298" s="12" t="str">
        <f t="shared" ca="1" si="35"/>
        <v>BUY</v>
      </c>
      <c r="G1298" s="13">
        <f ca="1">IFERROR(__xludf.DUMMYFUNCTION("GOOGLEFINANCE(A1298,""CLOSEYEST"")"),89.36)</f>
        <v>89.36</v>
      </c>
      <c r="H1298" s="14" t="str">
        <f t="shared" ca="1" si="41"/>
        <v>GAP DOWN</v>
      </c>
      <c r="I1298" s="15">
        <f t="shared" ca="1" si="36"/>
        <v>89.25</v>
      </c>
      <c r="J1298" s="16">
        <f t="shared" ca="1" si="37"/>
        <v>90.5</v>
      </c>
      <c r="K1298" s="16"/>
      <c r="L1298" s="16">
        <f t="shared" ca="1" si="38"/>
        <v>88.11</v>
      </c>
      <c r="M1298" s="16">
        <f t="shared" ca="1" si="39"/>
        <v>91.64</v>
      </c>
      <c r="N1298" s="16">
        <f t="shared" ca="1" si="40"/>
        <v>86.86</v>
      </c>
    </row>
    <row r="1299" spans="1:14" ht="24.75" customHeight="1" x14ac:dyDescent="0.8">
      <c r="A1299" s="18" t="s">
        <v>1262</v>
      </c>
      <c r="B1299" s="10">
        <f ca="1">IFERROR(__xludf.DUMMYFUNCTION("GOOGLEFINANCE(A1299,""PRICE"")"),3)</f>
        <v>3</v>
      </c>
      <c r="C1299" s="11">
        <f ca="1">IFERROR(__xludf.DUMMYFUNCTION("GOOGLEFINANCE(A1299,""PRICEOPEN"")"),2.95)</f>
        <v>2.95</v>
      </c>
      <c r="D1299" s="11">
        <f ca="1">IFERROR(__xludf.DUMMYFUNCTION("GOOGLEFINANCE(A1299,""HIGH"")"),3.05)</f>
        <v>3.05</v>
      </c>
      <c r="E1299" s="11">
        <f ca="1">IFERROR(__xludf.DUMMYFUNCTION("GOOGLEFINANCE(A1299,""LOW"")"),2.93)</f>
        <v>2.93</v>
      </c>
      <c r="F1299" s="12" t="str">
        <f t="shared" ref="F1299:F1553" ca="1" si="42">IF(C1299=D1299,"SELL",IF(C1299=E1299,"BUY", ""))</f>
        <v/>
      </c>
      <c r="G1299" s="13">
        <f ca="1">IFERROR(__xludf.DUMMYFUNCTION("GOOGLEFINANCE(A1299,""CLOSEYEST"")"),2.95)</f>
        <v>2.95</v>
      </c>
      <c r="H1299" s="14" t="str">
        <f t="shared" ca="1" si="41"/>
        <v/>
      </c>
      <c r="I1299" s="15">
        <f t="shared" ref="I1299:I1553" ca="1" si="43">(D1299+E1299+G1299)/3</f>
        <v>2.9766666666666666</v>
      </c>
      <c r="J1299" s="16">
        <f t="shared" ref="J1299:J1553" ca="1" si="44">(I1299*2)-E1299</f>
        <v>3.023333333333333</v>
      </c>
      <c r="K1299" s="16"/>
      <c r="L1299" s="16">
        <f t="shared" ref="L1299:L1553" ca="1" si="45">(I1299*2)-D1299</f>
        <v>2.9033333333333333</v>
      </c>
      <c r="M1299" s="16">
        <f t="shared" ref="M1299:M1553" ca="1" si="46">I1299+(J1299-L1299)</f>
        <v>3.0966666666666662</v>
      </c>
      <c r="N1299" s="16">
        <f t="shared" ref="N1299:N1553" ca="1" si="47">I1299-(J1299-L1299)</f>
        <v>2.8566666666666669</v>
      </c>
    </row>
    <row r="1300" spans="1:14" ht="24.75" customHeight="1" x14ac:dyDescent="0.8">
      <c r="A1300" s="18" t="s">
        <v>1263</v>
      </c>
      <c r="B1300" s="10">
        <f ca="1">IFERROR(__xludf.DUMMYFUNCTION("GOOGLEFINANCE(A1300,""PRICE"")"),31.7)</f>
        <v>31.7</v>
      </c>
      <c r="C1300" s="11">
        <f ca="1">IFERROR(__xludf.DUMMYFUNCTION("GOOGLEFINANCE(A1300,""PRICEOPEN"")"),31.65)</f>
        <v>31.65</v>
      </c>
      <c r="D1300" s="11">
        <f ca="1">IFERROR(__xludf.DUMMYFUNCTION("GOOGLEFINANCE(A1300,""HIGH"")"),31.7)</f>
        <v>31.7</v>
      </c>
      <c r="E1300" s="11">
        <f ca="1">IFERROR(__xludf.DUMMYFUNCTION("GOOGLEFINANCE(A1300,""LOW"")"),31)</f>
        <v>31</v>
      </c>
      <c r="F1300" s="12" t="str">
        <f t="shared" ca="1" si="42"/>
        <v/>
      </c>
      <c r="G1300" s="13">
        <f ca="1">IFERROR(__xludf.DUMMYFUNCTION("GOOGLEFINANCE(A1300,""CLOSEYEST"")"),31.13)</f>
        <v>31.13</v>
      </c>
      <c r="H1300" s="14" t="str">
        <f t="shared" ca="1" si="41"/>
        <v>GAP UP</v>
      </c>
      <c r="I1300" s="15">
        <f t="shared" ca="1" si="43"/>
        <v>31.276666666666667</v>
      </c>
      <c r="J1300" s="16">
        <f t="shared" ca="1" si="44"/>
        <v>31.553333333333335</v>
      </c>
      <c r="K1300" s="16"/>
      <c r="L1300" s="16">
        <f t="shared" ca="1" si="45"/>
        <v>30.853333333333335</v>
      </c>
      <c r="M1300" s="16">
        <f t="shared" ca="1" si="46"/>
        <v>31.976666666666667</v>
      </c>
      <c r="N1300" s="16">
        <f t="shared" ca="1" si="47"/>
        <v>30.576666666666668</v>
      </c>
    </row>
    <row r="1301" spans="1:14" ht="24.75" customHeight="1" x14ac:dyDescent="0.8">
      <c r="A1301" s="18" t="s">
        <v>1264</v>
      </c>
      <c r="B1301" s="10">
        <f ca="1">IFERROR(__xludf.DUMMYFUNCTION("GOOGLEFINANCE(A1301,""PRICE"")"),4.66)</f>
        <v>4.66</v>
      </c>
      <c r="C1301" s="11">
        <f ca="1">IFERROR(__xludf.DUMMYFUNCTION("GOOGLEFINANCE(A1301,""PRICEOPEN"")"),4.6)</f>
        <v>4.5999999999999996</v>
      </c>
      <c r="D1301" s="11">
        <f ca="1">IFERROR(__xludf.DUMMYFUNCTION("GOOGLEFINANCE(A1301,""HIGH"")"),4.84)</f>
        <v>4.84</v>
      </c>
      <c r="E1301" s="11">
        <f ca="1">IFERROR(__xludf.DUMMYFUNCTION("GOOGLEFINANCE(A1301,""LOW"")"),4.6)</f>
        <v>4.5999999999999996</v>
      </c>
      <c r="F1301" s="12" t="str">
        <f t="shared" ca="1" si="42"/>
        <v>BUY</v>
      </c>
      <c r="G1301" s="13">
        <f ca="1">IFERROR(__xludf.DUMMYFUNCTION("GOOGLEFINANCE(A1301,""CLOSEYEST"")"),4.57)</f>
        <v>4.57</v>
      </c>
      <c r="H1301" s="14" t="str">
        <f t="shared" ref="H1301:H1555" ca="1" si="48">IF(C1301&gt;=(G1301+(G1301*1%)),"GAP UP",IF(C1301&lt;=(G1301-(G1301*1%)),"GAP DOWN",""))</f>
        <v/>
      </c>
      <c r="I1301" s="15">
        <f t="shared" ca="1" si="43"/>
        <v>4.67</v>
      </c>
      <c r="J1301" s="16">
        <f t="shared" ca="1" si="44"/>
        <v>4.74</v>
      </c>
      <c r="K1301" s="16"/>
      <c r="L1301" s="16">
        <f t="shared" ca="1" si="45"/>
        <v>4.5</v>
      </c>
      <c r="M1301" s="16">
        <f t="shared" ca="1" si="46"/>
        <v>4.91</v>
      </c>
      <c r="N1301" s="16">
        <f t="shared" ca="1" si="47"/>
        <v>4.43</v>
      </c>
    </row>
    <row r="1302" spans="1:14" ht="24.75" customHeight="1" x14ac:dyDescent="0.8">
      <c r="A1302" s="18" t="s">
        <v>1265</v>
      </c>
      <c r="B1302" s="10">
        <f ca="1">IFERROR(__xludf.DUMMYFUNCTION("GOOGLEFINANCE(A1302,""PRICE"")"),109.1)</f>
        <v>109.1</v>
      </c>
      <c r="C1302" s="11">
        <f ca="1">IFERROR(__xludf.DUMMYFUNCTION("GOOGLEFINANCE(A1302,""PRICEOPEN"")"),110.9)</f>
        <v>110.9</v>
      </c>
      <c r="D1302" s="11">
        <f ca="1">IFERROR(__xludf.DUMMYFUNCTION("GOOGLEFINANCE(A1302,""HIGH"")"),110.9)</f>
        <v>110.9</v>
      </c>
      <c r="E1302" s="11">
        <f ca="1">IFERROR(__xludf.DUMMYFUNCTION("GOOGLEFINANCE(A1302,""LOW"")"),108.44)</f>
        <v>108.44</v>
      </c>
      <c r="F1302" s="12" t="str">
        <f t="shared" ca="1" si="42"/>
        <v>SELL</v>
      </c>
      <c r="G1302" s="13">
        <f ca="1">IFERROR(__xludf.DUMMYFUNCTION("GOOGLEFINANCE(A1302,""CLOSEYEST"")"),108.68)</f>
        <v>108.68</v>
      </c>
      <c r="H1302" s="14" t="str">
        <f t="shared" ca="1" si="48"/>
        <v>GAP UP</v>
      </c>
      <c r="I1302" s="15">
        <f t="shared" ca="1" si="43"/>
        <v>109.33999999999999</v>
      </c>
      <c r="J1302" s="16">
        <f t="shared" ca="1" si="44"/>
        <v>110.23999999999998</v>
      </c>
      <c r="K1302" s="16"/>
      <c r="L1302" s="16">
        <f t="shared" ca="1" si="45"/>
        <v>107.77999999999997</v>
      </c>
      <c r="M1302" s="16">
        <f t="shared" ca="1" si="46"/>
        <v>111.8</v>
      </c>
      <c r="N1302" s="16">
        <f t="shared" ca="1" si="47"/>
        <v>106.87999999999998</v>
      </c>
    </row>
    <row r="1303" spans="1:14" ht="24.75" customHeight="1" x14ac:dyDescent="0.8">
      <c r="A1303" s="18" t="s">
        <v>1266</v>
      </c>
      <c r="B1303" s="10">
        <f ca="1">IFERROR(__xludf.DUMMYFUNCTION("GOOGLEFINANCE(A1303,""PRICE"")"),181.16)</f>
        <v>181.16</v>
      </c>
      <c r="C1303" s="11">
        <f ca="1">IFERROR(__xludf.DUMMYFUNCTION("GOOGLEFINANCE(A1303,""PRICEOPEN"")"),185.01)</f>
        <v>185.01</v>
      </c>
      <c r="D1303" s="11">
        <f ca="1">IFERROR(__xludf.DUMMYFUNCTION("GOOGLEFINANCE(A1303,""HIGH"")"),187.3)</f>
        <v>187.3</v>
      </c>
      <c r="E1303" s="11">
        <f ca="1">IFERROR(__xludf.DUMMYFUNCTION("GOOGLEFINANCE(A1303,""LOW"")"),181.15)</f>
        <v>181.15</v>
      </c>
      <c r="F1303" s="12" t="str">
        <f t="shared" ca="1" si="42"/>
        <v/>
      </c>
      <c r="G1303" s="13">
        <f ca="1">IFERROR(__xludf.DUMMYFUNCTION("GOOGLEFINANCE(A1303,""CLOSEYEST"")"),184.93)</f>
        <v>184.93</v>
      </c>
      <c r="H1303" s="14" t="str">
        <f t="shared" ca="1" si="48"/>
        <v/>
      </c>
      <c r="I1303" s="15">
        <f t="shared" ca="1" si="43"/>
        <v>184.46000000000004</v>
      </c>
      <c r="J1303" s="16">
        <f t="shared" ca="1" si="44"/>
        <v>187.77000000000007</v>
      </c>
      <c r="K1303" s="16"/>
      <c r="L1303" s="16">
        <f t="shared" ca="1" si="45"/>
        <v>181.62000000000006</v>
      </c>
      <c r="M1303" s="16">
        <f t="shared" ca="1" si="46"/>
        <v>190.61000000000004</v>
      </c>
      <c r="N1303" s="16">
        <f t="shared" ca="1" si="47"/>
        <v>178.31000000000003</v>
      </c>
    </row>
    <row r="1304" spans="1:14" ht="24.75" customHeight="1" x14ac:dyDescent="0.8">
      <c r="A1304" s="18" t="s">
        <v>1267</v>
      </c>
      <c r="B1304" s="10">
        <f ca="1">IFERROR(__xludf.DUMMYFUNCTION("GOOGLEFINANCE(A1304,""PRICE"")"),92.25)</f>
        <v>92.25</v>
      </c>
      <c r="C1304" s="11">
        <f ca="1">IFERROR(__xludf.DUMMYFUNCTION("GOOGLEFINANCE(A1304,""PRICEOPEN"")"),93)</f>
        <v>93</v>
      </c>
      <c r="D1304" s="11">
        <f ca="1">IFERROR(__xludf.DUMMYFUNCTION("GOOGLEFINANCE(A1304,""HIGH"")"),94.88)</f>
        <v>94.88</v>
      </c>
      <c r="E1304" s="11">
        <f ca="1">IFERROR(__xludf.DUMMYFUNCTION("GOOGLEFINANCE(A1304,""LOW"")"),90.11)</f>
        <v>90.11</v>
      </c>
      <c r="F1304" s="12" t="str">
        <f t="shared" ca="1" si="42"/>
        <v/>
      </c>
      <c r="G1304" s="13">
        <f ca="1">IFERROR(__xludf.DUMMYFUNCTION("GOOGLEFINANCE(A1304,""CLOSEYEST"")"),93.14)</f>
        <v>93.14</v>
      </c>
      <c r="H1304" s="14" t="str">
        <f t="shared" ca="1" si="48"/>
        <v/>
      </c>
      <c r="I1304" s="15">
        <f t="shared" ca="1" si="43"/>
        <v>92.71</v>
      </c>
      <c r="J1304" s="16">
        <f t="shared" ca="1" si="44"/>
        <v>95.309999999999988</v>
      </c>
      <c r="K1304" s="16"/>
      <c r="L1304" s="16">
        <f t="shared" ca="1" si="45"/>
        <v>90.539999999999992</v>
      </c>
      <c r="M1304" s="16">
        <f t="shared" ca="1" si="46"/>
        <v>97.47999999999999</v>
      </c>
      <c r="N1304" s="16">
        <f t="shared" ca="1" si="47"/>
        <v>87.94</v>
      </c>
    </row>
    <row r="1305" spans="1:14" ht="24.75" customHeight="1" x14ac:dyDescent="0.8">
      <c r="A1305" s="18" t="s">
        <v>1268</v>
      </c>
      <c r="B1305" s="10">
        <f ca="1">IFERROR(__xludf.DUMMYFUNCTION("GOOGLEFINANCE(A1305,""PRICE"")"),331.15)</f>
        <v>331.15</v>
      </c>
      <c r="C1305" s="11">
        <f ca="1">IFERROR(__xludf.DUMMYFUNCTION("GOOGLEFINANCE(A1305,""PRICEOPEN"")"),341.2)</f>
        <v>341.2</v>
      </c>
      <c r="D1305" s="11">
        <f ca="1">IFERROR(__xludf.DUMMYFUNCTION("GOOGLEFINANCE(A1305,""HIGH"")"),341.2)</f>
        <v>341.2</v>
      </c>
      <c r="E1305" s="11">
        <f ca="1">IFERROR(__xludf.DUMMYFUNCTION("GOOGLEFINANCE(A1305,""LOW"")"),330.1)</f>
        <v>330.1</v>
      </c>
      <c r="F1305" s="12" t="str">
        <f t="shared" ca="1" si="42"/>
        <v>SELL</v>
      </c>
      <c r="G1305" s="13">
        <f ca="1">IFERROR(__xludf.DUMMYFUNCTION("GOOGLEFINANCE(A1305,""CLOSEYEST"")"),340.75)</f>
        <v>340.75</v>
      </c>
      <c r="H1305" s="14" t="str">
        <f t="shared" ca="1" si="48"/>
        <v/>
      </c>
      <c r="I1305" s="15">
        <f t="shared" ca="1" si="43"/>
        <v>337.34999999999997</v>
      </c>
      <c r="J1305" s="16">
        <f t="shared" ca="1" si="44"/>
        <v>344.59999999999991</v>
      </c>
      <c r="K1305" s="16"/>
      <c r="L1305" s="16">
        <f t="shared" ca="1" si="45"/>
        <v>333.49999999999994</v>
      </c>
      <c r="M1305" s="16">
        <f t="shared" ca="1" si="46"/>
        <v>348.44999999999993</v>
      </c>
      <c r="N1305" s="16">
        <f t="shared" ca="1" si="47"/>
        <v>326.25</v>
      </c>
    </row>
    <row r="1306" spans="1:14" ht="24.75" customHeight="1" x14ac:dyDescent="0.8">
      <c r="A1306" s="18" t="s">
        <v>1269</v>
      </c>
      <c r="B1306" s="10">
        <f ca="1">IFERROR(__xludf.DUMMYFUNCTION("GOOGLEFINANCE(A1306,""PRICE"")"),169.26)</f>
        <v>169.26</v>
      </c>
      <c r="C1306" s="11">
        <f ca="1">IFERROR(__xludf.DUMMYFUNCTION("GOOGLEFINANCE(A1306,""PRICEOPEN"")"),169.26)</f>
        <v>169.26</v>
      </c>
      <c r="D1306" s="11">
        <f ca="1">IFERROR(__xludf.DUMMYFUNCTION("GOOGLEFINANCE(A1306,""HIGH"")"),169.26)</f>
        <v>169.26</v>
      </c>
      <c r="E1306" s="11">
        <f ca="1">IFERROR(__xludf.DUMMYFUNCTION("GOOGLEFINANCE(A1306,""LOW"")"),169.26)</f>
        <v>169.26</v>
      </c>
      <c r="F1306" s="12" t="str">
        <f t="shared" ca="1" si="42"/>
        <v>SELL</v>
      </c>
      <c r="G1306" s="13">
        <f ca="1">IFERROR(__xludf.DUMMYFUNCTION("GOOGLEFINANCE(A1306,""CLOSEYEST"")"),172.72)</f>
        <v>172.72</v>
      </c>
      <c r="H1306" s="14" t="str">
        <f t="shared" ca="1" si="48"/>
        <v>GAP DOWN</v>
      </c>
      <c r="I1306" s="15">
        <f t="shared" ca="1" si="43"/>
        <v>170.41333333333333</v>
      </c>
      <c r="J1306" s="16">
        <f t="shared" ca="1" si="44"/>
        <v>171.56666666666666</v>
      </c>
      <c r="K1306" s="16"/>
      <c r="L1306" s="16">
        <f t="shared" ca="1" si="45"/>
        <v>171.56666666666666</v>
      </c>
      <c r="M1306" s="16">
        <f t="shared" ca="1" si="46"/>
        <v>170.41333333333333</v>
      </c>
      <c r="N1306" s="16">
        <f t="shared" ca="1" si="47"/>
        <v>170.41333333333333</v>
      </c>
    </row>
    <row r="1307" spans="1:14" ht="24.75" customHeight="1" x14ac:dyDescent="0.8">
      <c r="A1307" s="18" t="s">
        <v>1270</v>
      </c>
      <c r="B1307" s="10">
        <f ca="1">IFERROR(__xludf.DUMMYFUNCTION("GOOGLEFINANCE(A1307,""PRICE"")"),938.75)</f>
        <v>938.75</v>
      </c>
      <c r="C1307" s="11">
        <f ca="1">IFERROR(__xludf.DUMMYFUNCTION("GOOGLEFINANCE(A1307,""PRICEOPEN"")"),952)</f>
        <v>952</v>
      </c>
      <c r="D1307" s="11">
        <f ca="1">IFERROR(__xludf.DUMMYFUNCTION("GOOGLEFINANCE(A1307,""HIGH"")"),968)</f>
        <v>968</v>
      </c>
      <c r="E1307" s="11">
        <f ca="1">IFERROR(__xludf.DUMMYFUNCTION("GOOGLEFINANCE(A1307,""LOW"")"),925)</f>
        <v>925</v>
      </c>
      <c r="F1307" s="12" t="str">
        <f t="shared" ca="1" si="42"/>
        <v/>
      </c>
      <c r="G1307" s="13">
        <f ca="1">IFERROR(__xludf.DUMMYFUNCTION("GOOGLEFINANCE(A1307,""CLOSEYEST"")"),950.45)</f>
        <v>950.45</v>
      </c>
      <c r="H1307" s="14" t="str">
        <f t="shared" ca="1" si="48"/>
        <v/>
      </c>
      <c r="I1307" s="15">
        <f t="shared" ca="1" si="43"/>
        <v>947.81666666666661</v>
      </c>
      <c r="J1307" s="16">
        <f t="shared" ca="1" si="44"/>
        <v>970.63333333333321</v>
      </c>
      <c r="K1307" s="16"/>
      <c r="L1307" s="16">
        <f t="shared" ca="1" si="45"/>
        <v>927.63333333333321</v>
      </c>
      <c r="M1307" s="16">
        <f t="shared" ca="1" si="46"/>
        <v>990.81666666666661</v>
      </c>
      <c r="N1307" s="16">
        <f t="shared" ca="1" si="47"/>
        <v>904.81666666666661</v>
      </c>
    </row>
    <row r="1308" spans="1:14" ht="24.75" customHeight="1" x14ac:dyDescent="0.8">
      <c r="A1308" s="18" t="s">
        <v>1271</v>
      </c>
      <c r="B1308" s="10">
        <f ca="1">IFERROR(__xludf.DUMMYFUNCTION("GOOGLEFINANCE(A1308,""PRICE"")"),350.25)</f>
        <v>350.25</v>
      </c>
      <c r="C1308" s="11">
        <f ca="1">IFERROR(__xludf.DUMMYFUNCTION("GOOGLEFINANCE(A1308,""PRICEOPEN"")"),365)</f>
        <v>365</v>
      </c>
      <c r="D1308" s="11">
        <f ca="1">IFERROR(__xludf.DUMMYFUNCTION("GOOGLEFINANCE(A1308,""HIGH"")"),365)</f>
        <v>365</v>
      </c>
      <c r="E1308" s="11">
        <f ca="1">IFERROR(__xludf.DUMMYFUNCTION("GOOGLEFINANCE(A1308,""LOW"")"),346.35)</f>
        <v>346.35</v>
      </c>
      <c r="F1308" s="12" t="str">
        <f t="shared" ca="1" si="42"/>
        <v>SELL</v>
      </c>
      <c r="G1308" s="13">
        <f ca="1">IFERROR(__xludf.DUMMYFUNCTION("GOOGLEFINANCE(A1308,""CLOSEYEST"")"),361.9)</f>
        <v>361.9</v>
      </c>
      <c r="H1308" s="14" t="str">
        <f t="shared" ca="1" si="48"/>
        <v/>
      </c>
      <c r="I1308" s="15">
        <f t="shared" ca="1" si="43"/>
        <v>357.75</v>
      </c>
      <c r="J1308" s="16">
        <f t="shared" ca="1" si="44"/>
        <v>369.15</v>
      </c>
      <c r="K1308" s="16"/>
      <c r="L1308" s="16">
        <f t="shared" ca="1" si="45"/>
        <v>350.5</v>
      </c>
      <c r="M1308" s="16">
        <f t="shared" ca="1" si="46"/>
        <v>376.4</v>
      </c>
      <c r="N1308" s="16">
        <f t="shared" ca="1" si="47"/>
        <v>339.1</v>
      </c>
    </row>
    <row r="1309" spans="1:14" ht="24.75" customHeight="1" x14ac:dyDescent="0.8">
      <c r="A1309" s="18" t="s">
        <v>1272</v>
      </c>
      <c r="B1309" s="10" t="str">
        <f ca="1">IFERROR(__xludf.DUMMYFUNCTION("GOOGLEFINANCE(A1309,""PRICE"")"),"#N/A")</f>
        <v>#N/A</v>
      </c>
      <c r="C1309" s="11" t="str">
        <f ca="1">IFERROR(__xludf.DUMMYFUNCTION("GOOGLEFINANCE(A1309,""PRICEOPEN"")"),"#N/A")</f>
        <v>#N/A</v>
      </c>
      <c r="D1309" s="11" t="str">
        <f ca="1">IFERROR(__xludf.DUMMYFUNCTION("GOOGLEFINANCE(A1309,""HIGH"")"),"#N/A")</f>
        <v>#N/A</v>
      </c>
      <c r="E1309" s="11" t="str">
        <f ca="1">IFERROR(__xludf.DUMMYFUNCTION("GOOGLEFINANCE(A1309,""LOW"")"),"#N/A")</f>
        <v>#N/A</v>
      </c>
      <c r="F1309" s="12" t="str">
        <f t="shared" ca="1" si="42"/>
        <v>SELL</v>
      </c>
      <c r="G1309" s="13" t="str">
        <f ca="1">IFERROR(__xludf.DUMMYFUNCTION("GOOGLEFINANCE(A1309,""CLOSEYEST"")"),"#N/A")</f>
        <v>#N/A</v>
      </c>
      <c r="H1309" s="14" t="e">
        <f t="shared" ca="1" si="48"/>
        <v>#VALUE!</v>
      </c>
      <c r="I1309" s="15" t="e">
        <f t="shared" ca="1" si="43"/>
        <v>#VALUE!</v>
      </c>
      <c r="J1309" s="16" t="e">
        <f t="shared" ca="1" si="44"/>
        <v>#VALUE!</v>
      </c>
      <c r="K1309" s="16"/>
      <c r="L1309" s="16" t="e">
        <f t="shared" ca="1" si="45"/>
        <v>#VALUE!</v>
      </c>
      <c r="M1309" s="16" t="e">
        <f t="shared" ca="1" si="46"/>
        <v>#VALUE!</v>
      </c>
      <c r="N1309" s="16" t="e">
        <f t="shared" ca="1" si="47"/>
        <v>#VALUE!</v>
      </c>
    </row>
    <row r="1310" spans="1:14" ht="24.75" customHeight="1" x14ac:dyDescent="0.8">
      <c r="A1310" s="18" t="s">
        <v>1273</v>
      </c>
      <c r="B1310" s="10">
        <f ca="1">IFERROR(__xludf.DUMMYFUNCTION("GOOGLEFINANCE(A1310,""PRICE"")"),4.02)</f>
        <v>4.0199999999999996</v>
      </c>
      <c r="C1310" s="11">
        <f ca="1">IFERROR(__xludf.DUMMYFUNCTION("GOOGLEFINANCE(A1310,""PRICEOPEN"")"),4.03)</f>
        <v>4.03</v>
      </c>
      <c r="D1310" s="11">
        <f ca="1">IFERROR(__xludf.DUMMYFUNCTION("GOOGLEFINANCE(A1310,""HIGH"")"),4.25)</f>
        <v>4.25</v>
      </c>
      <c r="E1310" s="11">
        <f ca="1">IFERROR(__xludf.DUMMYFUNCTION("GOOGLEFINANCE(A1310,""LOW"")"),3.89)</f>
        <v>3.89</v>
      </c>
      <c r="F1310" s="12" t="str">
        <f t="shared" ca="1" si="42"/>
        <v/>
      </c>
      <c r="G1310" s="13">
        <f ca="1">IFERROR(__xludf.DUMMYFUNCTION("GOOGLEFINANCE(A1310,""CLOSEYEST"")"),4.08)</f>
        <v>4.08</v>
      </c>
      <c r="H1310" s="14" t="str">
        <f t="shared" ca="1" si="48"/>
        <v>GAP DOWN</v>
      </c>
      <c r="I1310" s="15">
        <f t="shared" ca="1" si="43"/>
        <v>4.0733333333333333</v>
      </c>
      <c r="J1310" s="16">
        <f t="shared" ca="1" si="44"/>
        <v>4.2566666666666659</v>
      </c>
      <c r="K1310" s="16"/>
      <c r="L1310" s="16">
        <f t="shared" ca="1" si="45"/>
        <v>3.8966666666666665</v>
      </c>
      <c r="M1310" s="16">
        <f t="shared" ca="1" si="46"/>
        <v>4.4333333333333327</v>
      </c>
      <c r="N1310" s="16">
        <f t="shared" ca="1" si="47"/>
        <v>3.7133333333333338</v>
      </c>
    </row>
    <row r="1311" spans="1:14" ht="24.75" customHeight="1" x14ac:dyDescent="0.8">
      <c r="A1311" s="18" t="s">
        <v>1274</v>
      </c>
      <c r="B1311" s="10">
        <f ca="1">IFERROR(__xludf.DUMMYFUNCTION("GOOGLEFINANCE(A1311,""PRICE"")"),33)</f>
        <v>33</v>
      </c>
      <c r="C1311" s="11">
        <f ca="1">IFERROR(__xludf.DUMMYFUNCTION("GOOGLEFINANCE(A1311,""PRICEOPEN"")"),34.75)</f>
        <v>34.75</v>
      </c>
      <c r="D1311" s="11">
        <f ca="1">IFERROR(__xludf.DUMMYFUNCTION("GOOGLEFINANCE(A1311,""HIGH"")"),34.75)</f>
        <v>34.75</v>
      </c>
      <c r="E1311" s="11">
        <f ca="1">IFERROR(__xludf.DUMMYFUNCTION("GOOGLEFINANCE(A1311,""LOW"")"),32.9)</f>
        <v>32.9</v>
      </c>
      <c r="F1311" s="12" t="str">
        <f t="shared" ca="1" si="42"/>
        <v>SELL</v>
      </c>
      <c r="G1311" s="13">
        <f ca="1">IFERROR(__xludf.DUMMYFUNCTION("GOOGLEFINANCE(A1311,""CLOSEYEST"")"),34.63)</f>
        <v>34.630000000000003</v>
      </c>
      <c r="H1311" s="14" t="str">
        <f t="shared" ca="1" si="48"/>
        <v/>
      </c>
      <c r="I1311" s="15">
        <f t="shared" ca="1" si="43"/>
        <v>34.093333333333334</v>
      </c>
      <c r="J1311" s="16">
        <f t="shared" ca="1" si="44"/>
        <v>35.286666666666669</v>
      </c>
      <c r="K1311" s="16"/>
      <c r="L1311" s="16">
        <f t="shared" ca="1" si="45"/>
        <v>33.436666666666667</v>
      </c>
      <c r="M1311" s="16">
        <f t="shared" ca="1" si="46"/>
        <v>35.943333333333335</v>
      </c>
      <c r="N1311" s="16">
        <f t="shared" ca="1" si="47"/>
        <v>32.243333333333332</v>
      </c>
    </row>
    <row r="1312" spans="1:14" ht="24.75" customHeight="1" x14ac:dyDescent="0.8">
      <c r="A1312" s="18" t="s">
        <v>1275</v>
      </c>
      <c r="B1312" s="10">
        <f ca="1">IFERROR(__xludf.DUMMYFUNCTION("GOOGLEFINANCE(A1312,""PRICE"")"),126.81)</f>
        <v>126.81</v>
      </c>
      <c r="C1312" s="11">
        <f ca="1">IFERROR(__xludf.DUMMYFUNCTION("GOOGLEFINANCE(A1312,""PRICEOPEN"")"),127.7)</f>
        <v>127.7</v>
      </c>
      <c r="D1312" s="11">
        <f ca="1">IFERROR(__xludf.DUMMYFUNCTION("GOOGLEFINANCE(A1312,""HIGH"")"),130)</f>
        <v>130</v>
      </c>
      <c r="E1312" s="11">
        <f ca="1">IFERROR(__xludf.DUMMYFUNCTION("GOOGLEFINANCE(A1312,""LOW"")"),126.75)</f>
        <v>126.75</v>
      </c>
      <c r="F1312" s="12" t="str">
        <f t="shared" ca="1" si="42"/>
        <v/>
      </c>
      <c r="G1312" s="13">
        <f ca="1">IFERROR(__xludf.DUMMYFUNCTION("GOOGLEFINANCE(A1312,""CLOSEYEST"")"),126.98)</f>
        <v>126.98</v>
      </c>
      <c r="H1312" s="14" t="str">
        <f t="shared" ca="1" si="48"/>
        <v/>
      </c>
      <c r="I1312" s="15">
        <f t="shared" ca="1" si="43"/>
        <v>127.91000000000001</v>
      </c>
      <c r="J1312" s="16">
        <f t="shared" ca="1" si="44"/>
        <v>129.07000000000002</v>
      </c>
      <c r="K1312" s="16"/>
      <c r="L1312" s="16">
        <f t="shared" ca="1" si="45"/>
        <v>125.82000000000002</v>
      </c>
      <c r="M1312" s="16">
        <f t="shared" ca="1" si="46"/>
        <v>131.16000000000003</v>
      </c>
      <c r="N1312" s="16">
        <f t="shared" ca="1" si="47"/>
        <v>124.66000000000001</v>
      </c>
    </row>
    <row r="1313" spans="1:14" ht="24.75" customHeight="1" x14ac:dyDescent="0.8">
      <c r="A1313" s="18" t="s">
        <v>1276</v>
      </c>
      <c r="B1313" s="10">
        <f ca="1">IFERROR(__xludf.DUMMYFUNCTION("GOOGLEFINANCE(A1313,""PRICE"")"),33.28)</f>
        <v>33.28</v>
      </c>
      <c r="C1313" s="11">
        <f ca="1">IFERROR(__xludf.DUMMYFUNCTION("GOOGLEFINANCE(A1313,""PRICEOPEN"")"),29.5)</f>
        <v>29.5</v>
      </c>
      <c r="D1313" s="11">
        <f ca="1">IFERROR(__xludf.DUMMYFUNCTION("GOOGLEFINANCE(A1313,""HIGH"")"),33.5)</f>
        <v>33.5</v>
      </c>
      <c r="E1313" s="11">
        <f ca="1">IFERROR(__xludf.DUMMYFUNCTION("GOOGLEFINANCE(A1313,""LOW"")"),29.5)</f>
        <v>29.5</v>
      </c>
      <c r="F1313" s="12" t="str">
        <f t="shared" ca="1" si="42"/>
        <v>BUY</v>
      </c>
      <c r="G1313" s="13">
        <f ca="1">IFERROR(__xludf.DUMMYFUNCTION("GOOGLEFINANCE(A1313,""CLOSEYEST"")"),30.55)</f>
        <v>30.55</v>
      </c>
      <c r="H1313" s="14" t="str">
        <f t="shared" ca="1" si="48"/>
        <v>GAP DOWN</v>
      </c>
      <c r="I1313" s="15">
        <f t="shared" ca="1" si="43"/>
        <v>31.183333333333334</v>
      </c>
      <c r="J1313" s="16">
        <f t="shared" ca="1" si="44"/>
        <v>32.866666666666667</v>
      </c>
      <c r="K1313" s="16"/>
      <c r="L1313" s="16">
        <f t="shared" ca="1" si="45"/>
        <v>28.866666666666667</v>
      </c>
      <c r="M1313" s="16">
        <f t="shared" ca="1" si="46"/>
        <v>35.183333333333337</v>
      </c>
      <c r="N1313" s="16">
        <f t="shared" ca="1" si="47"/>
        <v>27.183333333333334</v>
      </c>
    </row>
    <row r="1314" spans="1:14" ht="24.75" customHeight="1" x14ac:dyDescent="0.8">
      <c r="A1314" s="18" t="s">
        <v>1277</v>
      </c>
      <c r="B1314" s="10" t="str">
        <f ca="1">IFERROR(__xludf.DUMMYFUNCTION("GOOGLEFINANCE(A1314,""PRICE"")"),"#N/A")</f>
        <v>#N/A</v>
      </c>
      <c r="C1314" s="11" t="str">
        <f ca="1">IFERROR(__xludf.DUMMYFUNCTION("GOOGLEFINANCE(A1314,""PRICEOPEN"")"),"#N/A")</f>
        <v>#N/A</v>
      </c>
      <c r="D1314" s="11" t="str">
        <f ca="1">IFERROR(__xludf.DUMMYFUNCTION("GOOGLEFINANCE(A1314,""HIGH"")"),"#N/A")</f>
        <v>#N/A</v>
      </c>
      <c r="E1314" s="11" t="str">
        <f ca="1">IFERROR(__xludf.DUMMYFUNCTION("GOOGLEFINANCE(A1314,""LOW"")"),"#N/A")</f>
        <v>#N/A</v>
      </c>
      <c r="F1314" s="12" t="str">
        <f t="shared" ca="1" si="42"/>
        <v>SELL</v>
      </c>
      <c r="G1314" s="13" t="str">
        <f ca="1">IFERROR(__xludf.DUMMYFUNCTION("GOOGLEFINANCE(A1314,""CLOSEYEST"")"),"#N/A")</f>
        <v>#N/A</v>
      </c>
      <c r="H1314" s="14" t="e">
        <f t="shared" ca="1" si="48"/>
        <v>#VALUE!</v>
      </c>
      <c r="I1314" s="15" t="e">
        <f t="shared" ca="1" si="43"/>
        <v>#VALUE!</v>
      </c>
      <c r="J1314" s="16" t="e">
        <f t="shared" ca="1" si="44"/>
        <v>#VALUE!</v>
      </c>
      <c r="K1314" s="16"/>
      <c r="L1314" s="16" t="e">
        <f t="shared" ca="1" si="45"/>
        <v>#VALUE!</v>
      </c>
      <c r="M1314" s="16" t="e">
        <f t="shared" ca="1" si="46"/>
        <v>#VALUE!</v>
      </c>
      <c r="N1314" s="16" t="e">
        <f t="shared" ca="1" si="47"/>
        <v>#VALUE!</v>
      </c>
    </row>
    <row r="1315" spans="1:14" ht="24.75" customHeight="1" x14ac:dyDescent="0.8">
      <c r="A1315" s="18" t="s">
        <v>1278</v>
      </c>
      <c r="B1315" s="10">
        <f ca="1">IFERROR(__xludf.DUMMYFUNCTION("GOOGLEFINANCE(A1315,""PRICE"")"),19.2)</f>
        <v>19.2</v>
      </c>
      <c r="C1315" s="11">
        <f ca="1">IFERROR(__xludf.DUMMYFUNCTION("GOOGLEFINANCE(A1315,""PRICEOPEN"")"),18.45)</f>
        <v>18.45</v>
      </c>
      <c r="D1315" s="11">
        <f ca="1">IFERROR(__xludf.DUMMYFUNCTION("GOOGLEFINANCE(A1315,""HIGH"")"),19.49)</f>
        <v>19.489999999999998</v>
      </c>
      <c r="E1315" s="11">
        <f ca="1">IFERROR(__xludf.DUMMYFUNCTION("GOOGLEFINANCE(A1315,""LOW"")"),18.45)</f>
        <v>18.45</v>
      </c>
      <c r="F1315" s="12" t="str">
        <f t="shared" ca="1" si="42"/>
        <v>BUY</v>
      </c>
      <c r="G1315" s="13">
        <f ca="1">IFERROR(__xludf.DUMMYFUNCTION("GOOGLEFINANCE(A1315,""CLOSEYEST"")"),18.31)</f>
        <v>18.309999999999999</v>
      </c>
      <c r="H1315" s="14" t="str">
        <f t="shared" ca="1" si="48"/>
        <v/>
      </c>
      <c r="I1315" s="15">
        <f t="shared" ca="1" si="43"/>
        <v>18.75</v>
      </c>
      <c r="J1315" s="16">
        <f t="shared" ca="1" si="44"/>
        <v>19.05</v>
      </c>
      <c r="K1315" s="16"/>
      <c r="L1315" s="16">
        <f t="shared" ca="1" si="45"/>
        <v>18.010000000000002</v>
      </c>
      <c r="M1315" s="16">
        <f t="shared" ca="1" si="46"/>
        <v>19.79</v>
      </c>
      <c r="N1315" s="16">
        <f t="shared" ca="1" si="47"/>
        <v>17.71</v>
      </c>
    </row>
    <row r="1316" spans="1:14" ht="24.75" customHeight="1" x14ac:dyDescent="0.8">
      <c r="A1316" s="18" t="s">
        <v>1279</v>
      </c>
      <c r="B1316" s="10" t="str">
        <f ca="1">IFERROR(__xludf.DUMMYFUNCTION("GOOGLEFINANCE(A1316,""PRICE"")"),"#N/A")</f>
        <v>#N/A</v>
      </c>
      <c r="C1316" s="11" t="str">
        <f ca="1">IFERROR(__xludf.DUMMYFUNCTION("GOOGLEFINANCE(A1316,""PRICEOPEN"")"),"#N/A")</f>
        <v>#N/A</v>
      </c>
      <c r="D1316" s="11" t="str">
        <f ca="1">IFERROR(__xludf.DUMMYFUNCTION("GOOGLEFINANCE(A1316,""HIGH"")"),"#N/A")</f>
        <v>#N/A</v>
      </c>
      <c r="E1316" s="11" t="str">
        <f ca="1">IFERROR(__xludf.DUMMYFUNCTION("GOOGLEFINANCE(A1316,""LOW"")"),"#N/A")</f>
        <v>#N/A</v>
      </c>
      <c r="F1316" s="12" t="str">
        <f t="shared" ca="1" si="42"/>
        <v>SELL</v>
      </c>
      <c r="G1316" s="13" t="str">
        <f ca="1">IFERROR(__xludf.DUMMYFUNCTION("GOOGLEFINANCE(A1316,""CLOSEYEST"")"),"#N/A")</f>
        <v>#N/A</v>
      </c>
      <c r="H1316" s="14" t="e">
        <f t="shared" ca="1" si="48"/>
        <v>#VALUE!</v>
      </c>
      <c r="I1316" s="15" t="e">
        <f t="shared" ca="1" si="43"/>
        <v>#VALUE!</v>
      </c>
      <c r="J1316" s="16" t="e">
        <f t="shared" ca="1" si="44"/>
        <v>#VALUE!</v>
      </c>
      <c r="K1316" s="16"/>
      <c r="L1316" s="16" t="e">
        <f t="shared" ca="1" si="45"/>
        <v>#VALUE!</v>
      </c>
      <c r="M1316" s="16" t="e">
        <f t="shared" ca="1" si="46"/>
        <v>#VALUE!</v>
      </c>
      <c r="N1316" s="16" t="e">
        <f t="shared" ca="1" si="47"/>
        <v>#VALUE!</v>
      </c>
    </row>
    <row r="1317" spans="1:14" ht="24.75" customHeight="1" x14ac:dyDescent="0.8">
      <c r="A1317" s="18" t="s">
        <v>1280</v>
      </c>
      <c r="B1317" s="10">
        <f ca="1">IFERROR(__xludf.DUMMYFUNCTION("GOOGLEFINANCE(A1317,""PRICE"")"),16.55)</f>
        <v>16.55</v>
      </c>
      <c r="C1317" s="11">
        <f ca="1">IFERROR(__xludf.DUMMYFUNCTION("GOOGLEFINANCE(A1317,""PRICEOPEN"")"),16.01)</f>
        <v>16.010000000000002</v>
      </c>
      <c r="D1317" s="11">
        <f ca="1">IFERROR(__xludf.DUMMYFUNCTION("GOOGLEFINANCE(A1317,""HIGH"")"),16.72)</f>
        <v>16.72</v>
      </c>
      <c r="E1317" s="11">
        <f ca="1">IFERROR(__xludf.DUMMYFUNCTION("GOOGLEFINANCE(A1317,""LOW"")"),16.01)</f>
        <v>16.010000000000002</v>
      </c>
      <c r="F1317" s="12" t="str">
        <f t="shared" ca="1" si="42"/>
        <v>BUY</v>
      </c>
      <c r="G1317" s="13">
        <f ca="1">IFERROR(__xludf.DUMMYFUNCTION("GOOGLEFINANCE(A1317,""CLOSEYEST"")"),16.2)</f>
        <v>16.2</v>
      </c>
      <c r="H1317" s="14" t="str">
        <f t="shared" ca="1" si="48"/>
        <v>GAP DOWN</v>
      </c>
      <c r="I1317" s="15">
        <f t="shared" ca="1" si="43"/>
        <v>16.310000000000002</v>
      </c>
      <c r="J1317" s="16">
        <f t="shared" ca="1" si="44"/>
        <v>16.610000000000003</v>
      </c>
      <c r="K1317" s="16"/>
      <c r="L1317" s="16">
        <f t="shared" ca="1" si="45"/>
        <v>15.900000000000006</v>
      </c>
      <c r="M1317" s="16">
        <f t="shared" ca="1" si="46"/>
        <v>17.02</v>
      </c>
      <c r="N1317" s="16">
        <f t="shared" ca="1" si="47"/>
        <v>15.600000000000005</v>
      </c>
    </row>
    <row r="1318" spans="1:14" ht="24.75" customHeight="1" x14ac:dyDescent="0.8">
      <c r="A1318" s="18" t="s">
        <v>1281</v>
      </c>
      <c r="B1318" s="10">
        <f ca="1">IFERROR(__xludf.DUMMYFUNCTION("GOOGLEFINANCE(A1318,""PRICE"")"),2.44)</f>
        <v>2.44</v>
      </c>
      <c r="C1318" s="11">
        <f ca="1">IFERROR(__xludf.DUMMYFUNCTION("GOOGLEFINANCE(A1318,""PRICEOPEN"")"),2.36)</f>
        <v>2.36</v>
      </c>
      <c r="D1318" s="11">
        <f ca="1">IFERROR(__xludf.DUMMYFUNCTION("GOOGLEFINANCE(A1318,""HIGH"")"),2.46)</f>
        <v>2.46</v>
      </c>
      <c r="E1318" s="11">
        <f ca="1">IFERROR(__xludf.DUMMYFUNCTION("GOOGLEFINANCE(A1318,""LOW"")"),2.33)</f>
        <v>2.33</v>
      </c>
      <c r="F1318" s="12" t="str">
        <f t="shared" ca="1" si="42"/>
        <v/>
      </c>
      <c r="G1318" s="13">
        <f ca="1">IFERROR(__xludf.DUMMYFUNCTION("GOOGLEFINANCE(A1318,""CLOSEYEST"")"),2.36)</f>
        <v>2.36</v>
      </c>
      <c r="H1318" s="14" t="str">
        <f t="shared" ca="1" si="48"/>
        <v/>
      </c>
      <c r="I1318" s="15">
        <f t="shared" ca="1" si="43"/>
        <v>2.3833333333333333</v>
      </c>
      <c r="J1318" s="16">
        <f t="shared" ca="1" si="44"/>
        <v>2.4366666666666665</v>
      </c>
      <c r="K1318" s="16"/>
      <c r="L1318" s="16">
        <f t="shared" ca="1" si="45"/>
        <v>2.3066666666666666</v>
      </c>
      <c r="M1318" s="16">
        <f t="shared" ca="1" si="46"/>
        <v>2.5133333333333332</v>
      </c>
      <c r="N1318" s="16">
        <f t="shared" ca="1" si="47"/>
        <v>2.2533333333333334</v>
      </c>
    </row>
    <row r="1319" spans="1:14" ht="24.75" customHeight="1" x14ac:dyDescent="0.8">
      <c r="A1319" s="18" t="s">
        <v>1282</v>
      </c>
      <c r="B1319" s="10">
        <f ca="1">IFERROR(__xludf.DUMMYFUNCTION("GOOGLEFINANCE(A1319,""PRICE"")"),201.5)</f>
        <v>201.5</v>
      </c>
      <c r="C1319" s="11">
        <f ca="1">IFERROR(__xludf.DUMMYFUNCTION("GOOGLEFINANCE(A1319,""PRICEOPEN"")"),201.92)</f>
        <v>201.92</v>
      </c>
      <c r="D1319" s="11">
        <f ca="1">IFERROR(__xludf.DUMMYFUNCTION("GOOGLEFINANCE(A1319,""HIGH"")"),206.9)</f>
        <v>206.9</v>
      </c>
      <c r="E1319" s="11">
        <f ca="1">IFERROR(__xludf.DUMMYFUNCTION("GOOGLEFINANCE(A1319,""LOW"")"),200.99)</f>
        <v>200.99</v>
      </c>
      <c r="F1319" s="12" t="str">
        <f t="shared" ca="1" si="42"/>
        <v/>
      </c>
      <c r="G1319" s="13">
        <f ca="1">IFERROR(__xludf.DUMMYFUNCTION("GOOGLEFINANCE(A1319,""CLOSEYEST"")"),200.91)</f>
        <v>200.91</v>
      </c>
      <c r="H1319" s="14" t="str">
        <f t="shared" ca="1" si="48"/>
        <v/>
      </c>
      <c r="I1319" s="15">
        <f t="shared" ca="1" si="43"/>
        <v>202.93333333333331</v>
      </c>
      <c r="J1319" s="16">
        <f t="shared" ca="1" si="44"/>
        <v>204.87666666666661</v>
      </c>
      <c r="K1319" s="16"/>
      <c r="L1319" s="16">
        <f t="shared" ca="1" si="45"/>
        <v>198.96666666666661</v>
      </c>
      <c r="M1319" s="16">
        <f t="shared" ca="1" si="46"/>
        <v>208.84333333333331</v>
      </c>
      <c r="N1319" s="16">
        <f t="shared" ca="1" si="47"/>
        <v>197.02333333333331</v>
      </c>
    </row>
    <row r="1320" spans="1:14" ht="24.75" customHeight="1" x14ac:dyDescent="0.8">
      <c r="A1320" s="18" t="s">
        <v>1283</v>
      </c>
      <c r="B1320" s="10">
        <f ca="1">IFERROR(__xludf.DUMMYFUNCTION("GOOGLEFINANCE(A1320,""PRICE"")"),96.4)</f>
        <v>96.4</v>
      </c>
      <c r="C1320" s="11">
        <f ca="1">IFERROR(__xludf.DUMMYFUNCTION("GOOGLEFINANCE(A1320,""PRICEOPEN"")"),94.89)</f>
        <v>94.89</v>
      </c>
      <c r="D1320" s="11">
        <f ca="1">IFERROR(__xludf.DUMMYFUNCTION("GOOGLEFINANCE(A1320,""HIGH"")"),96.95)</f>
        <v>96.95</v>
      </c>
      <c r="E1320" s="11">
        <f ca="1">IFERROR(__xludf.DUMMYFUNCTION("GOOGLEFINANCE(A1320,""LOW"")"),94.21)</f>
        <v>94.21</v>
      </c>
      <c r="F1320" s="12" t="str">
        <f t="shared" ca="1" si="42"/>
        <v/>
      </c>
      <c r="G1320" s="13">
        <f ca="1">IFERROR(__xludf.DUMMYFUNCTION("GOOGLEFINANCE(A1320,""CLOSEYEST"")"),94.57)</f>
        <v>94.57</v>
      </c>
      <c r="H1320" s="14" t="str">
        <f t="shared" ca="1" si="48"/>
        <v/>
      </c>
      <c r="I1320" s="15">
        <f t="shared" ca="1" si="43"/>
        <v>95.243333333333339</v>
      </c>
      <c r="J1320" s="16">
        <f t="shared" ca="1" si="44"/>
        <v>96.276666666666685</v>
      </c>
      <c r="K1320" s="16"/>
      <c r="L1320" s="16">
        <f t="shared" ca="1" si="45"/>
        <v>93.536666666666676</v>
      </c>
      <c r="M1320" s="16">
        <f t="shared" ca="1" si="46"/>
        <v>97.983333333333348</v>
      </c>
      <c r="N1320" s="16">
        <f t="shared" ca="1" si="47"/>
        <v>92.50333333333333</v>
      </c>
    </row>
    <row r="1321" spans="1:14" ht="24.75" customHeight="1" x14ac:dyDescent="0.8">
      <c r="A1321" s="18" t="s">
        <v>1284</v>
      </c>
      <c r="B1321" s="10">
        <f ca="1">IFERROR(__xludf.DUMMYFUNCTION("GOOGLEFINANCE(A1321,""PRICE"")"),7)</f>
        <v>7</v>
      </c>
      <c r="C1321" s="11">
        <f ca="1">IFERROR(__xludf.DUMMYFUNCTION("GOOGLEFINANCE(A1321,""PRICEOPEN"")"),6.95)</f>
        <v>6.95</v>
      </c>
      <c r="D1321" s="11">
        <f ca="1">IFERROR(__xludf.DUMMYFUNCTION("GOOGLEFINANCE(A1321,""HIGH"")"),7.08)</f>
        <v>7.08</v>
      </c>
      <c r="E1321" s="11">
        <f ca="1">IFERROR(__xludf.DUMMYFUNCTION("GOOGLEFINANCE(A1321,""LOW"")"),6.95)</f>
        <v>6.95</v>
      </c>
      <c r="F1321" s="12" t="str">
        <f t="shared" ca="1" si="42"/>
        <v>BUY</v>
      </c>
      <c r="G1321" s="13">
        <f ca="1">IFERROR(__xludf.DUMMYFUNCTION("GOOGLEFINANCE(A1321,""CLOSEYEST"")"),7.03)</f>
        <v>7.03</v>
      </c>
      <c r="H1321" s="14" t="str">
        <f t="shared" ca="1" si="48"/>
        <v>GAP DOWN</v>
      </c>
      <c r="I1321" s="15">
        <f t="shared" ca="1" si="43"/>
        <v>7.0200000000000005</v>
      </c>
      <c r="J1321" s="16">
        <f t="shared" ca="1" si="44"/>
        <v>7.0900000000000007</v>
      </c>
      <c r="K1321" s="16"/>
      <c r="L1321" s="16">
        <f t="shared" ca="1" si="45"/>
        <v>6.9600000000000009</v>
      </c>
      <c r="M1321" s="16">
        <f t="shared" ca="1" si="46"/>
        <v>7.15</v>
      </c>
      <c r="N1321" s="16">
        <f t="shared" ca="1" si="47"/>
        <v>6.8900000000000006</v>
      </c>
    </row>
    <row r="1322" spans="1:14" ht="24.75" customHeight="1" x14ac:dyDescent="0.8">
      <c r="A1322" s="18" t="s">
        <v>1285</v>
      </c>
      <c r="B1322" s="10">
        <f ca="1">IFERROR(__xludf.DUMMYFUNCTION("GOOGLEFINANCE(A1322,""PRICE"")"),89.6)</f>
        <v>89.6</v>
      </c>
      <c r="C1322" s="11">
        <f ca="1">IFERROR(__xludf.DUMMYFUNCTION("GOOGLEFINANCE(A1322,""PRICEOPEN"")"),91.1)</f>
        <v>91.1</v>
      </c>
      <c r="D1322" s="11">
        <f ca="1">IFERROR(__xludf.DUMMYFUNCTION("GOOGLEFINANCE(A1322,""HIGH"")"),95)</f>
        <v>95</v>
      </c>
      <c r="E1322" s="11">
        <f ca="1">IFERROR(__xludf.DUMMYFUNCTION("GOOGLEFINANCE(A1322,""LOW"")"),89.01)</f>
        <v>89.01</v>
      </c>
      <c r="F1322" s="12" t="str">
        <f t="shared" ca="1" si="42"/>
        <v/>
      </c>
      <c r="G1322" s="13">
        <f ca="1">IFERROR(__xludf.DUMMYFUNCTION("GOOGLEFINANCE(A1322,""CLOSEYEST"")"),92.21)</f>
        <v>92.21</v>
      </c>
      <c r="H1322" s="14" t="str">
        <f t="shared" ca="1" si="48"/>
        <v>GAP DOWN</v>
      </c>
      <c r="I1322" s="15">
        <f t="shared" ca="1" si="43"/>
        <v>92.073333333333323</v>
      </c>
      <c r="J1322" s="16">
        <f t="shared" ca="1" si="44"/>
        <v>95.136666666666642</v>
      </c>
      <c r="K1322" s="16"/>
      <c r="L1322" s="16">
        <f t="shared" ca="1" si="45"/>
        <v>89.146666666666647</v>
      </c>
      <c r="M1322" s="16">
        <f t="shared" ca="1" si="46"/>
        <v>98.063333333333318</v>
      </c>
      <c r="N1322" s="16">
        <f t="shared" ca="1" si="47"/>
        <v>86.083333333333329</v>
      </c>
    </row>
    <row r="1323" spans="1:14" ht="24.75" customHeight="1" x14ac:dyDescent="0.8">
      <c r="A1323" s="18" t="s">
        <v>1286</v>
      </c>
      <c r="B1323" s="10" t="str">
        <f ca="1">IFERROR(__xludf.DUMMYFUNCTION("GOOGLEFINANCE(A1323,""PRICE"")"),"#N/A")</f>
        <v>#N/A</v>
      </c>
      <c r="C1323" s="11" t="str">
        <f ca="1">IFERROR(__xludf.DUMMYFUNCTION("GOOGLEFINANCE(A1323,""PRICEOPEN"")"),"#N/A")</f>
        <v>#N/A</v>
      </c>
      <c r="D1323" s="11" t="str">
        <f ca="1">IFERROR(__xludf.DUMMYFUNCTION("GOOGLEFINANCE(A1323,""HIGH"")"),"#N/A")</f>
        <v>#N/A</v>
      </c>
      <c r="E1323" s="11" t="str">
        <f ca="1">IFERROR(__xludf.DUMMYFUNCTION("GOOGLEFINANCE(A1323,""LOW"")"),"#N/A")</f>
        <v>#N/A</v>
      </c>
      <c r="F1323" s="12" t="str">
        <f t="shared" ca="1" si="42"/>
        <v>SELL</v>
      </c>
      <c r="G1323" s="13" t="str">
        <f ca="1">IFERROR(__xludf.DUMMYFUNCTION("GOOGLEFINANCE(A1323,""CLOSEYEST"")"),"#N/A")</f>
        <v>#N/A</v>
      </c>
      <c r="H1323" s="14" t="e">
        <f t="shared" ca="1" si="48"/>
        <v>#VALUE!</v>
      </c>
      <c r="I1323" s="15" t="e">
        <f t="shared" ca="1" si="43"/>
        <v>#VALUE!</v>
      </c>
      <c r="J1323" s="16" t="e">
        <f t="shared" ca="1" si="44"/>
        <v>#VALUE!</v>
      </c>
      <c r="K1323" s="16"/>
      <c r="L1323" s="16" t="e">
        <f t="shared" ca="1" si="45"/>
        <v>#VALUE!</v>
      </c>
      <c r="M1323" s="16" t="e">
        <f t="shared" ca="1" si="46"/>
        <v>#VALUE!</v>
      </c>
      <c r="N1323" s="16" t="e">
        <f t="shared" ca="1" si="47"/>
        <v>#VALUE!</v>
      </c>
    </row>
    <row r="1324" spans="1:14" ht="24.75" customHeight="1" x14ac:dyDescent="0.8">
      <c r="A1324" s="18" t="s">
        <v>1287</v>
      </c>
      <c r="B1324" s="10">
        <f ca="1">IFERROR(__xludf.DUMMYFUNCTION("GOOGLEFINANCE(A1324,""PRICE"")"),11.27)</f>
        <v>11.27</v>
      </c>
      <c r="C1324" s="11">
        <f ca="1">IFERROR(__xludf.DUMMYFUNCTION("GOOGLEFINANCE(A1324,""PRICEOPEN"")"),12.19)</f>
        <v>12.19</v>
      </c>
      <c r="D1324" s="11">
        <f ca="1">IFERROR(__xludf.DUMMYFUNCTION("GOOGLEFINANCE(A1324,""HIGH"")"),12.2)</f>
        <v>12.2</v>
      </c>
      <c r="E1324" s="11">
        <f ca="1">IFERROR(__xludf.DUMMYFUNCTION("GOOGLEFINANCE(A1324,""LOW"")"),11.18)</f>
        <v>11.18</v>
      </c>
      <c r="F1324" s="12" t="str">
        <f t="shared" ca="1" si="42"/>
        <v/>
      </c>
      <c r="G1324" s="13">
        <f ca="1">IFERROR(__xludf.DUMMYFUNCTION("GOOGLEFINANCE(A1324,""CLOSEYEST"")"),11.77)</f>
        <v>11.77</v>
      </c>
      <c r="H1324" s="14" t="str">
        <f t="shared" ca="1" si="48"/>
        <v>GAP UP</v>
      </c>
      <c r="I1324" s="15">
        <f t="shared" ca="1" si="43"/>
        <v>11.716666666666667</v>
      </c>
      <c r="J1324" s="16">
        <f t="shared" ca="1" si="44"/>
        <v>12.253333333333334</v>
      </c>
      <c r="K1324" s="16"/>
      <c r="L1324" s="16">
        <f t="shared" ca="1" si="45"/>
        <v>11.233333333333334</v>
      </c>
      <c r="M1324" s="16">
        <f t="shared" ca="1" si="46"/>
        <v>12.736666666666666</v>
      </c>
      <c r="N1324" s="16">
        <f t="shared" ca="1" si="47"/>
        <v>10.696666666666667</v>
      </c>
    </row>
    <row r="1325" spans="1:14" ht="24.75" customHeight="1" x14ac:dyDescent="0.8">
      <c r="A1325" s="18" t="s">
        <v>1288</v>
      </c>
      <c r="B1325" s="10">
        <f ca="1">IFERROR(__xludf.DUMMYFUNCTION("GOOGLEFINANCE(A1325,""PRICE"")"),30.6)</f>
        <v>30.6</v>
      </c>
      <c r="C1325" s="11">
        <f ca="1">IFERROR(__xludf.DUMMYFUNCTION("GOOGLEFINANCE(A1325,""PRICEOPEN"")"),30.11)</f>
        <v>30.11</v>
      </c>
      <c r="D1325" s="11">
        <f ca="1">IFERROR(__xludf.DUMMYFUNCTION("GOOGLEFINANCE(A1325,""HIGH"")"),30.68)</f>
        <v>30.68</v>
      </c>
      <c r="E1325" s="11">
        <f ca="1">IFERROR(__xludf.DUMMYFUNCTION("GOOGLEFINANCE(A1325,""LOW"")"),30)</f>
        <v>30</v>
      </c>
      <c r="F1325" s="12" t="str">
        <f t="shared" ca="1" si="42"/>
        <v/>
      </c>
      <c r="G1325" s="13">
        <f ca="1">IFERROR(__xludf.DUMMYFUNCTION("GOOGLEFINANCE(A1325,""CLOSEYEST"")"),30.18)</f>
        <v>30.18</v>
      </c>
      <c r="H1325" s="14" t="str">
        <f t="shared" ca="1" si="48"/>
        <v/>
      </c>
      <c r="I1325" s="15">
        <f t="shared" ca="1" si="43"/>
        <v>30.286666666666665</v>
      </c>
      <c r="J1325" s="16">
        <f t="shared" ca="1" si="44"/>
        <v>30.573333333333331</v>
      </c>
      <c r="K1325" s="16"/>
      <c r="L1325" s="16">
        <f t="shared" ca="1" si="45"/>
        <v>29.893333333333331</v>
      </c>
      <c r="M1325" s="16">
        <f t="shared" ca="1" si="46"/>
        <v>30.966666666666665</v>
      </c>
      <c r="N1325" s="16">
        <f t="shared" ca="1" si="47"/>
        <v>29.606666666666666</v>
      </c>
    </row>
    <row r="1326" spans="1:14" ht="24.75" customHeight="1" x14ac:dyDescent="0.8">
      <c r="A1326" s="18" t="s">
        <v>1289</v>
      </c>
      <c r="B1326" s="10">
        <f ca="1">IFERROR(__xludf.DUMMYFUNCTION("GOOGLEFINANCE(A1326,""PRICE"")"),1.96)</f>
        <v>1.96</v>
      </c>
      <c r="C1326" s="11">
        <f ca="1">IFERROR(__xludf.DUMMYFUNCTION("GOOGLEFINANCE(A1326,""PRICEOPEN"")"),1.9)</f>
        <v>1.9</v>
      </c>
      <c r="D1326" s="11">
        <f ca="1">IFERROR(__xludf.DUMMYFUNCTION("GOOGLEFINANCE(A1326,""HIGH"")"),2.09)</f>
        <v>2.09</v>
      </c>
      <c r="E1326" s="11">
        <f ca="1">IFERROR(__xludf.DUMMYFUNCTION("GOOGLEFINANCE(A1326,""LOW"")"),1.9)</f>
        <v>1.9</v>
      </c>
      <c r="F1326" s="12" t="str">
        <f t="shared" ca="1" si="42"/>
        <v>BUY</v>
      </c>
      <c r="G1326" s="13">
        <f ca="1">IFERROR(__xludf.DUMMYFUNCTION("GOOGLEFINANCE(A1326,""CLOSEYEST"")"),2.01)</f>
        <v>2.0099999999999998</v>
      </c>
      <c r="H1326" s="14" t="str">
        <f t="shared" ca="1" si="48"/>
        <v>GAP DOWN</v>
      </c>
      <c r="I1326" s="15">
        <f t="shared" ca="1" si="43"/>
        <v>2</v>
      </c>
      <c r="J1326" s="16">
        <f t="shared" ca="1" si="44"/>
        <v>2.1</v>
      </c>
      <c r="K1326" s="16"/>
      <c r="L1326" s="16">
        <f t="shared" ca="1" si="45"/>
        <v>1.9100000000000001</v>
      </c>
      <c r="M1326" s="16">
        <f t="shared" ca="1" si="46"/>
        <v>2.19</v>
      </c>
      <c r="N1326" s="16">
        <f t="shared" ca="1" si="47"/>
        <v>1.81</v>
      </c>
    </row>
    <row r="1327" spans="1:14" ht="24.75" customHeight="1" x14ac:dyDescent="0.8">
      <c r="A1327" s="18" t="s">
        <v>1290</v>
      </c>
      <c r="B1327" s="10" t="str">
        <f ca="1">IFERROR(__xludf.DUMMYFUNCTION("GOOGLEFINANCE(A1327,""PRICE"")"),"#N/A")</f>
        <v>#N/A</v>
      </c>
      <c r="C1327" s="11" t="str">
        <f ca="1">IFERROR(__xludf.DUMMYFUNCTION("GOOGLEFINANCE(A1327,""PRICEOPEN"")"),"#N/A")</f>
        <v>#N/A</v>
      </c>
      <c r="D1327" s="11" t="str">
        <f ca="1">IFERROR(__xludf.DUMMYFUNCTION("GOOGLEFINANCE(A1327,""HIGH"")"),"#N/A")</f>
        <v>#N/A</v>
      </c>
      <c r="E1327" s="11" t="str">
        <f ca="1">IFERROR(__xludf.DUMMYFUNCTION("GOOGLEFINANCE(A1327,""LOW"")"),"#N/A")</f>
        <v>#N/A</v>
      </c>
      <c r="F1327" s="12" t="str">
        <f t="shared" ca="1" si="42"/>
        <v>SELL</v>
      </c>
      <c r="G1327" s="13" t="str">
        <f ca="1">IFERROR(__xludf.DUMMYFUNCTION("GOOGLEFINANCE(A1327,""CLOSEYEST"")"),"#N/A")</f>
        <v>#N/A</v>
      </c>
      <c r="H1327" s="14" t="e">
        <f t="shared" ca="1" si="48"/>
        <v>#VALUE!</v>
      </c>
      <c r="I1327" s="15" t="e">
        <f t="shared" ca="1" si="43"/>
        <v>#VALUE!</v>
      </c>
      <c r="J1327" s="16" t="e">
        <f t="shared" ca="1" si="44"/>
        <v>#VALUE!</v>
      </c>
      <c r="K1327" s="16"/>
      <c r="L1327" s="16" t="e">
        <f t="shared" ca="1" si="45"/>
        <v>#VALUE!</v>
      </c>
      <c r="M1327" s="16" t="e">
        <f t="shared" ca="1" si="46"/>
        <v>#VALUE!</v>
      </c>
      <c r="N1327" s="16" t="e">
        <f t="shared" ca="1" si="47"/>
        <v>#VALUE!</v>
      </c>
    </row>
    <row r="1328" spans="1:14" ht="24.75" customHeight="1" x14ac:dyDescent="0.8">
      <c r="A1328" s="18" t="s">
        <v>1291</v>
      </c>
      <c r="B1328" s="10">
        <f ca="1">IFERROR(__xludf.DUMMYFUNCTION("GOOGLEFINANCE(A1328,""PRICE"")"),42.91)</f>
        <v>42.91</v>
      </c>
      <c r="C1328" s="11">
        <f ca="1">IFERROR(__xludf.DUMMYFUNCTION("GOOGLEFINANCE(A1328,""PRICEOPEN"")"),39.12)</f>
        <v>39.119999999999997</v>
      </c>
      <c r="D1328" s="11">
        <f ca="1">IFERROR(__xludf.DUMMYFUNCTION("GOOGLEFINANCE(A1328,""HIGH"")"),42.91)</f>
        <v>42.91</v>
      </c>
      <c r="E1328" s="11">
        <f ca="1">IFERROR(__xludf.DUMMYFUNCTION("GOOGLEFINANCE(A1328,""LOW"")"),39.02)</f>
        <v>39.020000000000003</v>
      </c>
      <c r="F1328" s="12" t="str">
        <f t="shared" ca="1" si="42"/>
        <v/>
      </c>
      <c r="G1328" s="13">
        <f ca="1">IFERROR(__xludf.DUMMYFUNCTION("GOOGLEFINANCE(A1328,""CLOSEYEST"")"),39.01)</f>
        <v>39.01</v>
      </c>
      <c r="H1328" s="14" t="str">
        <f t="shared" ca="1" si="48"/>
        <v/>
      </c>
      <c r="I1328" s="15">
        <f t="shared" ca="1" si="43"/>
        <v>40.313333333333333</v>
      </c>
      <c r="J1328" s="16">
        <f t="shared" ca="1" si="44"/>
        <v>41.606666666666662</v>
      </c>
      <c r="K1328" s="16"/>
      <c r="L1328" s="16">
        <f t="shared" ca="1" si="45"/>
        <v>37.716666666666669</v>
      </c>
      <c r="M1328" s="16">
        <f t="shared" ca="1" si="46"/>
        <v>44.203333333333326</v>
      </c>
      <c r="N1328" s="16">
        <f t="shared" ca="1" si="47"/>
        <v>36.423333333333339</v>
      </c>
    </row>
    <row r="1329" spans="1:14" ht="24.75" customHeight="1" x14ac:dyDescent="0.8">
      <c r="A1329" s="18" t="s">
        <v>1292</v>
      </c>
      <c r="B1329" s="10">
        <f ca="1">IFERROR(__xludf.DUMMYFUNCTION("GOOGLEFINANCE(A1329,""PRICE"")"),45.1)</f>
        <v>45.1</v>
      </c>
      <c r="C1329" s="11">
        <f ca="1">IFERROR(__xludf.DUMMYFUNCTION("GOOGLEFINANCE(A1329,""PRICEOPEN"")"),45.05)</f>
        <v>45.05</v>
      </c>
      <c r="D1329" s="11">
        <f ca="1">IFERROR(__xludf.DUMMYFUNCTION("GOOGLEFINANCE(A1329,""HIGH"")"),45.75)</f>
        <v>45.75</v>
      </c>
      <c r="E1329" s="11">
        <f ca="1">IFERROR(__xludf.DUMMYFUNCTION("GOOGLEFINANCE(A1329,""LOW"")"),44.06)</f>
        <v>44.06</v>
      </c>
      <c r="F1329" s="12" t="str">
        <f t="shared" ca="1" si="42"/>
        <v/>
      </c>
      <c r="G1329" s="13">
        <f ca="1">IFERROR(__xludf.DUMMYFUNCTION("GOOGLEFINANCE(A1329,""CLOSEYEST"")"),44.82)</f>
        <v>44.82</v>
      </c>
      <c r="H1329" s="14" t="str">
        <f t="shared" ca="1" si="48"/>
        <v/>
      </c>
      <c r="I1329" s="15">
        <f t="shared" ca="1" si="43"/>
        <v>44.876666666666665</v>
      </c>
      <c r="J1329" s="16">
        <f t="shared" ca="1" si="44"/>
        <v>45.693333333333328</v>
      </c>
      <c r="K1329" s="16"/>
      <c r="L1329" s="16">
        <f t="shared" ca="1" si="45"/>
        <v>44.00333333333333</v>
      </c>
      <c r="M1329" s="16">
        <f t="shared" ca="1" si="46"/>
        <v>46.566666666666663</v>
      </c>
      <c r="N1329" s="16">
        <f t="shared" ca="1" si="47"/>
        <v>43.186666666666667</v>
      </c>
    </row>
    <row r="1330" spans="1:14" ht="24.75" customHeight="1" x14ac:dyDescent="0.8">
      <c r="A1330" s="18" t="s">
        <v>1293</v>
      </c>
      <c r="B1330" s="10">
        <f ca="1">IFERROR(__xludf.DUMMYFUNCTION("GOOGLEFINANCE(A1330,""PRICE"")"),1100)</f>
        <v>1100</v>
      </c>
      <c r="C1330" s="11">
        <f ca="1">IFERROR(__xludf.DUMMYFUNCTION("GOOGLEFINANCE(A1330,""PRICEOPEN"")"),1125)</f>
        <v>1125</v>
      </c>
      <c r="D1330" s="11">
        <f ca="1">IFERROR(__xludf.DUMMYFUNCTION("GOOGLEFINANCE(A1330,""HIGH"")"),1125)</f>
        <v>1125</v>
      </c>
      <c r="E1330" s="11">
        <f ca="1">IFERROR(__xludf.DUMMYFUNCTION("GOOGLEFINANCE(A1330,""LOW"")"),1097.3)</f>
        <v>1097.3</v>
      </c>
      <c r="F1330" s="12" t="str">
        <f t="shared" ca="1" si="42"/>
        <v>SELL</v>
      </c>
      <c r="G1330" s="13">
        <f ca="1">IFERROR(__xludf.DUMMYFUNCTION("GOOGLEFINANCE(A1330,""CLOSEYEST"")"),1100.5)</f>
        <v>1100.5</v>
      </c>
      <c r="H1330" s="14" t="str">
        <f t="shared" ca="1" si="48"/>
        <v>GAP UP</v>
      </c>
      <c r="I1330" s="15">
        <f t="shared" ca="1" si="43"/>
        <v>1107.6000000000001</v>
      </c>
      <c r="J1330" s="16">
        <f t="shared" ca="1" si="44"/>
        <v>1117.9000000000003</v>
      </c>
      <c r="K1330" s="16"/>
      <c r="L1330" s="16">
        <f t="shared" ca="1" si="45"/>
        <v>1090.2000000000003</v>
      </c>
      <c r="M1330" s="16">
        <f t="shared" ca="1" si="46"/>
        <v>1135.3000000000002</v>
      </c>
      <c r="N1330" s="16">
        <f t="shared" ca="1" si="47"/>
        <v>1079.9000000000001</v>
      </c>
    </row>
    <row r="1331" spans="1:14" ht="24.75" customHeight="1" x14ac:dyDescent="0.8">
      <c r="A1331" s="18" t="s">
        <v>1294</v>
      </c>
      <c r="B1331" s="10">
        <f ca="1">IFERROR(__xludf.DUMMYFUNCTION("GOOGLEFINANCE(A1331,""PRICE"")"),126.5)</f>
        <v>126.5</v>
      </c>
      <c r="C1331" s="11">
        <f ca="1">IFERROR(__xludf.DUMMYFUNCTION("GOOGLEFINANCE(A1331,""PRICEOPEN"")"),125.61)</f>
        <v>125.61</v>
      </c>
      <c r="D1331" s="11">
        <f ca="1">IFERROR(__xludf.DUMMYFUNCTION("GOOGLEFINANCE(A1331,""HIGH"")"),127)</f>
        <v>127</v>
      </c>
      <c r="E1331" s="11">
        <f ca="1">IFERROR(__xludf.DUMMYFUNCTION("GOOGLEFINANCE(A1331,""LOW"")"),124.32)</f>
        <v>124.32</v>
      </c>
      <c r="F1331" s="12" t="str">
        <f t="shared" ca="1" si="42"/>
        <v/>
      </c>
      <c r="G1331" s="13">
        <f ca="1">IFERROR(__xludf.DUMMYFUNCTION("GOOGLEFINANCE(A1331,""CLOSEYEST"")"),124.59)</f>
        <v>124.59</v>
      </c>
      <c r="H1331" s="14" t="str">
        <f t="shared" ca="1" si="48"/>
        <v/>
      </c>
      <c r="I1331" s="15">
        <f t="shared" ca="1" si="43"/>
        <v>125.30333333333333</v>
      </c>
      <c r="J1331" s="16">
        <f t="shared" ca="1" si="44"/>
        <v>126.28666666666666</v>
      </c>
      <c r="K1331" s="16"/>
      <c r="L1331" s="16">
        <f t="shared" ca="1" si="45"/>
        <v>123.60666666666665</v>
      </c>
      <c r="M1331" s="16">
        <f t="shared" ca="1" si="46"/>
        <v>127.98333333333333</v>
      </c>
      <c r="N1331" s="16">
        <f t="shared" ca="1" si="47"/>
        <v>122.62333333333332</v>
      </c>
    </row>
    <row r="1332" spans="1:14" ht="24.75" customHeight="1" x14ac:dyDescent="0.8">
      <c r="A1332" s="18" t="s">
        <v>1295</v>
      </c>
      <c r="B1332" s="10">
        <f ca="1">IFERROR(__xludf.DUMMYFUNCTION("GOOGLEFINANCE(A1332,""PRICE"")"),8.12)</f>
        <v>8.1199999999999992</v>
      </c>
      <c r="C1332" s="11">
        <f ca="1">IFERROR(__xludf.DUMMYFUNCTION("GOOGLEFINANCE(A1332,""PRICEOPEN"")"),8.23)</f>
        <v>8.23</v>
      </c>
      <c r="D1332" s="11">
        <f ca="1">IFERROR(__xludf.DUMMYFUNCTION("GOOGLEFINANCE(A1332,""HIGH"")"),8.23)</f>
        <v>8.23</v>
      </c>
      <c r="E1332" s="11">
        <f ca="1">IFERROR(__xludf.DUMMYFUNCTION("GOOGLEFINANCE(A1332,""LOW"")"),8.05)</f>
        <v>8.0500000000000007</v>
      </c>
      <c r="F1332" s="12" t="str">
        <f t="shared" ca="1" si="42"/>
        <v>SELL</v>
      </c>
      <c r="G1332" s="13">
        <f ca="1">IFERROR(__xludf.DUMMYFUNCTION("GOOGLEFINANCE(A1332,""CLOSEYEST"")"),8.06)</f>
        <v>8.06</v>
      </c>
      <c r="H1332" s="14" t="str">
        <f t="shared" ca="1" si="48"/>
        <v>GAP UP</v>
      </c>
      <c r="I1332" s="15">
        <f t="shared" ca="1" si="43"/>
        <v>8.1133333333333351</v>
      </c>
      <c r="J1332" s="16">
        <f t="shared" ca="1" si="44"/>
        <v>8.1766666666666694</v>
      </c>
      <c r="K1332" s="16"/>
      <c r="L1332" s="16">
        <f t="shared" ca="1" si="45"/>
        <v>7.9966666666666697</v>
      </c>
      <c r="M1332" s="16">
        <f t="shared" ca="1" si="46"/>
        <v>8.2933333333333348</v>
      </c>
      <c r="N1332" s="16">
        <f t="shared" ca="1" si="47"/>
        <v>7.9333333333333353</v>
      </c>
    </row>
    <row r="1333" spans="1:14" ht="24.75" customHeight="1" x14ac:dyDescent="0.8">
      <c r="A1333" s="18" t="s">
        <v>1296</v>
      </c>
      <c r="B1333" s="10">
        <f ca="1">IFERROR(__xludf.DUMMYFUNCTION("GOOGLEFINANCE(A1333,""PRICE"")"),20.69)</f>
        <v>20.69</v>
      </c>
      <c r="C1333" s="11">
        <f ca="1">IFERROR(__xludf.DUMMYFUNCTION("GOOGLEFINANCE(A1333,""PRICEOPEN"")"),20.79)</f>
        <v>20.79</v>
      </c>
      <c r="D1333" s="11">
        <f ca="1">IFERROR(__xludf.DUMMYFUNCTION("GOOGLEFINANCE(A1333,""HIGH"")"),20.79)</f>
        <v>20.79</v>
      </c>
      <c r="E1333" s="11">
        <f ca="1">IFERROR(__xludf.DUMMYFUNCTION("GOOGLEFINANCE(A1333,""LOW"")"),20.37)</f>
        <v>20.37</v>
      </c>
      <c r="F1333" s="12" t="str">
        <f t="shared" ca="1" si="42"/>
        <v>SELL</v>
      </c>
      <c r="G1333" s="13">
        <f ca="1">IFERROR(__xludf.DUMMYFUNCTION("GOOGLEFINANCE(A1333,""CLOSEYEST"")"),20.4)</f>
        <v>20.399999999999999</v>
      </c>
      <c r="H1333" s="14" t="str">
        <f t="shared" ca="1" si="48"/>
        <v>GAP UP</v>
      </c>
      <c r="I1333" s="15">
        <f t="shared" ca="1" si="43"/>
        <v>20.52</v>
      </c>
      <c r="J1333" s="16">
        <f t="shared" ca="1" si="44"/>
        <v>20.669999999999998</v>
      </c>
      <c r="K1333" s="16"/>
      <c r="L1333" s="16">
        <f t="shared" ca="1" si="45"/>
        <v>20.25</v>
      </c>
      <c r="M1333" s="16">
        <f t="shared" ca="1" si="46"/>
        <v>20.939999999999998</v>
      </c>
      <c r="N1333" s="16">
        <f t="shared" ca="1" si="47"/>
        <v>20.100000000000001</v>
      </c>
    </row>
    <row r="1334" spans="1:14" ht="24.75" customHeight="1" x14ac:dyDescent="0.8">
      <c r="A1334" s="18" t="s">
        <v>1297</v>
      </c>
      <c r="B1334" s="10">
        <f ca="1">IFERROR(__xludf.DUMMYFUNCTION("GOOGLEFINANCE(A1334,""PRICE"")"),27.8)</f>
        <v>27.8</v>
      </c>
      <c r="C1334" s="11">
        <f ca="1">IFERROR(__xludf.DUMMYFUNCTION("GOOGLEFINANCE(A1334,""PRICEOPEN"")"),27.99)</f>
        <v>27.99</v>
      </c>
      <c r="D1334" s="11">
        <f ca="1">IFERROR(__xludf.DUMMYFUNCTION("GOOGLEFINANCE(A1334,""HIGH"")"),28.04)</f>
        <v>28.04</v>
      </c>
      <c r="E1334" s="11">
        <f ca="1">IFERROR(__xludf.DUMMYFUNCTION("GOOGLEFINANCE(A1334,""LOW"")"),27.37)</f>
        <v>27.37</v>
      </c>
      <c r="F1334" s="12" t="str">
        <f t="shared" ca="1" si="42"/>
        <v/>
      </c>
      <c r="G1334" s="13">
        <f ca="1">IFERROR(__xludf.DUMMYFUNCTION("GOOGLEFINANCE(A1334,""CLOSEYEST"")"),27.92)</f>
        <v>27.92</v>
      </c>
      <c r="H1334" s="14" t="str">
        <f t="shared" ca="1" si="48"/>
        <v/>
      </c>
      <c r="I1334" s="15">
        <f t="shared" ca="1" si="43"/>
        <v>27.776666666666667</v>
      </c>
      <c r="J1334" s="16">
        <f t="shared" ca="1" si="44"/>
        <v>28.183333333333334</v>
      </c>
      <c r="K1334" s="16"/>
      <c r="L1334" s="16">
        <f t="shared" ca="1" si="45"/>
        <v>27.513333333333335</v>
      </c>
      <c r="M1334" s="16">
        <f t="shared" ca="1" si="46"/>
        <v>28.446666666666665</v>
      </c>
      <c r="N1334" s="16">
        <f t="shared" ca="1" si="47"/>
        <v>27.106666666666669</v>
      </c>
    </row>
    <row r="1335" spans="1:14" ht="24.75" customHeight="1" x14ac:dyDescent="0.8">
      <c r="A1335" s="18" t="s">
        <v>1298</v>
      </c>
      <c r="B1335" s="10">
        <f ca="1">IFERROR(__xludf.DUMMYFUNCTION("GOOGLEFINANCE(A1335,""PRICE"")"),217.94)</f>
        <v>217.94</v>
      </c>
      <c r="C1335" s="11">
        <f ca="1">IFERROR(__xludf.DUMMYFUNCTION("GOOGLEFINANCE(A1335,""PRICEOPEN"")"),215.99)</f>
        <v>215.99</v>
      </c>
      <c r="D1335" s="11">
        <f ca="1">IFERROR(__xludf.DUMMYFUNCTION("GOOGLEFINANCE(A1335,""HIGH"")"),218.89)</f>
        <v>218.89</v>
      </c>
      <c r="E1335" s="11">
        <f ca="1">IFERROR(__xludf.DUMMYFUNCTION("GOOGLEFINANCE(A1335,""LOW"")"),214.78)</f>
        <v>214.78</v>
      </c>
      <c r="F1335" s="12" t="str">
        <f t="shared" ca="1" si="42"/>
        <v/>
      </c>
      <c r="G1335" s="13">
        <f ca="1">IFERROR(__xludf.DUMMYFUNCTION("GOOGLEFINANCE(A1335,""CLOSEYEST"")"),213.99)</f>
        <v>213.99</v>
      </c>
      <c r="H1335" s="14" t="str">
        <f t="shared" ca="1" si="48"/>
        <v/>
      </c>
      <c r="I1335" s="15">
        <f t="shared" ca="1" si="43"/>
        <v>215.88666666666666</v>
      </c>
      <c r="J1335" s="16">
        <f t="shared" ca="1" si="44"/>
        <v>216.99333333333331</v>
      </c>
      <c r="K1335" s="16"/>
      <c r="L1335" s="16">
        <f t="shared" ca="1" si="45"/>
        <v>212.88333333333333</v>
      </c>
      <c r="M1335" s="16">
        <f t="shared" ca="1" si="46"/>
        <v>219.99666666666664</v>
      </c>
      <c r="N1335" s="16">
        <f t="shared" ca="1" si="47"/>
        <v>211.77666666666667</v>
      </c>
    </row>
    <row r="1336" spans="1:14" ht="24.75" customHeight="1" x14ac:dyDescent="0.8">
      <c r="A1336" s="18" t="s">
        <v>1299</v>
      </c>
      <c r="B1336" s="10">
        <f ca="1">IFERROR(__xludf.DUMMYFUNCTION("GOOGLEFINANCE(A1336,""PRICE"")"),41.62)</f>
        <v>41.62</v>
      </c>
      <c r="C1336" s="11">
        <f ca="1">IFERROR(__xludf.DUMMYFUNCTION("GOOGLEFINANCE(A1336,""PRICEOPEN"")"),41.8)</f>
        <v>41.8</v>
      </c>
      <c r="D1336" s="11">
        <f ca="1">IFERROR(__xludf.DUMMYFUNCTION("GOOGLEFINANCE(A1336,""HIGH"")"),42.4)</f>
        <v>42.4</v>
      </c>
      <c r="E1336" s="11">
        <f ca="1">IFERROR(__xludf.DUMMYFUNCTION("GOOGLEFINANCE(A1336,""LOW"")"),41.45)</f>
        <v>41.45</v>
      </c>
      <c r="F1336" s="12" t="str">
        <f t="shared" ca="1" si="42"/>
        <v/>
      </c>
      <c r="G1336" s="13">
        <f ca="1">IFERROR(__xludf.DUMMYFUNCTION("GOOGLEFINANCE(A1336,""CLOSEYEST"")"),41.91)</f>
        <v>41.91</v>
      </c>
      <c r="H1336" s="14" t="str">
        <f t="shared" ca="1" si="48"/>
        <v/>
      </c>
      <c r="I1336" s="15">
        <f t="shared" ca="1" si="43"/>
        <v>41.919999999999995</v>
      </c>
      <c r="J1336" s="16">
        <f t="shared" ca="1" si="44"/>
        <v>42.389999999999986</v>
      </c>
      <c r="K1336" s="16"/>
      <c r="L1336" s="16">
        <f t="shared" ca="1" si="45"/>
        <v>41.439999999999991</v>
      </c>
      <c r="M1336" s="16">
        <f t="shared" ca="1" si="46"/>
        <v>42.86999999999999</v>
      </c>
      <c r="N1336" s="16">
        <f t="shared" ca="1" si="47"/>
        <v>40.97</v>
      </c>
    </row>
    <row r="1337" spans="1:14" ht="24.75" customHeight="1" x14ac:dyDescent="0.8">
      <c r="A1337" s="18" t="s">
        <v>1300</v>
      </c>
      <c r="B1337" s="10">
        <f ca="1">IFERROR(__xludf.DUMMYFUNCTION("GOOGLEFINANCE(A1337,""PRICE"")"),7.6)</f>
        <v>7.6</v>
      </c>
      <c r="C1337" s="11">
        <f ca="1">IFERROR(__xludf.DUMMYFUNCTION("GOOGLEFINANCE(A1337,""PRICEOPEN"")"),7.35)</f>
        <v>7.35</v>
      </c>
      <c r="D1337" s="11">
        <f ca="1">IFERROR(__xludf.DUMMYFUNCTION("GOOGLEFINANCE(A1337,""HIGH"")"),7.72)</f>
        <v>7.72</v>
      </c>
      <c r="E1337" s="11">
        <f ca="1">IFERROR(__xludf.DUMMYFUNCTION("GOOGLEFINANCE(A1337,""LOW"")"),7.35)</f>
        <v>7.35</v>
      </c>
      <c r="F1337" s="12" t="str">
        <f t="shared" ca="1" si="42"/>
        <v>BUY</v>
      </c>
      <c r="G1337" s="13">
        <f ca="1">IFERROR(__xludf.DUMMYFUNCTION("GOOGLEFINANCE(A1337,""CLOSEYEST"")"),7.54)</f>
        <v>7.54</v>
      </c>
      <c r="H1337" s="14" t="str">
        <f t="shared" ca="1" si="48"/>
        <v>GAP DOWN</v>
      </c>
      <c r="I1337" s="15">
        <f t="shared" ca="1" si="43"/>
        <v>7.5366666666666662</v>
      </c>
      <c r="J1337" s="16">
        <f t="shared" ca="1" si="44"/>
        <v>7.7233333333333327</v>
      </c>
      <c r="K1337" s="16"/>
      <c r="L1337" s="16">
        <f t="shared" ca="1" si="45"/>
        <v>7.3533333333333326</v>
      </c>
      <c r="M1337" s="16">
        <f t="shared" ca="1" si="46"/>
        <v>7.9066666666666663</v>
      </c>
      <c r="N1337" s="16">
        <f t="shared" ca="1" si="47"/>
        <v>7.1666666666666661</v>
      </c>
    </row>
    <row r="1338" spans="1:14" ht="24.75" customHeight="1" x14ac:dyDescent="0.8">
      <c r="A1338" s="18" t="s">
        <v>1301</v>
      </c>
      <c r="B1338" s="10">
        <f ca="1">IFERROR(__xludf.DUMMYFUNCTION("GOOGLEFINANCE(A1338,""PRICE"")"),213.59)</f>
        <v>213.59</v>
      </c>
      <c r="C1338" s="11">
        <f ca="1">IFERROR(__xludf.DUMMYFUNCTION("GOOGLEFINANCE(A1338,""PRICEOPEN"")"),219.23)</f>
        <v>219.23</v>
      </c>
      <c r="D1338" s="11">
        <f ca="1">IFERROR(__xludf.DUMMYFUNCTION("GOOGLEFINANCE(A1338,""HIGH"")"),222.4)</f>
        <v>222.4</v>
      </c>
      <c r="E1338" s="11">
        <f ca="1">IFERROR(__xludf.DUMMYFUNCTION("GOOGLEFINANCE(A1338,""LOW"")"),212.05)</f>
        <v>212.05</v>
      </c>
      <c r="F1338" s="12" t="str">
        <f t="shared" ca="1" si="42"/>
        <v/>
      </c>
      <c r="G1338" s="13">
        <f ca="1">IFERROR(__xludf.DUMMYFUNCTION("GOOGLEFINANCE(A1338,""CLOSEYEST"")"),217.3)</f>
        <v>217.3</v>
      </c>
      <c r="H1338" s="14" t="str">
        <f t="shared" ca="1" si="48"/>
        <v/>
      </c>
      <c r="I1338" s="15">
        <f t="shared" ca="1" si="43"/>
        <v>217.25</v>
      </c>
      <c r="J1338" s="16">
        <f t="shared" ca="1" si="44"/>
        <v>222.45</v>
      </c>
      <c r="K1338" s="16"/>
      <c r="L1338" s="16">
        <f t="shared" ca="1" si="45"/>
        <v>212.1</v>
      </c>
      <c r="M1338" s="16">
        <f t="shared" ca="1" si="46"/>
        <v>227.6</v>
      </c>
      <c r="N1338" s="16">
        <f t="shared" ca="1" si="47"/>
        <v>206.9</v>
      </c>
    </row>
    <row r="1339" spans="1:14" ht="24.75" customHeight="1" x14ac:dyDescent="0.8">
      <c r="A1339" s="18" t="s">
        <v>1302</v>
      </c>
      <c r="B1339" s="10">
        <f ca="1">IFERROR(__xludf.DUMMYFUNCTION("GOOGLEFINANCE(A1339,""PRICE"")"),365.85)</f>
        <v>365.85</v>
      </c>
      <c r="C1339" s="11">
        <f ca="1">IFERROR(__xludf.DUMMYFUNCTION("GOOGLEFINANCE(A1339,""PRICEOPEN"")"),365.1)</f>
        <v>365.1</v>
      </c>
      <c r="D1339" s="11">
        <f ca="1">IFERROR(__xludf.DUMMYFUNCTION("GOOGLEFINANCE(A1339,""HIGH"")"),367.05)</f>
        <v>367.05</v>
      </c>
      <c r="E1339" s="11">
        <f ca="1">IFERROR(__xludf.DUMMYFUNCTION("GOOGLEFINANCE(A1339,""LOW"")"),361.5)</f>
        <v>361.5</v>
      </c>
      <c r="F1339" s="12" t="str">
        <f t="shared" ca="1" si="42"/>
        <v/>
      </c>
      <c r="G1339" s="13">
        <f ca="1">IFERROR(__xludf.DUMMYFUNCTION("GOOGLEFINANCE(A1339,""CLOSEYEST"")"),365.55)</f>
        <v>365.55</v>
      </c>
      <c r="H1339" s="14" t="str">
        <f t="shared" ca="1" si="48"/>
        <v/>
      </c>
      <c r="I1339" s="15">
        <f t="shared" ca="1" si="43"/>
        <v>364.7</v>
      </c>
      <c r="J1339" s="16">
        <f t="shared" ca="1" si="44"/>
        <v>367.9</v>
      </c>
      <c r="K1339" s="16"/>
      <c r="L1339" s="16">
        <f t="shared" ca="1" si="45"/>
        <v>362.34999999999997</v>
      </c>
      <c r="M1339" s="16">
        <f t="shared" ca="1" si="46"/>
        <v>370.25</v>
      </c>
      <c r="N1339" s="16">
        <f t="shared" ca="1" si="47"/>
        <v>359.15</v>
      </c>
    </row>
    <row r="1340" spans="1:14" ht="24.75" customHeight="1" x14ac:dyDescent="0.8">
      <c r="A1340" s="18" t="s">
        <v>1303</v>
      </c>
      <c r="B1340" s="10">
        <f ca="1">IFERROR(__xludf.DUMMYFUNCTION("GOOGLEFINANCE(A1340,""PRICE"")"),181.49)</f>
        <v>181.49</v>
      </c>
      <c r="C1340" s="11">
        <f ca="1">IFERROR(__xludf.DUMMYFUNCTION("GOOGLEFINANCE(A1340,""PRICEOPEN"")"),181)</f>
        <v>181</v>
      </c>
      <c r="D1340" s="11">
        <f ca="1">IFERROR(__xludf.DUMMYFUNCTION("GOOGLEFINANCE(A1340,""HIGH"")"),184.48)</f>
        <v>184.48</v>
      </c>
      <c r="E1340" s="11">
        <f ca="1">IFERROR(__xludf.DUMMYFUNCTION("GOOGLEFINANCE(A1340,""LOW"")"),176)</f>
        <v>176</v>
      </c>
      <c r="F1340" s="12" t="str">
        <f t="shared" ca="1" si="42"/>
        <v/>
      </c>
      <c r="G1340" s="13">
        <f ca="1">IFERROR(__xludf.DUMMYFUNCTION("GOOGLEFINANCE(A1340,""CLOSEYEST"")"),180.01)</f>
        <v>180.01</v>
      </c>
      <c r="H1340" s="14" t="str">
        <f t="shared" ca="1" si="48"/>
        <v/>
      </c>
      <c r="I1340" s="15">
        <f t="shared" ca="1" si="43"/>
        <v>180.16333333333333</v>
      </c>
      <c r="J1340" s="16">
        <f t="shared" ca="1" si="44"/>
        <v>184.32666666666665</v>
      </c>
      <c r="K1340" s="16"/>
      <c r="L1340" s="16">
        <f t="shared" ca="1" si="45"/>
        <v>175.84666666666666</v>
      </c>
      <c r="M1340" s="16">
        <f t="shared" ca="1" si="46"/>
        <v>188.64333333333332</v>
      </c>
      <c r="N1340" s="16">
        <f t="shared" ca="1" si="47"/>
        <v>171.68333333333334</v>
      </c>
    </row>
    <row r="1341" spans="1:14" ht="24.75" customHeight="1" x14ac:dyDescent="0.8">
      <c r="A1341" s="18" t="s">
        <v>1304</v>
      </c>
      <c r="B1341" s="10">
        <f ca="1">IFERROR(__xludf.DUMMYFUNCTION("GOOGLEFINANCE(A1341,""PRICE"")"),25.36)</f>
        <v>25.36</v>
      </c>
      <c r="C1341" s="11">
        <f ca="1">IFERROR(__xludf.DUMMYFUNCTION("GOOGLEFINANCE(A1341,""PRICEOPEN"")"),25.25)</f>
        <v>25.25</v>
      </c>
      <c r="D1341" s="11">
        <f ca="1">IFERROR(__xludf.DUMMYFUNCTION("GOOGLEFINANCE(A1341,""HIGH"")"),26.24)</f>
        <v>26.24</v>
      </c>
      <c r="E1341" s="11">
        <f ca="1">IFERROR(__xludf.DUMMYFUNCTION("GOOGLEFINANCE(A1341,""LOW"")"),25.06)</f>
        <v>25.06</v>
      </c>
      <c r="F1341" s="12" t="str">
        <f t="shared" ca="1" si="42"/>
        <v/>
      </c>
      <c r="G1341" s="13">
        <f ca="1">IFERROR(__xludf.DUMMYFUNCTION("GOOGLEFINANCE(A1341,""CLOSEYEST"")"),25.7)</f>
        <v>25.7</v>
      </c>
      <c r="H1341" s="14" t="str">
        <f t="shared" ca="1" si="48"/>
        <v>GAP DOWN</v>
      </c>
      <c r="I1341" s="15">
        <f t="shared" ca="1" si="43"/>
        <v>25.666666666666668</v>
      </c>
      <c r="J1341" s="16">
        <f t="shared" ca="1" si="44"/>
        <v>26.273333333333337</v>
      </c>
      <c r="K1341" s="16"/>
      <c r="L1341" s="16">
        <f t="shared" ca="1" si="45"/>
        <v>25.093333333333337</v>
      </c>
      <c r="M1341" s="16">
        <f t="shared" ca="1" si="46"/>
        <v>26.846666666666668</v>
      </c>
      <c r="N1341" s="16">
        <f t="shared" ca="1" si="47"/>
        <v>24.486666666666668</v>
      </c>
    </row>
    <row r="1342" spans="1:14" ht="24.75" customHeight="1" x14ac:dyDescent="0.8">
      <c r="A1342" s="18" t="s">
        <v>1305</v>
      </c>
      <c r="B1342" s="10" t="str">
        <f ca="1">IFERROR(__xludf.DUMMYFUNCTION("GOOGLEFINANCE(A1342,""PRICE"")"),"#N/A")</f>
        <v>#N/A</v>
      </c>
      <c r="C1342" s="11" t="str">
        <f ca="1">IFERROR(__xludf.DUMMYFUNCTION("GOOGLEFINANCE(A1342,""PRICEOPEN"")"),"#N/A")</f>
        <v>#N/A</v>
      </c>
      <c r="D1342" s="11" t="str">
        <f ca="1">IFERROR(__xludf.DUMMYFUNCTION("GOOGLEFINANCE(A1342,""HIGH"")"),"#N/A")</f>
        <v>#N/A</v>
      </c>
      <c r="E1342" s="11" t="str">
        <f ca="1">IFERROR(__xludf.DUMMYFUNCTION("GOOGLEFINANCE(A1342,""LOW"")"),"#N/A")</f>
        <v>#N/A</v>
      </c>
      <c r="F1342" s="12" t="str">
        <f t="shared" ca="1" si="42"/>
        <v>SELL</v>
      </c>
      <c r="G1342" s="13" t="str">
        <f ca="1">IFERROR(__xludf.DUMMYFUNCTION("GOOGLEFINANCE(A1342,""CLOSEYEST"")"),"#N/A")</f>
        <v>#N/A</v>
      </c>
      <c r="H1342" s="14" t="e">
        <f t="shared" ca="1" si="48"/>
        <v>#VALUE!</v>
      </c>
      <c r="I1342" s="15" t="e">
        <f t="shared" ca="1" si="43"/>
        <v>#VALUE!</v>
      </c>
      <c r="J1342" s="16" t="e">
        <f t="shared" ca="1" si="44"/>
        <v>#VALUE!</v>
      </c>
      <c r="K1342" s="16"/>
      <c r="L1342" s="16" t="e">
        <f t="shared" ca="1" si="45"/>
        <v>#VALUE!</v>
      </c>
      <c r="M1342" s="16" t="e">
        <f t="shared" ca="1" si="46"/>
        <v>#VALUE!</v>
      </c>
      <c r="N1342" s="16" t="e">
        <f t="shared" ca="1" si="47"/>
        <v>#VALUE!</v>
      </c>
    </row>
    <row r="1343" spans="1:14" ht="24.75" customHeight="1" x14ac:dyDescent="0.8">
      <c r="A1343" s="18" t="s">
        <v>1306</v>
      </c>
      <c r="B1343" s="10">
        <f ca="1">IFERROR(__xludf.DUMMYFUNCTION("GOOGLEFINANCE(A1343,""PRICE"")"),30.37)</f>
        <v>30.37</v>
      </c>
      <c r="C1343" s="11">
        <f ca="1">IFERROR(__xludf.DUMMYFUNCTION("GOOGLEFINANCE(A1343,""PRICEOPEN"")"),30.25)</f>
        <v>30.25</v>
      </c>
      <c r="D1343" s="11">
        <f ca="1">IFERROR(__xludf.DUMMYFUNCTION("GOOGLEFINANCE(A1343,""HIGH"")"),30.79)</f>
        <v>30.79</v>
      </c>
      <c r="E1343" s="11">
        <f ca="1">IFERROR(__xludf.DUMMYFUNCTION("GOOGLEFINANCE(A1343,""LOW"")"),30.25)</f>
        <v>30.25</v>
      </c>
      <c r="F1343" s="12" t="str">
        <f t="shared" ca="1" si="42"/>
        <v>BUY</v>
      </c>
      <c r="G1343" s="13">
        <f ca="1">IFERROR(__xludf.DUMMYFUNCTION("GOOGLEFINANCE(A1343,""CLOSEYEST"")"),30.2)</f>
        <v>30.2</v>
      </c>
      <c r="H1343" s="14" t="str">
        <f t="shared" ca="1" si="48"/>
        <v/>
      </c>
      <c r="I1343" s="15">
        <f t="shared" ca="1" si="43"/>
        <v>30.41333333333333</v>
      </c>
      <c r="J1343" s="16">
        <f t="shared" ca="1" si="44"/>
        <v>30.576666666666661</v>
      </c>
      <c r="K1343" s="16"/>
      <c r="L1343" s="16">
        <f t="shared" ca="1" si="45"/>
        <v>30.036666666666662</v>
      </c>
      <c r="M1343" s="16">
        <f t="shared" ca="1" si="46"/>
        <v>30.95333333333333</v>
      </c>
      <c r="N1343" s="16">
        <f t="shared" ca="1" si="47"/>
        <v>29.873333333333331</v>
      </c>
    </row>
    <row r="1344" spans="1:14" ht="24.75" customHeight="1" x14ac:dyDescent="0.8">
      <c r="A1344" s="18" t="s">
        <v>1307</v>
      </c>
      <c r="B1344" s="10">
        <f ca="1">IFERROR(__xludf.DUMMYFUNCTION("GOOGLEFINANCE(A1344,""PRICE"")"),64.3)</f>
        <v>64.3</v>
      </c>
      <c r="C1344" s="11">
        <f ca="1">IFERROR(__xludf.DUMMYFUNCTION("GOOGLEFINANCE(A1344,""PRICEOPEN"")"),63.63)</f>
        <v>63.63</v>
      </c>
      <c r="D1344" s="11">
        <f ca="1">IFERROR(__xludf.DUMMYFUNCTION("GOOGLEFINANCE(A1344,""HIGH"")"),64.65)</f>
        <v>64.650000000000006</v>
      </c>
      <c r="E1344" s="11">
        <f ca="1">IFERROR(__xludf.DUMMYFUNCTION("GOOGLEFINANCE(A1344,""LOW"")"),61.41)</f>
        <v>61.41</v>
      </c>
      <c r="F1344" s="12" t="str">
        <f t="shared" ca="1" si="42"/>
        <v/>
      </c>
      <c r="G1344" s="13">
        <f ca="1">IFERROR(__xludf.DUMMYFUNCTION("GOOGLEFINANCE(A1344,""CLOSEYEST"")"),60.61)</f>
        <v>60.61</v>
      </c>
      <c r="H1344" s="14" t="str">
        <f t="shared" ca="1" si="48"/>
        <v>GAP UP</v>
      </c>
      <c r="I1344" s="15">
        <f t="shared" ca="1" si="43"/>
        <v>62.223333333333336</v>
      </c>
      <c r="J1344" s="16">
        <f t="shared" ca="1" si="44"/>
        <v>63.036666666666676</v>
      </c>
      <c r="K1344" s="16"/>
      <c r="L1344" s="16">
        <f t="shared" ca="1" si="45"/>
        <v>59.796666666666667</v>
      </c>
      <c r="M1344" s="16">
        <f t="shared" ca="1" si="46"/>
        <v>65.463333333333338</v>
      </c>
      <c r="N1344" s="16">
        <f t="shared" ca="1" si="47"/>
        <v>58.983333333333327</v>
      </c>
    </row>
    <row r="1345" spans="1:14" ht="24.75" customHeight="1" x14ac:dyDescent="0.8">
      <c r="A1345" s="18" t="s">
        <v>1308</v>
      </c>
      <c r="B1345" s="10">
        <f ca="1">IFERROR(__xludf.DUMMYFUNCTION("GOOGLEFINANCE(A1345,""PRICE"")"),19.94)</f>
        <v>19.940000000000001</v>
      </c>
      <c r="C1345" s="11">
        <f ca="1">IFERROR(__xludf.DUMMYFUNCTION("GOOGLEFINANCE(A1345,""PRICEOPEN"")"),19.07)</f>
        <v>19.07</v>
      </c>
      <c r="D1345" s="11">
        <f ca="1">IFERROR(__xludf.DUMMYFUNCTION("GOOGLEFINANCE(A1345,""HIGH"")"),20.5)</f>
        <v>20.5</v>
      </c>
      <c r="E1345" s="11">
        <f ca="1">IFERROR(__xludf.DUMMYFUNCTION("GOOGLEFINANCE(A1345,""LOW"")"),18.96)</f>
        <v>18.96</v>
      </c>
      <c r="F1345" s="12" t="str">
        <f t="shared" ca="1" si="42"/>
        <v/>
      </c>
      <c r="G1345" s="13">
        <f ca="1">IFERROR(__xludf.DUMMYFUNCTION("GOOGLEFINANCE(A1345,""CLOSEYEST"")"),19.07)</f>
        <v>19.07</v>
      </c>
      <c r="H1345" s="14" t="str">
        <f t="shared" ca="1" si="48"/>
        <v/>
      </c>
      <c r="I1345" s="15">
        <f t="shared" ca="1" si="43"/>
        <v>19.510000000000002</v>
      </c>
      <c r="J1345" s="16">
        <f t="shared" ca="1" si="44"/>
        <v>20.060000000000002</v>
      </c>
      <c r="K1345" s="16"/>
      <c r="L1345" s="16">
        <f t="shared" ca="1" si="45"/>
        <v>18.520000000000003</v>
      </c>
      <c r="M1345" s="16">
        <f t="shared" ca="1" si="46"/>
        <v>21.05</v>
      </c>
      <c r="N1345" s="16">
        <f t="shared" ca="1" si="47"/>
        <v>17.970000000000002</v>
      </c>
    </row>
    <row r="1346" spans="1:14" ht="24.75" customHeight="1" x14ac:dyDescent="0.8">
      <c r="A1346" s="18" t="s">
        <v>1309</v>
      </c>
      <c r="B1346" s="10">
        <f ca="1">IFERROR(__xludf.DUMMYFUNCTION("GOOGLEFINANCE(A1346,""PRICE"")"),206.99)</f>
        <v>206.99</v>
      </c>
      <c r="C1346" s="11">
        <f ca="1">IFERROR(__xludf.DUMMYFUNCTION("GOOGLEFINANCE(A1346,""PRICEOPEN"")"),198.11)</f>
        <v>198.11</v>
      </c>
      <c r="D1346" s="11">
        <f ca="1">IFERROR(__xludf.DUMMYFUNCTION("GOOGLEFINANCE(A1346,""HIGH"")"),208)</f>
        <v>208</v>
      </c>
      <c r="E1346" s="11">
        <f ca="1">IFERROR(__xludf.DUMMYFUNCTION("GOOGLEFINANCE(A1346,""LOW"")"),198.11)</f>
        <v>198.11</v>
      </c>
      <c r="F1346" s="12" t="str">
        <f t="shared" ca="1" si="42"/>
        <v>BUY</v>
      </c>
      <c r="G1346" s="13">
        <f ca="1">IFERROR(__xludf.DUMMYFUNCTION("GOOGLEFINANCE(A1346,""CLOSEYEST"")"),200.73)</f>
        <v>200.73</v>
      </c>
      <c r="H1346" s="14" t="str">
        <f t="shared" ca="1" si="48"/>
        <v>GAP DOWN</v>
      </c>
      <c r="I1346" s="15">
        <f t="shared" ca="1" si="43"/>
        <v>202.28</v>
      </c>
      <c r="J1346" s="16">
        <f t="shared" ca="1" si="44"/>
        <v>206.45</v>
      </c>
      <c r="K1346" s="16"/>
      <c r="L1346" s="16">
        <f t="shared" ca="1" si="45"/>
        <v>196.56</v>
      </c>
      <c r="M1346" s="16">
        <f t="shared" ca="1" si="46"/>
        <v>212.17</v>
      </c>
      <c r="N1346" s="16">
        <f t="shared" ca="1" si="47"/>
        <v>192.39000000000001</v>
      </c>
    </row>
    <row r="1347" spans="1:14" ht="24.75" customHeight="1" x14ac:dyDescent="0.8">
      <c r="A1347" s="18" t="s">
        <v>1310</v>
      </c>
      <c r="B1347" s="10">
        <f ca="1">IFERROR(__xludf.DUMMYFUNCTION("GOOGLEFINANCE(A1347,""PRICE"")"),29.77)</f>
        <v>29.77</v>
      </c>
      <c r="C1347" s="11">
        <f ca="1">IFERROR(__xludf.DUMMYFUNCTION("GOOGLEFINANCE(A1347,""PRICEOPEN"")"),29.49)</f>
        <v>29.49</v>
      </c>
      <c r="D1347" s="11">
        <f ca="1">IFERROR(__xludf.DUMMYFUNCTION("GOOGLEFINANCE(A1347,""HIGH"")"),30)</f>
        <v>30</v>
      </c>
      <c r="E1347" s="11">
        <f ca="1">IFERROR(__xludf.DUMMYFUNCTION("GOOGLEFINANCE(A1347,""LOW"")"),28.6)</f>
        <v>28.6</v>
      </c>
      <c r="F1347" s="12" t="str">
        <f t="shared" ca="1" si="42"/>
        <v/>
      </c>
      <c r="G1347" s="13">
        <f ca="1">IFERROR(__xludf.DUMMYFUNCTION("GOOGLEFINANCE(A1347,""CLOSEYEST"")"),29.05)</f>
        <v>29.05</v>
      </c>
      <c r="H1347" s="14" t="str">
        <f t="shared" ca="1" si="48"/>
        <v>GAP UP</v>
      </c>
      <c r="I1347" s="15">
        <f t="shared" ca="1" si="43"/>
        <v>29.216666666666669</v>
      </c>
      <c r="J1347" s="16">
        <f t="shared" ca="1" si="44"/>
        <v>29.833333333333336</v>
      </c>
      <c r="K1347" s="16"/>
      <c r="L1347" s="16">
        <f t="shared" ca="1" si="45"/>
        <v>28.433333333333337</v>
      </c>
      <c r="M1347" s="16">
        <f t="shared" ca="1" si="46"/>
        <v>30.616666666666667</v>
      </c>
      <c r="N1347" s="16">
        <f t="shared" ca="1" si="47"/>
        <v>27.81666666666667</v>
      </c>
    </row>
    <row r="1348" spans="1:14" ht="24.75" customHeight="1" x14ac:dyDescent="0.8">
      <c r="A1348" s="18" t="s">
        <v>1311</v>
      </c>
      <c r="B1348" s="10">
        <f ca="1">IFERROR(__xludf.DUMMYFUNCTION("GOOGLEFINANCE(A1348,""PRICE"")"),1191)</f>
        <v>1191</v>
      </c>
      <c r="C1348" s="11">
        <f ca="1">IFERROR(__xludf.DUMMYFUNCTION("GOOGLEFINANCE(A1348,""PRICEOPEN"")"),1187.1)</f>
        <v>1187.0999999999999</v>
      </c>
      <c r="D1348" s="11">
        <f ca="1">IFERROR(__xludf.DUMMYFUNCTION("GOOGLEFINANCE(A1348,""HIGH"")"),1202.2)</f>
        <v>1202.2</v>
      </c>
      <c r="E1348" s="11">
        <f ca="1">IFERROR(__xludf.DUMMYFUNCTION("GOOGLEFINANCE(A1348,""LOW"")"),1174.2)</f>
        <v>1174.2</v>
      </c>
      <c r="F1348" s="12" t="str">
        <f t="shared" ca="1" si="42"/>
        <v/>
      </c>
      <c r="G1348" s="13">
        <f ca="1">IFERROR(__xludf.DUMMYFUNCTION("GOOGLEFINANCE(A1348,""CLOSEYEST"")"),1187.1)</f>
        <v>1187.0999999999999</v>
      </c>
      <c r="H1348" s="14" t="str">
        <f t="shared" ca="1" si="48"/>
        <v/>
      </c>
      <c r="I1348" s="15">
        <f t="shared" ca="1" si="43"/>
        <v>1187.8333333333333</v>
      </c>
      <c r="J1348" s="16">
        <f t="shared" ca="1" si="44"/>
        <v>1201.4666666666665</v>
      </c>
      <c r="K1348" s="16"/>
      <c r="L1348" s="16">
        <f t="shared" ca="1" si="45"/>
        <v>1173.4666666666665</v>
      </c>
      <c r="M1348" s="16">
        <f t="shared" ca="1" si="46"/>
        <v>1215.8333333333333</v>
      </c>
      <c r="N1348" s="16">
        <f t="shared" ca="1" si="47"/>
        <v>1159.8333333333333</v>
      </c>
    </row>
    <row r="1349" spans="1:14" ht="24.75" customHeight="1" x14ac:dyDescent="0.8">
      <c r="A1349" s="18" t="s">
        <v>1312</v>
      </c>
      <c r="B1349" s="10">
        <f ca="1">IFERROR(__xludf.DUMMYFUNCTION("GOOGLEFINANCE(A1349,""PRICE"")"),9.6)</f>
        <v>9.6</v>
      </c>
      <c r="C1349" s="11">
        <f ca="1">IFERROR(__xludf.DUMMYFUNCTION("GOOGLEFINANCE(A1349,""PRICEOPEN"")"),9.55)</f>
        <v>9.5500000000000007</v>
      </c>
      <c r="D1349" s="11">
        <f ca="1">IFERROR(__xludf.DUMMYFUNCTION("GOOGLEFINANCE(A1349,""HIGH"")"),9.69)</f>
        <v>9.69</v>
      </c>
      <c r="E1349" s="11">
        <f ca="1">IFERROR(__xludf.DUMMYFUNCTION("GOOGLEFINANCE(A1349,""LOW"")"),9.53)</f>
        <v>9.5299999999999994</v>
      </c>
      <c r="F1349" s="12" t="str">
        <f t="shared" ca="1" si="42"/>
        <v/>
      </c>
      <c r="G1349" s="13">
        <f ca="1">IFERROR(__xludf.DUMMYFUNCTION("GOOGLEFINANCE(A1349,""CLOSEYEST"")"),9.55)</f>
        <v>9.5500000000000007</v>
      </c>
      <c r="H1349" s="14" t="str">
        <f t="shared" ca="1" si="48"/>
        <v/>
      </c>
      <c r="I1349" s="15">
        <f t="shared" ca="1" si="43"/>
        <v>9.59</v>
      </c>
      <c r="J1349" s="16">
        <f t="shared" ca="1" si="44"/>
        <v>9.65</v>
      </c>
      <c r="K1349" s="16"/>
      <c r="L1349" s="16">
        <f t="shared" ca="1" si="45"/>
        <v>9.49</v>
      </c>
      <c r="M1349" s="16">
        <f t="shared" ca="1" si="46"/>
        <v>9.75</v>
      </c>
      <c r="N1349" s="16">
        <f t="shared" ca="1" si="47"/>
        <v>9.43</v>
      </c>
    </row>
    <row r="1350" spans="1:14" ht="24.75" customHeight="1" x14ac:dyDescent="0.8">
      <c r="A1350" s="18" t="s">
        <v>1313</v>
      </c>
      <c r="B1350" s="10">
        <f ca="1">IFERROR(__xludf.DUMMYFUNCTION("GOOGLEFINANCE(A1350,""PRICE"")"),100.77)</f>
        <v>100.77</v>
      </c>
      <c r="C1350" s="11">
        <f ca="1">IFERROR(__xludf.DUMMYFUNCTION("GOOGLEFINANCE(A1350,""PRICEOPEN"")"),99.9)</f>
        <v>99.9</v>
      </c>
      <c r="D1350" s="11">
        <f ca="1">IFERROR(__xludf.DUMMYFUNCTION("GOOGLEFINANCE(A1350,""HIGH"")"),101.85)</f>
        <v>101.85</v>
      </c>
      <c r="E1350" s="11">
        <f ca="1">IFERROR(__xludf.DUMMYFUNCTION("GOOGLEFINANCE(A1350,""LOW"")"),99)</f>
        <v>99</v>
      </c>
      <c r="F1350" s="12" t="str">
        <f t="shared" ca="1" si="42"/>
        <v/>
      </c>
      <c r="G1350" s="13">
        <f ca="1">IFERROR(__xludf.DUMMYFUNCTION("GOOGLEFINANCE(A1350,""CLOSEYEST"")"),99.09)</f>
        <v>99.09</v>
      </c>
      <c r="H1350" s="14" t="str">
        <f t="shared" ca="1" si="48"/>
        <v/>
      </c>
      <c r="I1350" s="15">
        <f t="shared" ca="1" si="43"/>
        <v>99.98</v>
      </c>
      <c r="J1350" s="16">
        <f t="shared" ca="1" si="44"/>
        <v>100.96000000000001</v>
      </c>
      <c r="K1350" s="16"/>
      <c r="L1350" s="16">
        <f t="shared" ca="1" si="45"/>
        <v>98.110000000000014</v>
      </c>
      <c r="M1350" s="16">
        <f t="shared" ca="1" si="46"/>
        <v>102.83</v>
      </c>
      <c r="N1350" s="16">
        <f t="shared" ca="1" si="47"/>
        <v>97.13000000000001</v>
      </c>
    </row>
    <row r="1351" spans="1:14" ht="24.75" customHeight="1" x14ac:dyDescent="0.8">
      <c r="A1351" s="18" t="s">
        <v>1314</v>
      </c>
      <c r="B1351" s="10">
        <f ca="1">IFERROR(__xludf.DUMMYFUNCTION("GOOGLEFINANCE(A1351,""PRICE"")"),38.26)</f>
        <v>38.26</v>
      </c>
      <c r="C1351" s="11">
        <f ca="1">IFERROR(__xludf.DUMMYFUNCTION("GOOGLEFINANCE(A1351,""PRICEOPEN"")"),37.79)</f>
        <v>37.79</v>
      </c>
      <c r="D1351" s="11">
        <f ca="1">IFERROR(__xludf.DUMMYFUNCTION("GOOGLEFINANCE(A1351,""HIGH"")"),38.37)</f>
        <v>38.369999999999997</v>
      </c>
      <c r="E1351" s="11">
        <f ca="1">IFERROR(__xludf.DUMMYFUNCTION("GOOGLEFINANCE(A1351,""LOW"")"),37.64)</f>
        <v>37.64</v>
      </c>
      <c r="F1351" s="12" t="str">
        <f t="shared" ca="1" si="42"/>
        <v/>
      </c>
      <c r="G1351" s="13">
        <f ca="1">IFERROR(__xludf.DUMMYFUNCTION("GOOGLEFINANCE(A1351,""CLOSEYEST"")"),37.58)</f>
        <v>37.58</v>
      </c>
      <c r="H1351" s="14" t="str">
        <f t="shared" ca="1" si="48"/>
        <v/>
      </c>
      <c r="I1351" s="15">
        <f t="shared" ca="1" si="43"/>
        <v>37.86333333333333</v>
      </c>
      <c r="J1351" s="16">
        <f t="shared" ca="1" si="44"/>
        <v>38.086666666666659</v>
      </c>
      <c r="K1351" s="16"/>
      <c r="L1351" s="16">
        <f t="shared" ca="1" si="45"/>
        <v>37.356666666666662</v>
      </c>
      <c r="M1351" s="16">
        <f t="shared" ca="1" si="46"/>
        <v>38.593333333333327</v>
      </c>
      <c r="N1351" s="16">
        <f t="shared" ca="1" si="47"/>
        <v>37.133333333333333</v>
      </c>
    </row>
    <row r="1352" spans="1:14" ht="24.75" customHeight="1" x14ac:dyDescent="0.8">
      <c r="A1352" s="18" t="s">
        <v>1315</v>
      </c>
      <c r="B1352" s="10">
        <f ca="1">IFERROR(__xludf.DUMMYFUNCTION("GOOGLEFINANCE(A1352,""PRICE"")"),90.49)</f>
        <v>90.49</v>
      </c>
      <c r="C1352" s="11">
        <f ca="1">IFERROR(__xludf.DUMMYFUNCTION("GOOGLEFINANCE(A1352,""PRICEOPEN"")"),91.5)</f>
        <v>91.5</v>
      </c>
      <c r="D1352" s="11">
        <f ca="1">IFERROR(__xludf.DUMMYFUNCTION("GOOGLEFINANCE(A1352,""HIGH"")"),91.5)</f>
        <v>91.5</v>
      </c>
      <c r="E1352" s="11">
        <f ca="1">IFERROR(__xludf.DUMMYFUNCTION("GOOGLEFINANCE(A1352,""LOW"")"),88.25)</f>
        <v>88.25</v>
      </c>
      <c r="F1352" s="12" t="str">
        <f t="shared" ca="1" si="42"/>
        <v>SELL</v>
      </c>
      <c r="G1352" s="13">
        <f ca="1">IFERROR(__xludf.DUMMYFUNCTION("GOOGLEFINANCE(A1352,""CLOSEYEST"")"),90.84)</f>
        <v>90.84</v>
      </c>
      <c r="H1352" s="14" t="str">
        <f t="shared" ca="1" si="48"/>
        <v/>
      </c>
      <c r="I1352" s="15">
        <f t="shared" ca="1" si="43"/>
        <v>90.196666666666673</v>
      </c>
      <c r="J1352" s="16">
        <f t="shared" ca="1" si="44"/>
        <v>92.143333333333345</v>
      </c>
      <c r="K1352" s="16"/>
      <c r="L1352" s="16">
        <f t="shared" ca="1" si="45"/>
        <v>88.893333333333345</v>
      </c>
      <c r="M1352" s="16">
        <f t="shared" ca="1" si="46"/>
        <v>93.446666666666673</v>
      </c>
      <c r="N1352" s="16">
        <f t="shared" ca="1" si="47"/>
        <v>86.946666666666673</v>
      </c>
    </row>
    <row r="1353" spans="1:14" ht="24.75" customHeight="1" x14ac:dyDescent="0.8">
      <c r="A1353" s="18" t="s">
        <v>1316</v>
      </c>
      <c r="B1353" s="10">
        <f ca="1">IFERROR(__xludf.DUMMYFUNCTION("GOOGLEFINANCE(A1353,""PRICE"")"),9.8)</f>
        <v>9.8000000000000007</v>
      </c>
      <c r="C1353" s="11">
        <f ca="1">IFERROR(__xludf.DUMMYFUNCTION("GOOGLEFINANCE(A1353,""PRICEOPEN"")"),9.88)</f>
        <v>9.8800000000000008</v>
      </c>
      <c r="D1353" s="11">
        <f ca="1">IFERROR(__xludf.DUMMYFUNCTION("GOOGLEFINANCE(A1353,""HIGH"")"),9.94)</f>
        <v>9.94</v>
      </c>
      <c r="E1353" s="11">
        <f ca="1">IFERROR(__xludf.DUMMYFUNCTION("GOOGLEFINANCE(A1353,""LOW"")"),9.54)</f>
        <v>9.5399999999999991</v>
      </c>
      <c r="F1353" s="12" t="str">
        <f t="shared" ca="1" si="42"/>
        <v/>
      </c>
      <c r="G1353" s="13">
        <f ca="1">IFERROR(__xludf.DUMMYFUNCTION("GOOGLEFINANCE(A1353,""CLOSEYEST"")"),9.73)</f>
        <v>9.73</v>
      </c>
      <c r="H1353" s="14" t="str">
        <f t="shared" ca="1" si="48"/>
        <v>GAP UP</v>
      </c>
      <c r="I1353" s="15">
        <f t="shared" ca="1" si="43"/>
        <v>9.7366666666666664</v>
      </c>
      <c r="J1353" s="16">
        <f t="shared" ca="1" si="44"/>
        <v>9.9333333333333336</v>
      </c>
      <c r="K1353" s="16"/>
      <c r="L1353" s="16">
        <f t="shared" ca="1" si="45"/>
        <v>9.5333333333333332</v>
      </c>
      <c r="M1353" s="16">
        <f t="shared" ca="1" si="46"/>
        <v>10.136666666666667</v>
      </c>
      <c r="N1353" s="16">
        <f t="shared" ca="1" si="47"/>
        <v>9.336666666666666</v>
      </c>
    </row>
    <row r="1354" spans="1:14" ht="24.75" customHeight="1" x14ac:dyDescent="0.8">
      <c r="A1354" s="18" t="s">
        <v>1317</v>
      </c>
      <c r="B1354" s="10">
        <f ca="1">IFERROR(__xludf.DUMMYFUNCTION("GOOGLEFINANCE(A1354,""PRICE"")"),37.55)</f>
        <v>37.549999999999997</v>
      </c>
      <c r="C1354" s="11">
        <f ca="1">IFERROR(__xludf.DUMMYFUNCTION("GOOGLEFINANCE(A1354,""PRICEOPEN"")"),32.78)</f>
        <v>32.78</v>
      </c>
      <c r="D1354" s="11">
        <f ca="1">IFERROR(__xludf.DUMMYFUNCTION("GOOGLEFINANCE(A1354,""HIGH"")"),37.8)</f>
        <v>37.799999999999997</v>
      </c>
      <c r="E1354" s="11">
        <f ca="1">IFERROR(__xludf.DUMMYFUNCTION("GOOGLEFINANCE(A1354,""LOW"")"),32.78)</f>
        <v>32.78</v>
      </c>
      <c r="F1354" s="12" t="str">
        <f t="shared" ca="1" si="42"/>
        <v>BUY</v>
      </c>
      <c r="G1354" s="13">
        <f ca="1">IFERROR(__xludf.DUMMYFUNCTION("GOOGLEFINANCE(A1354,""CLOSEYEST"")"),32.99)</f>
        <v>32.99</v>
      </c>
      <c r="H1354" s="14" t="str">
        <f t="shared" ca="1" si="48"/>
        <v/>
      </c>
      <c r="I1354" s="15">
        <f t="shared" ca="1" si="43"/>
        <v>34.523333333333333</v>
      </c>
      <c r="J1354" s="16">
        <f t="shared" ca="1" si="44"/>
        <v>36.266666666666666</v>
      </c>
      <c r="K1354" s="16"/>
      <c r="L1354" s="16">
        <f t="shared" ca="1" si="45"/>
        <v>31.24666666666667</v>
      </c>
      <c r="M1354" s="16">
        <f t="shared" ca="1" si="46"/>
        <v>39.543333333333329</v>
      </c>
      <c r="N1354" s="16">
        <f t="shared" ca="1" si="47"/>
        <v>29.503333333333337</v>
      </c>
    </row>
    <row r="1355" spans="1:14" ht="24.75" customHeight="1" x14ac:dyDescent="0.8">
      <c r="A1355" s="18" t="s">
        <v>1318</v>
      </c>
      <c r="B1355" s="10">
        <f ca="1">IFERROR(__xludf.DUMMYFUNCTION("GOOGLEFINANCE(A1355,""PRICE"")"),12.99)</f>
        <v>12.99</v>
      </c>
      <c r="C1355" s="11">
        <f ca="1">IFERROR(__xludf.DUMMYFUNCTION("GOOGLEFINANCE(A1355,""PRICEOPEN"")"),12.95)</f>
        <v>12.95</v>
      </c>
      <c r="D1355" s="11">
        <f ca="1">IFERROR(__xludf.DUMMYFUNCTION("GOOGLEFINANCE(A1355,""HIGH"")"),13.05)</f>
        <v>13.05</v>
      </c>
      <c r="E1355" s="11">
        <f ca="1">IFERROR(__xludf.DUMMYFUNCTION("GOOGLEFINANCE(A1355,""LOW"")"),12.95)</f>
        <v>12.95</v>
      </c>
      <c r="F1355" s="12" t="str">
        <f t="shared" ca="1" si="42"/>
        <v>BUY</v>
      </c>
      <c r="G1355" s="13">
        <f ca="1">IFERROR(__xludf.DUMMYFUNCTION("GOOGLEFINANCE(A1355,""CLOSEYEST"")"),12.98)</f>
        <v>12.98</v>
      </c>
      <c r="H1355" s="14" t="str">
        <f t="shared" ca="1" si="48"/>
        <v/>
      </c>
      <c r="I1355" s="15">
        <f t="shared" ca="1" si="43"/>
        <v>12.993333333333334</v>
      </c>
      <c r="J1355" s="16">
        <f t="shared" ca="1" si="44"/>
        <v>13.036666666666669</v>
      </c>
      <c r="K1355" s="16"/>
      <c r="L1355" s="16">
        <f t="shared" ca="1" si="45"/>
        <v>12.936666666666667</v>
      </c>
      <c r="M1355" s="16">
        <f t="shared" ca="1" si="46"/>
        <v>13.093333333333335</v>
      </c>
      <c r="N1355" s="16">
        <f t="shared" ca="1" si="47"/>
        <v>12.893333333333333</v>
      </c>
    </row>
    <row r="1356" spans="1:14" ht="24.75" customHeight="1" x14ac:dyDescent="0.8">
      <c r="A1356" s="18" t="s">
        <v>1319</v>
      </c>
      <c r="B1356" s="10">
        <f ca="1">IFERROR(__xludf.DUMMYFUNCTION("GOOGLEFINANCE(A1356,""PRICE"")"),96.22)</f>
        <v>96.22</v>
      </c>
      <c r="C1356" s="11">
        <f ca="1">IFERROR(__xludf.DUMMYFUNCTION("GOOGLEFINANCE(A1356,""PRICEOPEN"")"),95.25)</f>
        <v>95.25</v>
      </c>
      <c r="D1356" s="11">
        <f ca="1">IFERROR(__xludf.DUMMYFUNCTION("GOOGLEFINANCE(A1356,""HIGH"")"),98.5)</f>
        <v>98.5</v>
      </c>
      <c r="E1356" s="11">
        <f ca="1">IFERROR(__xludf.DUMMYFUNCTION("GOOGLEFINANCE(A1356,""LOW"")"),95.25)</f>
        <v>95.25</v>
      </c>
      <c r="F1356" s="12" t="str">
        <f t="shared" ca="1" si="42"/>
        <v>BUY</v>
      </c>
      <c r="G1356" s="13">
        <f ca="1">IFERROR(__xludf.DUMMYFUNCTION("GOOGLEFINANCE(A1356,""CLOSEYEST"")"),96.67)</f>
        <v>96.67</v>
      </c>
      <c r="H1356" s="14" t="str">
        <f t="shared" ca="1" si="48"/>
        <v>GAP DOWN</v>
      </c>
      <c r="I1356" s="15">
        <f t="shared" ca="1" si="43"/>
        <v>96.806666666666672</v>
      </c>
      <c r="J1356" s="16">
        <f t="shared" ca="1" si="44"/>
        <v>98.363333333333344</v>
      </c>
      <c r="K1356" s="16"/>
      <c r="L1356" s="16">
        <f t="shared" ca="1" si="45"/>
        <v>95.113333333333344</v>
      </c>
      <c r="M1356" s="16">
        <f t="shared" ca="1" si="46"/>
        <v>100.05666666666667</v>
      </c>
      <c r="N1356" s="16">
        <f t="shared" ca="1" si="47"/>
        <v>93.556666666666672</v>
      </c>
    </row>
    <row r="1357" spans="1:14" ht="24.75" customHeight="1" x14ac:dyDescent="0.8">
      <c r="A1357" s="18" t="s">
        <v>1320</v>
      </c>
      <c r="B1357" s="10">
        <f ca="1">IFERROR(__xludf.DUMMYFUNCTION("GOOGLEFINANCE(A1357,""PRICE"")"),317.8)</f>
        <v>317.8</v>
      </c>
      <c r="C1357" s="11">
        <f ca="1">IFERROR(__xludf.DUMMYFUNCTION("GOOGLEFINANCE(A1357,""PRICEOPEN"")"),310.7)</f>
        <v>310.7</v>
      </c>
      <c r="D1357" s="11">
        <f ca="1">IFERROR(__xludf.DUMMYFUNCTION("GOOGLEFINANCE(A1357,""HIGH"")"),317.9)</f>
        <v>317.89999999999998</v>
      </c>
      <c r="E1357" s="11">
        <f ca="1">IFERROR(__xludf.DUMMYFUNCTION("GOOGLEFINANCE(A1357,""LOW"")"),303)</f>
        <v>303</v>
      </c>
      <c r="F1357" s="12" t="str">
        <f t="shared" ca="1" si="42"/>
        <v/>
      </c>
      <c r="G1357" s="13">
        <f ca="1">IFERROR(__xludf.DUMMYFUNCTION("GOOGLEFINANCE(A1357,""CLOSEYEST"")"),318.65)</f>
        <v>318.64999999999998</v>
      </c>
      <c r="H1357" s="14" t="str">
        <f t="shared" ca="1" si="48"/>
        <v>GAP DOWN</v>
      </c>
      <c r="I1357" s="15">
        <f t="shared" ca="1" si="43"/>
        <v>313.18333333333334</v>
      </c>
      <c r="J1357" s="16">
        <f t="shared" ca="1" si="44"/>
        <v>323.36666666666667</v>
      </c>
      <c r="K1357" s="16"/>
      <c r="L1357" s="16">
        <f t="shared" ca="1" si="45"/>
        <v>308.4666666666667</v>
      </c>
      <c r="M1357" s="16">
        <f t="shared" ca="1" si="46"/>
        <v>328.08333333333331</v>
      </c>
      <c r="N1357" s="16">
        <f t="shared" ca="1" si="47"/>
        <v>298.28333333333336</v>
      </c>
    </row>
    <row r="1358" spans="1:14" ht="24.75" customHeight="1" x14ac:dyDescent="0.8">
      <c r="A1358" s="18" t="s">
        <v>1321</v>
      </c>
      <c r="B1358" s="10" t="str">
        <f ca="1">IFERROR(__xludf.DUMMYFUNCTION("GOOGLEFINANCE(A1358,""PRICE"")"),"#N/A")</f>
        <v>#N/A</v>
      </c>
      <c r="C1358" s="11" t="str">
        <f ca="1">IFERROR(__xludf.DUMMYFUNCTION("GOOGLEFINANCE(A1358,""PRICEOPEN"")"),"#N/A")</f>
        <v>#N/A</v>
      </c>
      <c r="D1358" s="11" t="str">
        <f ca="1">IFERROR(__xludf.DUMMYFUNCTION("GOOGLEFINANCE(A1358,""HIGH"")"),"#N/A")</f>
        <v>#N/A</v>
      </c>
      <c r="E1358" s="11" t="str">
        <f ca="1">IFERROR(__xludf.DUMMYFUNCTION("GOOGLEFINANCE(A1358,""LOW"")"),"#N/A")</f>
        <v>#N/A</v>
      </c>
      <c r="F1358" s="12" t="str">
        <f t="shared" ca="1" si="42"/>
        <v>SELL</v>
      </c>
      <c r="G1358" s="13" t="str">
        <f ca="1">IFERROR(__xludf.DUMMYFUNCTION("GOOGLEFINANCE(A1358,""CLOSEYEST"")"),"#N/A")</f>
        <v>#N/A</v>
      </c>
      <c r="H1358" s="14" t="e">
        <f t="shared" ca="1" si="48"/>
        <v>#VALUE!</v>
      </c>
      <c r="I1358" s="15" t="e">
        <f t="shared" ca="1" si="43"/>
        <v>#VALUE!</v>
      </c>
      <c r="J1358" s="16" t="e">
        <f t="shared" ca="1" si="44"/>
        <v>#VALUE!</v>
      </c>
      <c r="K1358" s="16"/>
      <c r="L1358" s="16" t="e">
        <f t="shared" ca="1" si="45"/>
        <v>#VALUE!</v>
      </c>
      <c r="M1358" s="16" t="e">
        <f t="shared" ca="1" si="46"/>
        <v>#VALUE!</v>
      </c>
      <c r="N1358" s="16" t="e">
        <f t="shared" ca="1" si="47"/>
        <v>#VALUE!</v>
      </c>
    </row>
    <row r="1359" spans="1:14" ht="24.75" customHeight="1" x14ac:dyDescent="0.8">
      <c r="A1359" s="18" t="s">
        <v>1322</v>
      </c>
      <c r="B1359" s="10">
        <f ca="1">IFERROR(__xludf.DUMMYFUNCTION("GOOGLEFINANCE(A1359,""PRICE"")"),582)</f>
        <v>582</v>
      </c>
      <c r="C1359" s="11">
        <f ca="1">IFERROR(__xludf.DUMMYFUNCTION("GOOGLEFINANCE(A1359,""PRICEOPEN"")"),585)</f>
        <v>585</v>
      </c>
      <c r="D1359" s="11">
        <f ca="1">IFERROR(__xludf.DUMMYFUNCTION("GOOGLEFINANCE(A1359,""HIGH"")"),595)</f>
        <v>595</v>
      </c>
      <c r="E1359" s="11">
        <f ca="1">IFERROR(__xludf.DUMMYFUNCTION("GOOGLEFINANCE(A1359,""LOW"")"),582)</f>
        <v>582</v>
      </c>
      <c r="F1359" s="12" t="str">
        <f t="shared" ca="1" si="42"/>
        <v/>
      </c>
      <c r="G1359" s="13">
        <f ca="1">IFERROR(__xludf.DUMMYFUNCTION("GOOGLEFINANCE(A1359,""CLOSEYEST"")"),587.4)</f>
        <v>587.4</v>
      </c>
      <c r="H1359" s="14" t="str">
        <f t="shared" ca="1" si="48"/>
        <v/>
      </c>
      <c r="I1359" s="15">
        <f t="shared" ca="1" si="43"/>
        <v>588.13333333333333</v>
      </c>
      <c r="J1359" s="16">
        <f t="shared" ca="1" si="44"/>
        <v>594.26666666666665</v>
      </c>
      <c r="K1359" s="16"/>
      <c r="L1359" s="16">
        <f t="shared" ca="1" si="45"/>
        <v>581.26666666666665</v>
      </c>
      <c r="M1359" s="16">
        <f t="shared" ca="1" si="46"/>
        <v>601.13333333333333</v>
      </c>
      <c r="N1359" s="16">
        <f t="shared" ca="1" si="47"/>
        <v>575.13333333333333</v>
      </c>
    </row>
    <row r="1360" spans="1:14" ht="24.75" customHeight="1" x14ac:dyDescent="0.8">
      <c r="A1360" s="18" t="s">
        <v>1323</v>
      </c>
      <c r="B1360" s="10">
        <f ca="1">IFERROR(__xludf.DUMMYFUNCTION("GOOGLEFINANCE(A1360,""PRICE"")"),59.72)</f>
        <v>59.72</v>
      </c>
      <c r="C1360" s="11">
        <f ca="1">IFERROR(__xludf.DUMMYFUNCTION("GOOGLEFINANCE(A1360,""PRICEOPEN"")"),59.71)</f>
        <v>59.71</v>
      </c>
      <c r="D1360" s="11">
        <f ca="1">IFERROR(__xludf.DUMMYFUNCTION("GOOGLEFINANCE(A1360,""HIGH"")"),61.5)</f>
        <v>61.5</v>
      </c>
      <c r="E1360" s="11">
        <f ca="1">IFERROR(__xludf.DUMMYFUNCTION("GOOGLEFINANCE(A1360,""LOW"")"),59.01)</f>
        <v>59.01</v>
      </c>
      <c r="F1360" s="12" t="str">
        <f t="shared" ca="1" si="42"/>
        <v/>
      </c>
      <c r="G1360" s="13">
        <f ca="1">IFERROR(__xludf.DUMMYFUNCTION("GOOGLEFINANCE(A1360,""CLOSEYEST"")"),61.22)</f>
        <v>61.22</v>
      </c>
      <c r="H1360" s="14" t="str">
        <f t="shared" ca="1" si="48"/>
        <v>GAP DOWN</v>
      </c>
      <c r="I1360" s="15">
        <f t="shared" ca="1" si="43"/>
        <v>60.576666666666661</v>
      </c>
      <c r="J1360" s="16">
        <f t="shared" ca="1" si="44"/>
        <v>62.143333333333324</v>
      </c>
      <c r="K1360" s="16"/>
      <c r="L1360" s="16">
        <f t="shared" ca="1" si="45"/>
        <v>59.653333333333322</v>
      </c>
      <c r="M1360" s="16">
        <f t="shared" ca="1" si="46"/>
        <v>63.066666666666663</v>
      </c>
      <c r="N1360" s="16">
        <f t="shared" ca="1" si="47"/>
        <v>58.086666666666659</v>
      </c>
    </row>
    <row r="1361" spans="1:14" ht="24.75" customHeight="1" x14ac:dyDescent="0.8">
      <c r="A1361" s="18" t="s">
        <v>1324</v>
      </c>
      <c r="B1361" s="10">
        <f ca="1">IFERROR(__xludf.DUMMYFUNCTION("GOOGLEFINANCE(A1361,""PRICE"")"),348.4)</f>
        <v>348.4</v>
      </c>
      <c r="C1361" s="11">
        <f ca="1">IFERROR(__xludf.DUMMYFUNCTION("GOOGLEFINANCE(A1361,""PRICEOPEN"")"),336.95)</f>
        <v>336.95</v>
      </c>
      <c r="D1361" s="11">
        <f ca="1">IFERROR(__xludf.DUMMYFUNCTION("GOOGLEFINANCE(A1361,""HIGH"")"),348.5)</f>
        <v>348.5</v>
      </c>
      <c r="E1361" s="11">
        <f ca="1">IFERROR(__xludf.DUMMYFUNCTION("GOOGLEFINANCE(A1361,""LOW"")"),333.3)</f>
        <v>333.3</v>
      </c>
      <c r="F1361" s="12" t="str">
        <f t="shared" ca="1" si="42"/>
        <v/>
      </c>
      <c r="G1361" s="13">
        <f ca="1">IFERROR(__xludf.DUMMYFUNCTION("GOOGLEFINANCE(A1361,""CLOSEYEST"")"),333)</f>
        <v>333</v>
      </c>
      <c r="H1361" s="14" t="str">
        <f t="shared" ca="1" si="48"/>
        <v>GAP UP</v>
      </c>
      <c r="I1361" s="15">
        <f t="shared" ca="1" si="43"/>
        <v>338.26666666666665</v>
      </c>
      <c r="J1361" s="16">
        <f t="shared" ca="1" si="44"/>
        <v>343.23333333333329</v>
      </c>
      <c r="K1361" s="16"/>
      <c r="L1361" s="16">
        <f t="shared" ca="1" si="45"/>
        <v>328.0333333333333</v>
      </c>
      <c r="M1361" s="16">
        <f t="shared" ca="1" si="46"/>
        <v>353.46666666666664</v>
      </c>
      <c r="N1361" s="16">
        <f t="shared" ca="1" si="47"/>
        <v>323.06666666666666</v>
      </c>
    </row>
    <row r="1362" spans="1:14" ht="24.75" customHeight="1" x14ac:dyDescent="0.8">
      <c r="A1362" s="18" t="s">
        <v>1325</v>
      </c>
      <c r="B1362" s="10">
        <f ca="1">IFERROR(__xludf.DUMMYFUNCTION("GOOGLEFINANCE(A1362,""PRICE"")"),1.73)</f>
        <v>1.73</v>
      </c>
      <c r="C1362" s="11">
        <f ca="1">IFERROR(__xludf.DUMMYFUNCTION("GOOGLEFINANCE(A1362,""PRICEOPEN"")"),1.67)</f>
        <v>1.67</v>
      </c>
      <c r="D1362" s="11">
        <f ca="1">IFERROR(__xludf.DUMMYFUNCTION("GOOGLEFINANCE(A1362,""HIGH"")"),1.73)</f>
        <v>1.73</v>
      </c>
      <c r="E1362" s="11">
        <f ca="1">IFERROR(__xludf.DUMMYFUNCTION("GOOGLEFINANCE(A1362,""LOW"")"),1.65)</f>
        <v>1.65</v>
      </c>
      <c r="F1362" s="12" t="str">
        <f t="shared" ca="1" si="42"/>
        <v/>
      </c>
      <c r="G1362" s="13">
        <f ca="1">IFERROR(__xludf.DUMMYFUNCTION("GOOGLEFINANCE(A1362,""CLOSEYEST"")"),1.7)</f>
        <v>1.7</v>
      </c>
      <c r="H1362" s="14" t="str">
        <f t="shared" ca="1" si="48"/>
        <v>GAP DOWN</v>
      </c>
      <c r="I1362" s="15">
        <f t="shared" ca="1" si="43"/>
        <v>1.6933333333333334</v>
      </c>
      <c r="J1362" s="16">
        <f t="shared" ca="1" si="44"/>
        <v>1.7366666666666668</v>
      </c>
      <c r="K1362" s="16"/>
      <c r="L1362" s="16">
        <f t="shared" ca="1" si="45"/>
        <v>1.6566666666666667</v>
      </c>
      <c r="M1362" s="16">
        <f t="shared" ca="1" si="46"/>
        <v>1.7733333333333334</v>
      </c>
      <c r="N1362" s="16">
        <f t="shared" ca="1" si="47"/>
        <v>1.6133333333333333</v>
      </c>
    </row>
    <row r="1363" spans="1:14" ht="24.75" customHeight="1" x14ac:dyDescent="0.8">
      <c r="A1363" s="18" t="s">
        <v>1326</v>
      </c>
      <c r="B1363" s="10">
        <f ca="1">IFERROR(__xludf.DUMMYFUNCTION("GOOGLEFINANCE(A1363,""PRICE"")"),1.94)</f>
        <v>1.94</v>
      </c>
      <c r="C1363" s="11">
        <f ca="1">IFERROR(__xludf.DUMMYFUNCTION("GOOGLEFINANCE(A1363,""PRICEOPEN"")"),1.92)</f>
        <v>1.92</v>
      </c>
      <c r="D1363" s="11">
        <f ca="1">IFERROR(__xludf.DUMMYFUNCTION("GOOGLEFINANCE(A1363,""HIGH"")"),1.95)</f>
        <v>1.95</v>
      </c>
      <c r="E1363" s="11">
        <f ca="1">IFERROR(__xludf.DUMMYFUNCTION("GOOGLEFINANCE(A1363,""LOW"")"),1.9)</f>
        <v>1.9</v>
      </c>
      <c r="F1363" s="12" t="str">
        <f t="shared" ca="1" si="42"/>
        <v/>
      </c>
      <c r="G1363" s="13">
        <f ca="1">IFERROR(__xludf.DUMMYFUNCTION("GOOGLEFINANCE(A1363,""CLOSEYEST"")"),1.91)</f>
        <v>1.91</v>
      </c>
      <c r="H1363" s="14" t="str">
        <f t="shared" ca="1" si="48"/>
        <v/>
      </c>
      <c r="I1363" s="15">
        <f t="shared" ca="1" si="43"/>
        <v>1.92</v>
      </c>
      <c r="J1363" s="16">
        <f t="shared" ca="1" si="44"/>
        <v>1.94</v>
      </c>
      <c r="K1363" s="16"/>
      <c r="L1363" s="16">
        <f t="shared" ca="1" si="45"/>
        <v>1.89</v>
      </c>
      <c r="M1363" s="16">
        <f t="shared" ca="1" si="46"/>
        <v>1.97</v>
      </c>
      <c r="N1363" s="16">
        <f t="shared" ca="1" si="47"/>
        <v>1.8699999999999999</v>
      </c>
    </row>
    <row r="1364" spans="1:14" ht="24.75" customHeight="1" x14ac:dyDescent="0.8">
      <c r="A1364" s="18" t="s">
        <v>1327</v>
      </c>
      <c r="B1364" s="10">
        <f ca="1">IFERROR(__xludf.DUMMYFUNCTION("GOOGLEFINANCE(A1364,""PRICE"")"),294)</f>
        <v>294</v>
      </c>
      <c r="C1364" s="11">
        <f ca="1">IFERROR(__xludf.DUMMYFUNCTION("GOOGLEFINANCE(A1364,""PRICEOPEN"")"),302.95)</f>
        <v>302.95</v>
      </c>
      <c r="D1364" s="11">
        <f ca="1">IFERROR(__xludf.DUMMYFUNCTION("GOOGLEFINANCE(A1364,""HIGH"")"),302.95)</f>
        <v>302.95</v>
      </c>
      <c r="E1364" s="11">
        <f ca="1">IFERROR(__xludf.DUMMYFUNCTION("GOOGLEFINANCE(A1364,""LOW"")"),292.4)</f>
        <v>292.39999999999998</v>
      </c>
      <c r="F1364" s="12" t="str">
        <f t="shared" ca="1" si="42"/>
        <v>SELL</v>
      </c>
      <c r="G1364" s="13">
        <f ca="1">IFERROR(__xludf.DUMMYFUNCTION("GOOGLEFINANCE(A1364,""CLOSEYEST"")"),299.95)</f>
        <v>299.95</v>
      </c>
      <c r="H1364" s="14" t="str">
        <f t="shared" ca="1" si="48"/>
        <v>GAP UP</v>
      </c>
      <c r="I1364" s="15">
        <f t="shared" ca="1" si="43"/>
        <v>298.43333333333334</v>
      </c>
      <c r="J1364" s="16">
        <f t="shared" ca="1" si="44"/>
        <v>304.4666666666667</v>
      </c>
      <c r="K1364" s="16"/>
      <c r="L1364" s="16">
        <f t="shared" ca="1" si="45"/>
        <v>293.91666666666669</v>
      </c>
      <c r="M1364" s="16">
        <f t="shared" ca="1" si="46"/>
        <v>308.98333333333335</v>
      </c>
      <c r="N1364" s="16">
        <f t="shared" ca="1" si="47"/>
        <v>287.88333333333333</v>
      </c>
    </row>
    <row r="1365" spans="1:14" ht="24.75" customHeight="1" x14ac:dyDescent="0.8">
      <c r="A1365" s="18" t="s">
        <v>1328</v>
      </c>
      <c r="B1365" s="10">
        <f ca="1">IFERROR(__xludf.DUMMYFUNCTION("GOOGLEFINANCE(A1365,""PRICE"")"),40.22)</f>
        <v>40.22</v>
      </c>
      <c r="C1365" s="11">
        <f ca="1">IFERROR(__xludf.DUMMYFUNCTION("GOOGLEFINANCE(A1365,""PRICEOPEN"")"),40.3)</f>
        <v>40.299999999999997</v>
      </c>
      <c r="D1365" s="11">
        <f ca="1">IFERROR(__xludf.DUMMYFUNCTION("GOOGLEFINANCE(A1365,""HIGH"")"),40.62)</f>
        <v>40.619999999999997</v>
      </c>
      <c r="E1365" s="11">
        <f ca="1">IFERROR(__xludf.DUMMYFUNCTION("GOOGLEFINANCE(A1365,""LOW"")"),40.08)</f>
        <v>40.08</v>
      </c>
      <c r="F1365" s="12" t="str">
        <f t="shared" ca="1" si="42"/>
        <v/>
      </c>
      <c r="G1365" s="13">
        <f ca="1">IFERROR(__xludf.DUMMYFUNCTION("GOOGLEFINANCE(A1365,""CLOSEYEST"")"),40.3)</f>
        <v>40.299999999999997</v>
      </c>
      <c r="H1365" s="14" t="str">
        <f t="shared" ca="1" si="48"/>
        <v/>
      </c>
      <c r="I1365" s="15">
        <f t="shared" ca="1" si="43"/>
        <v>40.333333333333329</v>
      </c>
      <c r="J1365" s="16">
        <f t="shared" ca="1" si="44"/>
        <v>40.586666666666659</v>
      </c>
      <c r="K1365" s="16"/>
      <c r="L1365" s="16">
        <f t="shared" ca="1" si="45"/>
        <v>40.04666666666666</v>
      </c>
      <c r="M1365" s="16">
        <f t="shared" ca="1" si="46"/>
        <v>40.873333333333328</v>
      </c>
      <c r="N1365" s="16">
        <f t="shared" ca="1" si="47"/>
        <v>39.793333333333329</v>
      </c>
    </row>
    <row r="1366" spans="1:14" ht="24.75" customHeight="1" x14ac:dyDescent="0.8">
      <c r="A1366" s="18" t="s">
        <v>1329</v>
      </c>
      <c r="B1366" s="10">
        <f ca="1">IFERROR(__xludf.DUMMYFUNCTION("GOOGLEFINANCE(A1366,""PRICE"")"),485.5)</f>
        <v>485.5</v>
      </c>
      <c r="C1366" s="11">
        <f ca="1">IFERROR(__xludf.DUMMYFUNCTION("GOOGLEFINANCE(A1366,""PRICEOPEN"")"),468.75)</f>
        <v>468.75</v>
      </c>
      <c r="D1366" s="11">
        <f ca="1">IFERROR(__xludf.DUMMYFUNCTION("GOOGLEFINANCE(A1366,""HIGH"")"),492)</f>
        <v>492</v>
      </c>
      <c r="E1366" s="11">
        <f ca="1">IFERROR(__xludf.DUMMYFUNCTION("GOOGLEFINANCE(A1366,""LOW"")"),468.75)</f>
        <v>468.75</v>
      </c>
      <c r="F1366" s="12" t="str">
        <f t="shared" ca="1" si="42"/>
        <v>BUY</v>
      </c>
      <c r="G1366" s="13">
        <f ca="1">IFERROR(__xludf.DUMMYFUNCTION("GOOGLEFINANCE(A1366,""CLOSEYEST"")"),468.7)</f>
        <v>468.7</v>
      </c>
      <c r="H1366" s="14" t="str">
        <f t="shared" ca="1" si="48"/>
        <v/>
      </c>
      <c r="I1366" s="15">
        <f t="shared" ca="1" si="43"/>
        <v>476.48333333333335</v>
      </c>
      <c r="J1366" s="16">
        <f t="shared" ca="1" si="44"/>
        <v>484.2166666666667</v>
      </c>
      <c r="K1366" s="16"/>
      <c r="L1366" s="16">
        <f t="shared" ca="1" si="45"/>
        <v>460.9666666666667</v>
      </c>
      <c r="M1366" s="16">
        <f t="shared" ca="1" si="46"/>
        <v>499.73333333333335</v>
      </c>
      <c r="N1366" s="16">
        <f t="shared" ca="1" si="47"/>
        <v>453.23333333333335</v>
      </c>
    </row>
    <row r="1367" spans="1:14" ht="24.75" customHeight="1" x14ac:dyDescent="0.8">
      <c r="A1367" s="18" t="s">
        <v>1330</v>
      </c>
      <c r="B1367" s="10">
        <f ca="1">IFERROR(__xludf.DUMMYFUNCTION("GOOGLEFINANCE(A1367,""PRICE"")"),8.2)</f>
        <v>8.1999999999999993</v>
      </c>
      <c r="C1367" s="11">
        <f ca="1">IFERROR(__xludf.DUMMYFUNCTION("GOOGLEFINANCE(A1367,""PRICEOPEN"")"),8.24)</f>
        <v>8.24</v>
      </c>
      <c r="D1367" s="11">
        <f ca="1">IFERROR(__xludf.DUMMYFUNCTION("GOOGLEFINANCE(A1367,""HIGH"")"),8.25)</f>
        <v>8.25</v>
      </c>
      <c r="E1367" s="11">
        <f ca="1">IFERROR(__xludf.DUMMYFUNCTION("GOOGLEFINANCE(A1367,""LOW"")"),8.14)</f>
        <v>8.14</v>
      </c>
      <c r="F1367" s="12" t="str">
        <f t="shared" ca="1" si="42"/>
        <v/>
      </c>
      <c r="G1367" s="13">
        <f ca="1">IFERROR(__xludf.DUMMYFUNCTION("GOOGLEFINANCE(A1367,""CLOSEYEST"")"),8.22)</f>
        <v>8.2200000000000006</v>
      </c>
      <c r="H1367" s="14" t="str">
        <f t="shared" ca="1" si="48"/>
        <v/>
      </c>
      <c r="I1367" s="15">
        <f t="shared" ca="1" si="43"/>
        <v>8.2033333333333331</v>
      </c>
      <c r="J1367" s="16">
        <f t="shared" ca="1" si="44"/>
        <v>8.2666666666666657</v>
      </c>
      <c r="K1367" s="16"/>
      <c r="L1367" s="16">
        <f t="shared" ca="1" si="45"/>
        <v>8.1566666666666663</v>
      </c>
      <c r="M1367" s="16">
        <f t="shared" ca="1" si="46"/>
        <v>8.3133333333333326</v>
      </c>
      <c r="N1367" s="16">
        <f t="shared" ca="1" si="47"/>
        <v>8.0933333333333337</v>
      </c>
    </row>
    <row r="1368" spans="1:14" ht="24.75" customHeight="1" x14ac:dyDescent="0.8">
      <c r="A1368" s="18" t="s">
        <v>1331</v>
      </c>
      <c r="B1368" s="10">
        <f ca="1">IFERROR(__xludf.DUMMYFUNCTION("GOOGLEFINANCE(A1368,""PRICE"")"),182.99)</f>
        <v>182.99</v>
      </c>
      <c r="C1368" s="11">
        <f ca="1">IFERROR(__xludf.DUMMYFUNCTION("GOOGLEFINANCE(A1368,""PRICEOPEN"")"),182)</f>
        <v>182</v>
      </c>
      <c r="D1368" s="11">
        <f ca="1">IFERROR(__xludf.DUMMYFUNCTION("GOOGLEFINANCE(A1368,""HIGH"")"),182.99)</f>
        <v>182.99</v>
      </c>
      <c r="E1368" s="11">
        <f ca="1">IFERROR(__xludf.DUMMYFUNCTION("GOOGLEFINANCE(A1368,""LOW"")"),175.15)</f>
        <v>175.15</v>
      </c>
      <c r="F1368" s="12" t="str">
        <f t="shared" ca="1" si="42"/>
        <v/>
      </c>
      <c r="G1368" s="13">
        <f ca="1">IFERROR(__xludf.DUMMYFUNCTION("GOOGLEFINANCE(A1368,""CLOSEYEST"")"),179)</f>
        <v>179</v>
      </c>
      <c r="H1368" s="14" t="str">
        <f t="shared" ca="1" si="48"/>
        <v>GAP UP</v>
      </c>
      <c r="I1368" s="15">
        <f t="shared" ca="1" si="43"/>
        <v>179.04666666666665</v>
      </c>
      <c r="J1368" s="16">
        <f t="shared" ca="1" si="44"/>
        <v>182.9433333333333</v>
      </c>
      <c r="K1368" s="16"/>
      <c r="L1368" s="16">
        <f t="shared" ca="1" si="45"/>
        <v>175.1033333333333</v>
      </c>
      <c r="M1368" s="16">
        <f t="shared" ca="1" si="46"/>
        <v>186.88666666666666</v>
      </c>
      <c r="N1368" s="16">
        <f t="shared" ca="1" si="47"/>
        <v>171.20666666666665</v>
      </c>
    </row>
    <row r="1369" spans="1:14" ht="24.75" customHeight="1" x14ac:dyDescent="0.8">
      <c r="A1369" s="18" t="s">
        <v>1332</v>
      </c>
      <c r="B1369" s="10">
        <f ca="1">IFERROR(__xludf.DUMMYFUNCTION("GOOGLEFINANCE(A1369,""PRICE"")"),135)</f>
        <v>135</v>
      </c>
      <c r="C1369" s="11">
        <f ca="1">IFERROR(__xludf.DUMMYFUNCTION("GOOGLEFINANCE(A1369,""PRICEOPEN"")"),131.81)</f>
        <v>131.81</v>
      </c>
      <c r="D1369" s="11">
        <f ca="1">IFERROR(__xludf.DUMMYFUNCTION("GOOGLEFINANCE(A1369,""HIGH"")"),138.34)</f>
        <v>138.34</v>
      </c>
      <c r="E1369" s="11">
        <f ca="1">IFERROR(__xludf.DUMMYFUNCTION("GOOGLEFINANCE(A1369,""LOW"")"),130)</f>
        <v>130</v>
      </c>
      <c r="F1369" s="12" t="str">
        <f t="shared" ca="1" si="42"/>
        <v/>
      </c>
      <c r="G1369" s="13">
        <f ca="1">IFERROR(__xludf.DUMMYFUNCTION("GOOGLEFINANCE(A1369,""CLOSEYEST"")"),131.76)</f>
        <v>131.76</v>
      </c>
      <c r="H1369" s="14" t="str">
        <f t="shared" ca="1" si="48"/>
        <v/>
      </c>
      <c r="I1369" s="15">
        <f t="shared" ca="1" si="43"/>
        <v>133.36666666666667</v>
      </c>
      <c r="J1369" s="16">
        <f t="shared" ca="1" si="44"/>
        <v>136.73333333333335</v>
      </c>
      <c r="K1369" s="16"/>
      <c r="L1369" s="16">
        <f t="shared" ca="1" si="45"/>
        <v>128.39333333333335</v>
      </c>
      <c r="M1369" s="16">
        <f t="shared" ca="1" si="46"/>
        <v>141.70666666666668</v>
      </c>
      <c r="N1369" s="16">
        <f t="shared" ca="1" si="47"/>
        <v>125.02666666666667</v>
      </c>
    </row>
    <row r="1370" spans="1:14" ht="24.75" customHeight="1" x14ac:dyDescent="0.8">
      <c r="A1370" s="18" t="s">
        <v>1333</v>
      </c>
      <c r="B1370" s="10">
        <f ca="1">IFERROR(__xludf.DUMMYFUNCTION("GOOGLEFINANCE(A1370,""PRICE"")"),139.42)</f>
        <v>139.41999999999999</v>
      </c>
      <c r="C1370" s="11">
        <f ca="1">IFERROR(__xludf.DUMMYFUNCTION("GOOGLEFINANCE(A1370,""PRICEOPEN"")"),138.61)</f>
        <v>138.61000000000001</v>
      </c>
      <c r="D1370" s="11">
        <f ca="1">IFERROR(__xludf.DUMMYFUNCTION("GOOGLEFINANCE(A1370,""HIGH"")"),139.42)</f>
        <v>139.41999999999999</v>
      </c>
      <c r="E1370" s="11">
        <f ca="1">IFERROR(__xludf.DUMMYFUNCTION("GOOGLEFINANCE(A1370,""LOW"")"),136.42)</f>
        <v>136.41999999999999</v>
      </c>
      <c r="F1370" s="12" t="str">
        <f t="shared" ca="1" si="42"/>
        <v/>
      </c>
      <c r="G1370" s="13">
        <f ca="1">IFERROR(__xludf.DUMMYFUNCTION("GOOGLEFINANCE(A1370,""CLOSEYEST"")"),139.42)</f>
        <v>139.41999999999999</v>
      </c>
      <c r="H1370" s="14" t="str">
        <f t="shared" ca="1" si="48"/>
        <v/>
      </c>
      <c r="I1370" s="15">
        <f t="shared" ca="1" si="43"/>
        <v>138.41999999999999</v>
      </c>
      <c r="J1370" s="16">
        <f t="shared" ca="1" si="44"/>
        <v>140.41999999999999</v>
      </c>
      <c r="K1370" s="16"/>
      <c r="L1370" s="16">
        <f t="shared" ca="1" si="45"/>
        <v>137.41999999999999</v>
      </c>
      <c r="M1370" s="16">
        <f t="shared" ca="1" si="46"/>
        <v>141.41999999999999</v>
      </c>
      <c r="N1370" s="16">
        <f t="shared" ca="1" si="47"/>
        <v>135.41999999999999</v>
      </c>
    </row>
    <row r="1371" spans="1:14" ht="24.75" customHeight="1" x14ac:dyDescent="0.8">
      <c r="A1371" s="18" t="s">
        <v>1334</v>
      </c>
      <c r="B1371" s="10">
        <f ca="1">IFERROR(__xludf.DUMMYFUNCTION("GOOGLEFINANCE(A1371,""PRICE"")"),28.29)</f>
        <v>28.29</v>
      </c>
      <c r="C1371" s="11">
        <f ca="1">IFERROR(__xludf.DUMMYFUNCTION("GOOGLEFINANCE(A1371,""PRICEOPEN"")"),26.95)</f>
        <v>26.95</v>
      </c>
      <c r="D1371" s="11">
        <f ca="1">IFERROR(__xludf.DUMMYFUNCTION("GOOGLEFINANCE(A1371,""HIGH"")"),28.29)</f>
        <v>28.29</v>
      </c>
      <c r="E1371" s="11">
        <f ca="1">IFERROR(__xludf.DUMMYFUNCTION("GOOGLEFINANCE(A1371,""LOW"")"),26.95)</f>
        <v>26.95</v>
      </c>
      <c r="F1371" s="12" t="str">
        <f t="shared" ca="1" si="42"/>
        <v>BUY</v>
      </c>
      <c r="G1371" s="13">
        <f ca="1">IFERROR(__xludf.DUMMYFUNCTION("GOOGLEFINANCE(A1371,""CLOSEYEST"")"),26.95)</f>
        <v>26.95</v>
      </c>
      <c r="H1371" s="14" t="str">
        <f t="shared" ca="1" si="48"/>
        <v/>
      </c>
      <c r="I1371" s="15">
        <f t="shared" ca="1" si="43"/>
        <v>27.396666666666665</v>
      </c>
      <c r="J1371" s="16">
        <f t="shared" ca="1" si="44"/>
        <v>27.84333333333333</v>
      </c>
      <c r="K1371" s="16"/>
      <c r="L1371" s="16">
        <f t="shared" ca="1" si="45"/>
        <v>26.50333333333333</v>
      </c>
      <c r="M1371" s="16">
        <f t="shared" ca="1" si="46"/>
        <v>28.736666666666665</v>
      </c>
      <c r="N1371" s="16">
        <f t="shared" ca="1" si="47"/>
        <v>26.056666666666665</v>
      </c>
    </row>
    <row r="1372" spans="1:14" ht="24.75" customHeight="1" x14ac:dyDescent="0.8">
      <c r="A1372" s="18" t="s">
        <v>1335</v>
      </c>
      <c r="B1372" s="10">
        <f ca="1">IFERROR(__xludf.DUMMYFUNCTION("GOOGLEFINANCE(A1372,""PRICE"")"),0.57)</f>
        <v>0.56999999999999995</v>
      </c>
      <c r="C1372" s="11">
        <f ca="1">IFERROR(__xludf.DUMMYFUNCTION("GOOGLEFINANCE(A1372,""PRICEOPEN"")"),0.55)</f>
        <v>0.55000000000000004</v>
      </c>
      <c r="D1372" s="11">
        <f ca="1">IFERROR(__xludf.DUMMYFUNCTION("GOOGLEFINANCE(A1372,""HIGH"")"),0.57)</f>
        <v>0.56999999999999995</v>
      </c>
      <c r="E1372" s="11">
        <f ca="1">IFERROR(__xludf.DUMMYFUNCTION("GOOGLEFINANCE(A1372,""LOW"")"),0.55)</f>
        <v>0.55000000000000004</v>
      </c>
      <c r="F1372" s="12" t="str">
        <f t="shared" ca="1" si="42"/>
        <v>BUY</v>
      </c>
      <c r="G1372" s="13">
        <f ca="1">IFERROR(__xludf.DUMMYFUNCTION("GOOGLEFINANCE(A1372,""CLOSEYEST"")"),0.55)</f>
        <v>0.55000000000000004</v>
      </c>
      <c r="H1372" s="14" t="str">
        <f t="shared" ca="1" si="48"/>
        <v/>
      </c>
      <c r="I1372" s="15">
        <f t="shared" ca="1" si="43"/>
        <v>0.55666666666666675</v>
      </c>
      <c r="J1372" s="16">
        <f t="shared" ca="1" si="44"/>
        <v>0.56333333333333346</v>
      </c>
      <c r="K1372" s="16"/>
      <c r="L1372" s="16">
        <f t="shared" ca="1" si="45"/>
        <v>0.54333333333333356</v>
      </c>
      <c r="M1372" s="16">
        <f t="shared" ca="1" si="46"/>
        <v>0.57666666666666666</v>
      </c>
      <c r="N1372" s="16">
        <f t="shared" ca="1" si="47"/>
        <v>0.53666666666666685</v>
      </c>
    </row>
    <row r="1373" spans="1:14" ht="24.75" customHeight="1" x14ac:dyDescent="0.8">
      <c r="A1373" s="18" t="s">
        <v>1336</v>
      </c>
      <c r="B1373" s="10">
        <f ca="1">IFERROR(__xludf.DUMMYFUNCTION("GOOGLEFINANCE(A1373,""PRICE"")"),252.5)</f>
        <v>252.5</v>
      </c>
      <c r="C1373" s="11">
        <f ca="1">IFERROR(__xludf.DUMMYFUNCTION("GOOGLEFINANCE(A1373,""PRICEOPEN"")"),253)</f>
        <v>253</v>
      </c>
      <c r="D1373" s="11">
        <f ca="1">IFERROR(__xludf.DUMMYFUNCTION("GOOGLEFINANCE(A1373,""HIGH"")"),257)</f>
        <v>257</v>
      </c>
      <c r="E1373" s="11">
        <f ca="1">IFERROR(__xludf.DUMMYFUNCTION("GOOGLEFINANCE(A1373,""LOW"")"),249)</f>
        <v>249</v>
      </c>
      <c r="F1373" s="12" t="str">
        <f t="shared" ca="1" si="42"/>
        <v/>
      </c>
      <c r="G1373" s="13">
        <f ca="1">IFERROR(__xludf.DUMMYFUNCTION("GOOGLEFINANCE(A1373,""CLOSEYEST"")"),249.45)</f>
        <v>249.45</v>
      </c>
      <c r="H1373" s="14" t="str">
        <f t="shared" ca="1" si="48"/>
        <v>GAP UP</v>
      </c>
      <c r="I1373" s="15">
        <f t="shared" ca="1" si="43"/>
        <v>251.81666666666669</v>
      </c>
      <c r="J1373" s="16">
        <f t="shared" ca="1" si="44"/>
        <v>254.63333333333338</v>
      </c>
      <c r="K1373" s="16"/>
      <c r="L1373" s="16">
        <f t="shared" ca="1" si="45"/>
        <v>246.63333333333338</v>
      </c>
      <c r="M1373" s="16">
        <f t="shared" ca="1" si="46"/>
        <v>259.81666666666672</v>
      </c>
      <c r="N1373" s="16">
        <f t="shared" ca="1" si="47"/>
        <v>243.81666666666669</v>
      </c>
    </row>
    <row r="1374" spans="1:14" ht="24.75" customHeight="1" x14ac:dyDescent="0.8">
      <c r="A1374" s="18" t="s">
        <v>1337</v>
      </c>
      <c r="B1374" s="10">
        <f ca="1">IFERROR(__xludf.DUMMYFUNCTION("GOOGLEFINANCE(A1374,""PRICE"")"),57.98)</f>
        <v>57.98</v>
      </c>
      <c r="C1374" s="11">
        <f ca="1">IFERROR(__xludf.DUMMYFUNCTION("GOOGLEFINANCE(A1374,""PRICEOPEN"")"),58.2)</f>
        <v>58.2</v>
      </c>
      <c r="D1374" s="11">
        <f ca="1">IFERROR(__xludf.DUMMYFUNCTION("GOOGLEFINANCE(A1374,""HIGH"")"),58.22)</f>
        <v>58.22</v>
      </c>
      <c r="E1374" s="11">
        <f ca="1">IFERROR(__xludf.DUMMYFUNCTION("GOOGLEFINANCE(A1374,""LOW"")"),56.36)</f>
        <v>56.36</v>
      </c>
      <c r="F1374" s="12" t="str">
        <f t="shared" ca="1" si="42"/>
        <v/>
      </c>
      <c r="G1374" s="13">
        <f ca="1">IFERROR(__xludf.DUMMYFUNCTION("GOOGLEFINANCE(A1374,""CLOSEYEST"")"),57.3)</f>
        <v>57.3</v>
      </c>
      <c r="H1374" s="14" t="str">
        <f t="shared" ca="1" si="48"/>
        <v>GAP UP</v>
      </c>
      <c r="I1374" s="15">
        <f t="shared" ca="1" si="43"/>
        <v>57.293333333333329</v>
      </c>
      <c r="J1374" s="16">
        <f t="shared" ca="1" si="44"/>
        <v>58.226666666666659</v>
      </c>
      <c r="K1374" s="16"/>
      <c r="L1374" s="16">
        <f t="shared" ca="1" si="45"/>
        <v>56.36666666666666</v>
      </c>
      <c r="M1374" s="16">
        <f t="shared" ca="1" si="46"/>
        <v>59.153333333333329</v>
      </c>
      <c r="N1374" s="16">
        <f t="shared" ca="1" si="47"/>
        <v>55.43333333333333</v>
      </c>
    </row>
    <row r="1375" spans="1:14" ht="24.75" customHeight="1" x14ac:dyDescent="0.8">
      <c r="A1375" s="18" t="s">
        <v>1338</v>
      </c>
      <c r="B1375" s="10">
        <f ca="1">IFERROR(__xludf.DUMMYFUNCTION("GOOGLEFINANCE(A1375,""PRICE"")"),41.74)</f>
        <v>41.74</v>
      </c>
      <c r="C1375" s="11">
        <f ca="1">IFERROR(__xludf.DUMMYFUNCTION("GOOGLEFINANCE(A1375,""PRICEOPEN"")"),41.55)</f>
        <v>41.55</v>
      </c>
      <c r="D1375" s="11">
        <f ca="1">IFERROR(__xludf.DUMMYFUNCTION("GOOGLEFINANCE(A1375,""HIGH"")"),42.76)</f>
        <v>42.76</v>
      </c>
      <c r="E1375" s="11">
        <f ca="1">IFERROR(__xludf.DUMMYFUNCTION("GOOGLEFINANCE(A1375,""LOW"")"),41.1)</f>
        <v>41.1</v>
      </c>
      <c r="F1375" s="12" t="str">
        <f t="shared" ca="1" si="42"/>
        <v/>
      </c>
      <c r="G1375" s="13">
        <f ca="1">IFERROR(__xludf.DUMMYFUNCTION("GOOGLEFINANCE(A1375,""CLOSEYEST"")"),41.55)</f>
        <v>41.55</v>
      </c>
      <c r="H1375" s="14" t="str">
        <f t="shared" ca="1" si="48"/>
        <v/>
      </c>
      <c r="I1375" s="15">
        <f t="shared" ca="1" si="43"/>
        <v>41.803333333333335</v>
      </c>
      <c r="J1375" s="16">
        <f t="shared" ca="1" si="44"/>
        <v>42.506666666666668</v>
      </c>
      <c r="K1375" s="16"/>
      <c r="L1375" s="16">
        <f t="shared" ca="1" si="45"/>
        <v>40.846666666666671</v>
      </c>
      <c r="M1375" s="16">
        <f t="shared" ca="1" si="46"/>
        <v>43.463333333333331</v>
      </c>
      <c r="N1375" s="16">
        <f t="shared" ca="1" si="47"/>
        <v>40.143333333333338</v>
      </c>
    </row>
    <row r="1376" spans="1:14" ht="24.75" customHeight="1" x14ac:dyDescent="0.8">
      <c r="A1376" s="18" t="s">
        <v>1339</v>
      </c>
      <c r="B1376" s="10">
        <f ca="1">IFERROR(__xludf.DUMMYFUNCTION("GOOGLEFINANCE(A1376,""PRICE"")"),1.38)</f>
        <v>1.38</v>
      </c>
      <c r="C1376" s="11">
        <f ca="1">IFERROR(__xludf.DUMMYFUNCTION("GOOGLEFINANCE(A1376,""PRICEOPEN"")"),1.37)</f>
        <v>1.37</v>
      </c>
      <c r="D1376" s="11">
        <f ca="1">IFERROR(__xludf.DUMMYFUNCTION("GOOGLEFINANCE(A1376,""HIGH"")"),1.38)</f>
        <v>1.38</v>
      </c>
      <c r="E1376" s="11">
        <f ca="1">IFERROR(__xludf.DUMMYFUNCTION("GOOGLEFINANCE(A1376,""LOW"")"),1.33)</f>
        <v>1.33</v>
      </c>
      <c r="F1376" s="12" t="str">
        <f t="shared" ca="1" si="42"/>
        <v/>
      </c>
      <c r="G1376" s="13">
        <f ca="1">IFERROR(__xludf.DUMMYFUNCTION("GOOGLEFINANCE(A1376,""CLOSEYEST"")"),1.36)</f>
        <v>1.36</v>
      </c>
      <c r="H1376" s="14" t="str">
        <f t="shared" ca="1" si="48"/>
        <v/>
      </c>
      <c r="I1376" s="15">
        <f t="shared" ca="1" si="43"/>
        <v>1.3566666666666667</v>
      </c>
      <c r="J1376" s="16">
        <f t="shared" ca="1" si="44"/>
        <v>1.3833333333333333</v>
      </c>
      <c r="K1376" s="16"/>
      <c r="L1376" s="16">
        <f t="shared" ca="1" si="45"/>
        <v>1.3333333333333335</v>
      </c>
      <c r="M1376" s="16">
        <f t="shared" ca="1" si="46"/>
        <v>1.4066666666666665</v>
      </c>
      <c r="N1376" s="16">
        <f t="shared" ca="1" si="47"/>
        <v>1.3066666666666669</v>
      </c>
    </row>
    <row r="1377" spans="1:14" ht="24.75" customHeight="1" x14ac:dyDescent="0.8">
      <c r="A1377" s="18" t="s">
        <v>1340</v>
      </c>
      <c r="B1377" s="10">
        <f ca="1">IFERROR(__xludf.DUMMYFUNCTION("GOOGLEFINANCE(A1377,""PRICE"")"),4)</f>
        <v>4</v>
      </c>
      <c r="C1377" s="11">
        <f ca="1">IFERROR(__xludf.DUMMYFUNCTION("GOOGLEFINANCE(A1377,""PRICEOPEN"")"),4.13)</f>
        <v>4.13</v>
      </c>
      <c r="D1377" s="11">
        <f ca="1">IFERROR(__xludf.DUMMYFUNCTION("GOOGLEFINANCE(A1377,""HIGH"")"),4.13)</f>
        <v>4.13</v>
      </c>
      <c r="E1377" s="11">
        <f ca="1">IFERROR(__xludf.DUMMYFUNCTION("GOOGLEFINANCE(A1377,""LOW"")"),4)</f>
        <v>4</v>
      </c>
      <c r="F1377" s="12" t="str">
        <f t="shared" ca="1" si="42"/>
        <v>SELL</v>
      </c>
      <c r="G1377" s="13">
        <f ca="1">IFERROR(__xludf.DUMMYFUNCTION("GOOGLEFINANCE(A1377,""CLOSEYEST"")"),4.13)</f>
        <v>4.13</v>
      </c>
      <c r="H1377" s="14" t="str">
        <f t="shared" ca="1" si="48"/>
        <v/>
      </c>
      <c r="I1377" s="15">
        <f t="shared" ca="1" si="43"/>
        <v>4.086666666666666</v>
      </c>
      <c r="J1377" s="16">
        <f t="shared" ca="1" si="44"/>
        <v>4.173333333333332</v>
      </c>
      <c r="K1377" s="16"/>
      <c r="L1377" s="16">
        <f t="shared" ca="1" si="45"/>
        <v>4.0433333333333321</v>
      </c>
      <c r="M1377" s="16">
        <f t="shared" ca="1" si="46"/>
        <v>4.2166666666666659</v>
      </c>
      <c r="N1377" s="16">
        <f t="shared" ca="1" si="47"/>
        <v>3.9566666666666661</v>
      </c>
    </row>
    <row r="1378" spans="1:14" ht="24.75" customHeight="1" x14ac:dyDescent="0.8">
      <c r="A1378" s="18" t="s">
        <v>1341</v>
      </c>
      <c r="B1378" s="10">
        <f ca="1">IFERROR(__xludf.DUMMYFUNCTION("GOOGLEFINANCE(A1378,""PRICE"")"),10.38)</f>
        <v>10.38</v>
      </c>
      <c r="C1378" s="11">
        <f ca="1">IFERROR(__xludf.DUMMYFUNCTION("GOOGLEFINANCE(A1378,""PRICEOPEN"")"),10.6)</f>
        <v>10.6</v>
      </c>
      <c r="D1378" s="11">
        <f ca="1">IFERROR(__xludf.DUMMYFUNCTION("GOOGLEFINANCE(A1378,""HIGH"")"),10.6)</f>
        <v>10.6</v>
      </c>
      <c r="E1378" s="11">
        <f ca="1">IFERROR(__xludf.DUMMYFUNCTION("GOOGLEFINANCE(A1378,""LOW"")"),10.3)</f>
        <v>10.3</v>
      </c>
      <c r="F1378" s="12" t="str">
        <f t="shared" ca="1" si="42"/>
        <v>SELL</v>
      </c>
      <c r="G1378" s="13">
        <f ca="1">IFERROR(__xludf.DUMMYFUNCTION("GOOGLEFINANCE(A1378,""CLOSEYEST"")"),10.4)</f>
        <v>10.4</v>
      </c>
      <c r="H1378" s="14" t="str">
        <f t="shared" ca="1" si="48"/>
        <v>GAP UP</v>
      </c>
      <c r="I1378" s="15">
        <f t="shared" ca="1" si="43"/>
        <v>10.433333333333332</v>
      </c>
      <c r="J1378" s="16">
        <f t="shared" ca="1" si="44"/>
        <v>10.566666666666663</v>
      </c>
      <c r="K1378" s="16"/>
      <c r="L1378" s="16">
        <f t="shared" ca="1" si="45"/>
        <v>10.266666666666664</v>
      </c>
      <c r="M1378" s="16">
        <f t="shared" ca="1" si="46"/>
        <v>10.733333333333331</v>
      </c>
      <c r="N1378" s="16">
        <f t="shared" ca="1" si="47"/>
        <v>10.133333333333333</v>
      </c>
    </row>
    <row r="1379" spans="1:14" ht="24.75" customHeight="1" x14ac:dyDescent="0.8">
      <c r="A1379" s="18" t="s">
        <v>1342</v>
      </c>
      <c r="B1379" s="10">
        <f ca="1">IFERROR(__xludf.DUMMYFUNCTION("GOOGLEFINANCE(A1379,""PRICE"")"),613.5)</f>
        <v>613.5</v>
      </c>
      <c r="C1379" s="11">
        <f ca="1">IFERROR(__xludf.DUMMYFUNCTION("GOOGLEFINANCE(A1379,""PRICEOPEN"")"),620.75)</f>
        <v>620.75</v>
      </c>
      <c r="D1379" s="11">
        <f ca="1">IFERROR(__xludf.DUMMYFUNCTION("GOOGLEFINANCE(A1379,""HIGH"")"),626.75)</f>
        <v>626.75</v>
      </c>
      <c r="E1379" s="11">
        <f ca="1">IFERROR(__xludf.DUMMYFUNCTION("GOOGLEFINANCE(A1379,""LOW"")"),611)</f>
        <v>611</v>
      </c>
      <c r="F1379" s="12" t="str">
        <f t="shared" ca="1" si="42"/>
        <v/>
      </c>
      <c r="G1379" s="13">
        <f ca="1">IFERROR(__xludf.DUMMYFUNCTION("GOOGLEFINANCE(A1379,""CLOSEYEST"")"),622.25)</f>
        <v>622.25</v>
      </c>
      <c r="H1379" s="14" t="str">
        <f t="shared" ca="1" si="48"/>
        <v/>
      </c>
      <c r="I1379" s="15">
        <f t="shared" ca="1" si="43"/>
        <v>620</v>
      </c>
      <c r="J1379" s="16">
        <f t="shared" ca="1" si="44"/>
        <v>629</v>
      </c>
      <c r="K1379" s="16"/>
      <c r="L1379" s="16">
        <f t="shared" ca="1" si="45"/>
        <v>613.25</v>
      </c>
      <c r="M1379" s="16">
        <f t="shared" ca="1" si="46"/>
        <v>635.75</v>
      </c>
      <c r="N1379" s="16">
        <f t="shared" ca="1" si="47"/>
        <v>604.25</v>
      </c>
    </row>
    <row r="1380" spans="1:14" ht="24.75" customHeight="1" x14ac:dyDescent="0.8">
      <c r="A1380" s="18" t="s">
        <v>1343</v>
      </c>
      <c r="B1380" s="10">
        <f ca="1">IFERROR(__xludf.DUMMYFUNCTION("GOOGLEFINANCE(A1380,""PRICE"")"),76)</f>
        <v>76</v>
      </c>
      <c r="C1380" s="11">
        <f ca="1">IFERROR(__xludf.DUMMYFUNCTION("GOOGLEFINANCE(A1380,""PRICEOPEN"")"),75.4)</f>
        <v>75.400000000000006</v>
      </c>
      <c r="D1380" s="11">
        <f ca="1">IFERROR(__xludf.DUMMYFUNCTION("GOOGLEFINANCE(A1380,""HIGH"")"),76.35)</f>
        <v>76.349999999999994</v>
      </c>
      <c r="E1380" s="11">
        <f ca="1">IFERROR(__xludf.DUMMYFUNCTION("GOOGLEFINANCE(A1380,""LOW"")"),73.62)</f>
        <v>73.62</v>
      </c>
      <c r="F1380" s="12" t="str">
        <f t="shared" ca="1" si="42"/>
        <v/>
      </c>
      <c r="G1380" s="13">
        <f ca="1">IFERROR(__xludf.DUMMYFUNCTION("GOOGLEFINANCE(A1380,""CLOSEYEST"")"),74.28)</f>
        <v>74.28</v>
      </c>
      <c r="H1380" s="14" t="str">
        <f t="shared" ca="1" si="48"/>
        <v>GAP UP</v>
      </c>
      <c r="I1380" s="15">
        <f t="shared" ca="1" si="43"/>
        <v>74.75</v>
      </c>
      <c r="J1380" s="16">
        <f t="shared" ca="1" si="44"/>
        <v>75.88</v>
      </c>
      <c r="K1380" s="16"/>
      <c r="L1380" s="16">
        <f t="shared" ca="1" si="45"/>
        <v>73.150000000000006</v>
      </c>
      <c r="M1380" s="16">
        <f t="shared" ca="1" si="46"/>
        <v>77.47999999999999</v>
      </c>
      <c r="N1380" s="16">
        <f t="shared" ca="1" si="47"/>
        <v>72.02000000000001</v>
      </c>
    </row>
    <row r="1381" spans="1:14" ht="24.75" customHeight="1" x14ac:dyDescent="0.8">
      <c r="A1381" s="18" t="s">
        <v>1344</v>
      </c>
      <c r="B1381" s="10" t="str">
        <f ca="1">IFERROR(__xludf.DUMMYFUNCTION("GOOGLEFINANCE(A1381,""PRICE"")"),"#N/A")</f>
        <v>#N/A</v>
      </c>
      <c r="C1381" s="11" t="str">
        <f ca="1">IFERROR(__xludf.DUMMYFUNCTION("GOOGLEFINANCE(A1381,""PRICEOPEN"")"),"#N/A")</f>
        <v>#N/A</v>
      </c>
      <c r="D1381" s="11" t="str">
        <f ca="1">IFERROR(__xludf.DUMMYFUNCTION("GOOGLEFINANCE(A1381,""HIGH"")"),"#N/A")</f>
        <v>#N/A</v>
      </c>
      <c r="E1381" s="11" t="str">
        <f ca="1">IFERROR(__xludf.DUMMYFUNCTION("GOOGLEFINANCE(A1381,""LOW"")"),"#N/A")</f>
        <v>#N/A</v>
      </c>
      <c r="F1381" s="12" t="str">
        <f t="shared" ca="1" si="42"/>
        <v>SELL</v>
      </c>
      <c r="G1381" s="13" t="str">
        <f ca="1">IFERROR(__xludf.DUMMYFUNCTION("GOOGLEFINANCE(A1381,""CLOSEYEST"")"),"#N/A")</f>
        <v>#N/A</v>
      </c>
      <c r="H1381" s="14" t="e">
        <f t="shared" ca="1" si="48"/>
        <v>#VALUE!</v>
      </c>
      <c r="I1381" s="15" t="e">
        <f t="shared" ca="1" si="43"/>
        <v>#VALUE!</v>
      </c>
      <c r="J1381" s="16" t="e">
        <f t="shared" ca="1" si="44"/>
        <v>#VALUE!</v>
      </c>
      <c r="K1381" s="16"/>
      <c r="L1381" s="16" t="e">
        <f t="shared" ca="1" si="45"/>
        <v>#VALUE!</v>
      </c>
      <c r="M1381" s="16" t="e">
        <f t="shared" ca="1" si="46"/>
        <v>#VALUE!</v>
      </c>
      <c r="N1381" s="16" t="e">
        <f t="shared" ca="1" si="47"/>
        <v>#VALUE!</v>
      </c>
    </row>
    <row r="1382" spans="1:14" ht="24.75" customHeight="1" x14ac:dyDescent="0.8">
      <c r="A1382" s="18" t="s">
        <v>1345</v>
      </c>
      <c r="B1382" s="10">
        <f ca="1">IFERROR(__xludf.DUMMYFUNCTION("GOOGLEFINANCE(A1382,""PRICE"")"),55.1)</f>
        <v>55.1</v>
      </c>
      <c r="C1382" s="11">
        <f ca="1">IFERROR(__xludf.DUMMYFUNCTION("GOOGLEFINANCE(A1382,""PRICEOPEN"")"),55.49)</f>
        <v>55.49</v>
      </c>
      <c r="D1382" s="11">
        <f ca="1">IFERROR(__xludf.DUMMYFUNCTION("GOOGLEFINANCE(A1382,""HIGH"")"),56.45)</f>
        <v>56.45</v>
      </c>
      <c r="E1382" s="11">
        <f ca="1">IFERROR(__xludf.DUMMYFUNCTION("GOOGLEFINANCE(A1382,""LOW"")"),54.62)</f>
        <v>54.62</v>
      </c>
      <c r="F1382" s="12" t="str">
        <f t="shared" ca="1" si="42"/>
        <v/>
      </c>
      <c r="G1382" s="13">
        <f ca="1">IFERROR(__xludf.DUMMYFUNCTION("GOOGLEFINANCE(A1382,""CLOSEYEST"")"),55.49)</f>
        <v>55.49</v>
      </c>
      <c r="H1382" s="14" t="str">
        <f t="shared" ca="1" si="48"/>
        <v/>
      </c>
      <c r="I1382" s="15">
        <f t="shared" ca="1" si="43"/>
        <v>55.52</v>
      </c>
      <c r="J1382" s="16">
        <f t="shared" ca="1" si="44"/>
        <v>56.420000000000009</v>
      </c>
      <c r="K1382" s="16"/>
      <c r="L1382" s="16">
        <f t="shared" ca="1" si="45"/>
        <v>54.59</v>
      </c>
      <c r="M1382" s="16">
        <f t="shared" ca="1" si="46"/>
        <v>57.350000000000009</v>
      </c>
      <c r="N1382" s="16">
        <f t="shared" ca="1" si="47"/>
        <v>53.69</v>
      </c>
    </row>
    <row r="1383" spans="1:14" ht="24.75" customHeight="1" x14ac:dyDescent="0.8">
      <c r="A1383" s="18" t="s">
        <v>1346</v>
      </c>
      <c r="B1383" s="10">
        <f ca="1">IFERROR(__xludf.DUMMYFUNCTION("GOOGLEFINANCE(A1383,""PRICE"")"),9.59)</f>
        <v>9.59</v>
      </c>
      <c r="C1383" s="11">
        <f ca="1">IFERROR(__xludf.DUMMYFUNCTION("GOOGLEFINANCE(A1383,""PRICEOPEN"")"),9.5)</f>
        <v>9.5</v>
      </c>
      <c r="D1383" s="11">
        <f ca="1">IFERROR(__xludf.DUMMYFUNCTION("GOOGLEFINANCE(A1383,""HIGH"")"),9.68)</f>
        <v>9.68</v>
      </c>
      <c r="E1383" s="11">
        <f ca="1">IFERROR(__xludf.DUMMYFUNCTION("GOOGLEFINANCE(A1383,""LOW"")"),9.13)</f>
        <v>9.1300000000000008</v>
      </c>
      <c r="F1383" s="12" t="str">
        <f t="shared" ca="1" si="42"/>
        <v/>
      </c>
      <c r="G1383" s="13">
        <f ca="1">IFERROR(__xludf.DUMMYFUNCTION("GOOGLEFINANCE(A1383,""CLOSEYEST"")"),9.57)</f>
        <v>9.57</v>
      </c>
      <c r="H1383" s="14" t="str">
        <f t="shared" ca="1" si="48"/>
        <v/>
      </c>
      <c r="I1383" s="15">
        <f t="shared" ca="1" si="43"/>
        <v>9.4600000000000009</v>
      </c>
      <c r="J1383" s="16">
        <f t="shared" ca="1" si="44"/>
        <v>9.7900000000000009</v>
      </c>
      <c r="K1383" s="16"/>
      <c r="L1383" s="16">
        <f t="shared" ca="1" si="45"/>
        <v>9.240000000000002</v>
      </c>
      <c r="M1383" s="16">
        <f t="shared" ca="1" si="46"/>
        <v>10.01</v>
      </c>
      <c r="N1383" s="16">
        <f t="shared" ca="1" si="47"/>
        <v>8.9100000000000019</v>
      </c>
    </row>
    <row r="1384" spans="1:14" ht="24.75" customHeight="1" x14ac:dyDescent="0.8">
      <c r="A1384" s="18" t="s">
        <v>1347</v>
      </c>
      <c r="B1384" s="10" t="str">
        <f ca="1">IFERROR(__xludf.DUMMYFUNCTION("GOOGLEFINANCE(A1384,""PRICE"")"),"#N/A")</f>
        <v>#N/A</v>
      </c>
      <c r="C1384" s="11" t="str">
        <f ca="1">IFERROR(__xludf.DUMMYFUNCTION("GOOGLEFINANCE(A1384,""PRICEOPEN"")"),"#N/A")</f>
        <v>#N/A</v>
      </c>
      <c r="D1384" s="11" t="str">
        <f ca="1">IFERROR(__xludf.DUMMYFUNCTION("GOOGLEFINANCE(A1384,""HIGH"")"),"#N/A")</f>
        <v>#N/A</v>
      </c>
      <c r="E1384" s="11" t="str">
        <f ca="1">IFERROR(__xludf.DUMMYFUNCTION("GOOGLEFINANCE(A1384,""LOW"")"),"#N/A")</f>
        <v>#N/A</v>
      </c>
      <c r="F1384" s="12" t="str">
        <f t="shared" ca="1" si="42"/>
        <v>SELL</v>
      </c>
      <c r="G1384" s="13" t="str">
        <f ca="1">IFERROR(__xludf.DUMMYFUNCTION("GOOGLEFINANCE(A1384,""CLOSEYEST"")"),"#N/A")</f>
        <v>#N/A</v>
      </c>
      <c r="H1384" s="14" t="e">
        <f t="shared" ca="1" si="48"/>
        <v>#VALUE!</v>
      </c>
      <c r="I1384" s="15" t="e">
        <f t="shared" ca="1" si="43"/>
        <v>#VALUE!</v>
      </c>
      <c r="J1384" s="16" t="e">
        <f t="shared" ca="1" si="44"/>
        <v>#VALUE!</v>
      </c>
      <c r="K1384" s="16"/>
      <c r="L1384" s="16" t="e">
        <f t="shared" ca="1" si="45"/>
        <v>#VALUE!</v>
      </c>
      <c r="M1384" s="16" t="e">
        <f t="shared" ca="1" si="46"/>
        <v>#VALUE!</v>
      </c>
      <c r="N1384" s="16" t="e">
        <f t="shared" ca="1" si="47"/>
        <v>#VALUE!</v>
      </c>
    </row>
    <row r="1385" spans="1:14" ht="24.75" customHeight="1" x14ac:dyDescent="0.8">
      <c r="A1385" s="18" t="s">
        <v>1348</v>
      </c>
      <c r="B1385" s="10">
        <f ca="1">IFERROR(__xludf.DUMMYFUNCTION("GOOGLEFINANCE(A1385,""PRICE"")"),283.7)</f>
        <v>283.7</v>
      </c>
      <c r="C1385" s="11">
        <f ca="1">IFERROR(__xludf.DUMMYFUNCTION("GOOGLEFINANCE(A1385,""PRICEOPEN"")"),285.35)</f>
        <v>285.35000000000002</v>
      </c>
      <c r="D1385" s="11">
        <f ca="1">IFERROR(__xludf.DUMMYFUNCTION("GOOGLEFINANCE(A1385,""HIGH"")"),286.9)</f>
        <v>286.89999999999998</v>
      </c>
      <c r="E1385" s="11">
        <f ca="1">IFERROR(__xludf.DUMMYFUNCTION("GOOGLEFINANCE(A1385,""LOW"")"),281.35)</f>
        <v>281.35000000000002</v>
      </c>
      <c r="F1385" s="12" t="str">
        <f t="shared" ca="1" si="42"/>
        <v/>
      </c>
      <c r="G1385" s="13">
        <f ca="1">IFERROR(__xludf.DUMMYFUNCTION("GOOGLEFINANCE(A1385,""CLOSEYEST"")"),282.85)</f>
        <v>282.85000000000002</v>
      </c>
      <c r="H1385" s="14" t="str">
        <f t="shared" ca="1" si="48"/>
        <v/>
      </c>
      <c r="I1385" s="15">
        <f t="shared" ca="1" si="43"/>
        <v>283.7</v>
      </c>
      <c r="J1385" s="16">
        <f t="shared" ca="1" si="44"/>
        <v>286.04999999999995</v>
      </c>
      <c r="K1385" s="16"/>
      <c r="L1385" s="16">
        <f t="shared" ca="1" si="45"/>
        <v>280.5</v>
      </c>
      <c r="M1385" s="16">
        <f t="shared" ca="1" si="46"/>
        <v>289.24999999999994</v>
      </c>
      <c r="N1385" s="16">
        <f t="shared" ca="1" si="47"/>
        <v>278.15000000000003</v>
      </c>
    </row>
    <row r="1386" spans="1:14" ht="24.75" customHeight="1" x14ac:dyDescent="0.8">
      <c r="A1386" s="18" t="s">
        <v>1349</v>
      </c>
      <c r="B1386" s="10">
        <f ca="1">IFERROR(__xludf.DUMMYFUNCTION("GOOGLEFINANCE(A1386,""PRICE"")"),850)</f>
        <v>850</v>
      </c>
      <c r="C1386" s="11">
        <f ca="1">IFERROR(__xludf.DUMMYFUNCTION("GOOGLEFINANCE(A1386,""PRICEOPEN"")"),846.85)</f>
        <v>846.85</v>
      </c>
      <c r="D1386" s="11">
        <f ca="1">IFERROR(__xludf.DUMMYFUNCTION("GOOGLEFINANCE(A1386,""HIGH"")"),852.8)</f>
        <v>852.8</v>
      </c>
      <c r="E1386" s="11">
        <f ca="1">IFERROR(__xludf.DUMMYFUNCTION("GOOGLEFINANCE(A1386,""LOW"")"),836.1)</f>
        <v>836.1</v>
      </c>
      <c r="F1386" s="12" t="str">
        <f t="shared" ca="1" si="42"/>
        <v/>
      </c>
      <c r="G1386" s="13">
        <f ca="1">IFERROR(__xludf.DUMMYFUNCTION("GOOGLEFINANCE(A1386,""CLOSEYEST"")"),846.85)</f>
        <v>846.85</v>
      </c>
      <c r="H1386" s="14" t="str">
        <f t="shared" ca="1" si="48"/>
        <v/>
      </c>
      <c r="I1386" s="15">
        <f t="shared" ca="1" si="43"/>
        <v>845.25</v>
      </c>
      <c r="J1386" s="16">
        <f t="shared" ca="1" si="44"/>
        <v>854.4</v>
      </c>
      <c r="K1386" s="16"/>
      <c r="L1386" s="16">
        <f t="shared" ca="1" si="45"/>
        <v>837.7</v>
      </c>
      <c r="M1386" s="16">
        <f t="shared" ca="1" si="46"/>
        <v>861.94999999999993</v>
      </c>
      <c r="N1386" s="16">
        <f t="shared" ca="1" si="47"/>
        <v>828.55000000000007</v>
      </c>
    </row>
    <row r="1387" spans="1:14" ht="24.75" customHeight="1" x14ac:dyDescent="0.8">
      <c r="A1387" s="18" t="s">
        <v>1350</v>
      </c>
      <c r="B1387" s="10">
        <f ca="1">IFERROR(__xludf.DUMMYFUNCTION("GOOGLEFINANCE(A1387,""PRICE"")"),252)</f>
        <v>252</v>
      </c>
      <c r="C1387" s="11">
        <f ca="1">IFERROR(__xludf.DUMMYFUNCTION("GOOGLEFINANCE(A1387,""PRICEOPEN"")"),255)</f>
        <v>255</v>
      </c>
      <c r="D1387" s="11">
        <f ca="1">IFERROR(__xludf.DUMMYFUNCTION("GOOGLEFINANCE(A1387,""HIGH"")"),257.48)</f>
        <v>257.48</v>
      </c>
      <c r="E1387" s="11">
        <f ca="1">IFERROR(__xludf.DUMMYFUNCTION("GOOGLEFINANCE(A1387,""LOW"")"),247)</f>
        <v>247</v>
      </c>
      <c r="F1387" s="12" t="str">
        <f t="shared" ca="1" si="42"/>
        <v/>
      </c>
      <c r="G1387" s="13">
        <f ca="1">IFERROR(__xludf.DUMMYFUNCTION("GOOGLEFINANCE(A1387,""CLOSEYEST"")"),250.63)</f>
        <v>250.63</v>
      </c>
      <c r="H1387" s="14" t="str">
        <f t="shared" ca="1" si="48"/>
        <v>GAP UP</v>
      </c>
      <c r="I1387" s="15">
        <f t="shared" ca="1" si="43"/>
        <v>251.70333333333335</v>
      </c>
      <c r="J1387" s="16">
        <f t="shared" ca="1" si="44"/>
        <v>256.40666666666669</v>
      </c>
      <c r="K1387" s="16"/>
      <c r="L1387" s="16">
        <f t="shared" ca="1" si="45"/>
        <v>245.92666666666668</v>
      </c>
      <c r="M1387" s="16">
        <f t="shared" ca="1" si="46"/>
        <v>262.18333333333339</v>
      </c>
      <c r="N1387" s="16">
        <f t="shared" ca="1" si="47"/>
        <v>241.22333333333333</v>
      </c>
    </row>
    <row r="1388" spans="1:14" ht="24.75" customHeight="1" x14ac:dyDescent="0.8">
      <c r="A1388" s="18" t="s">
        <v>1351</v>
      </c>
      <c r="B1388" s="10">
        <f ca="1">IFERROR(__xludf.DUMMYFUNCTION("GOOGLEFINANCE(A1388,""PRICE"")"),605)</f>
        <v>605</v>
      </c>
      <c r="C1388" s="11">
        <f ca="1">IFERROR(__xludf.DUMMYFUNCTION("GOOGLEFINANCE(A1388,""PRICEOPEN"")"),574.35)</f>
        <v>574.35</v>
      </c>
      <c r="D1388" s="11">
        <f ca="1">IFERROR(__xludf.DUMMYFUNCTION("GOOGLEFINANCE(A1388,""HIGH"")"),613)</f>
        <v>613</v>
      </c>
      <c r="E1388" s="11">
        <f ca="1">IFERROR(__xludf.DUMMYFUNCTION("GOOGLEFINANCE(A1388,""LOW"")"),571.6)</f>
        <v>571.6</v>
      </c>
      <c r="F1388" s="12" t="str">
        <f t="shared" ca="1" si="42"/>
        <v/>
      </c>
      <c r="G1388" s="13">
        <f ca="1">IFERROR(__xludf.DUMMYFUNCTION("GOOGLEFINANCE(A1388,""CLOSEYEST"")"),572.25)</f>
        <v>572.25</v>
      </c>
      <c r="H1388" s="14" t="str">
        <f t="shared" ca="1" si="48"/>
        <v/>
      </c>
      <c r="I1388" s="15">
        <f t="shared" ca="1" si="43"/>
        <v>585.61666666666667</v>
      </c>
      <c r="J1388" s="16">
        <f t="shared" ca="1" si="44"/>
        <v>599.63333333333333</v>
      </c>
      <c r="K1388" s="16"/>
      <c r="L1388" s="16">
        <f t="shared" ca="1" si="45"/>
        <v>558.23333333333335</v>
      </c>
      <c r="M1388" s="16">
        <f t="shared" ca="1" si="46"/>
        <v>627.01666666666665</v>
      </c>
      <c r="N1388" s="16">
        <f t="shared" ca="1" si="47"/>
        <v>544.2166666666667</v>
      </c>
    </row>
    <row r="1389" spans="1:14" ht="24.75" customHeight="1" x14ac:dyDescent="0.8">
      <c r="A1389" s="18" t="s">
        <v>1352</v>
      </c>
      <c r="B1389" s="10">
        <f ca="1">IFERROR(__xludf.DUMMYFUNCTION("GOOGLEFINANCE(A1389,""PRICE"")"),1045.1)</f>
        <v>1045.0999999999999</v>
      </c>
      <c r="C1389" s="11">
        <f ca="1">IFERROR(__xludf.DUMMYFUNCTION("GOOGLEFINANCE(A1389,""PRICEOPEN"")"),1047)</f>
        <v>1047</v>
      </c>
      <c r="D1389" s="11">
        <f ca="1">IFERROR(__xludf.DUMMYFUNCTION("GOOGLEFINANCE(A1389,""HIGH"")"),1062)</f>
        <v>1062</v>
      </c>
      <c r="E1389" s="11">
        <f ca="1">IFERROR(__xludf.DUMMYFUNCTION("GOOGLEFINANCE(A1389,""LOW"")"),1021)</f>
        <v>1021</v>
      </c>
      <c r="F1389" s="12" t="str">
        <f t="shared" ca="1" si="42"/>
        <v/>
      </c>
      <c r="G1389" s="13">
        <f ca="1">IFERROR(__xludf.DUMMYFUNCTION("GOOGLEFINANCE(A1389,""CLOSEYEST"")"),1043)</f>
        <v>1043</v>
      </c>
      <c r="H1389" s="14" t="str">
        <f t="shared" ca="1" si="48"/>
        <v/>
      </c>
      <c r="I1389" s="15">
        <f t="shared" ca="1" si="43"/>
        <v>1042</v>
      </c>
      <c r="J1389" s="16">
        <f t="shared" ca="1" si="44"/>
        <v>1063</v>
      </c>
      <c r="K1389" s="16"/>
      <c r="L1389" s="16">
        <f t="shared" ca="1" si="45"/>
        <v>1022</v>
      </c>
      <c r="M1389" s="16">
        <f t="shared" ca="1" si="46"/>
        <v>1083</v>
      </c>
      <c r="N1389" s="16">
        <f t="shared" ca="1" si="47"/>
        <v>1001</v>
      </c>
    </row>
    <row r="1390" spans="1:14" ht="24.75" customHeight="1" x14ac:dyDescent="0.8">
      <c r="A1390" s="18" t="s">
        <v>1353</v>
      </c>
      <c r="B1390" s="10" t="str">
        <f ca="1">IFERROR(__xludf.DUMMYFUNCTION("GOOGLEFINANCE(A1390,""PRICE"")"),"#N/A")</f>
        <v>#N/A</v>
      </c>
      <c r="C1390" s="11" t="str">
        <f ca="1">IFERROR(__xludf.DUMMYFUNCTION("GOOGLEFINANCE(A1390,""PRICEOPEN"")"),"#N/A")</f>
        <v>#N/A</v>
      </c>
      <c r="D1390" s="11" t="str">
        <f ca="1">IFERROR(__xludf.DUMMYFUNCTION("GOOGLEFINANCE(A1390,""HIGH"")"),"#N/A")</f>
        <v>#N/A</v>
      </c>
      <c r="E1390" s="11" t="str">
        <f ca="1">IFERROR(__xludf.DUMMYFUNCTION("GOOGLEFINANCE(A1390,""LOW"")"),"#N/A")</f>
        <v>#N/A</v>
      </c>
      <c r="F1390" s="12" t="str">
        <f t="shared" ca="1" si="42"/>
        <v>SELL</v>
      </c>
      <c r="G1390" s="13" t="str">
        <f ca="1">IFERROR(__xludf.DUMMYFUNCTION("GOOGLEFINANCE(A1390,""CLOSEYEST"")"),"#N/A")</f>
        <v>#N/A</v>
      </c>
      <c r="H1390" s="14" t="e">
        <f t="shared" ca="1" si="48"/>
        <v>#VALUE!</v>
      </c>
      <c r="I1390" s="15" t="e">
        <f t="shared" ca="1" si="43"/>
        <v>#VALUE!</v>
      </c>
      <c r="J1390" s="16" t="e">
        <f t="shared" ca="1" si="44"/>
        <v>#VALUE!</v>
      </c>
      <c r="K1390" s="16"/>
      <c r="L1390" s="16" t="e">
        <f t="shared" ca="1" si="45"/>
        <v>#VALUE!</v>
      </c>
      <c r="M1390" s="16" t="e">
        <f t="shared" ca="1" si="46"/>
        <v>#VALUE!</v>
      </c>
      <c r="N1390" s="16" t="e">
        <f t="shared" ca="1" si="47"/>
        <v>#VALUE!</v>
      </c>
    </row>
    <row r="1391" spans="1:14" ht="24.75" customHeight="1" x14ac:dyDescent="0.8">
      <c r="A1391" s="18" t="s">
        <v>1354</v>
      </c>
      <c r="B1391" s="10" t="str">
        <f ca="1">IFERROR(__xludf.DUMMYFUNCTION("GOOGLEFINANCE(A1391,""PRICE"")"),"#N/A")</f>
        <v>#N/A</v>
      </c>
      <c r="C1391" s="11" t="str">
        <f ca="1">IFERROR(__xludf.DUMMYFUNCTION("GOOGLEFINANCE(A1391,""PRICEOPEN"")"),"#N/A")</f>
        <v>#N/A</v>
      </c>
      <c r="D1391" s="11" t="str">
        <f ca="1">IFERROR(__xludf.DUMMYFUNCTION("GOOGLEFINANCE(A1391,""HIGH"")"),"#N/A")</f>
        <v>#N/A</v>
      </c>
      <c r="E1391" s="11" t="str">
        <f ca="1">IFERROR(__xludf.DUMMYFUNCTION("GOOGLEFINANCE(A1391,""LOW"")"),"#N/A")</f>
        <v>#N/A</v>
      </c>
      <c r="F1391" s="12" t="str">
        <f t="shared" ca="1" si="42"/>
        <v>SELL</v>
      </c>
      <c r="G1391" s="13" t="str">
        <f ca="1">IFERROR(__xludf.DUMMYFUNCTION("GOOGLEFINANCE(A1391,""CLOSEYEST"")"),"#N/A")</f>
        <v>#N/A</v>
      </c>
      <c r="H1391" s="14" t="e">
        <f t="shared" ca="1" si="48"/>
        <v>#VALUE!</v>
      </c>
      <c r="I1391" s="15" t="e">
        <f t="shared" ca="1" si="43"/>
        <v>#VALUE!</v>
      </c>
      <c r="J1391" s="16" t="e">
        <f t="shared" ca="1" si="44"/>
        <v>#VALUE!</v>
      </c>
      <c r="K1391" s="16"/>
      <c r="L1391" s="16" t="e">
        <f t="shared" ca="1" si="45"/>
        <v>#VALUE!</v>
      </c>
      <c r="M1391" s="16" t="e">
        <f t="shared" ca="1" si="46"/>
        <v>#VALUE!</v>
      </c>
      <c r="N1391" s="16" t="e">
        <f t="shared" ca="1" si="47"/>
        <v>#VALUE!</v>
      </c>
    </row>
    <row r="1392" spans="1:14" ht="24.75" customHeight="1" x14ac:dyDescent="0.8">
      <c r="A1392" s="18" t="s">
        <v>1355</v>
      </c>
      <c r="B1392" s="10">
        <f ca="1">IFERROR(__xludf.DUMMYFUNCTION("GOOGLEFINANCE(A1392,""PRICE"")"),181.5)</f>
        <v>181.5</v>
      </c>
      <c r="C1392" s="11">
        <f ca="1">IFERROR(__xludf.DUMMYFUNCTION("GOOGLEFINANCE(A1392,""PRICEOPEN"")"),174.01)</f>
        <v>174.01</v>
      </c>
      <c r="D1392" s="11">
        <f ca="1">IFERROR(__xludf.DUMMYFUNCTION("GOOGLEFINANCE(A1392,""HIGH"")"),183.5)</f>
        <v>183.5</v>
      </c>
      <c r="E1392" s="11">
        <f ca="1">IFERROR(__xludf.DUMMYFUNCTION("GOOGLEFINANCE(A1392,""LOW"")"),174.01)</f>
        <v>174.01</v>
      </c>
      <c r="F1392" s="12" t="str">
        <f t="shared" ca="1" si="42"/>
        <v>BUY</v>
      </c>
      <c r="G1392" s="13">
        <f ca="1">IFERROR(__xludf.DUMMYFUNCTION("GOOGLEFINANCE(A1392,""CLOSEYEST"")"),175.86)</f>
        <v>175.86</v>
      </c>
      <c r="H1392" s="14" t="str">
        <f t="shared" ca="1" si="48"/>
        <v>GAP DOWN</v>
      </c>
      <c r="I1392" s="15">
        <f t="shared" ca="1" si="43"/>
        <v>177.79</v>
      </c>
      <c r="J1392" s="16">
        <f t="shared" ca="1" si="44"/>
        <v>181.57</v>
      </c>
      <c r="K1392" s="16"/>
      <c r="L1392" s="16">
        <f t="shared" ca="1" si="45"/>
        <v>172.07999999999998</v>
      </c>
      <c r="M1392" s="16">
        <f t="shared" ca="1" si="46"/>
        <v>187.28</v>
      </c>
      <c r="N1392" s="16">
        <f t="shared" ca="1" si="47"/>
        <v>168.29999999999998</v>
      </c>
    </row>
    <row r="1393" spans="1:14" ht="24.75" customHeight="1" x14ac:dyDescent="0.8">
      <c r="A1393" s="18" t="s">
        <v>1356</v>
      </c>
      <c r="B1393" s="10" t="str">
        <f ca="1">IFERROR(__xludf.DUMMYFUNCTION("GOOGLEFINANCE(A1393,""PRICE"")"),"#N/A")</f>
        <v>#N/A</v>
      </c>
      <c r="C1393" s="11" t="str">
        <f ca="1">IFERROR(__xludf.DUMMYFUNCTION("GOOGLEFINANCE(A1393,""PRICEOPEN"")"),"#N/A")</f>
        <v>#N/A</v>
      </c>
      <c r="D1393" s="11" t="str">
        <f ca="1">IFERROR(__xludf.DUMMYFUNCTION("GOOGLEFINANCE(A1393,""HIGH"")"),"#N/A")</f>
        <v>#N/A</v>
      </c>
      <c r="E1393" s="11" t="str">
        <f ca="1">IFERROR(__xludf.DUMMYFUNCTION("GOOGLEFINANCE(A1393,""LOW"")"),"#N/A")</f>
        <v>#N/A</v>
      </c>
      <c r="F1393" s="12" t="str">
        <f t="shared" ca="1" si="42"/>
        <v>SELL</v>
      </c>
      <c r="G1393" s="13" t="str">
        <f ca="1">IFERROR(__xludf.DUMMYFUNCTION("GOOGLEFINANCE(A1393,""CLOSEYEST"")"),"#N/A")</f>
        <v>#N/A</v>
      </c>
      <c r="H1393" s="14" t="e">
        <f t="shared" ca="1" si="48"/>
        <v>#VALUE!</v>
      </c>
      <c r="I1393" s="15" t="e">
        <f t="shared" ca="1" si="43"/>
        <v>#VALUE!</v>
      </c>
      <c r="J1393" s="16" t="e">
        <f t="shared" ca="1" si="44"/>
        <v>#VALUE!</v>
      </c>
      <c r="K1393" s="16"/>
      <c r="L1393" s="16" t="e">
        <f t="shared" ca="1" si="45"/>
        <v>#VALUE!</v>
      </c>
      <c r="M1393" s="16" t="e">
        <f t="shared" ca="1" si="46"/>
        <v>#VALUE!</v>
      </c>
      <c r="N1393" s="16" t="e">
        <f t="shared" ca="1" si="47"/>
        <v>#VALUE!</v>
      </c>
    </row>
    <row r="1394" spans="1:14" ht="24.75" customHeight="1" x14ac:dyDescent="0.8">
      <c r="A1394" s="18" t="s">
        <v>1357</v>
      </c>
      <c r="B1394" s="10">
        <f ca="1">IFERROR(__xludf.DUMMYFUNCTION("GOOGLEFINANCE(A1394,""PRICE"")"),362)</f>
        <v>362</v>
      </c>
      <c r="C1394" s="11">
        <f ca="1">IFERROR(__xludf.DUMMYFUNCTION("GOOGLEFINANCE(A1394,""PRICEOPEN"")"),369.9)</f>
        <v>369.9</v>
      </c>
      <c r="D1394" s="11">
        <f ca="1">IFERROR(__xludf.DUMMYFUNCTION("GOOGLEFINANCE(A1394,""HIGH"")"),369.95)</f>
        <v>369.95</v>
      </c>
      <c r="E1394" s="11">
        <f ca="1">IFERROR(__xludf.DUMMYFUNCTION("GOOGLEFINANCE(A1394,""LOW"")"),357.15)</f>
        <v>357.15</v>
      </c>
      <c r="F1394" s="12" t="str">
        <f t="shared" ca="1" si="42"/>
        <v/>
      </c>
      <c r="G1394" s="13">
        <f ca="1">IFERROR(__xludf.DUMMYFUNCTION("GOOGLEFINANCE(A1394,""CLOSEYEST"")"),366.8)</f>
        <v>366.8</v>
      </c>
      <c r="H1394" s="14" t="str">
        <f t="shared" ca="1" si="48"/>
        <v/>
      </c>
      <c r="I1394" s="15">
        <f t="shared" ca="1" si="43"/>
        <v>364.63333333333327</v>
      </c>
      <c r="J1394" s="16">
        <f t="shared" ca="1" si="44"/>
        <v>372.11666666666656</v>
      </c>
      <c r="K1394" s="16"/>
      <c r="L1394" s="16">
        <f t="shared" ca="1" si="45"/>
        <v>359.31666666666655</v>
      </c>
      <c r="M1394" s="16">
        <f t="shared" ca="1" si="46"/>
        <v>377.43333333333328</v>
      </c>
      <c r="N1394" s="16">
        <f t="shared" ca="1" si="47"/>
        <v>351.83333333333326</v>
      </c>
    </row>
    <row r="1395" spans="1:14" ht="24.75" customHeight="1" x14ac:dyDescent="0.8">
      <c r="A1395" s="18" t="s">
        <v>1358</v>
      </c>
      <c r="B1395" s="10">
        <f ca="1">IFERROR(__xludf.DUMMYFUNCTION("GOOGLEFINANCE(A1395,""PRICE"")"),45.27)</f>
        <v>45.27</v>
      </c>
      <c r="C1395" s="11">
        <f ca="1">IFERROR(__xludf.DUMMYFUNCTION("GOOGLEFINANCE(A1395,""PRICEOPEN"")"),45.27)</f>
        <v>45.27</v>
      </c>
      <c r="D1395" s="11">
        <f ca="1">IFERROR(__xludf.DUMMYFUNCTION("GOOGLEFINANCE(A1395,""HIGH"")"),45.27)</f>
        <v>45.27</v>
      </c>
      <c r="E1395" s="11">
        <f ca="1">IFERROR(__xludf.DUMMYFUNCTION("GOOGLEFINANCE(A1395,""LOW"")"),45.27)</f>
        <v>45.27</v>
      </c>
      <c r="F1395" s="12" t="str">
        <f t="shared" ca="1" si="42"/>
        <v>SELL</v>
      </c>
      <c r="G1395" s="13">
        <f ca="1">IFERROR(__xludf.DUMMYFUNCTION("GOOGLEFINANCE(A1395,""CLOSEYEST"")"),43.12)</f>
        <v>43.12</v>
      </c>
      <c r="H1395" s="14" t="str">
        <f t="shared" ca="1" si="48"/>
        <v>GAP UP</v>
      </c>
      <c r="I1395" s="15">
        <f t="shared" ca="1" si="43"/>
        <v>44.553333333333335</v>
      </c>
      <c r="J1395" s="16">
        <f t="shared" ca="1" si="44"/>
        <v>43.836666666666666</v>
      </c>
      <c r="K1395" s="16"/>
      <c r="L1395" s="16">
        <f t="shared" ca="1" si="45"/>
        <v>43.836666666666666</v>
      </c>
      <c r="M1395" s="16">
        <f t="shared" ca="1" si="46"/>
        <v>44.553333333333335</v>
      </c>
      <c r="N1395" s="16">
        <f t="shared" ca="1" si="47"/>
        <v>44.553333333333335</v>
      </c>
    </row>
    <row r="1396" spans="1:14" ht="24.75" customHeight="1" x14ac:dyDescent="0.8">
      <c r="A1396" s="18" t="s">
        <v>1359</v>
      </c>
      <c r="B1396" s="10">
        <f ca="1">IFERROR(__xludf.DUMMYFUNCTION("GOOGLEFINANCE(A1396,""PRICE"")"),17.51)</f>
        <v>17.510000000000002</v>
      </c>
      <c r="C1396" s="11">
        <f ca="1">IFERROR(__xludf.DUMMYFUNCTION("GOOGLEFINANCE(A1396,""PRICEOPEN"")"),16.66)</f>
        <v>16.66</v>
      </c>
      <c r="D1396" s="11">
        <f ca="1">IFERROR(__xludf.DUMMYFUNCTION("GOOGLEFINANCE(A1396,""HIGH"")"),17.51)</f>
        <v>17.510000000000002</v>
      </c>
      <c r="E1396" s="11">
        <f ca="1">IFERROR(__xludf.DUMMYFUNCTION("GOOGLEFINANCE(A1396,""LOW"")"),16.66)</f>
        <v>16.66</v>
      </c>
      <c r="F1396" s="12" t="str">
        <f t="shared" ca="1" si="42"/>
        <v>BUY</v>
      </c>
      <c r="G1396" s="13">
        <f ca="1">IFERROR(__xludf.DUMMYFUNCTION("GOOGLEFINANCE(A1396,""CLOSEYEST"")"),16.68)</f>
        <v>16.68</v>
      </c>
      <c r="H1396" s="14" t="str">
        <f t="shared" ca="1" si="48"/>
        <v/>
      </c>
      <c r="I1396" s="15">
        <f t="shared" ca="1" si="43"/>
        <v>16.95</v>
      </c>
      <c r="J1396" s="16">
        <f t="shared" ca="1" si="44"/>
        <v>17.239999999999998</v>
      </c>
      <c r="K1396" s="16"/>
      <c r="L1396" s="16">
        <f t="shared" ca="1" si="45"/>
        <v>16.389999999999997</v>
      </c>
      <c r="M1396" s="16">
        <f t="shared" ca="1" si="46"/>
        <v>17.8</v>
      </c>
      <c r="N1396" s="16">
        <f t="shared" ca="1" si="47"/>
        <v>16.099999999999998</v>
      </c>
    </row>
    <row r="1397" spans="1:14" ht="24.75" customHeight="1" x14ac:dyDescent="0.8">
      <c r="A1397" s="18" t="s">
        <v>1360</v>
      </c>
      <c r="B1397" s="10">
        <f ca="1">IFERROR(__xludf.DUMMYFUNCTION("GOOGLEFINANCE(A1397,""PRICE"")"),287)</f>
        <v>287</v>
      </c>
      <c r="C1397" s="11">
        <f ca="1">IFERROR(__xludf.DUMMYFUNCTION("GOOGLEFINANCE(A1397,""PRICEOPEN"")"),291.15)</f>
        <v>291.14999999999998</v>
      </c>
      <c r="D1397" s="11">
        <f ca="1">IFERROR(__xludf.DUMMYFUNCTION("GOOGLEFINANCE(A1397,""HIGH"")"),293.95)</f>
        <v>293.95</v>
      </c>
      <c r="E1397" s="11">
        <f ca="1">IFERROR(__xludf.DUMMYFUNCTION("GOOGLEFINANCE(A1397,""LOW"")"),281.5)</f>
        <v>281.5</v>
      </c>
      <c r="F1397" s="12" t="str">
        <f t="shared" ca="1" si="42"/>
        <v/>
      </c>
      <c r="G1397" s="13">
        <f ca="1">IFERROR(__xludf.DUMMYFUNCTION("GOOGLEFINANCE(A1397,""CLOSEYEST"")"),291.7)</f>
        <v>291.7</v>
      </c>
      <c r="H1397" s="14" t="str">
        <f t="shared" ca="1" si="48"/>
        <v/>
      </c>
      <c r="I1397" s="15">
        <f t="shared" ca="1" si="43"/>
        <v>289.05</v>
      </c>
      <c r="J1397" s="16">
        <f t="shared" ca="1" si="44"/>
        <v>296.60000000000002</v>
      </c>
      <c r="K1397" s="16"/>
      <c r="L1397" s="16">
        <f t="shared" ca="1" si="45"/>
        <v>284.15000000000003</v>
      </c>
      <c r="M1397" s="16">
        <f t="shared" ca="1" si="46"/>
        <v>301.5</v>
      </c>
      <c r="N1397" s="16">
        <f t="shared" ca="1" si="47"/>
        <v>276.60000000000002</v>
      </c>
    </row>
    <row r="1398" spans="1:14" ht="24.75" customHeight="1" x14ac:dyDescent="0.8">
      <c r="A1398" s="18" t="s">
        <v>1361</v>
      </c>
      <c r="B1398" s="10">
        <f ca="1">IFERROR(__xludf.DUMMYFUNCTION("GOOGLEFINANCE(A1398,""PRICE"")"),17.52)</f>
        <v>17.52</v>
      </c>
      <c r="C1398" s="11">
        <f ca="1">IFERROR(__xludf.DUMMYFUNCTION("GOOGLEFINANCE(A1398,""PRICEOPEN"")"),17.52)</f>
        <v>17.52</v>
      </c>
      <c r="D1398" s="11">
        <f ca="1">IFERROR(__xludf.DUMMYFUNCTION("GOOGLEFINANCE(A1398,""HIGH"")"),17.52)</f>
        <v>17.52</v>
      </c>
      <c r="E1398" s="11">
        <f ca="1">IFERROR(__xludf.DUMMYFUNCTION("GOOGLEFINANCE(A1398,""LOW"")"),17.52)</f>
        <v>17.52</v>
      </c>
      <c r="F1398" s="12" t="str">
        <f t="shared" ca="1" si="42"/>
        <v>SELL</v>
      </c>
      <c r="G1398" s="13">
        <f ca="1">IFERROR(__xludf.DUMMYFUNCTION("GOOGLEFINANCE(A1398,""CLOSEYEST"")"),17.18)</f>
        <v>17.18</v>
      </c>
      <c r="H1398" s="14" t="str">
        <f t="shared" ca="1" si="48"/>
        <v>GAP UP</v>
      </c>
      <c r="I1398" s="15">
        <f t="shared" ca="1" si="43"/>
        <v>17.406666666666666</v>
      </c>
      <c r="J1398" s="16">
        <f t="shared" ca="1" si="44"/>
        <v>17.293333333333333</v>
      </c>
      <c r="K1398" s="16"/>
      <c r="L1398" s="16">
        <f t="shared" ca="1" si="45"/>
        <v>17.293333333333333</v>
      </c>
      <c r="M1398" s="16">
        <f t="shared" ca="1" si="46"/>
        <v>17.406666666666666</v>
      </c>
      <c r="N1398" s="16">
        <f t="shared" ca="1" si="47"/>
        <v>17.406666666666666</v>
      </c>
    </row>
    <row r="1399" spans="1:14" ht="24.75" customHeight="1" x14ac:dyDescent="0.8">
      <c r="A1399" s="18" t="s">
        <v>1362</v>
      </c>
      <c r="B1399" s="10">
        <f ca="1">IFERROR(__xludf.DUMMYFUNCTION("GOOGLEFINANCE(A1399,""PRICE"")"),534.15)</f>
        <v>534.15</v>
      </c>
      <c r="C1399" s="11">
        <f ca="1">IFERROR(__xludf.DUMMYFUNCTION("GOOGLEFINANCE(A1399,""PRICEOPEN"")"),525.2)</f>
        <v>525.20000000000005</v>
      </c>
      <c r="D1399" s="11">
        <f ca="1">IFERROR(__xludf.DUMMYFUNCTION("GOOGLEFINANCE(A1399,""HIGH"")"),540.8)</f>
        <v>540.79999999999995</v>
      </c>
      <c r="E1399" s="11">
        <f ca="1">IFERROR(__xludf.DUMMYFUNCTION("GOOGLEFINANCE(A1399,""LOW"")"),523.7)</f>
        <v>523.70000000000005</v>
      </c>
      <c r="F1399" s="12" t="str">
        <f t="shared" ca="1" si="42"/>
        <v/>
      </c>
      <c r="G1399" s="13">
        <f ca="1">IFERROR(__xludf.DUMMYFUNCTION("GOOGLEFINANCE(A1399,""CLOSEYEST"")"),528.35)</f>
        <v>528.35</v>
      </c>
      <c r="H1399" s="14" t="str">
        <f t="shared" ca="1" si="48"/>
        <v/>
      </c>
      <c r="I1399" s="15">
        <f t="shared" ca="1" si="43"/>
        <v>530.94999999999993</v>
      </c>
      <c r="J1399" s="16">
        <f t="shared" ca="1" si="44"/>
        <v>538.19999999999982</v>
      </c>
      <c r="K1399" s="16"/>
      <c r="L1399" s="16">
        <f t="shared" ca="1" si="45"/>
        <v>521.09999999999991</v>
      </c>
      <c r="M1399" s="16">
        <f t="shared" ca="1" si="46"/>
        <v>548.04999999999984</v>
      </c>
      <c r="N1399" s="16">
        <f t="shared" ca="1" si="47"/>
        <v>513.85</v>
      </c>
    </row>
    <row r="1400" spans="1:14" ht="24.75" customHeight="1" x14ac:dyDescent="0.8">
      <c r="A1400" s="18" t="s">
        <v>1363</v>
      </c>
      <c r="B1400" s="10">
        <f ca="1">IFERROR(__xludf.DUMMYFUNCTION("GOOGLEFINANCE(A1400,""PRICE"")"),123.78)</f>
        <v>123.78</v>
      </c>
      <c r="C1400" s="11">
        <f ca="1">IFERROR(__xludf.DUMMYFUNCTION("GOOGLEFINANCE(A1400,""PRICEOPEN"")"),124.99)</f>
        <v>124.99</v>
      </c>
      <c r="D1400" s="11">
        <f ca="1">IFERROR(__xludf.DUMMYFUNCTION("GOOGLEFINANCE(A1400,""HIGH"")"),124.99)</f>
        <v>124.99</v>
      </c>
      <c r="E1400" s="11">
        <f ca="1">IFERROR(__xludf.DUMMYFUNCTION("GOOGLEFINANCE(A1400,""LOW"")"),121.2)</f>
        <v>121.2</v>
      </c>
      <c r="F1400" s="12" t="str">
        <f t="shared" ca="1" si="42"/>
        <v>SELL</v>
      </c>
      <c r="G1400" s="13">
        <f ca="1">IFERROR(__xludf.DUMMYFUNCTION("GOOGLEFINANCE(A1400,""CLOSEYEST"")"),123.89)</f>
        <v>123.89</v>
      </c>
      <c r="H1400" s="14" t="str">
        <f t="shared" ca="1" si="48"/>
        <v/>
      </c>
      <c r="I1400" s="15">
        <f t="shared" ca="1" si="43"/>
        <v>123.36</v>
      </c>
      <c r="J1400" s="16">
        <f t="shared" ca="1" si="44"/>
        <v>125.52</v>
      </c>
      <c r="K1400" s="16"/>
      <c r="L1400" s="16">
        <f t="shared" ca="1" si="45"/>
        <v>121.73</v>
      </c>
      <c r="M1400" s="16">
        <f t="shared" ca="1" si="46"/>
        <v>127.14999999999999</v>
      </c>
      <c r="N1400" s="16">
        <f t="shared" ca="1" si="47"/>
        <v>119.57000000000001</v>
      </c>
    </row>
    <row r="1401" spans="1:14" ht="24.75" customHeight="1" x14ac:dyDescent="0.8">
      <c r="A1401" s="18" t="s">
        <v>1364</v>
      </c>
      <c r="B1401" s="10">
        <f ca="1">IFERROR(__xludf.DUMMYFUNCTION("GOOGLEFINANCE(A1401,""PRICE"")"),121.43)</f>
        <v>121.43</v>
      </c>
      <c r="C1401" s="11">
        <f ca="1">IFERROR(__xludf.DUMMYFUNCTION("GOOGLEFINANCE(A1401,""PRICEOPEN"")"),121.95)</f>
        <v>121.95</v>
      </c>
      <c r="D1401" s="11">
        <f ca="1">IFERROR(__xludf.DUMMYFUNCTION("GOOGLEFINANCE(A1401,""HIGH"")"),122.05)</f>
        <v>122.05</v>
      </c>
      <c r="E1401" s="11">
        <f ca="1">IFERROR(__xludf.DUMMYFUNCTION("GOOGLEFINANCE(A1401,""LOW"")"),121.43)</f>
        <v>121.43</v>
      </c>
      <c r="F1401" s="12" t="str">
        <f t="shared" ca="1" si="42"/>
        <v/>
      </c>
      <c r="G1401" s="13">
        <f ca="1">IFERROR(__xludf.DUMMYFUNCTION("GOOGLEFINANCE(A1401,""CLOSEYEST"")"),121.89)</f>
        <v>121.89</v>
      </c>
      <c r="H1401" s="14" t="str">
        <f t="shared" ca="1" si="48"/>
        <v/>
      </c>
      <c r="I1401" s="15">
        <f t="shared" ca="1" si="43"/>
        <v>121.79</v>
      </c>
      <c r="J1401" s="16">
        <f t="shared" ca="1" si="44"/>
        <v>122.15</v>
      </c>
      <c r="K1401" s="16"/>
      <c r="L1401" s="16">
        <f t="shared" ca="1" si="45"/>
        <v>121.53000000000002</v>
      </c>
      <c r="M1401" s="16">
        <f t="shared" ca="1" si="46"/>
        <v>122.41</v>
      </c>
      <c r="N1401" s="16">
        <f t="shared" ca="1" si="47"/>
        <v>121.17000000000002</v>
      </c>
    </row>
    <row r="1402" spans="1:14" ht="24.75" customHeight="1" x14ac:dyDescent="0.8">
      <c r="A1402" s="18" t="s">
        <v>1365</v>
      </c>
      <c r="B1402" s="10">
        <f ca="1">IFERROR(__xludf.DUMMYFUNCTION("GOOGLEFINANCE(A1402,""PRICE"")"),1018.9)</f>
        <v>1018.9</v>
      </c>
      <c r="C1402" s="11">
        <f ca="1">IFERROR(__xludf.DUMMYFUNCTION("GOOGLEFINANCE(A1402,""PRICEOPEN"")"),1045.95)</f>
        <v>1045.95</v>
      </c>
      <c r="D1402" s="11">
        <f ca="1">IFERROR(__xludf.DUMMYFUNCTION("GOOGLEFINANCE(A1402,""HIGH"")"),1069)</f>
        <v>1069</v>
      </c>
      <c r="E1402" s="11">
        <f ca="1">IFERROR(__xludf.DUMMYFUNCTION("GOOGLEFINANCE(A1402,""LOW"")"),1011.25)</f>
        <v>1011.25</v>
      </c>
      <c r="F1402" s="12" t="str">
        <f t="shared" ca="1" si="42"/>
        <v/>
      </c>
      <c r="G1402" s="13">
        <f ca="1">IFERROR(__xludf.DUMMYFUNCTION("GOOGLEFINANCE(A1402,""CLOSEYEST"")"),1011.25)</f>
        <v>1011.25</v>
      </c>
      <c r="H1402" s="14" t="str">
        <f t="shared" ca="1" si="48"/>
        <v>GAP UP</v>
      </c>
      <c r="I1402" s="15">
        <f t="shared" ca="1" si="43"/>
        <v>1030.5</v>
      </c>
      <c r="J1402" s="16">
        <f t="shared" ca="1" si="44"/>
        <v>1049.75</v>
      </c>
      <c r="K1402" s="16"/>
      <c r="L1402" s="16">
        <f t="shared" ca="1" si="45"/>
        <v>992</v>
      </c>
      <c r="M1402" s="16">
        <f t="shared" ca="1" si="46"/>
        <v>1088.25</v>
      </c>
      <c r="N1402" s="16">
        <f t="shared" ca="1" si="47"/>
        <v>972.75</v>
      </c>
    </row>
    <row r="1403" spans="1:14" ht="24.75" customHeight="1" x14ac:dyDescent="0.8">
      <c r="A1403" s="18" t="s">
        <v>1366</v>
      </c>
      <c r="B1403" s="10">
        <f ca="1">IFERROR(__xludf.DUMMYFUNCTION("GOOGLEFINANCE(A1403,""PRICE"")"),115.53)</f>
        <v>115.53</v>
      </c>
      <c r="C1403" s="11">
        <f ca="1">IFERROR(__xludf.DUMMYFUNCTION("GOOGLEFINANCE(A1403,""PRICEOPEN"")"),114.85)</f>
        <v>114.85</v>
      </c>
      <c r="D1403" s="11">
        <f ca="1">IFERROR(__xludf.DUMMYFUNCTION("GOOGLEFINANCE(A1403,""HIGH"")"),116)</f>
        <v>116</v>
      </c>
      <c r="E1403" s="11">
        <f ca="1">IFERROR(__xludf.DUMMYFUNCTION("GOOGLEFINANCE(A1403,""LOW"")"),113.55)</f>
        <v>113.55</v>
      </c>
      <c r="F1403" s="12" t="str">
        <f t="shared" ca="1" si="42"/>
        <v/>
      </c>
      <c r="G1403" s="13">
        <f ca="1">IFERROR(__xludf.DUMMYFUNCTION("GOOGLEFINANCE(A1403,""CLOSEYEST"")"),113.39)</f>
        <v>113.39</v>
      </c>
      <c r="H1403" s="14" t="str">
        <f t="shared" ca="1" si="48"/>
        <v>GAP UP</v>
      </c>
      <c r="I1403" s="15">
        <f t="shared" ca="1" si="43"/>
        <v>114.31333333333333</v>
      </c>
      <c r="J1403" s="16">
        <f t="shared" ca="1" si="44"/>
        <v>115.07666666666667</v>
      </c>
      <c r="K1403" s="16"/>
      <c r="L1403" s="16">
        <f t="shared" ca="1" si="45"/>
        <v>112.62666666666667</v>
      </c>
      <c r="M1403" s="16">
        <f t="shared" ca="1" si="46"/>
        <v>116.76333333333334</v>
      </c>
      <c r="N1403" s="16">
        <f t="shared" ca="1" si="47"/>
        <v>111.86333333333333</v>
      </c>
    </row>
    <row r="1404" spans="1:14" ht="24.75" customHeight="1" x14ac:dyDescent="0.8">
      <c r="A1404" s="18" t="s">
        <v>1367</v>
      </c>
      <c r="B1404" s="10">
        <f ca="1">IFERROR(__xludf.DUMMYFUNCTION("GOOGLEFINANCE(A1404,""PRICE"")"),286)</f>
        <v>286</v>
      </c>
      <c r="C1404" s="11">
        <f ca="1">IFERROR(__xludf.DUMMYFUNCTION("GOOGLEFINANCE(A1404,""PRICEOPEN"")"),288.65)</f>
        <v>288.64999999999998</v>
      </c>
      <c r="D1404" s="11">
        <f ca="1">IFERROR(__xludf.DUMMYFUNCTION("GOOGLEFINANCE(A1404,""HIGH"")"),288.65)</f>
        <v>288.64999999999998</v>
      </c>
      <c r="E1404" s="11">
        <f ca="1">IFERROR(__xludf.DUMMYFUNCTION("GOOGLEFINANCE(A1404,""LOW"")"),284.1)</f>
        <v>284.10000000000002</v>
      </c>
      <c r="F1404" s="12" t="str">
        <f t="shared" ca="1" si="42"/>
        <v>SELL</v>
      </c>
      <c r="G1404" s="13">
        <f ca="1">IFERROR(__xludf.DUMMYFUNCTION("GOOGLEFINANCE(A1404,""CLOSEYEST"")"),287.65)</f>
        <v>287.64999999999998</v>
      </c>
      <c r="H1404" s="14" t="str">
        <f t="shared" ca="1" si="48"/>
        <v/>
      </c>
      <c r="I1404" s="15">
        <f t="shared" ca="1" si="43"/>
        <v>286.8</v>
      </c>
      <c r="J1404" s="16">
        <f t="shared" ca="1" si="44"/>
        <v>289.5</v>
      </c>
      <c r="K1404" s="16"/>
      <c r="L1404" s="16">
        <f t="shared" ca="1" si="45"/>
        <v>284.95000000000005</v>
      </c>
      <c r="M1404" s="16">
        <f t="shared" ca="1" si="46"/>
        <v>291.34999999999997</v>
      </c>
      <c r="N1404" s="16">
        <f t="shared" ca="1" si="47"/>
        <v>282.25000000000006</v>
      </c>
    </row>
    <row r="1405" spans="1:14" ht="24.75" customHeight="1" x14ac:dyDescent="0.8">
      <c r="A1405" s="18" t="s">
        <v>1368</v>
      </c>
      <c r="B1405" s="10">
        <f ca="1">IFERROR(__xludf.DUMMYFUNCTION("GOOGLEFINANCE(A1405,""PRICE"")"),13)</f>
        <v>13</v>
      </c>
      <c r="C1405" s="11">
        <f ca="1">IFERROR(__xludf.DUMMYFUNCTION("GOOGLEFINANCE(A1405,""PRICEOPEN"")"),12.79)</f>
        <v>12.79</v>
      </c>
      <c r="D1405" s="11">
        <f ca="1">IFERROR(__xludf.DUMMYFUNCTION("GOOGLEFINANCE(A1405,""HIGH"")"),13.13)</f>
        <v>13.13</v>
      </c>
      <c r="E1405" s="11">
        <f ca="1">IFERROR(__xludf.DUMMYFUNCTION("GOOGLEFINANCE(A1405,""LOW"")"),12.45)</f>
        <v>12.45</v>
      </c>
      <c r="F1405" s="12" t="str">
        <f t="shared" ca="1" si="42"/>
        <v/>
      </c>
      <c r="G1405" s="13">
        <f ca="1">IFERROR(__xludf.DUMMYFUNCTION("GOOGLEFINANCE(A1405,""CLOSEYEST"")"),12.51)</f>
        <v>12.51</v>
      </c>
      <c r="H1405" s="14" t="str">
        <f t="shared" ca="1" si="48"/>
        <v>GAP UP</v>
      </c>
      <c r="I1405" s="15">
        <f t="shared" ca="1" si="43"/>
        <v>12.696666666666665</v>
      </c>
      <c r="J1405" s="16">
        <f t="shared" ca="1" si="44"/>
        <v>12.943333333333332</v>
      </c>
      <c r="K1405" s="16"/>
      <c r="L1405" s="16">
        <f t="shared" ca="1" si="45"/>
        <v>12.26333333333333</v>
      </c>
      <c r="M1405" s="16">
        <f t="shared" ca="1" si="46"/>
        <v>13.376666666666667</v>
      </c>
      <c r="N1405" s="16">
        <f t="shared" ca="1" si="47"/>
        <v>12.016666666666664</v>
      </c>
    </row>
    <row r="1406" spans="1:14" ht="24.75" customHeight="1" x14ac:dyDescent="0.8">
      <c r="A1406" s="18" t="s">
        <v>1369</v>
      </c>
      <c r="B1406" s="10" t="str">
        <f ca="1">IFERROR(__xludf.DUMMYFUNCTION("GOOGLEFINANCE(A1406,""PRICE"")"),"#N/A")</f>
        <v>#N/A</v>
      </c>
      <c r="C1406" s="11" t="str">
        <f ca="1">IFERROR(__xludf.DUMMYFUNCTION("GOOGLEFINANCE(A1406,""PRICEOPEN"")"),"#N/A")</f>
        <v>#N/A</v>
      </c>
      <c r="D1406" s="11" t="str">
        <f ca="1">IFERROR(__xludf.DUMMYFUNCTION("GOOGLEFINANCE(A1406,""HIGH"")"),"#N/A")</f>
        <v>#N/A</v>
      </c>
      <c r="E1406" s="11" t="str">
        <f ca="1">IFERROR(__xludf.DUMMYFUNCTION("GOOGLEFINANCE(A1406,""LOW"")"),"#N/A")</f>
        <v>#N/A</v>
      </c>
      <c r="F1406" s="12" t="str">
        <f t="shared" ca="1" si="42"/>
        <v>SELL</v>
      </c>
      <c r="G1406" s="13" t="str">
        <f ca="1">IFERROR(__xludf.DUMMYFUNCTION("GOOGLEFINANCE(A1406,""CLOSEYEST"")"),"#N/A")</f>
        <v>#N/A</v>
      </c>
      <c r="H1406" s="14" t="e">
        <f t="shared" ca="1" si="48"/>
        <v>#VALUE!</v>
      </c>
      <c r="I1406" s="15" t="e">
        <f t="shared" ca="1" si="43"/>
        <v>#VALUE!</v>
      </c>
      <c r="J1406" s="16" t="e">
        <f t="shared" ca="1" si="44"/>
        <v>#VALUE!</v>
      </c>
      <c r="K1406" s="16"/>
      <c r="L1406" s="16" t="e">
        <f t="shared" ca="1" si="45"/>
        <v>#VALUE!</v>
      </c>
      <c r="M1406" s="16" t="e">
        <f t="shared" ca="1" si="46"/>
        <v>#VALUE!</v>
      </c>
      <c r="N1406" s="16" t="e">
        <f t="shared" ca="1" si="47"/>
        <v>#VALUE!</v>
      </c>
    </row>
    <row r="1407" spans="1:14" ht="24.75" customHeight="1" x14ac:dyDescent="0.8">
      <c r="A1407" s="18" t="s">
        <v>1370</v>
      </c>
      <c r="B1407" s="10" t="str">
        <f ca="1">IFERROR(__xludf.DUMMYFUNCTION("GOOGLEFINANCE(A1407,""PRICE"")"),"#N/A")</f>
        <v>#N/A</v>
      </c>
      <c r="C1407" s="11" t="str">
        <f ca="1">IFERROR(__xludf.DUMMYFUNCTION("GOOGLEFINANCE(A1407,""PRICEOPEN"")"),"#N/A")</f>
        <v>#N/A</v>
      </c>
      <c r="D1407" s="11" t="str">
        <f ca="1">IFERROR(__xludf.DUMMYFUNCTION("GOOGLEFINANCE(A1407,""HIGH"")"),"#N/A")</f>
        <v>#N/A</v>
      </c>
      <c r="E1407" s="11" t="str">
        <f ca="1">IFERROR(__xludf.DUMMYFUNCTION("GOOGLEFINANCE(A1407,""LOW"")"),"#N/A")</f>
        <v>#N/A</v>
      </c>
      <c r="F1407" s="12" t="str">
        <f t="shared" ca="1" si="42"/>
        <v>SELL</v>
      </c>
      <c r="G1407" s="13" t="str">
        <f ca="1">IFERROR(__xludf.DUMMYFUNCTION("GOOGLEFINANCE(A1407,""CLOSEYEST"")"),"#N/A")</f>
        <v>#N/A</v>
      </c>
      <c r="H1407" s="14" t="e">
        <f t="shared" ca="1" si="48"/>
        <v>#VALUE!</v>
      </c>
      <c r="I1407" s="15" t="e">
        <f t="shared" ca="1" si="43"/>
        <v>#VALUE!</v>
      </c>
      <c r="J1407" s="16" t="e">
        <f t="shared" ca="1" si="44"/>
        <v>#VALUE!</v>
      </c>
      <c r="K1407" s="16"/>
      <c r="L1407" s="16" t="e">
        <f t="shared" ca="1" si="45"/>
        <v>#VALUE!</v>
      </c>
      <c r="M1407" s="16" t="e">
        <f t="shared" ca="1" si="46"/>
        <v>#VALUE!</v>
      </c>
      <c r="N1407" s="16" t="e">
        <f t="shared" ca="1" si="47"/>
        <v>#VALUE!</v>
      </c>
    </row>
    <row r="1408" spans="1:14" ht="24.75" customHeight="1" x14ac:dyDescent="0.8">
      <c r="A1408" s="18" t="s">
        <v>1371</v>
      </c>
      <c r="B1408" s="10">
        <f ca="1">IFERROR(__xludf.DUMMYFUNCTION("GOOGLEFINANCE(A1408,""PRICE"")"),17.4)</f>
        <v>17.399999999999999</v>
      </c>
      <c r="C1408" s="11">
        <f ca="1">IFERROR(__xludf.DUMMYFUNCTION("GOOGLEFINANCE(A1408,""PRICEOPEN"")"),16.92)</f>
        <v>16.920000000000002</v>
      </c>
      <c r="D1408" s="11">
        <f ca="1">IFERROR(__xludf.DUMMYFUNCTION("GOOGLEFINANCE(A1408,""HIGH"")"),17.4)</f>
        <v>17.399999999999999</v>
      </c>
      <c r="E1408" s="11">
        <f ca="1">IFERROR(__xludf.DUMMYFUNCTION("GOOGLEFINANCE(A1408,""LOW"")"),16.89)</f>
        <v>16.89</v>
      </c>
      <c r="F1408" s="12" t="str">
        <f t="shared" ca="1" si="42"/>
        <v/>
      </c>
      <c r="G1408" s="13">
        <f ca="1">IFERROR(__xludf.DUMMYFUNCTION("GOOGLEFINANCE(A1408,""CLOSEYEST"")"),16.58)</f>
        <v>16.579999999999998</v>
      </c>
      <c r="H1408" s="14" t="str">
        <f t="shared" ca="1" si="48"/>
        <v>GAP UP</v>
      </c>
      <c r="I1408" s="15">
        <f t="shared" ca="1" si="43"/>
        <v>16.956666666666667</v>
      </c>
      <c r="J1408" s="16">
        <f t="shared" ca="1" si="44"/>
        <v>17.023333333333333</v>
      </c>
      <c r="K1408" s="16"/>
      <c r="L1408" s="16">
        <f t="shared" ca="1" si="45"/>
        <v>16.513333333333335</v>
      </c>
      <c r="M1408" s="16">
        <f t="shared" ca="1" si="46"/>
        <v>17.466666666666665</v>
      </c>
      <c r="N1408" s="16">
        <f t="shared" ca="1" si="47"/>
        <v>16.446666666666669</v>
      </c>
    </row>
    <row r="1409" spans="1:14" ht="24.75" customHeight="1" x14ac:dyDescent="0.8">
      <c r="A1409" s="18" t="s">
        <v>1372</v>
      </c>
      <c r="B1409" s="10">
        <f ca="1">IFERROR(__xludf.DUMMYFUNCTION("GOOGLEFINANCE(A1409,""PRICE"")"),66.94)</f>
        <v>66.94</v>
      </c>
      <c r="C1409" s="11">
        <f ca="1">IFERROR(__xludf.DUMMYFUNCTION("GOOGLEFINANCE(A1409,""PRICEOPEN"")"),65)</f>
        <v>65</v>
      </c>
      <c r="D1409" s="11">
        <f ca="1">IFERROR(__xludf.DUMMYFUNCTION("GOOGLEFINANCE(A1409,""HIGH"")"),66.94)</f>
        <v>66.94</v>
      </c>
      <c r="E1409" s="11">
        <f ca="1">IFERROR(__xludf.DUMMYFUNCTION("GOOGLEFINANCE(A1409,""LOW"")"),64)</f>
        <v>64</v>
      </c>
      <c r="F1409" s="12" t="str">
        <f t="shared" ca="1" si="42"/>
        <v/>
      </c>
      <c r="G1409" s="13">
        <f ca="1">IFERROR(__xludf.DUMMYFUNCTION("GOOGLEFINANCE(A1409,""CLOSEYEST"")"),65.08)</f>
        <v>65.08</v>
      </c>
      <c r="H1409" s="14" t="str">
        <f t="shared" ca="1" si="48"/>
        <v/>
      </c>
      <c r="I1409" s="15">
        <f t="shared" ca="1" si="43"/>
        <v>65.339999999999989</v>
      </c>
      <c r="J1409" s="16">
        <f t="shared" ca="1" si="44"/>
        <v>66.679999999999978</v>
      </c>
      <c r="K1409" s="16"/>
      <c r="L1409" s="16">
        <f t="shared" ca="1" si="45"/>
        <v>63.739999999999981</v>
      </c>
      <c r="M1409" s="16">
        <f t="shared" ca="1" si="46"/>
        <v>68.279999999999987</v>
      </c>
      <c r="N1409" s="16">
        <f t="shared" ca="1" si="47"/>
        <v>62.399999999999991</v>
      </c>
    </row>
    <row r="1410" spans="1:14" ht="24.75" customHeight="1" x14ac:dyDescent="0.8">
      <c r="A1410" s="18" t="s">
        <v>1373</v>
      </c>
      <c r="B1410" s="10">
        <f ca="1">IFERROR(__xludf.DUMMYFUNCTION("GOOGLEFINANCE(A1410,""PRICE"")"),115.5)</f>
        <v>115.5</v>
      </c>
      <c r="C1410" s="11">
        <f ca="1">IFERROR(__xludf.DUMMYFUNCTION("GOOGLEFINANCE(A1410,""PRICEOPEN"")"),113.9)</f>
        <v>113.9</v>
      </c>
      <c r="D1410" s="11">
        <f ca="1">IFERROR(__xludf.DUMMYFUNCTION("GOOGLEFINANCE(A1410,""HIGH"")"),116)</f>
        <v>116</v>
      </c>
      <c r="E1410" s="11">
        <f ca="1">IFERROR(__xludf.DUMMYFUNCTION("GOOGLEFINANCE(A1410,""LOW"")"),112.21)</f>
        <v>112.21</v>
      </c>
      <c r="F1410" s="12" t="str">
        <f t="shared" ca="1" si="42"/>
        <v/>
      </c>
      <c r="G1410" s="13">
        <f ca="1">IFERROR(__xludf.DUMMYFUNCTION("GOOGLEFINANCE(A1410,""CLOSEYEST"")"),113.9)</f>
        <v>113.9</v>
      </c>
      <c r="H1410" s="14" t="str">
        <f t="shared" ca="1" si="48"/>
        <v/>
      </c>
      <c r="I1410" s="15">
        <f t="shared" ca="1" si="43"/>
        <v>114.03666666666668</v>
      </c>
      <c r="J1410" s="16">
        <f t="shared" ca="1" si="44"/>
        <v>115.86333333333336</v>
      </c>
      <c r="K1410" s="16"/>
      <c r="L1410" s="16">
        <f t="shared" ca="1" si="45"/>
        <v>112.07333333333335</v>
      </c>
      <c r="M1410" s="16">
        <f t="shared" ca="1" si="46"/>
        <v>117.82666666666668</v>
      </c>
      <c r="N1410" s="16">
        <f t="shared" ca="1" si="47"/>
        <v>110.24666666666667</v>
      </c>
    </row>
    <row r="1411" spans="1:14" ht="24.75" customHeight="1" x14ac:dyDescent="0.8">
      <c r="A1411" s="18" t="s">
        <v>1374</v>
      </c>
      <c r="B1411" s="10">
        <f ca="1">IFERROR(__xludf.DUMMYFUNCTION("GOOGLEFINANCE(A1411,""PRICE"")"),8.3)</f>
        <v>8.3000000000000007</v>
      </c>
      <c r="C1411" s="11">
        <f ca="1">IFERROR(__xludf.DUMMYFUNCTION("GOOGLEFINANCE(A1411,""PRICEOPEN"")"),8.29)</f>
        <v>8.2899999999999991</v>
      </c>
      <c r="D1411" s="11">
        <f ca="1">IFERROR(__xludf.DUMMYFUNCTION("GOOGLEFINANCE(A1411,""HIGH"")"),8.4)</f>
        <v>8.4</v>
      </c>
      <c r="E1411" s="11">
        <f ca="1">IFERROR(__xludf.DUMMYFUNCTION("GOOGLEFINANCE(A1411,""LOW"")"),7.92)</f>
        <v>7.92</v>
      </c>
      <c r="F1411" s="12" t="str">
        <f t="shared" ca="1" si="42"/>
        <v/>
      </c>
      <c r="G1411" s="13">
        <f ca="1">IFERROR(__xludf.DUMMYFUNCTION("GOOGLEFINANCE(A1411,""CLOSEYEST"")"),8.2)</f>
        <v>8.1999999999999993</v>
      </c>
      <c r="H1411" s="14" t="str">
        <f t="shared" ca="1" si="48"/>
        <v>GAP UP</v>
      </c>
      <c r="I1411" s="15">
        <f t="shared" ca="1" si="43"/>
        <v>8.1733333333333338</v>
      </c>
      <c r="J1411" s="16">
        <f t="shared" ca="1" si="44"/>
        <v>8.4266666666666676</v>
      </c>
      <c r="K1411" s="16"/>
      <c r="L1411" s="16">
        <f t="shared" ca="1" si="45"/>
        <v>7.9466666666666672</v>
      </c>
      <c r="M1411" s="16">
        <f t="shared" ca="1" si="46"/>
        <v>8.6533333333333342</v>
      </c>
      <c r="N1411" s="16">
        <f t="shared" ca="1" si="47"/>
        <v>7.6933333333333334</v>
      </c>
    </row>
    <row r="1412" spans="1:14" ht="24.75" customHeight="1" x14ac:dyDescent="0.8">
      <c r="A1412" s="18" t="s">
        <v>1375</v>
      </c>
      <c r="B1412" s="10">
        <f ca="1">IFERROR(__xludf.DUMMYFUNCTION("GOOGLEFINANCE(A1412,""PRICE"")"),1795)</f>
        <v>1795</v>
      </c>
      <c r="C1412" s="11">
        <f ca="1">IFERROR(__xludf.DUMMYFUNCTION("GOOGLEFINANCE(A1412,""PRICEOPEN"")"),1740)</f>
        <v>1740</v>
      </c>
      <c r="D1412" s="11">
        <f ca="1">IFERROR(__xludf.DUMMYFUNCTION("GOOGLEFINANCE(A1412,""HIGH"")"),1809.7)</f>
        <v>1809.7</v>
      </c>
      <c r="E1412" s="11">
        <f ca="1">IFERROR(__xludf.DUMMYFUNCTION("GOOGLEFINANCE(A1412,""LOW"")"),1701.5)</f>
        <v>1701.5</v>
      </c>
      <c r="F1412" s="12" t="str">
        <f t="shared" ca="1" si="42"/>
        <v/>
      </c>
      <c r="G1412" s="13">
        <f ca="1">IFERROR(__xludf.DUMMYFUNCTION("GOOGLEFINANCE(A1412,""CLOSEYEST"")"),1723.6)</f>
        <v>1723.6</v>
      </c>
      <c r="H1412" s="14" t="str">
        <f t="shared" ca="1" si="48"/>
        <v/>
      </c>
      <c r="I1412" s="15">
        <f t="shared" ca="1" si="43"/>
        <v>1744.9333333333332</v>
      </c>
      <c r="J1412" s="16">
        <f t="shared" ca="1" si="44"/>
        <v>1788.3666666666663</v>
      </c>
      <c r="K1412" s="16"/>
      <c r="L1412" s="16">
        <f t="shared" ca="1" si="45"/>
        <v>1680.1666666666663</v>
      </c>
      <c r="M1412" s="16">
        <f t="shared" ca="1" si="46"/>
        <v>1853.1333333333332</v>
      </c>
      <c r="N1412" s="16">
        <f t="shared" ca="1" si="47"/>
        <v>1636.7333333333331</v>
      </c>
    </row>
    <row r="1413" spans="1:14" ht="24.75" customHeight="1" x14ac:dyDescent="0.8">
      <c r="A1413" s="18" t="s">
        <v>1376</v>
      </c>
      <c r="B1413" s="10" t="str">
        <f ca="1">IFERROR(__xludf.DUMMYFUNCTION("GOOGLEFINANCE(A1413,""PRICE"")"),"#N/A")</f>
        <v>#N/A</v>
      </c>
      <c r="C1413" s="11" t="str">
        <f ca="1">IFERROR(__xludf.DUMMYFUNCTION("GOOGLEFINANCE(A1413,""PRICEOPEN"")"),"#N/A")</f>
        <v>#N/A</v>
      </c>
      <c r="D1413" s="11" t="str">
        <f ca="1">IFERROR(__xludf.DUMMYFUNCTION("GOOGLEFINANCE(A1413,""HIGH"")"),"#N/A")</f>
        <v>#N/A</v>
      </c>
      <c r="E1413" s="11" t="str">
        <f ca="1">IFERROR(__xludf.DUMMYFUNCTION("GOOGLEFINANCE(A1413,""LOW"")"),"#N/A")</f>
        <v>#N/A</v>
      </c>
      <c r="F1413" s="12" t="str">
        <f t="shared" ca="1" si="42"/>
        <v>SELL</v>
      </c>
      <c r="G1413" s="13" t="str">
        <f ca="1">IFERROR(__xludf.DUMMYFUNCTION("GOOGLEFINANCE(A1413,""CLOSEYEST"")"),"#N/A")</f>
        <v>#N/A</v>
      </c>
      <c r="H1413" s="14" t="e">
        <f t="shared" ca="1" si="48"/>
        <v>#VALUE!</v>
      </c>
      <c r="I1413" s="15" t="e">
        <f t="shared" ca="1" si="43"/>
        <v>#VALUE!</v>
      </c>
      <c r="J1413" s="16" t="e">
        <f t="shared" ca="1" si="44"/>
        <v>#VALUE!</v>
      </c>
      <c r="K1413" s="16"/>
      <c r="L1413" s="16" t="e">
        <f t="shared" ca="1" si="45"/>
        <v>#VALUE!</v>
      </c>
      <c r="M1413" s="16" t="e">
        <f t="shared" ca="1" si="46"/>
        <v>#VALUE!</v>
      </c>
      <c r="N1413" s="16" t="e">
        <f t="shared" ca="1" si="47"/>
        <v>#VALUE!</v>
      </c>
    </row>
    <row r="1414" spans="1:14" ht="24.75" customHeight="1" x14ac:dyDescent="0.8">
      <c r="A1414" s="18" t="s">
        <v>1377</v>
      </c>
      <c r="B1414" s="10">
        <f ca="1">IFERROR(__xludf.DUMMYFUNCTION("GOOGLEFINANCE(A1414,""PRICE"")"),3)</f>
        <v>3</v>
      </c>
      <c r="C1414" s="11">
        <f ca="1">IFERROR(__xludf.DUMMYFUNCTION("GOOGLEFINANCE(A1414,""PRICEOPEN"")"),3.09)</f>
        <v>3.09</v>
      </c>
      <c r="D1414" s="11">
        <f ca="1">IFERROR(__xludf.DUMMYFUNCTION("GOOGLEFINANCE(A1414,""HIGH"")"),3.09)</f>
        <v>3.09</v>
      </c>
      <c r="E1414" s="11">
        <f ca="1">IFERROR(__xludf.DUMMYFUNCTION("GOOGLEFINANCE(A1414,""LOW"")"),2.91)</f>
        <v>2.91</v>
      </c>
      <c r="F1414" s="12" t="str">
        <f t="shared" ca="1" si="42"/>
        <v>SELL</v>
      </c>
      <c r="G1414" s="13">
        <f ca="1">IFERROR(__xludf.DUMMYFUNCTION("GOOGLEFINANCE(A1414,""CLOSEYEST"")"),3.04)</f>
        <v>3.04</v>
      </c>
      <c r="H1414" s="14" t="str">
        <f t="shared" ca="1" si="48"/>
        <v>GAP UP</v>
      </c>
      <c r="I1414" s="15">
        <f t="shared" ca="1" si="43"/>
        <v>3.0133333333333332</v>
      </c>
      <c r="J1414" s="16">
        <f t="shared" ca="1" si="44"/>
        <v>3.1166666666666663</v>
      </c>
      <c r="K1414" s="16"/>
      <c r="L1414" s="16">
        <f t="shared" ca="1" si="45"/>
        <v>2.9366666666666665</v>
      </c>
      <c r="M1414" s="16">
        <f t="shared" ca="1" si="46"/>
        <v>3.1933333333333329</v>
      </c>
      <c r="N1414" s="16">
        <f t="shared" ca="1" si="47"/>
        <v>2.8333333333333335</v>
      </c>
    </row>
    <row r="1415" spans="1:14" ht="24.75" customHeight="1" x14ac:dyDescent="0.8">
      <c r="A1415" s="18" t="s">
        <v>1378</v>
      </c>
      <c r="B1415" s="10" t="str">
        <f ca="1">IFERROR(__xludf.DUMMYFUNCTION("GOOGLEFINANCE(A1415,""PRICE"")"),"#N/A")</f>
        <v>#N/A</v>
      </c>
      <c r="C1415" s="11" t="str">
        <f ca="1">IFERROR(__xludf.DUMMYFUNCTION("GOOGLEFINANCE(A1415,""PRICEOPEN"")"),"#N/A")</f>
        <v>#N/A</v>
      </c>
      <c r="D1415" s="11" t="str">
        <f ca="1">IFERROR(__xludf.DUMMYFUNCTION("GOOGLEFINANCE(A1415,""HIGH"")"),"#N/A")</f>
        <v>#N/A</v>
      </c>
      <c r="E1415" s="11" t="str">
        <f ca="1">IFERROR(__xludf.DUMMYFUNCTION("GOOGLEFINANCE(A1415,""LOW"")"),"#N/A")</f>
        <v>#N/A</v>
      </c>
      <c r="F1415" s="12" t="str">
        <f t="shared" ca="1" si="42"/>
        <v>SELL</v>
      </c>
      <c r="G1415" s="13" t="str">
        <f ca="1">IFERROR(__xludf.DUMMYFUNCTION("GOOGLEFINANCE(A1415,""CLOSEYEST"")"),"#N/A")</f>
        <v>#N/A</v>
      </c>
      <c r="H1415" s="14" t="e">
        <f t="shared" ca="1" si="48"/>
        <v>#VALUE!</v>
      </c>
      <c r="I1415" s="15" t="e">
        <f t="shared" ca="1" si="43"/>
        <v>#VALUE!</v>
      </c>
      <c r="J1415" s="16" t="e">
        <f t="shared" ca="1" si="44"/>
        <v>#VALUE!</v>
      </c>
      <c r="K1415" s="16"/>
      <c r="L1415" s="16" t="e">
        <f t="shared" ca="1" si="45"/>
        <v>#VALUE!</v>
      </c>
      <c r="M1415" s="16" t="e">
        <f t="shared" ca="1" si="46"/>
        <v>#VALUE!</v>
      </c>
      <c r="N1415" s="16" t="e">
        <f t="shared" ca="1" si="47"/>
        <v>#VALUE!</v>
      </c>
    </row>
    <row r="1416" spans="1:14" ht="24.75" customHeight="1" x14ac:dyDescent="0.8">
      <c r="A1416" s="18" t="s">
        <v>1379</v>
      </c>
      <c r="B1416" s="10">
        <f ca="1">IFERROR(__xludf.DUMMYFUNCTION("GOOGLEFINANCE(A1416,""PRICE"")"),14.9)</f>
        <v>14.9</v>
      </c>
      <c r="C1416" s="11">
        <f ca="1">IFERROR(__xludf.DUMMYFUNCTION("GOOGLEFINANCE(A1416,""PRICEOPEN"")"),14)</f>
        <v>14</v>
      </c>
      <c r="D1416" s="11">
        <f ca="1">IFERROR(__xludf.DUMMYFUNCTION("GOOGLEFINANCE(A1416,""HIGH"")"),15.49)</f>
        <v>15.49</v>
      </c>
      <c r="E1416" s="11">
        <f ca="1">IFERROR(__xludf.DUMMYFUNCTION("GOOGLEFINANCE(A1416,""LOW"")"),14)</f>
        <v>14</v>
      </c>
      <c r="F1416" s="12" t="str">
        <f t="shared" ca="1" si="42"/>
        <v>BUY</v>
      </c>
      <c r="G1416" s="13">
        <f ca="1">IFERROR(__xludf.DUMMYFUNCTION("GOOGLEFINANCE(A1416,""CLOSEYEST"")"),13.94)</f>
        <v>13.94</v>
      </c>
      <c r="H1416" s="14" t="str">
        <f t="shared" ca="1" si="48"/>
        <v/>
      </c>
      <c r="I1416" s="15">
        <f t="shared" ca="1" si="43"/>
        <v>14.476666666666667</v>
      </c>
      <c r="J1416" s="16">
        <f t="shared" ca="1" si="44"/>
        <v>14.953333333333333</v>
      </c>
      <c r="K1416" s="16"/>
      <c r="L1416" s="16">
        <f t="shared" ca="1" si="45"/>
        <v>13.463333333333333</v>
      </c>
      <c r="M1416" s="16">
        <f t="shared" ca="1" si="46"/>
        <v>15.966666666666667</v>
      </c>
      <c r="N1416" s="16">
        <f t="shared" ca="1" si="47"/>
        <v>12.986666666666666</v>
      </c>
    </row>
    <row r="1417" spans="1:14" ht="24.75" customHeight="1" x14ac:dyDescent="0.8">
      <c r="A1417" s="18" t="s">
        <v>1380</v>
      </c>
      <c r="B1417" s="10">
        <f ca="1">IFERROR(__xludf.DUMMYFUNCTION("GOOGLEFINANCE(A1417,""PRICE"")"),78.6)</f>
        <v>78.599999999999994</v>
      </c>
      <c r="C1417" s="11">
        <f ca="1">IFERROR(__xludf.DUMMYFUNCTION("GOOGLEFINANCE(A1417,""PRICEOPEN"")"),77)</f>
        <v>77</v>
      </c>
      <c r="D1417" s="11">
        <f ca="1">IFERROR(__xludf.DUMMYFUNCTION("GOOGLEFINANCE(A1417,""HIGH"")"),78.8)</f>
        <v>78.8</v>
      </c>
      <c r="E1417" s="11">
        <f ca="1">IFERROR(__xludf.DUMMYFUNCTION("GOOGLEFINANCE(A1417,""LOW"")"),76.6)</f>
        <v>76.599999999999994</v>
      </c>
      <c r="F1417" s="12" t="str">
        <f t="shared" ca="1" si="42"/>
        <v/>
      </c>
      <c r="G1417" s="13">
        <f ca="1">IFERROR(__xludf.DUMMYFUNCTION("GOOGLEFINANCE(A1417,""CLOSEYEST"")"),77.4)</f>
        <v>77.400000000000006</v>
      </c>
      <c r="H1417" s="14" t="str">
        <f t="shared" ca="1" si="48"/>
        <v/>
      </c>
      <c r="I1417" s="15">
        <f t="shared" ca="1" si="43"/>
        <v>77.599999999999994</v>
      </c>
      <c r="J1417" s="16">
        <f t="shared" ca="1" si="44"/>
        <v>78.599999999999994</v>
      </c>
      <c r="K1417" s="16"/>
      <c r="L1417" s="16">
        <f t="shared" ca="1" si="45"/>
        <v>76.399999999999991</v>
      </c>
      <c r="M1417" s="16">
        <f t="shared" ca="1" si="46"/>
        <v>79.8</v>
      </c>
      <c r="N1417" s="16">
        <f t="shared" ca="1" si="47"/>
        <v>75.399999999999991</v>
      </c>
    </row>
    <row r="1418" spans="1:14" ht="24.75" customHeight="1" x14ac:dyDescent="0.8">
      <c r="A1418" s="18" t="s">
        <v>1381</v>
      </c>
      <c r="B1418" s="10">
        <f ca="1">IFERROR(__xludf.DUMMYFUNCTION("GOOGLEFINANCE(A1418,""PRICE"")"),50.17)</f>
        <v>50.17</v>
      </c>
      <c r="C1418" s="11">
        <f ca="1">IFERROR(__xludf.DUMMYFUNCTION("GOOGLEFINANCE(A1418,""PRICEOPEN"")"),46.2)</f>
        <v>46.2</v>
      </c>
      <c r="D1418" s="11">
        <f ca="1">IFERROR(__xludf.DUMMYFUNCTION("GOOGLEFINANCE(A1418,""HIGH"")"),50.17)</f>
        <v>50.17</v>
      </c>
      <c r="E1418" s="11">
        <f ca="1">IFERROR(__xludf.DUMMYFUNCTION("GOOGLEFINANCE(A1418,""LOW"")"),46.2)</f>
        <v>46.2</v>
      </c>
      <c r="F1418" s="12" t="str">
        <f t="shared" ca="1" si="42"/>
        <v>BUY</v>
      </c>
      <c r="G1418" s="13">
        <f ca="1">IFERROR(__xludf.DUMMYFUNCTION("GOOGLEFINANCE(A1418,""CLOSEYEST"")"),47.79)</f>
        <v>47.79</v>
      </c>
      <c r="H1418" s="14" t="str">
        <f t="shared" ca="1" si="48"/>
        <v>GAP DOWN</v>
      </c>
      <c r="I1418" s="15">
        <f t="shared" ca="1" si="43"/>
        <v>48.053333333333335</v>
      </c>
      <c r="J1418" s="16">
        <f t="shared" ca="1" si="44"/>
        <v>49.906666666666666</v>
      </c>
      <c r="K1418" s="16"/>
      <c r="L1418" s="16">
        <f t="shared" ca="1" si="45"/>
        <v>45.936666666666667</v>
      </c>
      <c r="M1418" s="16">
        <f t="shared" ca="1" si="46"/>
        <v>52.023333333333333</v>
      </c>
      <c r="N1418" s="16">
        <f t="shared" ca="1" si="47"/>
        <v>44.083333333333336</v>
      </c>
    </row>
    <row r="1419" spans="1:14" ht="24.75" customHeight="1" x14ac:dyDescent="0.8">
      <c r="A1419" s="18" t="s">
        <v>1382</v>
      </c>
      <c r="B1419" s="10">
        <f ca="1">IFERROR(__xludf.DUMMYFUNCTION("GOOGLEFINANCE(A1419,""PRICE"")"),0.05)</f>
        <v>0.05</v>
      </c>
      <c r="C1419" s="11">
        <f ca="1">IFERROR(__xludf.DUMMYFUNCTION("GOOGLEFINANCE(A1419,""PRICEOPEN"")"),0.05)</f>
        <v>0.05</v>
      </c>
      <c r="D1419" s="11">
        <f ca="1">IFERROR(__xludf.DUMMYFUNCTION("GOOGLEFINANCE(A1419,""HIGH"")"),0.05)</f>
        <v>0.05</v>
      </c>
      <c r="E1419" s="11">
        <f ca="1">IFERROR(__xludf.DUMMYFUNCTION("GOOGLEFINANCE(A1419,""LOW"")"),0.05)</f>
        <v>0.05</v>
      </c>
      <c r="F1419" s="12" t="str">
        <f t="shared" ca="1" si="42"/>
        <v>SELL</v>
      </c>
      <c r="G1419" s="13">
        <f ca="1">IFERROR(__xludf.DUMMYFUNCTION("GOOGLEFINANCE(A1419,""CLOSEYEST"")"),0.04)</f>
        <v>0.04</v>
      </c>
      <c r="H1419" s="14" t="str">
        <f t="shared" ca="1" si="48"/>
        <v>GAP UP</v>
      </c>
      <c r="I1419" s="15">
        <f t="shared" ca="1" si="43"/>
        <v>4.6666666666666669E-2</v>
      </c>
      <c r="J1419" s="16">
        <f t="shared" ca="1" si="44"/>
        <v>4.3333333333333335E-2</v>
      </c>
      <c r="K1419" s="16"/>
      <c r="L1419" s="16">
        <f t="shared" ca="1" si="45"/>
        <v>4.3333333333333335E-2</v>
      </c>
      <c r="M1419" s="16">
        <f t="shared" ca="1" si="46"/>
        <v>4.6666666666666669E-2</v>
      </c>
      <c r="N1419" s="16">
        <f t="shared" ca="1" si="47"/>
        <v>4.6666666666666669E-2</v>
      </c>
    </row>
    <row r="1420" spans="1:14" ht="24.75" customHeight="1" x14ac:dyDescent="0.8">
      <c r="A1420" s="18" t="s">
        <v>1383</v>
      </c>
      <c r="B1420" s="10">
        <f ca="1">IFERROR(__xludf.DUMMYFUNCTION("GOOGLEFINANCE(A1420,""PRICE"")"),1170.6)</f>
        <v>1170.5999999999999</v>
      </c>
      <c r="C1420" s="11">
        <f ca="1">IFERROR(__xludf.DUMMYFUNCTION("GOOGLEFINANCE(A1420,""PRICEOPEN"")"),1177.3)</f>
        <v>1177.3</v>
      </c>
      <c r="D1420" s="11">
        <f ca="1">IFERROR(__xludf.DUMMYFUNCTION("GOOGLEFINANCE(A1420,""HIGH"")"),1210.9)</f>
        <v>1210.9000000000001</v>
      </c>
      <c r="E1420" s="11">
        <f ca="1">IFERROR(__xludf.DUMMYFUNCTION("GOOGLEFINANCE(A1420,""LOW"")"),1154.2)</f>
        <v>1154.2</v>
      </c>
      <c r="F1420" s="12" t="str">
        <f t="shared" ca="1" si="42"/>
        <v/>
      </c>
      <c r="G1420" s="13">
        <f ca="1">IFERROR(__xludf.DUMMYFUNCTION("GOOGLEFINANCE(A1420,""CLOSEYEST"")"),1177.3)</f>
        <v>1177.3</v>
      </c>
      <c r="H1420" s="14" t="str">
        <f t="shared" ca="1" si="48"/>
        <v/>
      </c>
      <c r="I1420" s="15">
        <f t="shared" ca="1" si="43"/>
        <v>1180.8000000000002</v>
      </c>
      <c r="J1420" s="16">
        <f t="shared" ca="1" si="44"/>
        <v>1207.4000000000003</v>
      </c>
      <c r="K1420" s="16"/>
      <c r="L1420" s="16">
        <f t="shared" ca="1" si="45"/>
        <v>1150.7000000000003</v>
      </c>
      <c r="M1420" s="16">
        <f t="shared" ca="1" si="46"/>
        <v>1237.5000000000002</v>
      </c>
      <c r="N1420" s="16">
        <f t="shared" ca="1" si="47"/>
        <v>1124.1000000000001</v>
      </c>
    </row>
    <row r="1421" spans="1:14" ht="24.75" customHeight="1" x14ac:dyDescent="0.8">
      <c r="A1421" s="18" t="s">
        <v>1384</v>
      </c>
      <c r="B1421" s="10">
        <f ca="1">IFERROR(__xludf.DUMMYFUNCTION("GOOGLEFINANCE(A1421,""PRICE"")"),48.35)</f>
        <v>48.35</v>
      </c>
      <c r="C1421" s="11">
        <f ca="1">IFERROR(__xludf.DUMMYFUNCTION("GOOGLEFINANCE(A1421,""PRICEOPEN"")"),46.3)</f>
        <v>46.3</v>
      </c>
      <c r="D1421" s="11">
        <f ca="1">IFERROR(__xludf.DUMMYFUNCTION("GOOGLEFINANCE(A1421,""HIGH"")"),48.51)</f>
        <v>48.51</v>
      </c>
      <c r="E1421" s="11">
        <f ca="1">IFERROR(__xludf.DUMMYFUNCTION("GOOGLEFINANCE(A1421,""LOW"")"),46.3)</f>
        <v>46.3</v>
      </c>
      <c r="F1421" s="12" t="str">
        <f t="shared" ca="1" si="42"/>
        <v>BUY</v>
      </c>
      <c r="G1421" s="13">
        <f ca="1">IFERROR(__xludf.DUMMYFUNCTION("GOOGLEFINANCE(A1421,""CLOSEYEST"")"),46.2)</f>
        <v>46.2</v>
      </c>
      <c r="H1421" s="14" t="str">
        <f t="shared" ca="1" si="48"/>
        <v/>
      </c>
      <c r="I1421" s="15">
        <f t="shared" ca="1" si="43"/>
        <v>47.00333333333333</v>
      </c>
      <c r="J1421" s="16">
        <f t="shared" ca="1" si="44"/>
        <v>47.706666666666663</v>
      </c>
      <c r="K1421" s="16"/>
      <c r="L1421" s="16">
        <f t="shared" ca="1" si="45"/>
        <v>45.496666666666663</v>
      </c>
      <c r="M1421" s="16">
        <f t="shared" ca="1" si="46"/>
        <v>49.213333333333331</v>
      </c>
      <c r="N1421" s="16">
        <f t="shared" ca="1" si="47"/>
        <v>44.793333333333329</v>
      </c>
    </row>
    <row r="1422" spans="1:14" ht="24.75" customHeight="1" x14ac:dyDescent="0.8">
      <c r="A1422" s="18" t="s">
        <v>1385</v>
      </c>
      <c r="B1422" s="10">
        <f ca="1">IFERROR(__xludf.DUMMYFUNCTION("GOOGLEFINANCE(A1422,""PRICE"")"),26.74)</f>
        <v>26.74</v>
      </c>
      <c r="C1422" s="11" t="str">
        <f ca="1">IFERROR(__xludf.DUMMYFUNCTION("GOOGLEFINANCE(A1422,""PRICEOPEN"")"),"#N/A")</f>
        <v>#N/A</v>
      </c>
      <c r="D1422" s="11" t="str">
        <f ca="1">IFERROR(__xludf.DUMMYFUNCTION("GOOGLEFINANCE(A1422,""HIGH"")"),"#N/A")</f>
        <v>#N/A</v>
      </c>
      <c r="E1422" s="11" t="str">
        <f ca="1">IFERROR(__xludf.DUMMYFUNCTION("GOOGLEFINANCE(A1422,""LOW"")"),"#N/A")</f>
        <v>#N/A</v>
      </c>
      <c r="F1422" s="12" t="str">
        <f t="shared" ca="1" si="42"/>
        <v>SELL</v>
      </c>
      <c r="G1422" s="13">
        <f ca="1">IFERROR(__xludf.DUMMYFUNCTION("GOOGLEFINANCE(A1422,""CLOSEYEST"")"),27.15)</f>
        <v>27.15</v>
      </c>
      <c r="H1422" s="14" t="str">
        <f t="shared" ca="1" si="48"/>
        <v>GAP UP</v>
      </c>
      <c r="I1422" s="15" t="e">
        <f t="shared" ca="1" si="43"/>
        <v>#VALUE!</v>
      </c>
      <c r="J1422" s="16" t="e">
        <f t="shared" ca="1" si="44"/>
        <v>#VALUE!</v>
      </c>
      <c r="K1422" s="16"/>
      <c r="L1422" s="16" t="e">
        <f t="shared" ca="1" si="45"/>
        <v>#VALUE!</v>
      </c>
      <c r="M1422" s="16" t="e">
        <f t="shared" ca="1" si="46"/>
        <v>#VALUE!</v>
      </c>
      <c r="N1422" s="16" t="e">
        <f t="shared" ca="1" si="47"/>
        <v>#VALUE!</v>
      </c>
    </row>
    <row r="1423" spans="1:14" ht="24.75" customHeight="1" x14ac:dyDescent="0.8">
      <c r="A1423" s="18" t="s">
        <v>1386</v>
      </c>
      <c r="B1423" s="10">
        <f ca="1">IFERROR(__xludf.DUMMYFUNCTION("GOOGLEFINANCE(A1423,""PRICE"")"),468)</f>
        <v>468</v>
      </c>
      <c r="C1423" s="11">
        <f ca="1">IFERROR(__xludf.DUMMYFUNCTION("GOOGLEFINANCE(A1423,""PRICEOPEN"")"),461)</f>
        <v>461</v>
      </c>
      <c r="D1423" s="11">
        <f ca="1">IFERROR(__xludf.DUMMYFUNCTION("GOOGLEFINANCE(A1423,""HIGH"")"),469)</f>
        <v>469</v>
      </c>
      <c r="E1423" s="11">
        <f ca="1">IFERROR(__xludf.DUMMYFUNCTION("GOOGLEFINANCE(A1423,""LOW"")"),461)</f>
        <v>461</v>
      </c>
      <c r="F1423" s="12" t="str">
        <f t="shared" ca="1" si="42"/>
        <v>BUY</v>
      </c>
      <c r="G1423" s="13">
        <f ca="1">IFERROR(__xludf.DUMMYFUNCTION("GOOGLEFINANCE(A1423,""CLOSEYEST"")"),460.3)</f>
        <v>460.3</v>
      </c>
      <c r="H1423" s="14" t="str">
        <f t="shared" ca="1" si="48"/>
        <v/>
      </c>
      <c r="I1423" s="15">
        <f t="shared" ca="1" si="43"/>
        <v>463.43333333333334</v>
      </c>
      <c r="J1423" s="16">
        <f t="shared" ca="1" si="44"/>
        <v>465.86666666666667</v>
      </c>
      <c r="K1423" s="16"/>
      <c r="L1423" s="16">
        <f t="shared" ca="1" si="45"/>
        <v>457.86666666666667</v>
      </c>
      <c r="M1423" s="16">
        <f t="shared" ca="1" si="46"/>
        <v>471.43333333333334</v>
      </c>
      <c r="N1423" s="16">
        <f t="shared" ca="1" si="47"/>
        <v>455.43333333333334</v>
      </c>
    </row>
    <row r="1424" spans="1:14" ht="24.75" customHeight="1" x14ac:dyDescent="0.8">
      <c r="A1424" s="18" t="s">
        <v>1387</v>
      </c>
      <c r="B1424" s="10">
        <f ca="1">IFERROR(__xludf.DUMMYFUNCTION("GOOGLEFINANCE(A1424,""PRICE"")"),310.65)</f>
        <v>310.64999999999998</v>
      </c>
      <c r="C1424" s="11">
        <f ca="1">IFERROR(__xludf.DUMMYFUNCTION("GOOGLEFINANCE(A1424,""PRICEOPEN"")"),304.95)</f>
        <v>304.95</v>
      </c>
      <c r="D1424" s="11">
        <f ca="1">IFERROR(__xludf.DUMMYFUNCTION("GOOGLEFINANCE(A1424,""HIGH"")"),313.95)</f>
        <v>313.95</v>
      </c>
      <c r="E1424" s="11">
        <f ca="1">IFERROR(__xludf.DUMMYFUNCTION("GOOGLEFINANCE(A1424,""LOW"")"),300.65)</f>
        <v>300.64999999999998</v>
      </c>
      <c r="F1424" s="12" t="str">
        <f t="shared" ca="1" si="42"/>
        <v/>
      </c>
      <c r="G1424" s="13">
        <f ca="1">IFERROR(__xludf.DUMMYFUNCTION("GOOGLEFINANCE(A1424,""CLOSEYEST"")"),307.15)</f>
        <v>307.14999999999998</v>
      </c>
      <c r="H1424" s="14" t="str">
        <f t="shared" ca="1" si="48"/>
        <v/>
      </c>
      <c r="I1424" s="15">
        <f t="shared" ca="1" si="43"/>
        <v>307.24999999999994</v>
      </c>
      <c r="J1424" s="16">
        <f t="shared" ca="1" si="44"/>
        <v>313.84999999999991</v>
      </c>
      <c r="K1424" s="16"/>
      <c r="L1424" s="16">
        <f t="shared" ca="1" si="45"/>
        <v>300.5499999999999</v>
      </c>
      <c r="M1424" s="16">
        <f t="shared" ca="1" si="46"/>
        <v>320.54999999999995</v>
      </c>
      <c r="N1424" s="16">
        <f t="shared" ca="1" si="47"/>
        <v>293.94999999999993</v>
      </c>
    </row>
    <row r="1425" spans="1:14" ht="24.75" customHeight="1" x14ac:dyDescent="0.8">
      <c r="A1425" s="18" t="s">
        <v>1388</v>
      </c>
      <c r="B1425" s="10">
        <f ca="1">IFERROR(__xludf.DUMMYFUNCTION("GOOGLEFINANCE(A1425,""PRICE"")"),34.09)</f>
        <v>34.090000000000003</v>
      </c>
      <c r="C1425" s="11">
        <f ca="1">IFERROR(__xludf.DUMMYFUNCTION("GOOGLEFINANCE(A1425,""PRICEOPEN"")"),34.19)</f>
        <v>34.19</v>
      </c>
      <c r="D1425" s="11">
        <f ca="1">IFERROR(__xludf.DUMMYFUNCTION("GOOGLEFINANCE(A1425,""HIGH"")"),34.51)</f>
        <v>34.51</v>
      </c>
      <c r="E1425" s="11">
        <f ca="1">IFERROR(__xludf.DUMMYFUNCTION("GOOGLEFINANCE(A1425,""LOW"")"),33.76)</f>
        <v>33.76</v>
      </c>
      <c r="F1425" s="12" t="str">
        <f t="shared" ca="1" si="42"/>
        <v/>
      </c>
      <c r="G1425" s="13">
        <f ca="1">IFERROR(__xludf.DUMMYFUNCTION("GOOGLEFINANCE(A1425,""CLOSEYEST"")"),33.98)</f>
        <v>33.979999999999997</v>
      </c>
      <c r="H1425" s="14" t="str">
        <f t="shared" ca="1" si="48"/>
        <v/>
      </c>
      <c r="I1425" s="15">
        <f t="shared" ca="1" si="43"/>
        <v>34.083333333333336</v>
      </c>
      <c r="J1425" s="16">
        <f t="shared" ca="1" si="44"/>
        <v>34.406666666666673</v>
      </c>
      <c r="K1425" s="16"/>
      <c r="L1425" s="16">
        <f t="shared" ca="1" si="45"/>
        <v>33.656666666666673</v>
      </c>
      <c r="M1425" s="16">
        <f t="shared" ca="1" si="46"/>
        <v>34.833333333333336</v>
      </c>
      <c r="N1425" s="16">
        <f t="shared" ca="1" si="47"/>
        <v>33.333333333333336</v>
      </c>
    </row>
    <row r="1426" spans="1:14" ht="24.75" customHeight="1" x14ac:dyDescent="0.8">
      <c r="A1426" s="18" t="s">
        <v>1389</v>
      </c>
      <c r="B1426" s="10">
        <f ca="1">IFERROR(__xludf.DUMMYFUNCTION("GOOGLEFINANCE(A1426,""PRICE"")"),1347.3)</f>
        <v>1347.3</v>
      </c>
      <c r="C1426" s="11">
        <f ca="1">IFERROR(__xludf.DUMMYFUNCTION("GOOGLEFINANCE(A1426,""PRICEOPEN"")"),1364.1)</f>
        <v>1364.1</v>
      </c>
      <c r="D1426" s="11">
        <f ca="1">IFERROR(__xludf.DUMMYFUNCTION("GOOGLEFINANCE(A1426,""HIGH"")"),1369.7)</f>
        <v>1369.7</v>
      </c>
      <c r="E1426" s="11">
        <f ca="1">IFERROR(__xludf.DUMMYFUNCTION("GOOGLEFINANCE(A1426,""LOW"")"),1344.6)</f>
        <v>1344.6</v>
      </c>
      <c r="F1426" s="12" t="str">
        <f t="shared" ca="1" si="42"/>
        <v/>
      </c>
      <c r="G1426" s="13">
        <f ca="1">IFERROR(__xludf.DUMMYFUNCTION("GOOGLEFINANCE(A1426,""CLOSEYEST"")"),1341.4)</f>
        <v>1341.4</v>
      </c>
      <c r="H1426" s="14" t="str">
        <f t="shared" ca="1" si="48"/>
        <v>GAP UP</v>
      </c>
      <c r="I1426" s="15">
        <f t="shared" ca="1" si="43"/>
        <v>1351.9</v>
      </c>
      <c r="J1426" s="16">
        <f t="shared" ca="1" si="44"/>
        <v>1359.2000000000003</v>
      </c>
      <c r="K1426" s="16"/>
      <c r="L1426" s="16">
        <f t="shared" ca="1" si="45"/>
        <v>1334.1000000000001</v>
      </c>
      <c r="M1426" s="16">
        <f t="shared" ca="1" si="46"/>
        <v>1377.0000000000002</v>
      </c>
      <c r="N1426" s="16">
        <f t="shared" ca="1" si="47"/>
        <v>1326.8</v>
      </c>
    </row>
    <row r="1427" spans="1:14" ht="24.75" customHeight="1" x14ac:dyDescent="0.8">
      <c r="A1427" s="18" t="s">
        <v>1390</v>
      </c>
      <c r="B1427" s="10">
        <f ca="1">IFERROR(__xludf.DUMMYFUNCTION("GOOGLEFINANCE(A1427,""PRICE"")"),150.5)</f>
        <v>150.5</v>
      </c>
      <c r="C1427" s="11">
        <f ca="1">IFERROR(__xludf.DUMMYFUNCTION("GOOGLEFINANCE(A1427,""PRICEOPEN"")"),146.6)</f>
        <v>146.6</v>
      </c>
      <c r="D1427" s="11">
        <f ca="1">IFERROR(__xludf.DUMMYFUNCTION("GOOGLEFINANCE(A1427,""HIGH"")"),150.95)</f>
        <v>150.94999999999999</v>
      </c>
      <c r="E1427" s="11">
        <f ca="1">IFERROR(__xludf.DUMMYFUNCTION("GOOGLEFINANCE(A1427,""LOW"")"),142.1)</f>
        <v>142.1</v>
      </c>
      <c r="F1427" s="12" t="str">
        <f t="shared" ca="1" si="42"/>
        <v/>
      </c>
      <c r="G1427" s="13">
        <f ca="1">IFERROR(__xludf.DUMMYFUNCTION("GOOGLEFINANCE(A1427,""CLOSEYEST"")"),148.86)</f>
        <v>148.86000000000001</v>
      </c>
      <c r="H1427" s="14" t="str">
        <f t="shared" ca="1" si="48"/>
        <v>GAP DOWN</v>
      </c>
      <c r="I1427" s="15">
        <f t="shared" ca="1" si="43"/>
        <v>147.30333333333331</v>
      </c>
      <c r="J1427" s="16">
        <f t="shared" ca="1" si="44"/>
        <v>152.50666666666663</v>
      </c>
      <c r="K1427" s="16"/>
      <c r="L1427" s="16">
        <f t="shared" ca="1" si="45"/>
        <v>143.65666666666664</v>
      </c>
      <c r="M1427" s="16">
        <f t="shared" ca="1" si="46"/>
        <v>156.15333333333331</v>
      </c>
      <c r="N1427" s="16">
        <f t="shared" ca="1" si="47"/>
        <v>138.45333333333332</v>
      </c>
    </row>
    <row r="1428" spans="1:14" ht="24.75" customHeight="1" x14ac:dyDescent="0.8">
      <c r="A1428" s="18" t="s">
        <v>1391</v>
      </c>
      <c r="B1428" s="10">
        <f ca="1">IFERROR(__xludf.DUMMYFUNCTION("GOOGLEFINANCE(A1428,""PRICE"")"),374)</f>
        <v>374</v>
      </c>
      <c r="C1428" s="11">
        <f ca="1">IFERROR(__xludf.DUMMYFUNCTION("GOOGLEFINANCE(A1428,""PRICEOPEN"")"),377.75)</f>
        <v>377.75</v>
      </c>
      <c r="D1428" s="11">
        <f ca="1">IFERROR(__xludf.DUMMYFUNCTION("GOOGLEFINANCE(A1428,""HIGH"")"),379.15)</f>
        <v>379.15</v>
      </c>
      <c r="E1428" s="11">
        <f ca="1">IFERROR(__xludf.DUMMYFUNCTION("GOOGLEFINANCE(A1428,""LOW"")"),366.5)</f>
        <v>366.5</v>
      </c>
      <c r="F1428" s="12" t="str">
        <f t="shared" ca="1" si="42"/>
        <v/>
      </c>
      <c r="G1428" s="13">
        <f ca="1">IFERROR(__xludf.DUMMYFUNCTION("GOOGLEFINANCE(A1428,""CLOSEYEST"")"),375.95)</f>
        <v>375.95</v>
      </c>
      <c r="H1428" s="14" t="str">
        <f t="shared" ca="1" si="48"/>
        <v/>
      </c>
      <c r="I1428" s="15">
        <f t="shared" ca="1" si="43"/>
        <v>373.86666666666662</v>
      </c>
      <c r="J1428" s="16">
        <f t="shared" ca="1" si="44"/>
        <v>381.23333333333323</v>
      </c>
      <c r="K1428" s="16"/>
      <c r="L1428" s="16">
        <f t="shared" ca="1" si="45"/>
        <v>368.58333333333326</v>
      </c>
      <c r="M1428" s="16">
        <f t="shared" ca="1" si="46"/>
        <v>386.51666666666659</v>
      </c>
      <c r="N1428" s="16">
        <f t="shared" ca="1" si="47"/>
        <v>361.21666666666664</v>
      </c>
    </row>
    <row r="1429" spans="1:14" ht="24.75" customHeight="1" x14ac:dyDescent="0.8">
      <c r="A1429" s="18" t="s">
        <v>1392</v>
      </c>
      <c r="B1429" s="10">
        <f ca="1">IFERROR(__xludf.DUMMYFUNCTION("GOOGLEFINANCE(A1429,""PRICE"")"),3.6)</f>
        <v>3.6</v>
      </c>
      <c r="C1429" s="11">
        <f ca="1">IFERROR(__xludf.DUMMYFUNCTION("GOOGLEFINANCE(A1429,""PRICEOPEN"")"),3.52)</f>
        <v>3.52</v>
      </c>
      <c r="D1429" s="11">
        <f ca="1">IFERROR(__xludf.DUMMYFUNCTION("GOOGLEFINANCE(A1429,""HIGH"")"),3.66)</f>
        <v>3.66</v>
      </c>
      <c r="E1429" s="11">
        <f ca="1">IFERROR(__xludf.DUMMYFUNCTION("GOOGLEFINANCE(A1429,""LOW"")"),3.51)</f>
        <v>3.51</v>
      </c>
      <c r="F1429" s="12" t="str">
        <f t="shared" ca="1" si="42"/>
        <v/>
      </c>
      <c r="G1429" s="13">
        <f ca="1">IFERROR(__xludf.DUMMYFUNCTION("GOOGLEFINANCE(A1429,""CLOSEYEST"")"),3.56)</f>
        <v>3.56</v>
      </c>
      <c r="H1429" s="14" t="str">
        <f t="shared" ca="1" si="48"/>
        <v>GAP DOWN</v>
      </c>
      <c r="I1429" s="15">
        <f t="shared" ca="1" si="43"/>
        <v>3.5766666666666667</v>
      </c>
      <c r="J1429" s="16">
        <f t="shared" ca="1" si="44"/>
        <v>3.6433333333333335</v>
      </c>
      <c r="K1429" s="16"/>
      <c r="L1429" s="16">
        <f t="shared" ca="1" si="45"/>
        <v>3.4933333333333332</v>
      </c>
      <c r="M1429" s="16">
        <f t="shared" ca="1" si="46"/>
        <v>3.726666666666667</v>
      </c>
      <c r="N1429" s="16">
        <f t="shared" ca="1" si="47"/>
        <v>3.4266666666666663</v>
      </c>
    </row>
    <row r="1430" spans="1:14" ht="24.75" customHeight="1" x14ac:dyDescent="0.8">
      <c r="A1430" s="18" t="s">
        <v>1393</v>
      </c>
      <c r="B1430" s="10">
        <f ca="1">IFERROR(__xludf.DUMMYFUNCTION("GOOGLEFINANCE(A1430,""PRICE"")"),73.3)</f>
        <v>73.3</v>
      </c>
      <c r="C1430" s="11">
        <f ca="1">IFERROR(__xludf.DUMMYFUNCTION("GOOGLEFINANCE(A1430,""PRICEOPEN"")"),72.4)</f>
        <v>72.400000000000006</v>
      </c>
      <c r="D1430" s="11">
        <f ca="1">IFERROR(__xludf.DUMMYFUNCTION("GOOGLEFINANCE(A1430,""HIGH"")"),73.9)</f>
        <v>73.900000000000006</v>
      </c>
      <c r="E1430" s="11">
        <f ca="1">IFERROR(__xludf.DUMMYFUNCTION("GOOGLEFINANCE(A1430,""LOW"")"),70.6)</f>
        <v>70.599999999999994</v>
      </c>
      <c r="F1430" s="12" t="str">
        <f t="shared" ca="1" si="42"/>
        <v/>
      </c>
      <c r="G1430" s="13">
        <f ca="1">IFERROR(__xludf.DUMMYFUNCTION("GOOGLEFINANCE(A1430,""CLOSEYEST"")"),71.46)</f>
        <v>71.459999999999994</v>
      </c>
      <c r="H1430" s="14" t="str">
        <f t="shared" ca="1" si="48"/>
        <v>GAP UP</v>
      </c>
      <c r="I1430" s="15">
        <f t="shared" ca="1" si="43"/>
        <v>71.986666666666665</v>
      </c>
      <c r="J1430" s="16">
        <f t="shared" ca="1" si="44"/>
        <v>73.373333333333335</v>
      </c>
      <c r="K1430" s="16"/>
      <c r="L1430" s="16">
        <f t="shared" ca="1" si="45"/>
        <v>70.073333333333323</v>
      </c>
      <c r="M1430" s="16">
        <f t="shared" ca="1" si="46"/>
        <v>75.286666666666676</v>
      </c>
      <c r="N1430" s="16">
        <f t="shared" ca="1" si="47"/>
        <v>68.686666666666653</v>
      </c>
    </row>
    <row r="1431" spans="1:14" ht="24.75" customHeight="1" x14ac:dyDescent="0.8">
      <c r="A1431" s="18" t="s">
        <v>1394</v>
      </c>
      <c r="B1431" s="10">
        <f ca="1">IFERROR(__xludf.DUMMYFUNCTION("GOOGLEFINANCE(A1431,""PRICE"")"),4.19)</f>
        <v>4.1900000000000004</v>
      </c>
      <c r="C1431" s="11">
        <f ca="1">IFERROR(__xludf.DUMMYFUNCTION("GOOGLEFINANCE(A1431,""PRICEOPEN"")"),4.26)</f>
        <v>4.26</v>
      </c>
      <c r="D1431" s="11">
        <f ca="1">IFERROR(__xludf.DUMMYFUNCTION("GOOGLEFINANCE(A1431,""HIGH"")"),4.29)</f>
        <v>4.29</v>
      </c>
      <c r="E1431" s="11">
        <f ca="1">IFERROR(__xludf.DUMMYFUNCTION("GOOGLEFINANCE(A1431,""LOW"")"),4.1)</f>
        <v>4.0999999999999996</v>
      </c>
      <c r="F1431" s="12" t="str">
        <f t="shared" ca="1" si="42"/>
        <v/>
      </c>
      <c r="G1431" s="13">
        <f ca="1">IFERROR(__xludf.DUMMYFUNCTION("GOOGLEFINANCE(A1431,""CLOSEYEST"")"),4.19)</f>
        <v>4.1900000000000004</v>
      </c>
      <c r="H1431" s="14" t="str">
        <f t="shared" ca="1" si="48"/>
        <v>GAP UP</v>
      </c>
      <c r="I1431" s="15">
        <f t="shared" ca="1" si="43"/>
        <v>4.1933333333333342</v>
      </c>
      <c r="J1431" s="16">
        <f t="shared" ca="1" si="44"/>
        <v>4.2866666666666688</v>
      </c>
      <c r="K1431" s="16"/>
      <c r="L1431" s="16">
        <f t="shared" ca="1" si="45"/>
        <v>4.0966666666666685</v>
      </c>
      <c r="M1431" s="16">
        <f t="shared" ca="1" si="46"/>
        <v>4.3833333333333346</v>
      </c>
      <c r="N1431" s="16">
        <f t="shared" ca="1" si="47"/>
        <v>4.0033333333333339</v>
      </c>
    </row>
    <row r="1432" spans="1:14" ht="24.75" customHeight="1" x14ac:dyDescent="0.8">
      <c r="A1432" s="18" t="s">
        <v>1395</v>
      </c>
      <c r="B1432" s="10">
        <f ca="1">IFERROR(__xludf.DUMMYFUNCTION("GOOGLEFINANCE(A1432,""PRICE"")"),4.84)</f>
        <v>4.84</v>
      </c>
      <c r="C1432" s="11">
        <f ca="1">IFERROR(__xludf.DUMMYFUNCTION("GOOGLEFINANCE(A1432,""PRICEOPEN"")"),4.71)</f>
        <v>4.71</v>
      </c>
      <c r="D1432" s="11">
        <f ca="1">IFERROR(__xludf.DUMMYFUNCTION("GOOGLEFINANCE(A1432,""HIGH"")"),4.89)</f>
        <v>4.8899999999999997</v>
      </c>
      <c r="E1432" s="11">
        <f ca="1">IFERROR(__xludf.DUMMYFUNCTION("GOOGLEFINANCE(A1432,""LOW"")"),4.66)</f>
        <v>4.66</v>
      </c>
      <c r="F1432" s="12" t="str">
        <f t="shared" ca="1" si="42"/>
        <v/>
      </c>
      <c r="G1432" s="13">
        <f ca="1">IFERROR(__xludf.DUMMYFUNCTION("GOOGLEFINANCE(A1432,""CLOSEYEST"")"),4.71)</f>
        <v>4.71</v>
      </c>
      <c r="H1432" s="14" t="str">
        <f t="shared" ca="1" si="48"/>
        <v/>
      </c>
      <c r="I1432" s="15">
        <f t="shared" ca="1" si="43"/>
        <v>4.7533333333333339</v>
      </c>
      <c r="J1432" s="16">
        <f t="shared" ca="1" si="44"/>
        <v>4.8466666666666676</v>
      </c>
      <c r="K1432" s="16"/>
      <c r="L1432" s="16">
        <f t="shared" ca="1" si="45"/>
        <v>4.616666666666668</v>
      </c>
      <c r="M1432" s="16">
        <f t="shared" ca="1" si="46"/>
        <v>4.9833333333333334</v>
      </c>
      <c r="N1432" s="16">
        <f t="shared" ca="1" si="47"/>
        <v>4.5233333333333343</v>
      </c>
    </row>
    <row r="1433" spans="1:14" ht="24.75" customHeight="1" x14ac:dyDescent="0.8">
      <c r="A1433" s="18" t="s">
        <v>1396</v>
      </c>
      <c r="B1433" s="10">
        <f ca="1">IFERROR(__xludf.DUMMYFUNCTION("GOOGLEFINANCE(A1433,""PRICE"")"),146.6)</f>
        <v>146.6</v>
      </c>
      <c r="C1433" s="11">
        <f ca="1">IFERROR(__xludf.DUMMYFUNCTION("GOOGLEFINANCE(A1433,""PRICEOPEN"")"),145.99)</f>
        <v>145.99</v>
      </c>
      <c r="D1433" s="11">
        <f ca="1">IFERROR(__xludf.DUMMYFUNCTION("GOOGLEFINANCE(A1433,""HIGH"")"),151.25)</f>
        <v>151.25</v>
      </c>
      <c r="E1433" s="11">
        <f ca="1">IFERROR(__xludf.DUMMYFUNCTION("GOOGLEFINANCE(A1433,""LOW"")"),144.78)</f>
        <v>144.78</v>
      </c>
      <c r="F1433" s="12" t="str">
        <f t="shared" ca="1" si="42"/>
        <v/>
      </c>
      <c r="G1433" s="13">
        <f ca="1">IFERROR(__xludf.DUMMYFUNCTION("GOOGLEFINANCE(A1433,""CLOSEYEST"")"),146.57)</f>
        <v>146.57</v>
      </c>
      <c r="H1433" s="14" t="str">
        <f t="shared" ca="1" si="48"/>
        <v/>
      </c>
      <c r="I1433" s="15">
        <f t="shared" ca="1" si="43"/>
        <v>147.53333333333333</v>
      </c>
      <c r="J1433" s="16">
        <f t="shared" ca="1" si="44"/>
        <v>150.28666666666666</v>
      </c>
      <c r="K1433" s="16"/>
      <c r="L1433" s="16">
        <f t="shared" ca="1" si="45"/>
        <v>143.81666666666666</v>
      </c>
      <c r="M1433" s="16">
        <f t="shared" ca="1" si="46"/>
        <v>154.00333333333333</v>
      </c>
      <c r="N1433" s="16">
        <f t="shared" ca="1" si="47"/>
        <v>141.06333333333333</v>
      </c>
    </row>
    <row r="1434" spans="1:14" ht="24.75" customHeight="1" x14ac:dyDescent="0.8">
      <c r="A1434" s="18" t="s">
        <v>1397</v>
      </c>
      <c r="B1434" s="10">
        <f ca="1">IFERROR(__xludf.DUMMYFUNCTION("GOOGLEFINANCE(A1434,""PRICE"")"),195.5)</f>
        <v>195.5</v>
      </c>
      <c r="C1434" s="11">
        <f ca="1">IFERROR(__xludf.DUMMYFUNCTION("GOOGLEFINANCE(A1434,""PRICEOPEN"")"),199.9)</f>
        <v>199.9</v>
      </c>
      <c r="D1434" s="11">
        <f ca="1">IFERROR(__xludf.DUMMYFUNCTION("GOOGLEFINANCE(A1434,""HIGH"")"),199.9)</f>
        <v>199.9</v>
      </c>
      <c r="E1434" s="11">
        <f ca="1">IFERROR(__xludf.DUMMYFUNCTION("GOOGLEFINANCE(A1434,""LOW"")"),191.91)</f>
        <v>191.91</v>
      </c>
      <c r="F1434" s="12" t="str">
        <f t="shared" ca="1" si="42"/>
        <v>SELL</v>
      </c>
      <c r="G1434" s="13">
        <f ca="1">IFERROR(__xludf.DUMMYFUNCTION("GOOGLEFINANCE(A1434,""CLOSEYEST"")"),195.12)</f>
        <v>195.12</v>
      </c>
      <c r="H1434" s="14" t="str">
        <f t="shared" ca="1" si="48"/>
        <v>GAP UP</v>
      </c>
      <c r="I1434" s="15">
        <f t="shared" ca="1" si="43"/>
        <v>195.64333333333335</v>
      </c>
      <c r="J1434" s="16">
        <f t="shared" ca="1" si="44"/>
        <v>199.37666666666669</v>
      </c>
      <c r="K1434" s="16"/>
      <c r="L1434" s="16">
        <f t="shared" ca="1" si="45"/>
        <v>191.38666666666668</v>
      </c>
      <c r="M1434" s="16">
        <f t="shared" ca="1" si="46"/>
        <v>203.63333333333335</v>
      </c>
      <c r="N1434" s="16">
        <f t="shared" ca="1" si="47"/>
        <v>187.65333333333334</v>
      </c>
    </row>
    <row r="1435" spans="1:14" ht="24.75" customHeight="1" x14ac:dyDescent="0.8">
      <c r="A1435" s="18" t="s">
        <v>1398</v>
      </c>
      <c r="B1435" s="10">
        <f ca="1">IFERROR(__xludf.DUMMYFUNCTION("GOOGLEFINANCE(A1435,""PRICE"")"),33.05)</f>
        <v>33.049999999999997</v>
      </c>
      <c r="C1435" s="11">
        <f ca="1">IFERROR(__xludf.DUMMYFUNCTION("GOOGLEFINANCE(A1435,""PRICEOPEN"")"),32.19)</f>
        <v>32.19</v>
      </c>
      <c r="D1435" s="11">
        <f ca="1">IFERROR(__xludf.DUMMYFUNCTION("GOOGLEFINANCE(A1435,""HIGH"")"),33.7)</f>
        <v>33.700000000000003</v>
      </c>
      <c r="E1435" s="11">
        <f ca="1">IFERROR(__xludf.DUMMYFUNCTION("GOOGLEFINANCE(A1435,""LOW"")"),32.19)</f>
        <v>32.19</v>
      </c>
      <c r="F1435" s="12" t="str">
        <f t="shared" ca="1" si="42"/>
        <v>BUY</v>
      </c>
      <c r="G1435" s="13">
        <f ca="1">IFERROR(__xludf.DUMMYFUNCTION("GOOGLEFINANCE(A1435,""CLOSEYEST"")"),32.19)</f>
        <v>32.19</v>
      </c>
      <c r="H1435" s="14" t="str">
        <f t="shared" ca="1" si="48"/>
        <v/>
      </c>
      <c r="I1435" s="15">
        <f t="shared" ca="1" si="43"/>
        <v>32.693333333333335</v>
      </c>
      <c r="J1435" s="16">
        <f t="shared" ca="1" si="44"/>
        <v>33.196666666666673</v>
      </c>
      <c r="K1435" s="16"/>
      <c r="L1435" s="16">
        <f t="shared" ca="1" si="45"/>
        <v>31.686666666666667</v>
      </c>
      <c r="M1435" s="16">
        <f t="shared" ca="1" si="46"/>
        <v>34.20333333333334</v>
      </c>
      <c r="N1435" s="16">
        <f t="shared" ca="1" si="47"/>
        <v>31.18333333333333</v>
      </c>
    </row>
    <row r="1436" spans="1:14" ht="24.75" customHeight="1" x14ac:dyDescent="0.8">
      <c r="A1436" s="18" t="s">
        <v>1399</v>
      </c>
      <c r="B1436" s="10">
        <f ca="1">IFERROR(__xludf.DUMMYFUNCTION("GOOGLEFINANCE(A1436,""PRICE"")"),11.79)</f>
        <v>11.79</v>
      </c>
      <c r="C1436" s="11">
        <f ca="1">IFERROR(__xludf.DUMMYFUNCTION("GOOGLEFINANCE(A1436,""PRICEOPEN"")"),11.8)</f>
        <v>11.8</v>
      </c>
      <c r="D1436" s="11">
        <f ca="1">IFERROR(__xludf.DUMMYFUNCTION("GOOGLEFINANCE(A1436,""HIGH"")"),11.8)</f>
        <v>11.8</v>
      </c>
      <c r="E1436" s="11">
        <f ca="1">IFERROR(__xludf.DUMMYFUNCTION("GOOGLEFINANCE(A1436,""LOW"")"),11.7)</f>
        <v>11.7</v>
      </c>
      <c r="F1436" s="12" t="str">
        <f t="shared" ca="1" si="42"/>
        <v>SELL</v>
      </c>
      <c r="G1436" s="13">
        <f ca="1">IFERROR(__xludf.DUMMYFUNCTION("GOOGLEFINANCE(A1436,""CLOSEYEST"")"),11.8)</f>
        <v>11.8</v>
      </c>
      <c r="H1436" s="14" t="str">
        <f t="shared" ca="1" si="48"/>
        <v/>
      </c>
      <c r="I1436" s="15">
        <f t="shared" ca="1" si="43"/>
        <v>11.766666666666666</v>
      </c>
      <c r="J1436" s="16">
        <f t="shared" ca="1" si="44"/>
        <v>11.833333333333332</v>
      </c>
      <c r="K1436" s="16"/>
      <c r="L1436" s="16">
        <f t="shared" ca="1" si="45"/>
        <v>11.733333333333331</v>
      </c>
      <c r="M1436" s="16">
        <f t="shared" ca="1" si="46"/>
        <v>11.866666666666667</v>
      </c>
      <c r="N1436" s="16">
        <f t="shared" ca="1" si="47"/>
        <v>11.666666666666664</v>
      </c>
    </row>
    <row r="1437" spans="1:14" ht="24.75" customHeight="1" x14ac:dyDescent="0.8">
      <c r="A1437" s="18" t="s">
        <v>1400</v>
      </c>
      <c r="B1437" s="10">
        <f ca="1">IFERROR(__xludf.DUMMYFUNCTION("GOOGLEFINANCE(A1437,""PRICE"")"),4.6)</f>
        <v>4.5999999999999996</v>
      </c>
      <c r="C1437" s="11">
        <f ca="1">IFERROR(__xludf.DUMMYFUNCTION("GOOGLEFINANCE(A1437,""PRICEOPEN"")"),4.58)</f>
        <v>4.58</v>
      </c>
      <c r="D1437" s="11">
        <f ca="1">IFERROR(__xludf.DUMMYFUNCTION("GOOGLEFINANCE(A1437,""HIGH"")"),4.7)</f>
        <v>4.7</v>
      </c>
      <c r="E1437" s="11">
        <f ca="1">IFERROR(__xludf.DUMMYFUNCTION("GOOGLEFINANCE(A1437,""LOW"")"),4.54)</f>
        <v>4.54</v>
      </c>
      <c r="F1437" s="12" t="str">
        <f t="shared" ca="1" si="42"/>
        <v/>
      </c>
      <c r="G1437" s="13">
        <f ca="1">IFERROR(__xludf.DUMMYFUNCTION("GOOGLEFINANCE(A1437,""CLOSEYEST"")"),4.64)</f>
        <v>4.6399999999999997</v>
      </c>
      <c r="H1437" s="14" t="str">
        <f t="shared" ca="1" si="48"/>
        <v>GAP DOWN</v>
      </c>
      <c r="I1437" s="15">
        <f t="shared" ca="1" si="43"/>
        <v>4.626666666666666</v>
      </c>
      <c r="J1437" s="16">
        <f t="shared" ca="1" si="44"/>
        <v>4.713333333333332</v>
      </c>
      <c r="K1437" s="16"/>
      <c r="L1437" s="16">
        <f t="shared" ca="1" si="45"/>
        <v>4.5533333333333319</v>
      </c>
      <c r="M1437" s="16">
        <f t="shared" ca="1" si="46"/>
        <v>4.7866666666666662</v>
      </c>
      <c r="N1437" s="16">
        <f t="shared" ca="1" si="47"/>
        <v>4.4666666666666659</v>
      </c>
    </row>
    <row r="1438" spans="1:14" ht="24.75" customHeight="1" x14ac:dyDescent="0.8">
      <c r="A1438" s="18" t="s">
        <v>1401</v>
      </c>
      <c r="B1438" s="10">
        <f ca="1">IFERROR(__xludf.DUMMYFUNCTION("GOOGLEFINANCE(A1438,""PRICE"")"),174.98)</f>
        <v>174.98</v>
      </c>
      <c r="C1438" s="11">
        <f ca="1">IFERROR(__xludf.DUMMYFUNCTION("GOOGLEFINANCE(A1438,""PRICEOPEN"")"),168.6)</f>
        <v>168.6</v>
      </c>
      <c r="D1438" s="11">
        <f ca="1">IFERROR(__xludf.DUMMYFUNCTION("GOOGLEFINANCE(A1438,""HIGH"")"),177.8)</f>
        <v>177.8</v>
      </c>
      <c r="E1438" s="11">
        <f ca="1">IFERROR(__xludf.DUMMYFUNCTION("GOOGLEFINANCE(A1438,""LOW"")"),168.31)</f>
        <v>168.31</v>
      </c>
      <c r="F1438" s="12" t="str">
        <f t="shared" ca="1" si="42"/>
        <v/>
      </c>
      <c r="G1438" s="13">
        <f ca="1">IFERROR(__xludf.DUMMYFUNCTION("GOOGLEFINANCE(A1438,""CLOSEYEST"")"),168.95)</f>
        <v>168.95</v>
      </c>
      <c r="H1438" s="14" t="str">
        <f t="shared" ca="1" si="48"/>
        <v/>
      </c>
      <c r="I1438" s="15">
        <f t="shared" ca="1" si="43"/>
        <v>171.68666666666664</v>
      </c>
      <c r="J1438" s="16">
        <f t="shared" ca="1" si="44"/>
        <v>175.06333333333328</v>
      </c>
      <c r="K1438" s="16"/>
      <c r="L1438" s="16">
        <f t="shared" ca="1" si="45"/>
        <v>165.57333333333327</v>
      </c>
      <c r="M1438" s="16">
        <f t="shared" ca="1" si="46"/>
        <v>181.17666666666665</v>
      </c>
      <c r="N1438" s="16">
        <f t="shared" ca="1" si="47"/>
        <v>162.19666666666663</v>
      </c>
    </row>
    <row r="1439" spans="1:14" ht="24.75" customHeight="1" x14ac:dyDescent="0.8">
      <c r="A1439" s="18" t="s">
        <v>1402</v>
      </c>
      <c r="B1439" s="10">
        <f ca="1">IFERROR(__xludf.DUMMYFUNCTION("GOOGLEFINANCE(A1439,""PRICE"")"),15.89)</f>
        <v>15.89</v>
      </c>
      <c r="C1439" s="11">
        <f ca="1">IFERROR(__xludf.DUMMYFUNCTION("GOOGLEFINANCE(A1439,""PRICEOPEN"")"),15.7)</f>
        <v>15.7</v>
      </c>
      <c r="D1439" s="11">
        <f ca="1">IFERROR(__xludf.DUMMYFUNCTION("GOOGLEFINANCE(A1439,""HIGH"")"),15.91)</f>
        <v>15.91</v>
      </c>
      <c r="E1439" s="11">
        <f ca="1">IFERROR(__xludf.DUMMYFUNCTION("GOOGLEFINANCE(A1439,""LOW"")"),15.63)</f>
        <v>15.63</v>
      </c>
      <c r="F1439" s="12" t="str">
        <f t="shared" ca="1" si="42"/>
        <v/>
      </c>
      <c r="G1439" s="13">
        <f ca="1">IFERROR(__xludf.DUMMYFUNCTION("GOOGLEFINANCE(A1439,""CLOSEYEST"")"),15.67)</f>
        <v>15.67</v>
      </c>
      <c r="H1439" s="14" t="str">
        <f t="shared" ca="1" si="48"/>
        <v/>
      </c>
      <c r="I1439" s="15">
        <f t="shared" ca="1" si="43"/>
        <v>15.736666666666666</v>
      </c>
      <c r="J1439" s="16">
        <f t="shared" ca="1" si="44"/>
        <v>15.843333333333332</v>
      </c>
      <c r="K1439" s="16"/>
      <c r="L1439" s="16">
        <f t="shared" ca="1" si="45"/>
        <v>15.563333333333333</v>
      </c>
      <c r="M1439" s="16">
        <f t="shared" ca="1" si="46"/>
        <v>16.016666666666666</v>
      </c>
      <c r="N1439" s="16">
        <f t="shared" ca="1" si="47"/>
        <v>15.456666666666667</v>
      </c>
    </row>
    <row r="1440" spans="1:14" ht="24.75" customHeight="1" x14ac:dyDescent="0.8">
      <c r="A1440" s="18" t="s">
        <v>1403</v>
      </c>
      <c r="B1440" s="10">
        <f ca="1">IFERROR(__xludf.DUMMYFUNCTION("GOOGLEFINANCE(A1440,""PRICE"")"),21.92)</f>
        <v>21.92</v>
      </c>
      <c r="C1440" s="11">
        <f ca="1">IFERROR(__xludf.DUMMYFUNCTION("GOOGLEFINANCE(A1440,""PRICEOPEN"")"),21.64)</f>
        <v>21.64</v>
      </c>
      <c r="D1440" s="11">
        <f ca="1">IFERROR(__xludf.DUMMYFUNCTION("GOOGLEFINANCE(A1440,""HIGH"")"),21.92)</f>
        <v>21.92</v>
      </c>
      <c r="E1440" s="11">
        <f ca="1">IFERROR(__xludf.DUMMYFUNCTION("GOOGLEFINANCE(A1440,""LOW"")"),20)</f>
        <v>20</v>
      </c>
      <c r="F1440" s="12" t="str">
        <f t="shared" ca="1" si="42"/>
        <v/>
      </c>
      <c r="G1440" s="13">
        <f ca="1">IFERROR(__xludf.DUMMYFUNCTION("GOOGLEFINANCE(A1440,""CLOSEYEST"")"),21.22)</f>
        <v>21.22</v>
      </c>
      <c r="H1440" s="14" t="str">
        <f t="shared" ca="1" si="48"/>
        <v>GAP UP</v>
      </c>
      <c r="I1440" s="15">
        <f t="shared" ca="1" si="43"/>
        <v>21.046666666666667</v>
      </c>
      <c r="J1440" s="16">
        <f t="shared" ca="1" si="44"/>
        <v>22.093333333333334</v>
      </c>
      <c r="K1440" s="16"/>
      <c r="L1440" s="16">
        <f t="shared" ca="1" si="45"/>
        <v>20.173333333333332</v>
      </c>
      <c r="M1440" s="16">
        <f t="shared" ca="1" si="46"/>
        <v>22.966666666666669</v>
      </c>
      <c r="N1440" s="16">
        <f t="shared" ca="1" si="47"/>
        <v>19.126666666666665</v>
      </c>
    </row>
    <row r="1441" spans="1:14" ht="24.75" customHeight="1" x14ac:dyDescent="0.8">
      <c r="A1441" s="18" t="s">
        <v>1404</v>
      </c>
      <c r="B1441" s="10">
        <f ca="1">IFERROR(__xludf.DUMMYFUNCTION("GOOGLEFINANCE(A1441,""PRICE"")"),36)</f>
        <v>36</v>
      </c>
      <c r="C1441" s="11">
        <f ca="1">IFERROR(__xludf.DUMMYFUNCTION("GOOGLEFINANCE(A1441,""PRICEOPEN"")"),34.96)</f>
        <v>34.96</v>
      </c>
      <c r="D1441" s="11">
        <f ca="1">IFERROR(__xludf.DUMMYFUNCTION("GOOGLEFINANCE(A1441,""HIGH"")"),36.5)</f>
        <v>36.5</v>
      </c>
      <c r="E1441" s="11">
        <f ca="1">IFERROR(__xludf.DUMMYFUNCTION("GOOGLEFINANCE(A1441,""LOW"")"),34.25)</f>
        <v>34.25</v>
      </c>
      <c r="F1441" s="12" t="str">
        <f t="shared" ca="1" si="42"/>
        <v/>
      </c>
      <c r="G1441" s="13">
        <f ca="1">IFERROR(__xludf.DUMMYFUNCTION("GOOGLEFINANCE(A1441,""CLOSEYEST"")"),34.96)</f>
        <v>34.96</v>
      </c>
      <c r="H1441" s="14" t="str">
        <f t="shared" ca="1" si="48"/>
        <v/>
      </c>
      <c r="I1441" s="15">
        <f t="shared" ca="1" si="43"/>
        <v>35.236666666666672</v>
      </c>
      <c r="J1441" s="16">
        <f t="shared" ca="1" si="44"/>
        <v>36.223333333333343</v>
      </c>
      <c r="K1441" s="16"/>
      <c r="L1441" s="16">
        <f t="shared" ca="1" si="45"/>
        <v>33.973333333333343</v>
      </c>
      <c r="M1441" s="16">
        <f t="shared" ca="1" si="46"/>
        <v>37.486666666666672</v>
      </c>
      <c r="N1441" s="16">
        <f t="shared" ca="1" si="47"/>
        <v>32.986666666666672</v>
      </c>
    </row>
    <row r="1442" spans="1:14" ht="24.75" customHeight="1" x14ac:dyDescent="0.8">
      <c r="A1442" s="18" t="s">
        <v>1405</v>
      </c>
      <c r="B1442" s="10">
        <f ca="1">IFERROR(__xludf.DUMMYFUNCTION("GOOGLEFINANCE(A1442,""PRICE"")"),1815)</f>
        <v>1815</v>
      </c>
      <c r="C1442" s="11">
        <f ca="1">IFERROR(__xludf.DUMMYFUNCTION("GOOGLEFINANCE(A1442,""PRICEOPEN"")"),1815.8)</f>
        <v>1815.8</v>
      </c>
      <c r="D1442" s="11">
        <f ca="1">IFERROR(__xludf.DUMMYFUNCTION("GOOGLEFINANCE(A1442,""HIGH"")"),1838.9)</f>
        <v>1838.9</v>
      </c>
      <c r="E1442" s="11">
        <f ca="1">IFERROR(__xludf.DUMMYFUNCTION("GOOGLEFINANCE(A1442,""LOW"")"),1796.3)</f>
        <v>1796.3</v>
      </c>
      <c r="F1442" s="12" t="str">
        <f t="shared" ca="1" si="42"/>
        <v/>
      </c>
      <c r="G1442" s="13">
        <f ca="1">IFERROR(__xludf.DUMMYFUNCTION("GOOGLEFINANCE(A1442,""CLOSEYEST"")"),1808.7)</f>
        <v>1808.7</v>
      </c>
      <c r="H1442" s="14" t="str">
        <f t="shared" ca="1" si="48"/>
        <v/>
      </c>
      <c r="I1442" s="15">
        <f t="shared" ca="1" si="43"/>
        <v>1814.6333333333332</v>
      </c>
      <c r="J1442" s="16">
        <f t="shared" ca="1" si="44"/>
        <v>1832.9666666666665</v>
      </c>
      <c r="K1442" s="16"/>
      <c r="L1442" s="16">
        <f t="shared" ca="1" si="45"/>
        <v>1790.3666666666663</v>
      </c>
      <c r="M1442" s="16">
        <f t="shared" ca="1" si="46"/>
        <v>1857.2333333333333</v>
      </c>
      <c r="N1442" s="16">
        <f t="shared" ca="1" si="47"/>
        <v>1772.0333333333331</v>
      </c>
    </row>
    <row r="1443" spans="1:14" ht="24.75" customHeight="1" x14ac:dyDescent="0.8">
      <c r="A1443" s="18" t="s">
        <v>1406</v>
      </c>
      <c r="B1443" s="10">
        <f ca="1">IFERROR(__xludf.DUMMYFUNCTION("GOOGLEFINANCE(A1443,""PRICE"")"),21.9)</f>
        <v>21.9</v>
      </c>
      <c r="C1443" s="11">
        <f ca="1">IFERROR(__xludf.DUMMYFUNCTION("GOOGLEFINANCE(A1443,""PRICEOPEN"")"),22.06)</f>
        <v>22.06</v>
      </c>
      <c r="D1443" s="11">
        <f ca="1">IFERROR(__xludf.DUMMYFUNCTION("GOOGLEFINANCE(A1443,""HIGH"")"),22.49)</f>
        <v>22.49</v>
      </c>
      <c r="E1443" s="11">
        <f ca="1">IFERROR(__xludf.DUMMYFUNCTION("GOOGLEFINANCE(A1443,""LOW"")"),21.5)</f>
        <v>21.5</v>
      </c>
      <c r="F1443" s="12" t="str">
        <f t="shared" ca="1" si="42"/>
        <v/>
      </c>
      <c r="G1443" s="13">
        <f ca="1">IFERROR(__xludf.DUMMYFUNCTION("GOOGLEFINANCE(A1443,""CLOSEYEST"")"),22.01)</f>
        <v>22.01</v>
      </c>
      <c r="H1443" s="14" t="str">
        <f t="shared" ca="1" si="48"/>
        <v/>
      </c>
      <c r="I1443" s="15">
        <f t="shared" ca="1" si="43"/>
        <v>22</v>
      </c>
      <c r="J1443" s="16">
        <f t="shared" ca="1" si="44"/>
        <v>22.5</v>
      </c>
      <c r="K1443" s="16"/>
      <c r="L1443" s="16">
        <f t="shared" ca="1" si="45"/>
        <v>21.51</v>
      </c>
      <c r="M1443" s="16">
        <f t="shared" ca="1" si="46"/>
        <v>22.99</v>
      </c>
      <c r="N1443" s="16">
        <f t="shared" ca="1" si="47"/>
        <v>21.01</v>
      </c>
    </row>
    <row r="1444" spans="1:14" ht="24.75" customHeight="1" x14ac:dyDescent="0.8">
      <c r="A1444" s="18" t="s">
        <v>1407</v>
      </c>
      <c r="B1444" s="10">
        <f ca="1">IFERROR(__xludf.DUMMYFUNCTION("GOOGLEFINANCE(A1444,""PRICE"")"),36.5)</f>
        <v>36.5</v>
      </c>
      <c r="C1444" s="11">
        <f ca="1">IFERROR(__xludf.DUMMYFUNCTION("GOOGLEFINANCE(A1444,""PRICEOPEN"")"),36.5)</f>
        <v>36.5</v>
      </c>
      <c r="D1444" s="11">
        <f ca="1">IFERROR(__xludf.DUMMYFUNCTION("GOOGLEFINANCE(A1444,""HIGH"")"),38.39)</f>
        <v>38.39</v>
      </c>
      <c r="E1444" s="11">
        <f ca="1">IFERROR(__xludf.DUMMYFUNCTION("GOOGLEFINANCE(A1444,""LOW"")"),36.12)</f>
        <v>36.119999999999997</v>
      </c>
      <c r="F1444" s="12" t="str">
        <f t="shared" ca="1" si="42"/>
        <v/>
      </c>
      <c r="G1444" s="13">
        <f ca="1">IFERROR(__xludf.DUMMYFUNCTION("GOOGLEFINANCE(A1444,""CLOSEYEST"")"),36.58)</f>
        <v>36.58</v>
      </c>
      <c r="H1444" s="14" t="str">
        <f t="shared" ca="1" si="48"/>
        <v/>
      </c>
      <c r="I1444" s="15">
        <f t="shared" ca="1" si="43"/>
        <v>37.029999999999994</v>
      </c>
      <c r="J1444" s="16">
        <f t="shared" ca="1" si="44"/>
        <v>37.939999999999991</v>
      </c>
      <c r="K1444" s="16"/>
      <c r="L1444" s="16">
        <f t="shared" ca="1" si="45"/>
        <v>35.669999999999987</v>
      </c>
      <c r="M1444" s="16">
        <f t="shared" ca="1" si="46"/>
        <v>39.299999999999997</v>
      </c>
      <c r="N1444" s="16">
        <f t="shared" ca="1" si="47"/>
        <v>34.759999999999991</v>
      </c>
    </row>
    <row r="1445" spans="1:14" ht="24.75" customHeight="1" x14ac:dyDescent="0.8">
      <c r="A1445" s="18" t="s">
        <v>1408</v>
      </c>
      <c r="B1445" s="10">
        <f ca="1">IFERROR(__xludf.DUMMYFUNCTION("GOOGLEFINANCE(A1445,""PRICE"")"),126.93)</f>
        <v>126.93</v>
      </c>
      <c r="C1445" s="11">
        <f ca="1">IFERROR(__xludf.DUMMYFUNCTION("GOOGLEFINANCE(A1445,""PRICEOPEN"")"),125.25)</f>
        <v>125.25</v>
      </c>
      <c r="D1445" s="11">
        <f ca="1">IFERROR(__xludf.DUMMYFUNCTION("GOOGLEFINANCE(A1445,""HIGH"")"),126.99)</f>
        <v>126.99</v>
      </c>
      <c r="E1445" s="11">
        <f ca="1">IFERROR(__xludf.DUMMYFUNCTION("GOOGLEFINANCE(A1445,""LOW"")"),123.85)</f>
        <v>123.85</v>
      </c>
      <c r="F1445" s="12" t="str">
        <f t="shared" ca="1" si="42"/>
        <v/>
      </c>
      <c r="G1445" s="13">
        <f ca="1">IFERROR(__xludf.DUMMYFUNCTION("GOOGLEFINANCE(A1445,""CLOSEYEST"")"),124.7)</f>
        <v>124.7</v>
      </c>
      <c r="H1445" s="14" t="str">
        <f t="shared" ca="1" si="48"/>
        <v/>
      </c>
      <c r="I1445" s="15">
        <f t="shared" ca="1" si="43"/>
        <v>125.17999999999999</v>
      </c>
      <c r="J1445" s="16">
        <f t="shared" ca="1" si="44"/>
        <v>126.50999999999999</v>
      </c>
      <c r="K1445" s="16"/>
      <c r="L1445" s="16">
        <f t="shared" ca="1" si="45"/>
        <v>123.36999999999999</v>
      </c>
      <c r="M1445" s="16">
        <f t="shared" ca="1" si="46"/>
        <v>128.32</v>
      </c>
      <c r="N1445" s="16">
        <f t="shared" ca="1" si="47"/>
        <v>122.03999999999999</v>
      </c>
    </row>
    <row r="1446" spans="1:14" ht="24.75" customHeight="1" x14ac:dyDescent="0.8">
      <c r="A1446" s="18" t="s">
        <v>1409</v>
      </c>
      <c r="B1446" s="10" t="str">
        <f ca="1">IFERROR(__xludf.DUMMYFUNCTION("GOOGLEFINANCE(A1446,""PRICE"")"),"#N/A")</f>
        <v>#N/A</v>
      </c>
      <c r="C1446" s="11" t="str">
        <f ca="1">IFERROR(__xludf.DUMMYFUNCTION("GOOGLEFINANCE(A1446,""PRICEOPEN"")"),"#N/A")</f>
        <v>#N/A</v>
      </c>
      <c r="D1446" s="11" t="str">
        <f ca="1">IFERROR(__xludf.DUMMYFUNCTION("GOOGLEFINANCE(A1446,""HIGH"")"),"#N/A")</f>
        <v>#N/A</v>
      </c>
      <c r="E1446" s="11" t="str">
        <f ca="1">IFERROR(__xludf.DUMMYFUNCTION("GOOGLEFINANCE(A1446,""LOW"")"),"#N/A")</f>
        <v>#N/A</v>
      </c>
      <c r="F1446" s="12" t="str">
        <f t="shared" ca="1" si="42"/>
        <v>SELL</v>
      </c>
      <c r="G1446" s="13" t="str">
        <f ca="1">IFERROR(__xludf.DUMMYFUNCTION("GOOGLEFINANCE(A1446,""CLOSEYEST"")"),"#N/A")</f>
        <v>#N/A</v>
      </c>
      <c r="H1446" s="14" t="e">
        <f t="shared" ca="1" si="48"/>
        <v>#VALUE!</v>
      </c>
      <c r="I1446" s="15" t="e">
        <f t="shared" ca="1" si="43"/>
        <v>#VALUE!</v>
      </c>
      <c r="J1446" s="16" t="e">
        <f t="shared" ca="1" si="44"/>
        <v>#VALUE!</v>
      </c>
      <c r="K1446" s="16"/>
      <c r="L1446" s="16" t="e">
        <f t="shared" ca="1" si="45"/>
        <v>#VALUE!</v>
      </c>
      <c r="M1446" s="16" t="e">
        <f t="shared" ca="1" si="46"/>
        <v>#VALUE!</v>
      </c>
      <c r="N1446" s="16" t="e">
        <f t="shared" ca="1" si="47"/>
        <v>#VALUE!</v>
      </c>
    </row>
    <row r="1447" spans="1:14" ht="24.75" customHeight="1" x14ac:dyDescent="0.8">
      <c r="A1447" s="18" t="s">
        <v>1410</v>
      </c>
      <c r="B1447" s="10">
        <f ca="1">IFERROR(__xludf.DUMMYFUNCTION("GOOGLEFINANCE(A1447,""PRICE"")"),7.5)</f>
        <v>7.5</v>
      </c>
      <c r="C1447" s="11">
        <f ca="1">IFERROR(__xludf.DUMMYFUNCTION("GOOGLEFINANCE(A1447,""PRICEOPEN"")"),7.67)</f>
        <v>7.67</v>
      </c>
      <c r="D1447" s="11">
        <f ca="1">IFERROR(__xludf.DUMMYFUNCTION("GOOGLEFINANCE(A1447,""HIGH"")"),7.67)</f>
        <v>7.67</v>
      </c>
      <c r="E1447" s="11">
        <f ca="1">IFERROR(__xludf.DUMMYFUNCTION("GOOGLEFINANCE(A1447,""LOW"")"),7.45)</f>
        <v>7.45</v>
      </c>
      <c r="F1447" s="12" t="str">
        <f t="shared" ca="1" si="42"/>
        <v>SELL</v>
      </c>
      <c r="G1447" s="13">
        <f ca="1">IFERROR(__xludf.DUMMYFUNCTION("GOOGLEFINANCE(A1447,""CLOSEYEST"")"),7.55)</f>
        <v>7.55</v>
      </c>
      <c r="H1447" s="14" t="str">
        <f t="shared" ca="1" si="48"/>
        <v>GAP UP</v>
      </c>
      <c r="I1447" s="15">
        <f t="shared" ca="1" si="43"/>
        <v>7.5566666666666675</v>
      </c>
      <c r="J1447" s="16">
        <f t="shared" ca="1" si="44"/>
        <v>7.6633333333333349</v>
      </c>
      <c r="K1447" s="16"/>
      <c r="L1447" s="16">
        <f t="shared" ca="1" si="45"/>
        <v>7.4433333333333351</v>
      </c>
      <c r="M1447" s="16">
        <f t="shared" ca="1" si="46"/>
        <v>7.7766666666666673</v>
      </c>
      <c r="N1447" s="16">
        <f t="shared" ca="1" si="47"/>
        <v>7.3366666666666678</v>
      </c>
    </row>
    <row r="1448" spans="1:14" ht="24.75" customHeight="1" x14ac:dyDescent="0.8">
      <c r="A1448" s="18" t="s">
        <v>1411</v>
      </c>
      <c r="B1448" s="10">
        <f ca="1">IFERROR(__xludf.DUMMYFUNCTION("GOOGLEFINANCE(A1448,""PRICE"")"),2154.9)</f>
        <v>2154.9</v>
      </c>
      <c r="C1448" s="11">
        <f ca="1">IFERROR(__xludf.DUMMYFUNCTION("GOOGLEFINANCE(A1448,""PRICEOPEN"")"),2229.9)</f>
        <v>2229.9</v>
      </c>
      <c r="D1448" s="11">
        <f ca="1">IFERROR(__xludf.DUMMYFUNCTION("GOOGLEFINANCE(A1448,""HIGH"")"),2250)</f>
        <v>2250</v>
      </c>
      <c r="E1448" s="11">
        <f ca="1">IFERROR(__xludf.DUMMYFUNCTION("GOOGLEFINANCE(A1448,""LOW"")"),2151.9)</f>
        <v>2151.9</v>
      </c>
      <c r="F1448" s="12" t="str">
        <f t="shared" ca="1" si="42"/>
        <v/>
      </c>
      <c r="G1448" s="13">
        <f ca="1">IFERROR(__xludf.DUMMYFUNCTION("GOOGLEFINANCE(A1448,""CLOSEYEST"")"),2199.8)</f>
        <v>2199.8000000000002</v>
      </c>
      <c r="H1448" s="14" t="str">
        <f t="shared" ca="1" si="48"/>
        <v>GAP UP</v>
      </c>
      <c r="I1448" s="15">
        <f t="shared" ca="1" si="43"/>
        <v>2200.5666666666666</v>
      </c>
      <c r="J1448" s="16">
        <f t="shared" ca="1" si="44"/>
        <v>2249.2333333333331</v>
      </c>
      <c r="K1448" s="16"/>
      <c r="L1448" s="16">
        <f t="shared" ca="1" si="45"/>
        <v>2151.1333333333332</v>
      </c>
      <c r="M1448" s="16">
        <f t="shared" ca="1" si="46"/>
        <v>2298.6666666666665</v>
      </c>
      <c r="N1448" s="16">
        <f t="shared" ca="1" si="47"/>
        <v>2102.4666666666667</v>
      </c>
    </row>
    <row r="1449" spans="1:14" ht="24.75" customHeight="1" x14ac:dyDescent="0.8">
      <c r="A1449" s="18" t="s">
        <v>1412</v>
      </c>
      <c r="B1449" s="10">
        <f ca="1">IFERROR(__xludf.DUMMYFUNCTION("GOOGLEFINANCE(A1449,""PRICE"")"),173.25)</f>
        <v>173.25</v>
      </c>
      <c r="C1449" s="11">
        <f ca="1">IFERROR(__xludf.DUMMYFUNCTION("GOOGLEFINANCE(A1449,""PRICEOPEN"")"),177.95)</f>
        <v>177.95</v>
      </c>
      <c r="D1449" s="11">
        <f ca="1">IFERROR(__xludf.DUMMYFUNCTION("GOOGLEFINANCE(A1449,""HIGH"")"),177.95)</f>
        <v>177.95</v>
      </c>
      <c r="E1449" s="11">
        <f ca="1">IFERROR(__xludf.DUMMYFUNCTION("GOOGLEFINANCE(A1449,""LOW"")"),173)</f>
        <v>173</v>
      </c>
      <c r="F1449" s="12" t="str">
        <f t="shared" ca="1" si="42"/>
        <v>SELL</v>
      </c>
      <c r="G1449" s="13">
        <f ca="1">IFERROR(__xludf.DUMMYFUNCTION("GOOGLEFINANCE(A1449,""CLOSEYEST"")"),177.24)</f>
        <v>177.24</v>
      </c>
      <c r="H1449" s="14" t="str">
        <f t="shared" ca="1" si="48"/>
        <v/>
      </c>
      <c r="I1449" s="15">
        <f t="shared" ca="1" si="43"/>
        <v>176.06333333333336</v>
      </c>
      <c r="J1449" s="16">
        <f t="shared" ca="1" si="44"/>
        <v>179.12666666666672</v>
      </c>
      <c r="K1449" s="16"/>
      <c r="L1449" s="16">
        <f t="shared" ca="1" si="45"/>
        <v>174.17666666666673</v>
      </c>
      <c r="M1449" s="16">
        <f t="shared" ca="1" si="46"/>
        <v>181.01333333333335</v>
      </c>
      <c r="N1449" s="16">
        <f t="shared" ca="1" si="47"/>
        <v>171.11333333333337</v>
      </c>
    </row>
    <row r="1450" spans="1:14" ht="24.75" customHeight="1" x14ac:dyDescent="0.8">
      <c r="A1450" s="18" t="s">
        <v>1413</v>
      </c>
      <c r="B1450" s="10">
        <f ca="1">IFERROR(__xludf.DUMMYFUNCTION("GOOGLEFINANCE(A1450,""PRICE"")"),147.25)</f>
        <v>147.25</v>
      </c>
      <c r="C1450" s="11">
        <f ca="1">IFERROR(__xludf.DUMMYFUNCTION("GOOGLEFINANCE(A1450,""PRICEOPEN"")"),148.9)</f>
        <v>148.9</v>
      </c>
      <c r="D1450" s="11">
        <f ca="1">IFERROR(__xludf.DUMMYFUNCTION("GOOGLEFINANCE(A1450,""HIGH"")"),150.95)</f>
        <v>150.94999999999999</v>
      </c>
      <c r="E1450" s="11">
        <f ca="1">IFERROR(__xludf.DUMMYFUNCTION("GOOGLEFINANCE(A1450,""LOW"")"),147)</f>
        <v>147</v>
      </c>
      <c r="F1450" s="12" t="str">
        <f t="shared" ca="1" si="42"/>
        <v/>
      </c>
      <c r="G1450" s="13">
        <f ca="1">IFERROR(__xludf.DUMMYFUNCTION("GOOGLEFINANCE(A1450,""CLOSEYEST"")"),148.82)</f>
        <v>148.82</v>
      </c>
      <c r="H1450" s="14" t="str">
        <f t="shared" ca="1" si="48"/>
        <v/>
      </c>
      <c r="I1450" s="15">
        <f t="shared" ca="1" si="43"/>
        <v>148.92333333333332</v>
      </c>
      <c r="J1450" s="16">
        <f t="shared" ca="1" si="44"/>
        <v>150.84666666666664</v>
      </c>
      <c r="K1450" s="16"/>
      <c r="L1450" s="16">
        <f t="shared" ca="1" si="45"/>
        <v>146.89666666666665</v>
      </c>
      <c r="M1450" s="16">
        <f t="shared" ca="1" si="46"/>
        <v>152.87333333333331</v>
      </c>
      <c r="N1450" s="16">
        <f t="shared" ca="1" si="47"/>
        <v>144.97333333333333</v>
      </c>
    </row>
    <row r="1451" spans="1:14" ht="24.75" customHeight="1" x14ac:dyDescent="0.8">
      <c r="A1451" s="18" t="s">
        <v>1414</v>
      </c>
      <c r="B1451" s="10">
        <f ca="1">IFERROR(__xludf.DUMMYFUNCTION("GOOGLEFINANCE(A1451,""PRICE"")"),43.86)</f>
        <v>43.86</v>
      </c>
      <c r="C1451" s="11">
        <f ca="1">IFERROR(__xludf.DUMMYFUNCTION("GOOGLEFINANCE(A1451,""PRICEOPEN"")"),42.8)</f>
        <v>42.8</v>
      </c>
      <c r="D1451" s="11">
        <f ca="1">IFERROR(__xludf.DUMMYFUNCTION("GOOGLEFINANCE(A1451,""HIGH"")"),44.6)</f>
        <v>44.6</v>
      </c>
      <c r="E1451" s="11">
        <f ca="1">IFERROR(__xludf.DUMMYFUNCTION("GOOGLEFINANCE(A1451,""LOW"")"),42.8)</f>
        <v>42.8</v>
      </c>
      <c r="F1451" s="12" t="str">
        <f t="shared" ca="1" si="42"/>
        <v>BUY</v>
      </c>
      <c r="G1451" s="13">
        <f ca="1">IFERROR(__xludf.DUMMYFUNCTION("GOOGLEFINANCE(A1451,""CLOSEYEST"")"),43.01)</f>
        <v>43.01</v>
      </c>
      <c r="H1451" s="14" t="str">
        <f t="shared" ca="1" si="48"/>
        <v/>
      </c>
      <c r="I1451" s="15">
        <f t="shared" ca="1" si="43"/>
        <v>43.47</v>
      </c>
      <c r="J1451" s="16">
        <f t="shared" ca="1" si="44"/>
        <v>44.14</v>
      </c>
      <c r="K1451" s="16"/>
      <c r="L1451" s="16">
        <f t="shared" ca="1" si="45"/>
        <v>42.339999999999996</v>
      </c>
      <c r="M1451" s="16">
        <f t="shared" ca="1" si="46"/>
        <v>45.27</v>
      </c>
      <c r="N1451" s="16">
        <f t="shared" ca="1" si="47"/>
        <v>41.669999999999995</v>
      </c>
    </row>
    <row r="1452" spans="1:14" ht="24.75" customHeight="1" x14ac:dyDescent="0.8">
      <c r="A1452" s="18" t="s">
        <v>1415</v>
      </c>
      <c r="B1452" s="10">
        <f ca="1">IFERROR(__xludf.DUMMYFUNCTION("GOOGLEFINANCE(A1452,""PRICE"")"),126)</f>
        <v>126</v>
      </c>
      <c r="C1452" s="11">
        <f ca="1">IFERROR(__xludf.DUMMYFUNCTION("GOOGLEFINANCE(A1452,""PRICEOPEN"")"),128.45)</f>
        <v>128.44999999999999</v>
      </c>
      <c r="D1452" s="11">
        <f ca="1">IFERROR(__xludf.DUMMYFUNCTION("GOOGLEFINANCE(A1452,""HIGH"")"),128.45)</f>
        <v>128.44999999999999</v>
      </c>
      <c r="E1452" s="11">
        <f ca="1">IFERROR(__xludf.DUMMYFUNCTION("GOOGLEFINANCE(A1452,""LOW"")"),120)</f>
        <v>120</v>
      </c>
      <c r="F1452" s="12" t="str">
        <f t="shared" ca="1" si="42"/>
        <v>SELL</v>
      </c>
      <c r="G1452" s="13">
        <f ca="1">IFERROR(__xludf.DUMMYFUNCTION("GOOGLEFINANCE(A1452,""CLOSEYEST"")"),122.72)</f>
        <v>122.72</v>
      </c>
      <c r="H1452" s="14" t="str">
        <f t="shared" ca="1" si="48"/>
        <v>GAP UP</v>
      </c>
      <c r="I1452" s="15">
        <f t="shared" ca="1" si="43"/>
        <v>123.72333333333331</v>
      </c>
      <c r="J1452" s="16">
        <f t="shared" ca="1" si="44"/>
        <v>127.44666666666663</v>
      </c>
      <c r="K1452" s="16"/>
      <c r="L1452" s="16">
        <f t="shared" ca="1" si="45"/>
        <v>118.99666666666664</v>
      </c>
      <c r="M1452" s="16">
        <f t="shared" ca="1" si="46"/>
        <v>132.17333333333329</v>
      </c>
      <c r="N1452" s="16">
        <f t="shared" ca="1" si="47"/>
        <v>115.27333333333333</v>
      </c>
    </row>
    <row r="1453" spans="1:14" ht="24.75" customHeight="1" x14ac:dyDescent="0.8">
      <c r="A1453" s="18" t="s">
        <v>1416</v>
      </c>
      <c r="B1453" s="10">
        <f ca="1">IFERROR(__xludf.DUMMYFUNCTION("GOOGLEFINANCE(A1453,""PRICE"")"),116.11)</f>
        <v>116.11</v>
      </c>
      <c r="C1453" s="11">
        <f ca="1">IFERROR(__xludf.DUMMYFUNCTION("GOOGLEFINANCE(A1453,""PRICEOPEN"")"),120)</f>
        <v>120</v>
      </c>
      <c r="D1453" s="11">
        <f ca="1">IFERROR(__xludf.DUMMYFUNCTION("GOOGLEFINANCE(A1453,""HIGH"")"),120)</f>
        <v>120</v>
      </c>
      <c r="E1453" s="11">
        <f ca="1">IFERROR(__xludf.DUMMYFUNCTION("GOOGLEFINANCE(A1453,""LOW"")"),114.4)</f>
        <v>114.4</v>
      </c>
      <c r="F1453" s="12" t="str">
        <f t="shared" ca="1" si="42"/>
        <v>SELL</v>
      </c>
      <c r="G1453" s="13">
        <f ca="1">IFERROR(__xludf.DUMMYFUNCTION("GOOGLEFINANCE(A1453,""CLOSEYEST"")"),115.33)</f>
        <v>115.33</v>
      </c>
      <c r="H1453" s="14" t="str">
        <f t="shared" ca="1" si="48"/>
        <v>GAP UP</v>
      </c>
      <c r="I1453" s="15">
        <f t="shared" ca="1" si="43"/>
        <v>116.57666666666667</v>
      </c>
      <c r="J1453" s="16">
        <f t="shared" ca="1" si="44"/>
        <v>118.75333333333333</v>
      </c>
      <c r="K1453" s="16"/>
      <c r="L1453" s="16">
        <f t="shared" ca="1" si="45"/>
        <v>113.15333333333334</v>
      </c>
      <c r="M1453" s="16">
        <f t="shared" ca="1" si="46"/>
        <v>122.17666666666666</v>
      </c>
      <c r="N1453" s="16">
        <f t="shared" ca="1" si="47"/>
        <v>110.97666666666667</v>
      </c>
    </row>
    <row r="1454" spans="1:14" ht="24.75" customHeight="1" x14ac:dyDescent="0.8">
      <c r="A1454" s="18" t="s">
        <v>1417</v>
      </c>
      <c r="B1454" s="10">
        <f ca="1">IFERROR(__xludf.DUMMYFUNCTION("GOOGLEFINANCE(A1454,""PRICE"")"),54.89)</f>
        <v>54.89</v>
      </c>
      <c r="C1454" s="11">
        <f ca="1">IFERROR(__xludf.DUMMYFUNCTION("GOOGLEFINANCE(A1454,""PRICEOPEN"")"),52.5)</f>
        <v>52.5</v>
      </c>
      <c r="D1454" s="11">
        <f ca="1">IFERROR(__xludf.DUMMYFUNCTION("GOOGLEFINANCE(A1454,""HIGH"")"),56)</f>
        <v>56</v>
      </c>
      <c r="E1454" s="11">
        <f ca="1">IFERROR(__xludf.DUMMYFUNCTION("GOOGLEFINANCE(A1454,""LOW"")"),52.5)</f>
        <v>52.5</v>
      </c>
      <c r="F1454" s="12" t="str">
        <f t="shared" ca="1" si="42"/>
        <v>BUY</v>
      </c>
      <c r="G1454" s="13">
        <f ca="1">IFERROR(__xludf.DUMMYFUNCTION("GOOGLEFINANCE(A1454,""CLOSEYEST"")"),53.96)</f>
        <v>53.96</v>
      </c>
      <c r="H1454" s="14" t="str">
        <f t="shared" ca="1" si="48"/>
        <v>GAP DOWN</v>
      </c>
      <c r="I1454" s="15">
        <f t="shared" ca="1" si="43"/>
        <v>54.153333333333336</v>
      </c>
      <c r="J1454" s="16">
        <f t="shared" ca="1" si="44"/>
        <v>55.806666666666672</v>
      </c>
      <c r="K1454" s="16"/>
      <c r="L1454" s="16">
        <f t="shared" ca="1" si="45"/>
        <v>52.306666666666672</v>
      </c>
      <c r="M1454" s="16">
        <f t="shared" ca="1" si="46"/>
        <v>57.653333333333336</v>
      </c>
      <c r="N1454" s="16">
        <f t="shared" ca="1" si="47"/>
        <v>50.653333333333336</v>
      </c>
    </row>
    <row r="1455" spans="1:14" ht="24.75" customHeight="1" x14ac:dyDescent="0.8">
      <c r="A1455" s="18" t="s">
        <v>1418</v>
      </c>
      <c r="B1455" s="10">
        <f ca="1">IFERROR(__xludf.DUMMYFUNCTION("GOOGLEFINANCE(A1455,""PRICE"")"),45.8)</f>
        <v>45.8</v>
      </c>
      <c r="C1455" s="11">
        <f ca="1">IFERROR(__xludf.DUMMYFUNCTION("GOOGLEFINANCE(A1455,""PRICEOPEN"")"),46.8)</f>
        <v>46.8</v>
      </c>
      <c r="D1455" s="11">
        <f ca="1">IFERROR(__xludf.DUMMYFUNCTION("GOOGLEFINANCE(A1455,""HIGH"")"),47.98)</f>
        <v>47.98</v>
      </c>
      <c r="E1455" s="11">
        <f ca="1">IFERROR(__xludf.DUMMYFUNCTION("GOOGLEFINANCE(A1455,""LOW"")"),45.2)</f>
        <v>45.2</v>
      </c>
      <c r="F1455" s="12" t="str">
        <f t="shared" ca="1" si="42"/>
        <v/>
      </c>
      <c r="G1455" s="13">
        <f ca="1">IFERROR(__xludf.DUMMYFUNCTION("GOOGLEFINANCE(A1455,""CLOSEYEST"")"),45.52)</f>
        <v>45.52</v>
      </c>
      <c r="H1455" s="14" t="str">
        <f t="shared" ca="1" si="48"/>
        <v>GAP UP</v>
      </c>
      <c r="I1455" s="15">
        <f t="shared" ca="1" si="43"/>
        <v>46.233333333333341</v>
      </c>
      <c r="J1455" s="16">
        <f t="shared" ca="1" si="44"/>
        <v>47.26666666666668</v>
      </c>
      <c r="K1455" s="16"/>
      <c r="L1455" s="16">
        <f t="shared" ca="1" si="45"/>
        <v>44.486666666666686</v>
      </c>
      <c r="M1455" s="16">
        <f t="shared" ca="1" si="46"/>
        <v>49.013333333333335</v>
      </c>
      <c r="N1455" s="16">
        <f t="shared" ca="1" si="47"/>
        <v>43.453333333333347</v>
      </c>
    </row>
    <row r="1456" spans="1:14" ht="24.75" customHeight="1" x14ac:dyDescent="0.8">
      <c r="A1456" s="18" t="s">
        <v>1419</v>
      </c>
      <c r="B1456" s="10">
        <f ca="1">IFERROR(__xludf.DUMMYFUNCTION("GOOGLEFINANCE(A1456,""PRICE"")"),196.43)</f>
        <v>196.43</v>
      </c>
      <c r="C1456" s="11">
        <f ca="1">IFERROR(__xludf.DUMMYFUNCTION("GOOGLEFINANCE(A1456,""PRICEOPEN"")"),204)</f>
        <v>204</v>
      </c>
      <c r="D1456" s="11">
        <f ca="1">IFERROR(__xludf.DUMMYFUNCTION("GOOGLEFINANCE(A1456,""HIGH"")"),204.43)</f>
        <v>204.43</v>
      </c>
      <c r="E1456" s="11">
        <f ca="1">IFERROR(__xludf.DUMMYFUNCTION("GOOGLEFINANCE(A1456,""LOW"")"),195.15)</f>
        <v>195.15</v>
      </c>
      <c r="F1456" s="12" t="str">
        <f t="shared" ca="1" si="42"/>
        <v/>
      </c>
      <c r="G1456" s="13">
        <f ca="1">IFERROR(__xludf.DUMMYFUNCTION("GOOGLEFINANCE(A1456,""CLOSEYEST"")"),202.41)</f>
        <v>202.41</v>
      </c>
      <c r="H1456" s="14" t="str">
        <f t="shared" ca="1" si="48"/>
        <v/>
      </c>
      <c r="I1456" s="15">
        <f t="shared" ca="1" si="43"/>
        <v>200.66333333333333</v>
      </c>
      <c r="J1456" s="16">
        <f t="shared" ca="1" si="44"/>
        <v>206.17666666666665</v>
      </c>
      <c r="K1456" s="16"/>
      <c r="L1456" s="16">
        <f t="shared" ca="1" si="45"/>
        <v>196.89666666666665</v>
      </c>
      <c r="M1456" s="16">
        <f t="shared" ca="1" si="46"/>
        <v>209.94333333333333</v>
      </c>
      <c r="N1456" s="16">
        <f t="shared" ca="1" si="47"/>
        <v>191.38333333333333</v>
      </c>
    </row>
    <row r="1457" spans="1:14" ht="24.75" customHeight="1" x14ac:dyDescent="0.8">
      <c r="A1457" s="18" t="s">
        <v>1420</v>
      </c>
      <c r="B1457" s="10" t="str">
        <f ca="1">IFERROR(__xludf.DUMMYFUNCTION("GOOGLEFINANCE(A1457,""PRICE"")"),"#N/A")</f>
        <v>#N/A</v>
      </c>
      <c r="C1457" s="11" t="str">
        <f ca="1">IFERROR(__xludf.DUMMYFUNCTION("GOOGLEFINANCE(A1457,""PRICEOPEN"")"),"#N/A")</f>
        <v>#N/A</v>
      </c>
      <c r="D1457" s="11" t="str">
        <f ca="1">IFERROR(__xludf.DUMMYFUNCTION("GOOGLEFINANCE(A1457,""HIGH"")"),"#N/A")</f>
        <v>#N/A</v>
      </c>
      <c r="E1457" s="11" t="str">
        <f ca="1">IFERROR(__xludf.DUMMYFUNCTION("GOOGLEFINANCE(A1457,""LOW"")"),"#N/A")</f>
        <v>#N/A</v>
      </c>
      <c r="F1457" s="12" t="str">
        <f t="shared" ca="1" si="42"/>
        <v>SELL</v>
      </c>
      <c r="G1457" s="13" t="str">
        <f ca="1">IFERROR(__xludf.DUMMYFUNCTION("GOOGLEFINANCE(A1457,""CLOSEYEST"")"),"#N/A")</f>
        <v>#N/A</v>
      </c>
      <c r="H1457" s="14" t="e">
        <f t="shared" ca="1" si="48"/>
        <v>#VALUE!</v>
      </c>
      <c r="I1457" s="15" t="e">
        <f t="shared" ca="1" si="43"/>
        <v>#VALUE!</v>
      </c>
      <c r="J1457" s="16" t="e">
        <f t="shared" ca="1" si="44"/>
        <v>#VALUE!</v>
      </c>
      <c r="K1457" s="16"/>
      <c r="L1457" s="16" t="e">
        <f t="shared" ca="1" si="45"/>
        <v>#VALUE!</v>
      </c>
      <c r="M1457" s="16" t="e">
        <f t="shared" ca="1" si="46"/>
        <v>#VALUE!</v>
      </c>
      <c r="N1457" s="16" t="e">
        <f t="shared" ca="1" si="47"/>
        <v>#VALUE!</v>
      </c>
    </row>
    <row r="1458" spans="1:14" ht="24.75" customHeight="1" x14ac:dyDescent="0.8">
      <c r="A1458" s="18" t="s">
        <v>1421</v>
      </c>
      <c r="B1458" s="10">
        <f ca="1">IFERROR(__xludf.DUMMYFUNCTION("GOOGLEFINANCE(A1458,""PRICE"")"),30.09)</f>
        <v>30.09</v>
      </c>
      <c r="C1458" s="11">
        <f ca="1">IFERROR(__xludf.DUMMYFUNCTION("GOOGLEFINANCE(A1458,""PRICEOPEN"")"),30.05)</f>
        <v>30.05</v>
      </c>
      <c r="D1458" s="11">
        <f ca="1">IFERROR(__xludf.DUMMYFUNCTION("GOOGLEFINANCE(A1458,""HIGH"")"),30.69)</f>
        <v>30.69</v>
      </c>
      <c r="E1458" s="11">
        <f ca="1">IFERROR(__xludf.DUMMYFUNCTION("GOOGLEFINANCE(A1458,""LOW"")"),29.72)</f>
        <v>29.72</v>
      </c>
      <c r="F1458" s="12" t="str">
        <f t="shared" ca="1" si="42"/>
        <v/>
      </c>
      <c r="G1458" s="13">
        <f ca="1">IFERROR(__xludf.DUMMYFUNCTION("GOOGLEFINANCE(A1458,""CLOSEYEST"")"),30.7)</f>
        <v>30.7</v>
      </c>
      <c r="H1458" s="14" t="str">
        <f t="shared" ca="1" si="48"/>
        <v>GAP DOWN</v>
      </c>
      <c r="I1458" s="15">
        <f t="shared" ca="1" si="43"/>
        <v>30.37</v>
      </c>
      <c r="J1458" s="16">
        <f t="shared" ca="1" si="44"/>
        <v>31.020000000000003</v>
      </c>
      <c r="K1458" s="16"/>
      <c r="L1458" s="16">
        <f t="shared" ca="1" si="45"/>
        <v>30.05</v>
      </c>
      <c r="M1458" s="16">
        <f t="shared" ca="1" si="46"/>
        <v>31.340000000000003</v>
      </c>
      <c r="N1458" s="16">
        <f t="shared" ca="1" si="47"/>
        <v>29.4</v>
      </c>
    </row>
    <row r="1459" spans="1:14" ht="24.75" customHeight="1" x14ac:dyDescent="0.8">
      <c r="A1459" s="18" t="s">
        <v>1422</v>
      </c>
      <c r="B1459" s="10" t="str">
        <f ca="1">IFERROR(__xludf.DUMMYFUNCTION("GOOGLEFINANCE(A1459,""PRICE"")"),"#N/A")</f>
        <v>#N/A</v>
      </c>
      <c r="C1459" s="11" t="str">
        <f ca="1">IFERROR(__xludf.DUMMYFUNCTION("GOOGLEFINANCE(A1459,""PRICEOPEN"")"),"#N/A")</f>
        <v>#N/A</v>
      </c>
      <c r="D1459" s="11" t="str">
        <f ca="1">IFERROR(__xludf.DUMMYFUNCTION("GOOGLEFINANCE(A1459,""HIGH"")"),"#N/A")</f>
        <v>#N/A</v>
      </c>
      <c r="E1459" s="11" t="str">
        <f ca="1">IFERROR(__xludf.DUMMYFUNCTION("GOOGLEFINANCE(A1459,""LOW"")"),"#N/A")</f>
        <v>#N/A</v>
      </c>
      <c r="F1459" s="12" t="str">
        <f t="shared" ca="1" si="42"/>
        <v>SELL</v>
      </c>
      <c r="G1459" s="13" t="str">
        <f ca="1">IFERROR(__xludf.DUMMYFUNCTION("GOOGLEFINANCE(A1459,""CLOSEYEST"")"),"#N/A")</f>
        <v>#N/A</v>
      </c>
      <c r="H1459" s="14" t="e">
        <f t="shared" ca="1" si="48"/>
        <v>#VALUE!</v>
      </c>
      <c r="I1459" s="15" t="e">
        <f t="shared" ca="1" si="43"/>
        <v>#VALUE!</v>
      </c>
      <c r="J1459" s="16" t="e">
        <f t="shared" ca="1" si="44"/>
        <v>#VALUE!</v>
      </c>
      <c r="K1459" s="16"/>
      <c r="L1459" s="16" t="e">
        <f t="shared" ca="1" si="45"/>
        <v>#VALUE!</v>
      </c>
      <c r="M1459" s="16" t="e">
        <f t="shared" ca="1" si="46"/>
        <v>#VALUE!</v>
      </c>
      <c r="N1459" s="16" t="e">
        <f t="shared" ca="1" si="47"/>
        <v>#VALUE!</v>
      </c>
    </row>
    <row r="1460" spans="1:14" ht="24.75" customHeight="1" x14ac:dyDescent="0.8">
      <c r="A1460" s="18" t="s">
        <v>1423</v>
      </c>
      <c r="B1460" s="10">
        <f ca="1">IFERROR(__xludf.DUMMYFUNCTION("GOOGLEFINANCE(A1460,""PRICE"")"),4.11)</f>
        <v>4.1100000000000003</v>
      </c>
      <c r="C1460" s="11">
        <f ca="1">IFERROR(__xludf.DUMMYFUNCTION("GOOGLEFINANCE(A1460,""PRICEOPEN"")"),4.15)</f>
        <v>4.1500000000000004</v>
      </c>
      <c r="D1460" s="11">
        <f ca="1">IFERROR(__xludf.DUMMYFUNCTION("GOOGLEFINANCE(A1460,""HIGH"")"),4.15)</f>
        <v>4.1500000000000004</v>
      </c>
      <c r="E1460" s="11">
        <f ca="1">IFERROR(__xludf.DUMMYFUNCTION("GOOGLEFINANCE(A1460,""LOW"")"),3.77)</f>
        <v>3.77</v>
      </c>
      <c r="F1460" s="12" t="str">
        <f t="shared" ca="1" si="42"/>
        <v>SELL</v>
      </c>
      <c r="G1460" s="13">
        <f ca="1">IFERROR(__xludf.DUMMYFUNCTION("GOOGLEFINANCE(A1460,""CLOSEYEST"")"),3.97)</f>
        <v>3.97</v>
      </c>
      <c r="H1460" s="14" t="str">
        <f t="shared" ca="1" si="48"/>
        <v>GAP UP</v>
      </c>
      <c r="I1460" s="15">
        <f t="shared" ca="1" si="43"/>
        <v>3.9633333333333334</v>
      </c>
      <c r="J1460" s="16">
        <f t="shared" ca="1" si="44"/>
        <v>4.1566666666666663</v>
      </c>
      <c r="K1460" s="16"/>
      <c r="L1460" s="16">
        <f t="shared" ca="1" si="45"/>
        <v>3.7766666666666664</v>
      </c>
      <c r="M1460" s="16">
        <f t="shared" ca="1" si="46"/>
        <v>4.3433333333333337</v>
      </c>
      <c r="N1460" s="16">
        <f t="shared" ca="1" si="47"/>
        <v>3.5833333333333335</v>
      </c>
    </row>
    <row r="1461" spans="1:14" ht="24.75" customHeight="1" x14ac:dyDescent="0.8">
      <c r="A1461" s="18" t="s">
        <v>1424</v>
      </c>
      <c r="B1461" s="10">
        <f ca="1">IFERROR(__xludf.DUMMYFUNCTION("GOOGLEFINANCE(A1461,""PRICE"")"),102.94)</f>
        <v>102.94</v>
      </c>
      <c r="C1461" s="11">
        <f ca="1">IFERROR(__xludf.DUMMYFUNCTION("GOOGLEFINANCE(A1461,""PRICEOPEN"")"),102.39)</f>
        <v>102.39</v>
      </c>
      <c r="D1461" s="11">
        <f ca="1">IFERROR(__xludf.DUMMYFUNCTION("GOOGLEFINANCE(A1461,""HIGH"")"),102.94)</f>
        <v>102.94</v>
      </c>
      <c r="E1461" s="11">
        <f ca="1">IFERROR(__xludf.DUMMYFUNCTION("GOOGLEFINANCE(A1461,""LOW"")"),100.65)</f>
        <v>100.65</v>
      </c>
      <c r="F1461" s="12" t="str">
        <f t="shared" ca="1" si="42"/>
        <v/>
      </c>
      <c r="G1461" s="13">
        <f ca="1">IFERROR(__xludf.DUMMYFUNCTION("GOOGLEFINANCE(A1461,""CLOSEYEST"")"),102.39)</f>
        <v>102.39</v>
      </c>
      <c r="H1461" s="14" t="str">
        <f t="shared" ca="1" si="48"/>
        <v/>
      </c>
      <c r="I1461" s="15">
        <f t="shared" ca="1" si="43"/>
        <v>101.99333333333334</v>
      </c>
      <c r="J1461" s="16">
        <f t="shared" ca="1" si="44"/>
        <v>103.33666666666667</v>
      </c>
      <c r="K1461" s="16"/>
      <c r="L1461" s="16">
        <f t="shared" ca="1" si="45"/>
        <v>101.04666666666668</v>
      </c>
      <c r="M1461" s="16">
        <f t="shared" ca="1" si="46"/>
        <v>104.28333333333333</v>
      </c>
      <c r="N1461" s="16">
        <f t="shared" ca="1" si="47"/>
        <v>99.703333333333347</v>
      </c>
    </row>
    <row r="1462" spans="1:14" ht="24.75" customHeight="1" x14ac:dyDescent="0.8">
      <c r="A1462" s="18" t="s">
        <v>1425</v>
      </c>
      <c r="B1462" s="10">
        <f ca="1">IFERROR(__xludf.DUMMYFUNCTION("GOOGLEFINANCE(A1462,""PRICE"")"),820)</f>
        <v>820</v>
      </c>
      <c r="C1462" s="11">
        <f ca="1">IFERROR(__xludf.DUMMYFUNCTION("GOOGLEFINANCE(A1462,""PRICEOPEN"")"),836)</f>
        <v>836</v>
      </c>
      <c r="D1462" s="11">
        <f ca="1">IFERROR(__xludf.DUMMYFUNCTION("GOOGLEFINANCE(A1462,""HIGH"")"),844.05)</f>
        <v>844.05</v>
      </c>
      <c r="E1462" s="11">
        <f ca="1">IFERROR(__xludf.DUMMYFUNCTION("GOOGLEFINANCE(A1462,""LOW"")"),815)</f>
        <v>815</v>
      </c>
      <c r="F1462" s="12" t="str">
        <f t="shared" ca="1" si="42"/>
        <v/>
      </c>
      <c r="G1462" s="13">
        <f ca="1">IFERROR(__xludf.DUMMYFUNCTION("GOOGLEFINANCE(A1462,""CLOSEYEST"")"),835.75)</f>
        <v>835.75</v>
      </c>
      <c r="H1462" s="14" t="str">
        <f t="shared" ca="1" si="48"/>
        <v/>
      </c>
      <c r="I1462" s="15">
        <f t="shared" ca="1" si="43"/>
        <v>831.6</v>
      </c>
      <c r="J1462" s="16">
        <f t="shared" ca="1" si="44"/>
        <v>848.2</v>
      </c>
      <c r="K1462" s="16"/>
      <c r="L1462" s="16">
        <f t="shared" ca="1" si="45"/>
        <v>819.15000000000009</v>
      </c>
      <c r="M1462" s="16">
        <f t="shared" ca="1" si="46"/>
        <v>860.65</v>
      </c>
      <c r="N1462" s="16">
        <f t="shared" ca="1" si="47"/>
        <v>802.55000000000007</v>
      </c>
    </row>
    <row r="1463" spans="1:14" ht="24.75" customHeight="1" x14ac:dyDescent="0.8">
      <c r="A1463" s="18" t="s">
        <v>1426</v>
      </c>
      <c r="B1463" s="10">
        <f ca="1">IFERROR(__xludf.DUMMYFUNCTION("GOOGLEFINANCE(A1463,""PRICE"")"),151.05)</f>
        <v>151.05000000000001</v>
      </c>
      <c r="C1463" s="11">
        <f ca="1">IFERROR(__xludf.DUMMYFUNCTION("GOOGLEFINANCE(A1463,""PRICEOPEN"")"),145)</f>
        <v>145</v>
      </c>
      <c r="D1463" s="11">
        <f ca="1">IFERROR(__xludf.DUMMYFUNCTION("GOOGLEFINANCE(A1463,""HIGH"")"),151.98)</f>
        <v>151.97999999999999</v>
      </c>
      <c r="E1463" s="11">
        <f ca="1">IFERROR(__xludf.DUMMYFUNCTION("GOOGLEFINANCE(A1463,""LOW"")"),142.9)</f>
        <v>142.9</v>
      </c>
      <c r="F1463" s="12" t="str">
        <f t="shared" ca="1" si="42"/>
        <v/>
      </c>
      <c r="G1463" s="13">
        <f ca="1">IFERROR(__xludf.DUMMYFUNCTION("GOOGLEFINANCE(A1463,""CLOSEYEST"")"),144.3)</f>
        <v>144.30000000000001</v>
      </c>
      <c r="H1463" s="14" t="str">
        <f t="shared" ca="1" si="48"/>
        <v/>
      </c>
      <c r="I1463" s="15">
        <f t="shared" ca="1" si="43"/>
        <v>146.39333333333335</v>
      </c>
      <c r="J1463" s="16">
        <f t="shared" ca="1" si="44"/>
        <v>149.88666666666668</v>
      </c>
      <c r="K1463" s="16"/>
      <c r="L1463" s="16">
        <f t="shared" ca="1" si="45"/>
        <v>140.8066666666667</v>
      </c>
      <c r="M1463" s="16">
        <f t="shared" ca="1" si="46"/>
        <v>155.47333333333333</v>
      </c>
      <c r="N1463" s="16">
        <f t="shared" ca="1" si="47"/>
        <v>137.31333333333336</v>
      </c>
    </row>
    <row r="1464" spans="1:14" ht="24.75" customHeight="1" x14ac:dyDescent="0.8">
      <c r="A1464" s="18" t="s">
        <v>1427</v>
      </c>
      <c r="B1464" s="10">
        <f ca="1">IFERROR(__xludf.DUMMYFUNCTION("GOOGLEFINANCE(A1464,""PRICE"")"),249.9)</f>
        <v>249.9</v>
      </c>
      <c r="C1464" s="11">
        <f ca="1">IFERROR(__xludf.DUMMYFUNCTION("GOOGLEFINANCE(A1464,""PRICEOPEN"")"),245)</f>
        <v>245</v>
      </c>
      <c r="D1464" s="11">
        <f ca="1">IFERROR(__xludf.DUMMYFUNCTION("GOOGLEFINANCE(A1464,""HIGH"")"),249.9)</f>
        <v>249.9</v>
      </c>
      <c r="E1464" s="11">
        <f ca="1">IFERROR(__xludf.DUMMYFUNCTION("GOOGLEFINANCE(A1464,""LOW"")"),244.18)</f>
        <v>244.18</v>
      </c>
      <c r="F1464" s="12" t="str">
        <f t="shared" ca="1" si="42"/>
        <v/>
      </c>
      <c r="G1464" s="13">
        <f ca="1">IFERROR(__xludf.DUMMYFUNCTION("GOOGLEFINANCE(A1464,""CLOSEYEST"")"),246.67)</f>
        <v>246.67</v>
      </c>
      <c r="H1464" s="14" t="str">
        <f t="shared" ca="1" si="48"/>
        <v/>
      </c>
      <c r="I1464" s="15">
        <f t="shared" ca="1" si="43"/>
        <v>246.91666666666666</v>
      </c>
      <c r="J1464" s="16">
        <f t="shared" ca="1" si="44"/>
        <v>249.65333333333331</v>
      </c>
      <c r="K1464" s="16"/>
      <c r="L1464" s="16">
        <f t="shared" ca="1" si="45"/>
        <v>243.93333333333331</v>
      </c>
      <c r="M1464" s="16">
        <f t="shared" ca="1" si="46"/>
        <v>252.63666666666666</v>
      </c>
      <c r="N1464" s="16">
        <f t="shared" ca="1" si="47"/>
        <v>241.19666666666666</v>
      </c>
    </row>
    <row r="1465" spans="1:14" ht="24.75" customHeight="1" x14ac:dyDescent="0.8">
      <c r="A1465" s="18" t="s">
        <v>1428</v>
      </c>
      <c r="B1465" s="10" t="str">
        <f ca="1">IFERROR(__xludf.DUMMYFUNCTION("GOOGLEFINANCE(A1465,""PRICE"")"),"#N/A")</f>
        <v>#N/A</v>
      </c>
      <c r="C1465" s="11" t="str">
        <f ca="1">IFERROR(__xludf.DUMMYFUNCTION("GOOGLEFINANCE(A1465,""PRICEOPEN"")"),"#N/A")</f>
        <v>#N/A</v>
      </c>
      <c r="D1465" s="11" t="str">
        <f ca="1">IFERROR(__xludf.DUMMYFUNCTION("GOOGLEFINANCE(A1465,""HIGH"")"),"#N/A")</f>
        <v>#N/A</v>
      </c>
      <c r="E1465" s="11" t="str">
        <f ca="1">IFERROR(__xludf.DUMMYFUNCTION("GOOGLEFINANCE(A1465,""LOW"")"),"#N/A")</f>
        <v>#N/A</v>
      </c>
      <c r="F1465" s="12" t="str">
        <f t="shared" ca="1" si="42"/>
        <v>SELL</v>
      </c>
      <c r="G1465" s="13" t="str">
        <f ca="1">IFERROR(__xludf.DUMMYFUNCTION("GOOGLEFINANCE(A1465,""CLOSEYEST"")"),"#N/A")</f>
        <v>#N/A</v>
      </c>
      <c r="H1465" s="14" t="e">
        <f t="shared" ca="1" si="48"/>
        <v>#VALUE!</v>
      </c>
      <c r="I1465" s="15" t="e">
        <f t="shared" ca="1" si="43"/>
        <v>#VALUE!</v>
      </c>
      <c r="J1465" s="16" t="e">
        <f t="shared" ca="1" si="44"/>
        <v>#VALUE!</v>
      </c>
      <c r="K1465" s="16"/>
      <c r="L1465" s="16" t="e">
        <f t="shared" ca="1" si="45"/>
        <v>#VALUE!</v>
      </c>
      <c r="M1465" s="16" t="e">
        <f t="shared" ca="1" si="46"/>
        <v>#VALUE!</v>
      </c>
      <c r="N1465" s="16" t="e">
        <f t="shared" ca="1" si="47"/>
        <v>#VALUE!</v>
      </c>
    </row>
    <row r="1466" spans="1:14" ht="24.75" customHeight="1" x14ac:dyDescent="0.8">
      <c r="A1466" s="18" t="s">
        <v>1429</v>
      </c>
      <c r="B1466" s="10" t="str">
        <f ca="1">IFERROR(__xludf.DUMMYFUNCTION("GOOGLEFINANCE(A1466,""PRICE"")"),"#N/A")</f>
        <v>#N/A</v>
      </c>
      <c r="C1466" s="11" t="str">
        <f ca="1">IFERROR(__xludf.DUMMYFUNCTION("GOOGLEFINANCE(A1466,""PRICEOPEN"")"),"#N/A")</f>
        <v>#N/A</v>
      </c>
      <c r="D1466" s="11" t="str">
        <f ca="1">IFERROR(__xludf.DUMMYFUNCTION("GOOGLEFINANCE(A1466,""HIGH"")"),"#N/A")</f>
        <v>#N/A</v>
      </c>
      <c r="E1466" s="11" t="str">
        <f ca="1">IFERROR(__xludf.DUMMYFUNCTION("GOOGLEFINANCE(A1466,""LOW"")"),"#N/A")</f>
        <v>#N/A</v>
      </c>
      <c r="F1466" s="12" t="str">
        <f t="shared" ca="1" si="42"/>
        <v>SELL</v>
      </c>
      <c r="G1466" s="13" t="str">
        <f ca="1">IFERROR(__xludf.DUMMYFUNCTION("GOOGLEFINANCE(A1466,""CLOSEYEST"")"),"#N/A")</f>
        <v>#N/A</v>
      </c>
      <c r="H1466" s="14" t="e">
        <f t="shared" ca="1" si="48"/>
        <v>#VALUE!</v>
      </c>
      <c r="I1466" s="15" t="e">
        <f t="shared" ca="1" si="43"/>
        <v>#VALUE!</v>
      </c>
      <c r="J1466" s="16" t="e">
        <f t="shared" ca="1" si="44"/>
        <v>#VALUE!</v>
      </c>
      <c r="K1466" s="16"/>
      <c r="L1466" s="16" t="e">
        <f t="shared" ca="1" si="45"/>
        <v>#VALUE!</v>
      </c>
      <c r="M1466" s="16" t="e">
        <f t="shared" ca="1" si="46"/>
        <v>#VALUE!</v>
      </c>
      <c r="N1466" s="16" t="e">
        <f t="shared" ca="1" si="47"/>
        <v>#VALUE!</v>
      </c>
    </row>
    <row r="1467" spans="1:14" ht="24.75" customHeight="1" x14ac:dyDescent="0.8">
      <c r="A1467" s="18" t="s">
        <v>1430</v>
      </c>
      <c r="B1467" s="10">
        <f ca="1">IFERROR(__xludf.DUMMYFUNCTION("GOOGLEFINANCE(A1467,""PRICE"")"),577)</f>
        <v>577</v>
      </c>
      <c r="C1467" s="11">
        <f ca="1">IFERROR(__xludf.DUMMYFUNCTION("GOOGLEFINANCE(A1467,""PRICEOPEN"")"),580)</f>
        <v>580</v>
      </c>
      <c r="D1467" s="11">
        <f ca="1">IFERROR(__xludf.DUMMYFUNCTION("GOOGLEFINANCE(A1467,""HIGH"")"),580)</f>
        <v>580</v>
      </c>
      <c r="E1467" s="11">
        <f ca="1">IFERROR(__xludf.DUMMYFUNCTION("GOOGLEFINANCE(A1467,""LOW"")"),572)</f>
        <v>572</v>
      </c>
      <c r="F1467" s="12" t="str">
        <f t="shared" ca="1" si="42"/>
        <v>SELL</v>
      </c>
      <c r="G1467" s="13">
        <f ca="1">IFERROR(__xludf.DUMMYFUNCTION("GOOGLEFINANCE(A1467,""CLOSEYEST"")"),572.3)</f>
        <v>572.29999999999995</v>
      </c>
      <c r="H1467" s="14" t="str">
        <f t="shared" ca="1" si="48"/>
        <v>GAP UP</v>
      </c>
      <c r="I1467" s="15">
        <f t="shared" ca="1" si="43"/>
        <v>574.76666666666665</v>
      </c>
      <c r="J1467" s="16">
        <f t="shared" ca="1" si="44"/>
        <v>577.5333333333333</v>
      </c>
      <c r="K1467" s="16"/>
      <c r="L1467" s="16">
        <f t="shared" ca="1" si="45"/>
        <v>569.5333333333333</v>
      </c>
      <c r="M1467" s="16">
        <f t="shared" ca="1" si="46"/>
        <v>582.76666666666665</v>
      </c>
      <c r="N1467" s="16">
        <f t="shared" ca="1" si="47"/>
        <v>566.76666666666665</v>
      </c>
    </row>
    <row r="1468" spans="1:14" ht="24.75" customHeight="1" x14ac:dyDescent="0.8">
      <c r="A1468" s="18" t="s">
        <v>1431</v>
      </c>
      <c r="B1468" s="10">
        <f ca="1">IFERROR(__xludf.DUMMYFUNCTION("GOOGLEFINANCE(A1468,""PRICE"")"),1090.4)</f>
        <v>1090.4000000000001</v>
      </c>
      <c r="C1468" s="11">
        <f ca="1">IFERROR(__xludf.DUMMYFUNCTION("GOOGLEFINANCE(A1468,""PRICEOPEN"")"),1068)</f>
        <v>1068</v>
      </c>
      <c r="D1468" s="11">
        <f ca="1">IFERROR(__xludf.DUMMYFUNCTION("GOOGLEFINANCE(A1468,""HIGH"")"),1090.4)</f>
        <v>1090.4000000000001</v>
      </c>
      <c r="E1468" s="11">
        <f ca="1">IFERROR(__xludf.DUMMYFUNCTION("GOOGLEFINANCE(A1468,""LOW"")"),1035)</f>
        <v>1035</v>
      </c>
      <c r="F1468" s="12" t="str">
        <f t="shared" ca="1" si="42"/>
        <v/>
      </c>
      <c r="G1468" s="13">
        <f ca="1">IFERROR(__xludf.DUMMYFUNCTION("GOOGLEFINANCE(A1468,""CLOSEYEST"")"),1038.5)</f>
        <v>1038.5</v>
      </c>
      <c r="H1468" s="14" t="str">
        <f t="shared" ca="1" si="48"/>
        <v>GAP UP</v>
      </c>
      <c r="I1468" s="15">
        <f t="shared" ca="1" si="43"/>
        <v>1054.6333333333334</v>
      </c>
      <c r="J1468" s="16">
        <f t="shared" ca="1" si="44"/>
        <v>1074.2666666666669</v>
      </c>
      <c r="K1468" s="16"/>
      <c r="L1468" s="16">
        <f t="shared" ca="1" si="45"/>
        <v>1018.8666666666668</v>
      </c>
      <c r="M1468" s="16">
        <f t="shared" ca="1" si="46"/>
        <v>1110.0333333333335</v>
      </c>
      <c r="N1468" s="16">
        <f t="shared" ca="1" si="47"/>
        <v>999.23333333333335</v>
      </c>
    </row>
    <row r="1469" spans="1:14" ht="24.75" customHeight="1" x14ac:dyDescent="0.8">
      <c r="A1469" s="18" t="s">
        <v>1432</v>
      </c>
      <c r="B1469" s="10">
        <f ca="1">IFERROR(__xludf.DUMMYFUNCTION("GOOGLEFINANCE(A1469,""PRICE"")"),155.3)</f>
        <v>155.30000000000001</v>
      </c>
      <c r="C1469" s="11">
        <f ca="1">IFERROR(__xludf.DUMMYFUNCTION("GOOGLEFINANCE(A1469,""PRICEOPEN"")"),158.63)</f>
        <v>158.63</v>
      </c>
      <c r="D1469" s="11">
        <f ca="1">IFERROR(__xludf.DUMMYFUNCTION("GOOGLEFINANCE(A1469,""HIGH"")"),158.63)</f>
        <v>158.63</v>
      </c>
      <c r="E1469" s="11">
        <f ca="1">IFERROR(__xludf.DUMMYFUNCTION("GOOGLEFINANCE(A1469,""LOW"")"),152.98)</f>
        <v>152.97999999999999</v>
      </c>
      <c r="F1469" s="12" t="str">
        <f t="shared" ca="1" si="42"/>
        <v>SELL</v>
      </c>
      <c r="G1469" s="13">
        <f ca="1">IFERROR(__xludf.DUMMYFUNCTION("GOOGLEFINANCE(A1469,""CLOSEYEST"")"),154.76)</f>
        <v>154.76</v>
      </c>
      <c r="H1469" s="14" t="str">
        <f t="shared" ca="1" si="48"/>
        <v>GAP UP</v>
      </c>
      <c r="I1469" s="15">
        <f t="shared" ca="1" si="43"/>
        <v>155.45666666666668</v>
      </c>
      <c r="J1469" s="16">
        <f t="shared" ca="1" si="44"/>
        <v>157.93333333333337</v>
      </c>
      <c r="K1469" s="16"/>
      <c r="L1469" s="16">
        <f t="shared" ca="1" si="45"/>
        <v>152.28333333333336</v>
      </c>
      <c r="M1469" s="16">
        <f t="shared" ca="1" si="46"/>
        <v>161.10666666666668</v>
      </c>
      <c r="N1469" s="16">
        <f t="shared" ca="1" si="47"/>
        <v>149.80666666666667</v>
      </c>
    </row>
    <row r="1470" spans="1:14" ht="24.75" customHeight="1" x14ac:dyDescent="0.8">
      <c r="A1470" s="18" t="s">
        <v>1433</v>
      </c>
      <c r="B1470" s="10" t="str">
        <f ca="1">IFERROR(__xludf.DUMMYFUNCTION("GOOGLEFINANCE(A1470,""PRICE"")"),"#N/A")</f>
        <v>#N/A</v>
      </c>
      <c r="C1470" s="11" t="str">
        <f ca="1">IFERROR(__xludf.DUMMYFUNCTION("GOOGLEFINANCE(A1470,""PRICEOPEN"")"),"#N/A")</f>
        <v>#N/A</v>
      </c>
      <c r="D1470" s="11" t="str">
        <f ca="1">IFERROR(__xludf.DUMMYFUNCTION("GOOGLEFINANCE(A1470,""HIGH"")"),"#N/A")</f>
        <v>#N/A</v>
      </c>
      <c r="E1470" s="11" t="str">
        <f ca="1">IFERROR(__xludf.DUMMYFUNCTION("GOOGLEFINANCE(A1470,""LOW"")"),"#N/A")</f>
        <v>#N/A</v>
      </c>
      <c r="F1470" s="12" t="str">
        <f t="shared" ca="1" si="42"/>
        <v>SELL</v>
      </c>
      <c r="G1470" s="13" t="str">
        <f ca="1">IFERROR(__xludf.DUMMYFUNCTION("GOOGLEFINANCE(A1470,""CLOSEYEST"")"),"#N/A")</f>
        <v>#N/A</v>
      </c>
      <c r="H1470" s="14" t="e">
        <f t="shared" ca="1" si="48"/>
        <v>#VALUE!</v>
      </c>
      <c r="I1470" s="15" t="e">
        <f t="shared" ca="1" si="43"/>
        <v>#VALUE!</v>
      </c>
      <c r="J1470" s="16" t="e">
        <f t="shared" ca="1" si="44"/>
        <v>#VALUE!</v>
      </c>
      <c r="K1470" s="16"/>
      <c r="L1470" s="16" t="e">
        <f t="shared" ca="1" si="45"/>
        <v>#VALUE!</v>
      </c>
      <c r="M1470" s="16" t="e">
        <f t="shared" ca="1" si="46"/>
        <v>#VALUE!</v>
      </c>
      <c r="N1470" s="16" t="e">
        <f t="shared" ca="1" si="47"/>
        <v>#VALUE!</v>
      </c>
    </row>
    <row r="1471" spans="1:14" ht="24.75" customHeight="1" x14ac:dyDescent="0.8">
      <c r="A1471" s="18" t="s">
        <v>1434</v>
      </c>
      <c r="B1471" s="10">
        <f ca="1">IFERROR(__xludf.DUMMYFUNCTION("GOOGLEFINANCE(A1471,""PRICE"")"),0.84)</f>
        <v>0.84</v>
      </c>
      <c r="C1471" s="11" t="str">
        <f ca="1">IFERROR(__xludf.DUMMYFUNCTION("GOOGLEFINANCE(A1471,""PRICEOPEN"")"),"#N/A")</f>
        <v>#N/A</v>
      </c>
      <c r="D1471" s="11" t="str">
        <f ca="1">IFERROR(__xludf.DUMMYFUNCTION("GOOGLEFINANCE(A1471,""HIGH"")"),"#N/A")</f>
        <v>#N/A</v>
      </c>
      <c r="E1471" s="11" t="str">
        <f ca="1">IFERROR(__xludf.DUMMYFUNCTION("GOOGLEFINANCE(A1471,""LOW"")"),"#N/A")</f>
        <v>#N/A</v>
      </c>
      <c r="F1471" s="12" t="str">
        <f t="shared" ca="1" si="42"/>
        <v>SELL</v>
      </c>
      <c r="G1471" s="13">
        <f ca="1">IFERROR(__xludf.DUMMYFUNCTION("GOOGLEFINANCE(A1471,""CLOSEYEST"")"),0.84)</f>
        <v>0.84</v>
      </c>
      <c r="H1471" s="14" t="str">
        <f t="shared" ca="1" si="48"/>
        <v>GAP UP</v>
      </c>
      <c r="I1471" s="15" t="e">
        <f t="shared" ca="1" si="43"/>
        <v>#VALUE!</v>
      </c>
      <c r="J1471" s="16" t="e">
        <f t="shared" ca="1" si="44"/>
        <v>#VALUE!</v>
      </c>
      <c r="K1471" s="16"/>
      <c r="L1471" s="16" t="e">
        <f t="shared" ca="1" si="45"/>
        <v>#VALUE!</v>
      </c>
      <c r="M1471" s="16" t="e">
        <f t="shared" ca="1" si="46"/>
        <v>#VALUE!</v>
      </c>
      <c r="N1471" s="16" t="e">
        <f t="shared" ca="1" si="47"/>
        <v>#VALUE!</v>
      </c>
    </row>
    <row r="1472" spans="1:14" ht="24.75" customHeight="1" x14ac:dyDescent="0.8">
      <c r="A1472" s="18" t="s">
        <v>1435</v>
      </c>
      <c r="B1472" s="10">
        <f ca="1">IFERROR(__xludf.DUMMYFUNCTION("GOOGLEFINANCE(A1472,""PRICE"")"),115.7)</f>
        <v>115.7</v>
      </c>
      <c r="C1472" s="11">
        <f ca="1">IFERROR(__xludf.DUMMYFUNCTION("GOOGLEFINANCE(A1472,""PRICEOPEN"")"),115.96)</f>
        <v>115.96</v>
      </c>
      <c r="D1472" s="11">
        <f ca="1">IFERROR(__xludf.DUMMYFUNCTION("GOOGLEFINANCE(A1472,""HIGH"")"),117.27)</f>
        <v>117.27</v>
      </c>
      <c r="E1472" s="11">
        <f ca="1">IFERROR(__xludf.DUMMYFUNCTION("GOOGLEFINANCE(A1472,""LOW"")"),113.99)</f>
        <v>113.99</v>
      </c>
      <c r="F1472" s="12" t="str">
        <f t="shared" ca="1" si="42"/>
        <v/>
      </c>
      <c r="G1472" s="13">
        <f ca="1">IFERROR(__xludf.DUMMYFUNCTION("GOOGLEFINANCE(A1472,""CLOSEYEST"")"),115.15)</f>
        <v>115.15</v>
      </c>
      <c r="H1472" s="14" t="str">
        <f t="shared" ca="1" si="48"/>
        <v/>
      </c>
      <c r="I1472" s="15">
        <f t="shared" ca="1" si="43"/>
        <v>115.46999999999998</v>
      </c>
      <c r="J1472" s="16">
        <f t="shared" ca="1" si="44"/>
        <v>116.94999999999997</v>
      </c>
      <c r="K1472" s="16"/>
      <c r="L1472" s="16">
        <f t="shared" ca="1" si="45"/>
        <v>113.66999999999997</v>
      </c>
      <c r="M1472" s="16">
        <f t="shared" ca="1" si="46"/>
        <v>118.74999999999999</v>
      </c>
      <c r="N1472" s="16">
        <f t="shared" ca="1" si="47"/>
        <v>112.18999999999998</v>
      </c>
    </row>
    <row r="1473" spans="1:14" ht="24.75" customHeight="1" x14ac:dyDescent="0.8">
      <c r="A1473" s="18" t="s">
        <v>1436</v>
      </c>
      <c r="B1473" s="10">
        <f ca="1">IFERROR(__xludf.DUMMYFUNCTION("GOOGLEFINANCE(A1473,""PRICE"")"),259.4)</f>
        <v>259.39999999999998</v>
      </c>
      <c r="C1473" s="11">
        <f ca="1">IFERROR(__xludf.DUMMYFUNCTION("GOOGLEFINANCE(A1473,""PRICEOPEN"")"),262)</f>
        <v>262</v>
      </c>
      <c r="D1473" s="11">
        <f ca="1">IFERROR(__xludf.DUMMYFUNCTION("GOOGLEFINANCE(A1473,""HIGH"")"),268)</f>
        <v>268</v>
      </c>
      <c r="E1473" s="11">
        <f ca="1">IFERROR(__xludf.DUMMYFUNCTION("GOOGLEFINANCE(A1473,""LOW"")"),259.05)</f>
        <v>259.05</v>
      </c>
      <c r="F1473" s="12" t="str">
        <f t="shared" ca="1" si="42"/>
        <v/>
      </c>
      <c r="G1473" s="13">
        <f ca="1">IFERROR(__xludf.DUMMYFUNCTION("GOOGLEFINANCE(A1473,""CLOSEYEST"")"),259.85)</f>
        <v>259.85000000000002</v>
      </c>
      <c r="H1473" s="14" t="str">
        <f t="shared" ca="1" si="48"/>
        <v/>
      </c>
      <c r="I1473" s="15">
        <f t="shared" ca="1" si="43"/>
        <v>262.3</v>
      </c>
      <c r="J1473" s="16">
        <f t="shared" ca="1" si="44"/>
        <v>265.55</v>
      </c>
      <c r="K1473" s="16"/>
      <c r="L1473" s="16">
        <f t="shared" ca="1" si="45"/>
        <v>256.60000000000002</v>
      </c>
      <c r="M1473" s="16">
        <f t="shared" ca="1" si="46"/>
        <v>271.25</v>
      </c>
      <c r="N1473" s="16">
        <f t="shared" ca="1" si="47"/>
        <v>253.35000000000002</v>
      </c>
    </row>
    <row r="1474" spans="1:14" ht="24.75" customHeight="1" x14ac:dyDescent="0.8">
      <c r="A1474" s="18" t="s">
        <v>1437</v>
      </c>
      <c r="B1474" s="10">
        <f ca="1">IFERROR(__xludf.DUMMYFUNCTION("GOOGLEFINANCE(A1474,""PRICE"")"),30.3)</f>
        <v>30.3</v>
      </c>
      <c r="C1474" s="11">
        <f ca="1">IFERROR(__xludf.DUMMYFUNCTION("GOOGLEFINANCE(A1474,""PRICEOPEN"")"),30.85)</f>
        <v>30.85</v>
      </c>
      <c r="D1474" s="11">
        <f ca="1">IFERROR(__xludf.DUMMYFUNCTION("GOOGLEFINANCE(A1474,""HIGH"")"),32)</f>
        <v>32</v>
      </c>
      <c r="E1474" s="11">
        <f ca="1">IFERROR(__xludf.DUMMYFUNCTION("GOOGLEFINANCE(A1474,""LOW"")"),29.97)</f>
        <v>29.97</v>
      </c>
      <c r="F1474" s="12" t="str">
        <f t="shared" ca="1" si="42"/>
        <v/>
      </c>
      <c r="G1474" s="13">
        <f ca="1">IFERROR(__xludf.DUMMYFUNCTION("GOOGLEFINANCE(A1474,""CLOSEYEST"")"),31.55)</f>
        <v>31.55</v>
      </c>
      <c r="H1474" s="14" t="str">
        <f t="shared" ca="1" si="48"/>
        <v>GAP DOWN</v>
      </c>
      <c r="I1474" s="15">
        <f t="shared" ca="1" si="43"/>
        <v>31.173333333333332</v>
      </c>
      <c r="J1474" s="16">
        <f t="shared" ca="1" si="44"/>
        <v>32.376666666666665</v>
      </c>
      <c r="K1474" s="16"/>
      <c r="L1474" s="16">
        <f t="shared" ca="1" si="45"/>
        <v>30.346666666666664</v>
      </c>
      <c r="M1474" s="16">
        <f t="shared" ca="1" si="46"/>
        <v>33.203333333333333</v>
      </c>
      <c r="N1474" s="16">
        <f t="shared" ca="1" si="47"/>
        <v>29.143333333333331</v>
      </c>
    </row>
    <row r="1475" spans="1:14" ht="24.75" customHeight="1" x14ac:dyDescent="0.8">
      <c r="A1475" s="18" t="s">
        <v>1438</v>
      </c>
      <c r="B1475" s="10" t="str">
        <f ca="1">IFERROR(__xludf.DUMMYFUNCTION("GOOGLEFINANCE(A1475,""PRICE"")"),"#N/A")</f>
        <v>#N/A</v>
      </c>
      <c r="C1475" s="11" t="str">
        <f ca="1">IFERROR(__xludf.DUMMYFUNCTION("GOOGLEFINANCE(A1475,""PRICEOPEN"")"),"#N/A")</f>
        <v>#N/A</v>
      </c>
      <c r="D1475" s="11" t="str">
        <f ca="1">IFERROR(__xludf.DUMMYFUNCTION("GOOGLEFINANCE(A1475,""HIGH"")"),"#N/A")</f>
        <v>#N/A</v>
      </c>
      <c r="E1475" s="11" t="str">
        <f ca="1">IFERROR(__xludf.DUMMYFUNCTION("GOOGLEFINANCE(A1475,""LOW"")"),"#N/A")</f>
        <v>#N/A</v>
      </c>
      <c r="F1475" s="12" t="str">
        <f t="shared" ca="1" si="42"/>
        <v>SELL</v>
      </c>
      <c r="G1475" s="13" t="str">
        <f ca="1">IFERROR(__xludf.DUMMYFUNCTION("GOOGLEFINANCE(A1475,""CLOSEYEST"")"),"#N/A")</f>
        <v>#N/A</v>
      </c>
      <c r="H1475" s="14" t="e">
        <f t="shared" ca="1" si="48"/>
        <v>#VALUE!</v>
      </c>
      <c r="I1475" s="15" t="e">
        <f t="shared" ca="1" si="43"/>
        <v>#VALUE!</v>
      </c>
      <c r="J1475" s="16" t="e">
        <f t="shared" ca="1" si="44"/>
        <v>#VALUE!</v>
      </c>
      <c r="K1475" s="16"/>
      <c r="L1475" s="16" t="e">
        <f t="shared" ca="1" si="45"/>
        <v>#VALUE!</v>
      </c>
      <c r="M1475" s="16" t="e">
        <f t="shared" ca="1" si="46"/>
        <v>#VALUE!</v>
      </c>
      <c r="N1475" s="16" t="e">
        <f t="shared" ca="1" si="47"/>
        <v>#VALUE!</v>
      </c>
    </row>
    <row r="1476" spans="1:14" ht="24.75" customHeight="1" x14ac:dyDescent="0.8">
      <c r="A1476" s="18" t="s">
        <v>1439</v>
      </c>
      <c r="B1476" s="10">
        <f ca="1">IFERROR(__xludf.DUMMYFUNCTION("GOOGLEFINANCE(A1476,""PRICE"")"),133.2)</f>
        <v>133.19999999999999</v>
      </c>
      <c r="C1476" s="11">
        <f ca="1">IFERROR(__xludf.DUMMYFUNCTION("GOOGLEFINANCE(A1476,""PRICEOPEN"")"),130.8)</f>
        <v>130.80000000000001</v>
      </c>
      <c r="D1476" s="11">
        <f ca="1">IFERROR(__xludf.DUMMYFUNCTION("GOOGLEFINANCE(A1476,""HIGH"")"),137.2)</f>
        <v>137.19999999999999</v>
      </c>
      <c r="E1476" s="11">
        <f ca="1">IFERROR(__xludf.DUMMYFUNCTION("GOOGLEFINANCE(A1476,""LOW"")"),126)</f>
        <v>126</v>
      </c>
      <c r="F1476" s="12" t="str">
        <f t="shared" ca="1" si="42"/>
        <v/>
      </c>
      <c r="G1476" s="13">
        <f ca="1">IFERROR(__xludf.DUMMYFUNCTION("GOOGLEFINANCE(A1476,""CLOSEYEST"")"),132.41)</f>
        <v>132.41</v>
      </c>
      <c r="H1476" s="14" t="str">
        <f t="shared" ca="1" si="48"/>
        <v>GAP DOWN</v>
      </c>
      <c r="I1476" s="15">
        <f t="shared" ca="1" si="43"/>
        <v>131.87</v>
      </c>
      <c r="J1476" s="16">
        <f t="shared" ca="1" si="44"/>
        <v>137.74</v>
      </c>
      <c r="K1476" s="16"/>
      <c r="L1476" s="16">
        <f t="shared" ca="1" si="45"/>
        <v>126.54000000000002</v>
      </c>
      <c r="M1476" s="16">
        <f t="shared" ca="1" si="46"/>
        <v>143.07</v>
      </c>
      <c r="N1476" s="16">
        <f t="shared" ca="1" si="47"/>
        <v>120.67000000000002</v>
      </c>
    </row>
    <row r="1477" spans="1:14" ht="24.75" customHeight="1" x14ac:dyDescent="0.8">
      <c r="A1477" s="18" t="s">
        <v>1440</v>
      </c>
      <c r="B1477" s="10">
        <f ca="1">IFERROR(__xludf.DUMMYFUNCTION("GOOGLEFINANCE(A1477,""PRICE"")"),1.93)</f>
        <v>1.93</v>
      </c>
      <c r="C1477" s="11">
        <f ca="1">IFERROR(__xludf.DUMMYFUNCTION("GOOGLEFINANCE(A1477,""PRICEOPEN"")"),1.93)</f>
        <v>1.93</v>
      </c>
      <c r="D1477" s="11">
        <f ca="1">IFERROR(__xludf.DUMMYFUNCTION("GOOGLEFINANCE(A1477,""HIGH"")"),1.97)</f>
        <v>1.97</v>
      </c>
      <c r="E1477" s="11">
        <f ca="1">IFERROR(__xludf.DUMMYFUNCTION("GOOGLEFINANCE(A1477,""LOW"")"),1.91)</f>
        <v>1.91</v>
      </c>
      <c r="F1477" s="12" t="str">
        <f t="shared" ca="1" si="42"/>
        <v/>
      </c>
      <c r="G1477" s="13">
        <f ca="1">IFERROR(__xludf.DUMMYFUNCTION("GOOGLEFINANCE(A1477,""CLOSEYEST"")"),1.93)</f>
        <v>1.93</v>
      </c>
      <c r="H1477" s="14" t="str">
        <f t="shared" ca="1" si="48"/>
        <v/>
      </c>
      <c r="I1477" s="15">
        <f t="shared" ca="1" si="43"/>
        <v>1.9366666666666665</v>
      </c>
      <c r="J1477" s="16">
        <f t="shared" ca="1" si="44"/>
        <v>1.9633333333333332</v>
      </c>
      <c r="K1477" s="16"/>
      <c r="L1477" s="16">
        <f t="shared" ca="1" si="45"/>
        <v>1.9033333333333331</v>
      </c>
      <c r="M1477" s="16">
        <f t="shared" ca="1" si="46"/>
        <v>1.9966666666666666</v>
      </c>
      <c r="N1477" s="16">
        <f t="shared" ca="1" si="47"/>
        <v>1.8766666666666665</v>
      </c>
    </row>
    <row r="1478" spans="1:14" ht="24.75" customHeight="1" x14ac:dyDescent="0.8">
      <c r="A1478" s="18" t="s">
        <v>1441</v>
      </c>
      <c r="B1478" s="10">
        <f ca="1">IFERROR(__xludf.DUMMYFUNCTION("GOOGLEFINANCE(A1478,""PRICE"")"),1125.8)</f>
        <v>1125.8</v>
      </c>
      <c r="C1478" s="11">
        <f ca="1">IFERROR(__xludf.DUMMYFUNCTION("GOOGLEFINANCE(A1478,""PRICEOPEN"")"),1085)</f>
        <v>1085</v>
      </c>
      <c r="D1478" s="11">
        <f ca="1">IFERROR(__xludf.DUMMYFUNCTION("GOOGLEFINANCE(A1478,""HIGH"")"),1125.8)</f>
        <v>1125.8</v>
      </c>
      <c r="E1478" s="11">
        <f ca="1">IFERROR(__xludf.DUMMYFUNCTION("GOOGLEFINANCE(A1478,""LOW"")"),1075.2)</f>
        <v>1075.2</v>
      </c>
      <c r="F1478" s="12" t="str">
        <f t="shared" ca="1" si="42"/>
        <v/>
      </c>
      <c r="G1478" s="13">
        <f ca="1">IFERROR(__xludf.DUMMYFUNCTION("GOOGLEFINANCE(A1478,""CLOSEYEST"")"),1072.2)</f>
        <v>1072.2</v>
      </c>
      <c r="H1478" s="14" t="str">
        <f t="shared" ca="1" si="48"/>
        <v>GAP UP</v>
      </c>
      <c r="I1478" s="15">
        <f t="shared" ca="1" si="43"/>
        <v>1091.0666666666666</v>
      </c>
      <c r="J1478" s="16">
        <f t="shared" ca="1" si="44"/>
        <v>1106.9333333333332</v>
      </c>
      <c r="K1478" s="16"/>
      <c r="L1478" s="16">
        <f t="shared" ca="1" si="45"/>
        <v>1056.3333333333333</v>
      </c>
      <c r="M1478" s="16">
        <f t="shared" ca="1" si="46"/>
        <v>1141.6666666666665</v>
      </c>
      <c r="N1478" s="16">
        <f t="shared" ca="1" si="47"/>
        <v>1040.4666666666667</v>
      </c>
    </row>
    <row r="1479" spans="1:14" ht="24.75" customHeight="1" x14ac:dyDescent="0.8">
      <c r="A1479" s="18" t="s">
        <v>1442</v>
      </c>
      <c r="B1479" s="10">
        <f ca="1">IFERROR(__xludf.DUMMYFUNCTION("GOOGLEFINANCE(A1479,""PRICE"")"),60.69)</f>
        <v>60.69</v>
      </c>
      <c r="C1479" s="11">
        <f ca="1">IFERROR(__xludf.DUMMYFUNCTION("GOOGLEFINANCE(A1479,""PRICEOPEN"")"),60)</f>
        <v>60</v>
      </c>
      <c r="D1479" s="11">
        <f ca="1">IFERROR(__xludf.DUMMYFUNCTION("GOOGLEFINANCE(A1479,""HIGH"")"),61.68)</f>
        <v>61.68</v>
      </c>
      <c r="E1479" s="11">
        <f ca="1">IFERROR(__xludf.DUMMYFUNCTION("GOOGLEFINANCE(A1479,""LOW"")"),59.75)</f>
        <v>59.75</v>
      </c>
      <c r="F1479" s="12" t="str">
        <f t="shared" ca="1" si="42"/>
        <v/>
      </c>
      <c r="G1479" s="13">
        <f ca="1">IFERROR(__xludf.DUMMYFUNCTION("GOOGLEFINANCE(A1479,""CLOSEYEST"")"),60.63)</f>
        <v>60.63</v>
      </c>
      <c r="H1479" s="14" t="str">
        <f t="shared" ca="1" si="48"/>
        <v>GAP DOWN</v>
      </c>
      <c r="I1479" s="15">
        <f t="shared" ca="1" si="43"/>
        <v>60.686666666666667</v>
      </c>
      <c r="J1479" s="16">
        <f t="shared" ca="1" si="44"/>
        <v>61.623333333333335</v>
      </c>
      <c r="K1479" s="16"/>
      <c r="L1479" s="16">
        <f t="shared" ca="1" si="45"/>
        <v>59.693333333333335</v>
      </c>
      <c r="M1479" s="16">
        <f t="shared" ca="1" si="46"/>
        <v>62.616666666666667</v>
      </c>
      <c r="N1479" s="16">
        <f t="shared" ca="1" si="47"/>
        <v>58.756666666666668</v>
      </c>
    </row>
    <row r="1480" spans="1:14" ht="24.75" customHeight="1" x14ac:dyDescent="0.8">
      <c r="A1480" s="18" t="s">
        <v>1443</v>
      </c>
      <c r="B1480" s="10">
        <f ca="1">IFERROR(__xludf.DUMMYFUNCTION("GOOGLEFINANCE(A1480,""PRICE"")"),16.8)</f>
        <v>16.8</v>
      </c>
      <c r="C1480" s="11">
        <f ca="1">IFERROR(__xludf.DUMMYFUNCTION("GOOGLEFINANCE(A1480,""PRICEOPEN"")"),16.9)</f>
        <v>16.899999999999999</v>
      </c>
      <c r="D1480" s="11">
        <f ca="1">IFERROR(__xludf.DUMMYFUNCTION("GOOGLEFINANCE(A1480,""HIGH"")"),16.9)</f>
        <v>16.899999999999999</v>
      </c>
      <c r="E1480" s="11">
        <f ca="1">IFERROR(__xludf.DUMMYFUNCTION("GOOGLEFINANCE(A1480,""LOW"")"),16.11)</f>
        <v>16.11</v>
      </c>
      <c r="F1480" s="12" t="str">
        <f t="shared" ca="1" si="42"/>
        <v>SELL</v>
      </c>
      <c r="G1480" s="13">
        <f ca="1">IFERROR(__xludf.DUMMYFUNCTION("GOOGLEFINANCE(A1480,""CLOSEYEST"")"),16.1)</f>
        <v>16.100000000000001</v>
      </c>
      <c r="H1480" s="14" t="str">
        <f t="shared" ca="1" si="48"/>
        <v>GAP UP</v>
      </c>
      <c r="I1480" s="15">
        <f t="shared" ca="1" si="43"/>
        <v>16.37</v>
      </c>
      <c r="J1480" s="16">
        <f t="shared" ca="1" si="44"/>
        <v>16.630000000000003</v>
      </c>
      <c r="K1480" s="16"/>
      <c r="L1480" s="16">
        <f t="shared" ca="1" si="45"/>
        <v>15.840000000000003</v>
      </c>
      <c r="M1480" s="16">
        <f t="shared" ca="1" si="46"/>
        <v>17.16</v>
      </c>
      <c r="N1480" s="16">
        <f t="shared" ca="1" si="47"/>
        <v>15.580000000000002</v>
      </c>
    </row>
    <row r="1481" spans="1:14" ht="24.75" customHeight="1" x14ac:dyDescent="0.8">
      <c r="A1481" s="18" t="s">
        <v>1444</v>
      </c>
      <c r="B1481" s="10">
        <f ca="1">IFERROR(__xludf.DUMMYFUNCTION("GOOGLEFINANCE(A1481,""PRICE"")"),84.45)</f>
        <v>84.45</v>
      </c>
      <c r="C1481" s="11">
        <f ca="1">IFERROR(__xludf.DUMMYFUNCTION("GOOGLEFINANCE(A1481,""PRICEOPEN"")"),84.89)</f>
        <v>84.89</v>
      </c>
      <c r="D1481" s="11">
        <f ca="1">IFERROR(__xludf.DUMMYFUNCTION("GOOGLEFINANCE(A1481,""HIGH"")"),84.89)</f>
        <v>84.89</v>
      </c>
      <c r="E1481" s="11">
        <f ca="1">IFERROR(__xludf.DUMMYFUNCTION("GOOGLEFINANCE(A1481,""LOW"")"),83)</f>
        <v>83</v>
      </c>
      <c r="F1481" s="12" t="str">
        <f t="shared" ca="1" si="42"/>
        <v>SELL</v>
      </c>
      <c r="G1481" s="13">
        <f ca="1">IFERROR(__xludf.DUMMYFUNCTION("GOOGLEFINANCE(A1481,""CLOSEYEST"")"),83.67)</f>
        <v>83.67</v>
      </c>
      <c r="H1481" s="14" t="str">
        <f t="shared" ca="1" si="48"/>
        <v>GAP UP</v>
      </c>
      <c r="I1481" s="15">
        <f t="shared" ca="1" si="43"/>
        <v>83.853333333333339</v>
      </c>
      <c r="J1481" s="16">
        <f t="shared" ca="1" si="44"/>
        <v>84.706666666666678</v>
      </c>
      <c r="K1481" s="16"/>
      <c r="L1481" s="16">
        <f t="shared" ca="1" si="45"/>
        <v>82.816666666666677</v>
      </c>
      <c r="M1481" s="16">
        <f t="shared" ca="1" si="46"/>
        <v>85.743333333333339</v>
      </c>
      <c r="N1481" s="16">
        <f t="shared" ca="1" si="47"/>
        <v>81.963333333333338</v>
      </c>
    </row>
    <row r="1482" spans="1:14" ht="24.75" customHeight="1" x14ac:dyDescent="0.8">
      <c r="A1482" s="18" t="s">
        <v>1445</v>
      </c>
      <c r="B1482" s="10">
        <f ca="1">IFERROR(__xludf.DUMMYFUNCTION("GOOGLEFINANCE(A1482,""PRICE"")"),88.3)</f>
        <v>88.3</v>
      </c>
      <c r="C1482" s="11">
        <f ca="1">IFERROR(__xludf.DUMMYFUNCTION("GOOGLEFINANCE(A1482,""PRICEOPEN"")"),88.05)</f>
        <v>88.05</v>
      </c>
      <c r="D1482" s="11">
        <f ca="1">IFERROR(__xludf.DUMMYFUNCTION("GOOGLEFINANCE(A1482,""HIGH"")"),90.67)</f>
        <v>90.67</v>
      </c>
      <c r="E1482" s="11">
        <f ca="1">IFERROR(__xludf.DUMMYFUNCTION("GOOGLEFINANCE(A1482,""LOW"")"),87.44)</f>
        <v>87.44</v>
      </c>
      <c r="F1482" s="12" t="str">
        <f t="shared" ca="1" si="42"/>
        <v/>
      </c>
      <c r="G1482" s="13">
        <f ca="1">IFERROR(__xludf.DUMMYFUNCTION("GOOGLEFINANCE(A1482,""CLOSEYEST"")"),88.84)</f>
        <v>88.84</v>
      </c>
      <c r="H1482" s="14" t="str">
        <f t="shared" ca="1" si="48"/>
        <v/>
      </c>
      <c r="I1482" s="15">
        <f t="shared" ca="1" si="43"/>
        <v>88.983333333333348</v>
      </c>
      <c r="J1482" s="16">
        <f t="shared" ca="1" si="44"/>
        <v>90.526666666666699</v>
      </c>
      <c r="K1482" s="16"/>
      <c r="L1482" s="16">
        <f t="shared" ca="1" si="45"/>
        <v>87.296666666666695</v>
      </c>
      <c r="M1482" s="16">
        <f t="shared" ca="1" si="46"/>
        <v>92.213333333333352</v>
      </c>
      <c r="N1482" s="16">
        <f t="shared" ca="1" si="47"/>
        <v>85.753333333333345</v>
      </c>
    </row>
    <row r="1483" spans="1:14" ht="24.75" customHeight="1" x14ac:dyDescent="0.8">
      <c r="A1483" s="18" t="s">
        <v>1446</v>
      </c>
      <c r="B1483" s="10">
        <f ca="1">IFERROR(__xludf.DUMMYFUNCTION("GOOGLEFINANCE(A1483,""PRICE"")"),377.9)</f>
        <v>377.9</v>
      </c>
      <c r="C1483" s="11">
        <f ca="1">IFERROR(__xludf.DUMMYFUNCTION("GOOGLEFINANCE(A1483,""PRICEOPEN"")"),349.9)</f>
        <v>349.9</v>
      </c>
      <c r="D1483" s="11">
        <f ca="1">IFERROR(__xludf.DUMMYFUNCTION("GOOGLEFINANCE(A1483,""HIGH"")"),404.9)</f>
        <v>404.9</v>
      </c>
      <c r="E1483" s="11">
        <f ca="1">IFERROR(__xludf.DUMMYFUNCTION("GOOGLEFINANCE(A1483,""LOW"")"),349.9)</f>
        <v>349.9</v>
      </c>
      <c r="F1483" s="12" t="str">
        <f t="shared" ca="1" si="42"/>
        <v>BUY</v>
      </c>
      <c r="G1483" s="13">
        <f ca="1">IFERROR(__xludf.DUMMYFUNCTION("GOOGLEFINANCE(A1483,""CLOSEYEST"")"),347.45)</f>
        <v>347.45</v>
      </c>
      <c r="H1483" s="14" t="str">
        <f t="shared" ca="1" si="48"/>
        <v/>
      </c>
      <c r="I1483" s="15">
        <f t="shared" ca="1" si="43"/>
        <v>367.41666666666669</v>
      </c>
      <c r="J1483" s="16">
        <f t="shared" ca="1" si="44"/>
        <v>384.93333333333339</v>
      </c>
      <c r="K1483" s="16"/>
      <c r="L1483" s="16">
        <f t="shared" ca="1" si="45"/>
        <v>329.93333333333339</v>
      </c>
      <c r="M1483" s="16">
        <f t="shared" ca="1" si="46"/>
        <v>422.41666666666669</v>
      </c>
      <c r="N1483" s="16">
        <f t="shared" ca="1" si="47"/>
        <v>312.41666666666669</v>
      </c>
    </row>
    <row r="1484" spans="1:14" ht="24.75" customHeight="1" x14ac:dyDescent="0.8">
      <c r="A1484" s="18" t="s">
        <v>1447</v>
      </c>
      <c r="B1484" s="10">
        <f ca="1">IFERROR(__xludf.DUMMYFUNCTION("GOOGLEFINANCE(A1484,""PRICE"")"),5.34)</f>
        <v>5.34</v>
      </c>
      <c r="C1484" s="11">
        <f ca="1">IFERROR(__xludf.DUMMYFUNCTION("GOOGLEFINANCE(A1484,""PRICEOPEN"")"),5.18)</f>
        <v>5.18</v>
      </c>
      <c r="D1484" s="11">
        <f ca="1">IFERROR(__xludf.DUMMYFUNCTION("GOOGLEFINANCE(A1484,""HIGH"")"),5.4)</f>
        <v>5.4</v>
      </c>
      <c r="E1484" s="11">
        <f ca="1">IFERROR(__xludf.DUMMYFUNCTION("GOOGLEFINANCE(A1484,""LOW"")"),5.18)</f>
        <v>5.18</v>
      </c>
      <c r="F1484" s="12" t="str">
        <f t="shared" ca="1" si="42"/>
        <v>BUY</v>
      </c>
      <c r="G1484" s="13">
        <f ca="1">IFERROR(__xludf.DUMMYFUNCTION("GOOGLEFINANCE(A1484,""CLOSEYEST"")"),5.26)</f>
        <v>5.26</v>
      </c>
      <c r="H1484" s="14" t="str">
        <f t="shared" ca="1" si="48"/>
        <v>GAP DOWN</v>
      </c>
      <c r="I1484" s="15">
        <f t="shared" ca="1" si="43"/>
        <v>5.28</v>
      </c>
      <c r="J1484" s="16">
        <f t="shared" ca="1" si="44"/>
        <v>5.3800000000000008</v>
      </c>
      <c r="K1484" s="16"/>
      <c r="L1484" s="16">
        <f t="shared" ca="1" si="45"/>
        <v>5.16</v>
      </c>
      <c r="M1484" s="16">
        <f t="shared" ca="1" si="46"/>
        <v>5.5000000000000009</v>
      </c>
      <c r="N1484" s="16">
        <f t="shared" ca="1" si="47"/>
        <v>5.0599999999999996</v>
      </c>
    </row>
    <row r="1485" spans="1:14" ht="24.75" customHeight="1" x14ac:dyDescent="0.8">
      <c r="A1485" s="18" t="s">
        <v>1448</v>
      </c>
      <c r="B1485" s="10">
        <f ca="1">IFERROR(__xludf.DUMMYFUNCTION("GOOGLEFINANCE(A1485,""PRICE"")"),25.66)</f>
        <v>25.66</v>
      </c>
      <c r="C1485" s="11">
        <f ca="1">IFERROR(__xludf.DUMMYFUNCTION("GOOGLEFINANCE(A1485,""PRICEOPEN"")"),25.39)</f>
        <v>25.39</v>
      </c>
      <c r="D1485" s="11">
        <f ca="1">IFERROR(__xludf.DUMMYFUNCTION("GOOGLEFINANCE(A1485,""HIGH"")"),28.38)</f>
        <v>28.38</v>
      </c>
      <c r="E1485" s="11">
        <f ca="1">IFERROR(__xludf.DUMMYFUNCTION("GOOGLEFINANCE(A1485,""LOW"")"),25.39)</f>
        <v>25.39</v>
      </c>
      <c r="F1485" s="12" t="str">
        <f t="shared" ca="1" si="42"/>
        <v>BUY</v>
      </c>
      <c r="G1485" s="13">
        <f ca="1">IFERROR(__xludf.DUMMYFUNCTION("GOOGLEFINANCE(A1485,""CLOSEYEST"")"),25.38)</f>
        <v>25.38</v>
      </c>
      <c r="H1485" s="14" t="str">
        <f t="shared" ca="1" si="48"/>
        <v/>
      </c>
      <c r="I1485" s="15">
        <f t="shared" ca="1" si="43"/>
        <v>26.383333333333329</v>
      </c>
      <c r="J1485" s="16">
        <f t="shared" ca="1" si="44"/>
        <v>27.376666666666658</v>
      </c>
      <c r="K1485" s="16"/>
      <c r="L1485" s="16">
        <f t="shared" ca="1" si="45"/>
        <v>24.38666666666666</v>
      </c>
      <c r="M1485" s="16">
        <f t="shared" ca="1" si="46"/>
        <v>29.373333333333328</v>
      </c>
      <c r="N1485" s="16">
        <f t="shared" ca="1" si="47"/>
        <v>23.393333333333331</v>
      </c>
    </row>
    <row r="1486" spans="1:14" ht="24.75" customHeight="1" x14ac:dyDescent="0.8">
      <c r="A1486" s="18" t="s">
        <v>1449</v>
      </c>
      <c r="B1486" s="10">
        <f ca="1">IFERROR(__xludf.DUMMYFUNCTION("GOOGLEFINANCE(A1486,""PRICE"")"),18.95)</f>
        <v>18.95</v>
      </c>
      <c r="C1486" s="11">
        <f ca="1">IFERROR(__xludf.DUMMYFUNCTION("GOOGLEFINANCE(A1486,""PRICEOPEN"")"),18.95)</f>
        <v>18.95</v>
      </c>
      <c r="D1486" s="11">
        <f ca="1">IFERROR(__xludf.DUMMYFUNCTION("GOOGLEFINANCE(A1486,""HIGH"")"),19.4)</f>
        <v>19.399999999999999</v>
      </c>
      <c r="E1486" s="11">
        <f ca="1">IFERROR(__xludf.DUMMYFUNCTION("GOOGLEFINANCE(A1486,""LOW"")"),18.9)</f>
        <v>18.899999999999999</v>
      </c>
      <c r="F1486" s="12" t="str">
        <f t="shared" ca="1" si="42"/>
        <v/>
      </c>
      <c r="G1486" s="13">
        <f ca="1">IFERROR(__xludf.DUMMYFUNCTION("GOOGLEFINANCE(A1486,""CLOSEYEST"")"),19.23)</f>
        <v>19.23</v>
      </c>
      <c r="H1486" s="14" t="str">
        <f t="shared" ca="1" si="48"/>
        <v>GAP DOWN</v>
      </c>
      <c r="I1486" s="15">
        <f t="shared" ca="1" si="43"/>
        <v>19.176666666666666</v>
      </c>
      <c r="J1486" s="16">
        <f t="shared" ca="1" si="44"/>
        <v>19.453333333333333</v>
      </c>
      <c r="K1486" s="16"/>
      <c r="L1486" s="16">
        <f t="shared" ca="1" si="45"/>
        <v>18.953333333333333</v>
      </c>
      <c r="M1486" s="16">
        <f t="shared" ca="1" si="46"/>
        <v>19.676666666666666</v>
      </c>
      <c r="N1486" s="16">
        <f t="shared" ca="1" si="47"/>
        <v>18.676666666666666</v>
      </c>
    </row>
    <row r="1487" spans="1:14" ht="24.75" customHeight="1" x14ac:dyDescent="0.8">
      <c r="A1487" s="18" t="s">
        <v>1450</v>
      </c>
      <c r="B1487" s="10">
        <f ca="1">IFERROR(__xludf.DUMMYFUNCTION("GOOGLEFINANCE(A1487,""PRICE"")"),17.13)</f>
        <v>17.13</v>
      </c>
      <c r="C1487" s="11">
        <f ca="1">IFERROR(__xludf.DUMMYFUNCTION("GOOGLEFINANCE(A1487,""PRICEOPEN"")"),17.39)</f>
        <v>17.39</v>
      </c>
      <c r="D1487" s="11">
        <f ca="1">IFERROR(__xludf.DUMMYFUNCTION("GOOGLEFINANCE(A1487,""HIGH"")"),17.4)</f>
        <v>17.399999999999999</v>
      </c>
      <c r="E1487" s="11">
        <f ca="1">IFERROR(__xludf.DUMMYFUNCTION("GOOGLEFINANCE(A1487,""LOW"")"),16.95)</f>
        <v>16.95</v>
      </c>
      <c r="F1487" s="12" t="str">
        <f t="shared" ca="1" si="42"/>
        <v/>
      </c>
      <c r="G1487" s="13">
        <f ca="1">IFERROR(__xludf.DUMMYFUNCTION("GOOGLEFINANCE(A1487,""CLOSEYEST"")"),17.13)</f>
        <v>17.13</v>
      </c>
      <c r="H1487" s="14" t="str">
        <f t="shared" ca="1" si="48"/>
        <v>GAP UP</v>
      </c>
      <c r="I1487" s="15">
        <f t="shared" ca="1" si="43"/>
        <v>17.159999999999997</v>
      </c>
      <c r="J1487" s="16">
        <f t="shared" ca="1" si="44"/>
        <v>17.369999999999994</v>
      </c>
      <c r="K1487" s="16"/>
      <c r="L1487" s="16">
        <f t="shared" ca="1" si="45"/>
        <v>16.919999999999995</v>
      </c>
      <c r="M1487" s="16">
        <f t="shared" ca="1" si="46"/>
        <v>17.609999999999996</v>
      </c>
      <c r="N1487" s="16">
        <f t="shared" ca="1" si="47"/>
        <v>16.709999999999997</v>
      </c>
    </row>
    <row r="1488" spans="1:14" ht="24.75" customHeight="1" x14ac:dyDescent="0.8">
      <c r="A1488" s="18" t="s">
        <v>1451</v>
      </c>
      <c r="B1488" s="10">
        <f ca="1">IFERROR(__xludf.DUMMYFUNCTION("GOOGLEFINANCE(A1488,""PRICE"")"),16.45)</f>
        <v>16.45</v>
      </c>
      <c r="C1488" s="11">
        <f ca="1">IFERROR(__xludf.DUMMYFUNCTION("GOOGLEFINANCE(A1488,""PRICEOPEN"")"),16.95)</f>
        <v>16.95</v>
      </c>
      <c r="D1488" s="11">
        <f ca="1">IFERROR(__xludf.DUMMYFUNCTION("GOOGLEFINANCE(A1488,""HIGH"")"),16.97)</f>
        <v>16.97</v>
      </c>
      <c r="E1488" s="11">
        <f ca="1">IFERROR(__xludf.DUMMYFUNCTION("GOOGLEFINANCE(A1488,""LOW"")"),16.39)</f>
        <v>16.39</v>
      </c>
      <c r="F1488" s="12" t="str">
        <f t="shared" ca="1" si="42"/>
        <v/>
      </c>
      <c r="G1488" s="13">
        <f ca="1">IFERROR(__xludf.DUMMYFUNCTION("GOOGLEFINANCE(A1488,""CLOSEYEST"")"),16.97)</f>
        <v>16.97</v>
      </c>
      <c r="H1488" s="14" t="str">
        <f t="shared" ca="1" si="48"/>
        <v/>
      </c>
      <c r="I1488" s="15">
        <f t="shared" ca="1" si="43"/>
        <v>16.776666666666667</v>
      </c>
      <c r="J1488" s="16">
        <f t="shared" ca="1" si="44"/>
        <v>17.163333333333334</v>
      </c>
      <c r="K1488" s="16"/>
      <c r="L1488" s="16">
        <f t="shared" ca="1" si="45"/>
        <v>16.583333333333336</v>
      </c>
      <c r="M1488" s="16">
        <f t="shared" ca="1" si="46"/>
        <v>17.356666666666666</v>
      </c>
      <c r="N1488" s="16">
        <f t="shared" ca="1" si="47"/>
        <v>16.196666666666669</v>
      </c>
    </row>
    <row r="1489" spans="1:14" ht="24.75" customHeight="1" x14ac:dyDescent="0.8">
      <c r="A1489" s="18" t="s">
        <v>1452</v>
      </c>
      <c r="B1489" s="10" t="str">
        <f ca="1">IFERROR(__xludf.DUMMYFUNCTION("GOOGLEFINANCE(A1489,""PRICE"")"),"#N/A")</f>
        <v>#N/A</v>
      </c>
      <c r="C1489" s="11" t="str">
        <f ca="1">IFERROR(__xludf.DUMMYFUNCTION("GOOGLEFINANCE(A1489,""PRICEOPEN"")"),"#N/A")</f>
        <v>#N/A</v>
      </c>
      <c r="D1489" s="11" t="str">
        <f ca="1">IFERROR(__xludf.DUMMYFUNCTION("GOOGLEFINANCE(A1489,""HIGH"")"),"#N/A")</f>
        <v>#N/A</v>
      </c>
      <c r="E1489" s="11" t="str">
        <f ca="1">IFERROR(__xludf.DUMMYFUNCTION("GOOGLEFINANCE(A1489,""LOW"")"),"#N/A")</f>
        <v>#N/A</v>
      </c>
      <c r="F1489" s="12" t="str">
        <f t="shared" ca="1" si="42"/>
        <v>SELL</v>
      </c>
      <c r="G1489" s="13" t="str">
        <f ca="1">IFERROR(__xludf.DUMMYFUNCTION("GOOGLEFINANCE(A1489,""CLOSEYEST"")"),"#N/A")</f>
        <v>#N/A</v>
      </c>
      <c r="H1489" s="14" t="e">
        <f t="shared" ca="1" si="48"/>
        <v>#VALUE!</v>
      </c>
      <c r="I1489" s="15" t="e">
        <f t="shared" ca="1" si="43"/>
        <v>#VALUE!</v>
      </c>
      <c r="J1489" s="16" t="e">
        <f t="shared" ca="1" si="44"/>
        <v>#VALUE!</v>
      </c>
      <c r="K1489" s="16"/>
      <c r="L1489" s="16" t="e">
        <f t="shared" ca="1" si="45"/>
        <v>#VALUE!</v>
      </c>
      <c r="M1489" s="16" t="e">
        <f t="shared" ca="1" si="46"/>
        <v>#VALUE!</v>
      </c>
      <c r="N1489" s="16" t="e">
        <f t="shared" ca="1" si="47"/>
        <v>#VALUE!</v>
      </c>
    </row>
    <row r="1490" spans="1:14" ht="24.75" customHeight="1" x14ac:dyDescent="0.8">
      <c r="A1490" s="18" t="s">
        <v>1453</v>
      </c>
      <c r="B1490" s="10">
        <f ca="1">IFERROR(__xludf.DUMMYFUNCTION("GOOGLEFINANCE(A1490,""PRICE"")"),47.2)</f>
        <v>47.2</v>
      </c>
      <c r="C1490" s="11">
        <f ca="1">IFERROR(__xludf.DUMMYFUNCTION("GOOGLEFINANCE(A1490,""PRICEOPEN"")"),45.08)</f>
        <v>45.08</v>
      </c>
      <c r="D1490" s="11">
        <f ca="1">IFERROR(__xludf.DUMMYFUNCTION("GOOGLEFINANCE(A1490,""HIGH"")"),48.36)</f>
        <v>48.36</v>
      </c>
      <c r="E1490" s="11">
        <f ca="1">IFERROR(__xludf.DUMMYFUNCTION("GOOGLEFINANCE(A1490,""LOW"")"),44.3)</f>
        <v>44.3</v>
      </c>
      <c r="F1490" s="12" t="str">
        <f t="shared" ca="1" si="42"/>
        <v/>
      </c>
      <c r="G1490" s="13">
        <f ca="1">IFERROR(__xludf.DUMMYFUNCTION("GOOGLEFINANCE(A1490,""CLOSEYEST"")"),45.08)</f>
        <v>45.08</v>
      </c>
      <c r="H1490" s="14" t="str">
        <f t="shared" ca="1" si="48"/>
        <v/>
      </c>
      <c r="I1490" s="15">
        <f t="shared" ca="1" si="43"/>
        <v>45.913333333333334</v>
      </c>
      <c r="J1490" s="16">
        <f t="shared" ca="1" si="44"/>
        <v>47.526666666666671</v>
      </c>
      <c r="K1490" s="16"/>
      <c r="L1490" s="16">
        <f t="shared" ca="1" si="45"/>
        <v>43.466666666666669</v>
      </c>
      <c r="M1490" s="16">
        <f t="shared" ca="1" si="46"/>
        <v>49.973333333333336</v>
      </c>
      <c r="N1490" s="16">
        <f t="shared" ca="1" si="47"/>
        <v>41.853333333333332</v>
      </c>
    </row>
    <row r="1491" spans="1:14" ht="24.75" customHeight="1" x14ac:dyDescent="0.8">
      <c r="A1491" s="18" t="s">
        <v>1454</v>
      </c>
      <c r="B1491" s="10">
        <f ca="1">IFERROR(__xludf.DUMMYFUNCTION("GOOGLEFINANCE(A1491,""PRICE"")"),229)</f>
        <v>229</v>
      </c>
      <c r="C1491" s="11">
        <f ca="1">IFERROR(__xludf.DUMMYFUNCTION("GOOGLEFINANCE(A1491,""PRICEOPEN"")"),223.92)</f>
        <v>223.92</v>
      </c>
      <c r="D1491" s="11">
        <f ca="1">IFERROR(__xludf.DUMMYFUNCTION("GOOGLEFINANCE(A1491,""HIGH"")"),229.8)</f>
        <v>229.8</v>
      </c>
      <c r="E1491" s="11">
        <f ca="1">IFERROR(__xludf.DUMMYFUNCTION("GOOGLEFINANCE(A1491,""LOW"")"),221)</f>
        <v>221</v>
      </c>
      <c r="F1491" s="12" t="str">
        <f t="shared" ca="1" si="42"/>
        <v/>
      </c>
      <c r="G1491" s="13">
        <f ca="1">IFERROR(__xludf.DUMMYFUNCTION("GOOGLEFINANCE(A1491,""CLOSEYEST"")"),222.52)</f>
        <v>222.52</v>
      </c>
      <c r="H1491" s="14" t="str">
        <f t="shared" ca="1" si="48"/>
        <v/>
      </c>
      <c r="I1491" s="15">
        <f t="shared" ca="1" si="43"/>
        <v>224.44000000000003</v>
      </c>
      <c r="J1491" s="16">
        <f t="shared" ca="1" si="44"/>
        <v>227.88000000000005</v>
      </c>
      <c r="K1491" s="16"/>
      <c r="L1491" s="16">
        <f t="shared" ca="1" si="45"/>
        <v>219.08000000000004</v>
      </c>
      <c r="M1491" s="16">
        <f t="shared" ca="1" si="46"/>
        <v>233.24000000000004</v>
      </c>
      <c r="N1491" s="16">
        <f t="shared" ca="1" si="47"/>
        <v>215.64000000000001</v>
      </c>
    </row>
    <row r="1492" spans="1:14" ht="24.75" customHeight="1" x14ac:dyDescent="0.8">
      <c r="A1492" s="18" t="s">
        <v>1455</v>
      </c>
      <c r="B1492" s="10" t="str">
        <f ca="1">IFERROR(__xludf.DUMMYFUNCTION("GOOGLEFINANCE(A1492,""PRICE"")"),"#N/A")</f>
        <v>#N/A</v>
      </c>
      <c r="C1492" s="11" t="str">
        <f ca="1">IFERROR(__xludf.DUMMYFUNCTION("GOOGLEFINANCE(A1492,""PRICEOPEN"")"),"#N/A")</f>
        <v>#N/A</v>
      </c>
      <c r="D1492" s="11" t="str">
        <f ca="1">IFERROR(__xludf.DUMMYFUNCTION("GOOGLEFINANCE(A1492,""HIGH"")"),"#N/A")</f>
        <v>#N/A</v>
      </c>
      <c r="E1492" s="11" t="str">
        <f ca="1">IFERROR(__xludf.DUMMYFUNCTION("GOOGLEFINANCE(A1492,""LOW"")"),"#N/A")</f>
        <v>#N/A</v>
      </c>
      <c r="F1492" s="12" t="str">
        <f t="shared" ca="1" si="42"/>
        <v>SELL</v>
      </c>
      <c r="G1492" s="13" t="str">
        <f ca="1">IFERROR(__xludf.DUMMYFUNCTION("GOOGLEFINANCE(A1492,""CLOSEYEST"")"),"#N/A")</f>
        <v>#N/A</v>
      </c>
      <c r="H1492" s="14" t="e">
        <f t="shared" ca="1" si="48"/>
        <v>#VALUE!</v>
      </c>
      <c r="I1492" s="15" t="e">
        <f t="shared" ca="1" si="43"/>
        <v>#VALUE!</v>
      </c>
      <c r="J1492" s="16" t="e">
        <f t="shared" ca="1" si="44"/>
        <v>#VALUE!</v>
      </c>
      <c r="K1492" s="16"/>
      <c r="L1492" s="16" t="e">
        <f t="shared" ca="1" si="45"/>
        <v>#VALUE!</v>
      </c>
      <c r="M1492" s="16" t="e">
        <f t="shared" ca="1" si="46"/>
        <v>#VALUE!</v>
      </c>
      <c r="N1492" s="16" t="e">
        <f t="shared" ca="1" si="47"/>
        <v>#VALUE!</v>
      </c>
    </row>
    <row r="1493" spans="1:14" ht="24.75" customHeight="1" x14ac:dyDescent="0.8">
      <c r="A1493" s="18" t="s">
        <v>1456</v>
      </c>
      <c r="B1493" s="10">
        <f ca="1">IFERROR(__xludf.DUMMYFUNCTION("GOOGLEFINANCE(A1493,""PRICE"")"),25.8)</f>
        <v>25.8</v>
      </c>
      <c r="C1493" s="11">
        <f ca="1">IFERROR(__xludf.DUMMYFUNCTION("GOOGLEFINANCE(A1493,""PRICEOPEN"")"),24.93)</f>
        <v>24.93</v>
      </c>
      <c r="D1493" s="11">
        <f ca="1">IFERROR(__xludf.DUMMYFUNCTION("GOOGLEFINANCE(A1493,""HIGH"")"),26)</f>
        <v>26</v>
      </c>
      <c r="E1493" s="11">
        <f ca="1">IFERROR(__xludf.DUMMYFUNCTION("GOOGLEFINANCE(A1493,""LOW"")"),24.93)</f>
        <v>24.93</v>
      </c>
      <c r="F1493" s="12" t="str">
        <f t="shared" ca="1" si="42"/>
        <v>BUY</v>
      </c>
      <c r="G1493" s="13">
        <f ca="1">IFERROR(__xludf.DUMMYFUNCTION("GOOGLEFINANCE(A1493,""CLOSEYEST"")"),24.94)</f>
        <v>24.94</v>
      </c>
      <c r="H1493" s="14" t="str">
        <f t="shared" ca="1" si="48"/>
        <v/>
      </c>
      <c r="I1493" s="15">
        <f t="shared" ca="1" si="43"/>
        <v>25.290000000000003</v>
      </c>
      <c r="J1493" s="16">
        <f t="shared" ca="1" si="44"/>
        <v>25.650000000000006</v>
      </c>
      <c r="K1493" s="16"/>
      <c r="L1493" s="16">
        <f t="shared" ca="1" si="45"/>
        <v>24.580000000000005</v>
      </c>
      <c r="M1493" s="16">
        <f t="shared" ca="1" si="46"/>
        <v>26.360000000000003</v>
      </c>
      <c r="N1493" s="16">
        <f t="shared" ca="1" si="47"/>
        <v>24.220000000000002</v>
      </c>
    </row>
    <row r="1494" spans="1:14" ht="24.75" customHeight="1" x14ac:dyDescent="0.8">
      <c r="A1494" s="18" t="s">
        <v>1457</v>
      </c>
      <c r="B1494" s="10">
        <f ca="1">IFERROR(__xludf.DUMMYFUNCTION("GOOGLEFINANCE(A1494,""PRICE"")"),91)</f>
        <v>91</v>
      </c>
      <c r="C1494" s="11">
        <f ca="1">IFERROR(__xludf.DUMMYFUNCTION("GOOGLEFINANCE(A1494,""PRICEOPEN"")"),90.15)</f>
        <v>90.15</v>
      </c>
      <c r="D1494" s="11">
        <f ca="1">IFERROR(__xludf.DUMMYFUNCTION("GOOGLEFINANCE(A1494,""HIGH"")"),92)</f>
        <v>92</v>
      </c>
      <c r="E1494" s="11">
        <f ca="1">IFERROR(__xludf.DUMMYFUNCTION("GOOGLEFINANCE(A1494,""LOW"")"),89)</f>
        <v>89</v>
      </c>
      <c r="F1494" s="12" t="str">
        <f t="shared" ca="1" si="42"/>
        <v/>
      </c>
      <c r="G1494" s="13">
        <f ca="1">IFERROR(__xludf.DUMMYFUNCTION("GOOGLEFINANCE(A1494,""CLOSEYEST"")"),91.96)</f>
        <v>91.96</v>
      </c>
      <c r="H1494" s="14" t="str">
        <f t="shared" ca="1" si="48"/>
        <v>GAP DOWN</v>
      </c>
      <c r="I1494" s="15">
        <f t="shared" ca="1" si="43"/>
        <v>90.986666666666665</v>
      </c>
      <c r="J1494" s="16">
        <f t="shared" ca="1" si="44"/>
        <v>92.973333333333329</v>
      </c>
      <c r="K1494" s="16"/>
      <c r="L1494" s="16">
        <f t="shared" ca="1" si="45"/>
        <v>89.973333333333329</v>
      </c>
      <c r="M1494" s="16">
        <f t="shared" ca="1" si="46"/>
        <v>93.986666666666665</v>
      </c>
      <c r="N1494" s="16">
        <f t="shared" ca="1" si="47"/>
        <v>87.986666666666665</v>
      </c>
    </row>
    <row r="1495" spans="1:14" ht="24.75" customHeight="1" x14ac:dyDescent="0.8">
      <c r="A1495" s="18" t="s">
        <v>1458</v>
      </c>
      <c r="B1495" s="10">
        <f ca="1">IFERROR(__xludf.DUMMYFUNCTION("GOOGLEFINANCE(A1495,""PRICE"")"),95.9)</f>
        <v>95.9</v>
      </c>
      <c r="C1495" s="11">
        <f ca="1">IFERROR(__xludf.DUMMYFUNCTION("GOOGLEFINANCE(A1495,""PRICEOPEN"")"),94.95)</f>
        <v>94.95</v>
      </c>
      <c r="D1495" s="11">
        <f ca="1">IFERROR(__xludf.DUMMYFUNCTION("GOOGLEFINANCE(A1495,""HIGH"")"),96)</f>
        <v>96</v>
      </c>
      <c r="E1495" s="11">
        <f ca="1">IFERROR(__xludf.DUMMYFUNCTION("GOOGLEFINANCE(A1495,""LOW"")"),92.55)</f>
        <v>92.55</v>
      </c>
      <c r="F1495" s="12" t="str">
        <f t="shared" ca="1" si="42"/>
        <v/>
      </c>
      <c r="G1495" s="13">
        <f ca="1">IFERROR(__xludf.DUMMYFUNCTION("GOOGLEFINANCE(A1495,""CLOSEYEST"")"),94.62)</f>
        <v>94.62</v>
      </c>
      <c r="H1495" s="14" t="str">
        <f t="shared" ca="1" si="48"/>
        <v/>
      </c>
      <c r="I1495" s="15">
        <f t="shared" ca="1" si="43"/>
        <v>94.39</v>
      </c>
      <c r="J1495" s="16">
        <f t="shared" ca="1" si="44"/>
        <v>96.23</v>
      </c>
      <c r="K1495" s="16"/>
      <c r="L1495" s="16">
        <f t="shared" ca="1" si="45"/>
        <v>92.78</v>
      </c>
      <c r="M1495" s="16">
        <f t="shared" ca="1" si="46"/>
        <v>97.84</v>
      </c>
      <c r="N1495" s="16">
        <f t="shared" ca="1" si="47"/>
        <v>90.94</v>
      </c>
    </row>
    <row r="1496" spans="1:14" ht="24.75" customHeight="1" x14ac:dyDescent="0.8">
      <c r="A1496" s="18" t="s">
        <v>1459</v>
      </c>
      <c r="B1496" s="10">
        <f ca="1">IFERROR(__xludf.DUMMYFUNCTION("GOOGLEFINANCE(A1496,""PRICE"")"),110.92)</f>
        <v>110.92</v>
      </c>
      <c r="C1496" s="11">
        <f ca="1">IFERROR(__xludf.DUMMYFUNCTION("GOOGLEFINANCE(A1496,""PRICEOPEN"")"),106)</f>
        <v>106</v>
      </c>
      <c r="D1496" s="11">
        <f ca="1">IFERROR(__xludf.DUMMYFUNCTION("GOOGLEFINANCE(A1496,""HIGH"")"),110.92)</f>
        <v>110.92</v>
      </c>
      <c r="E1496" s="11">
        <f ca="1">IFERROR(__xludf.DUMMYFUNCTION("GOOGLEFINANCE(A1496,""LOW"")"),106)</f>
        <v>106</v>
      </c>
      <c r="F1496" s="12" t="str">
        <f t="shared" ca="1" si="42"/>
        <v>BUY</v>
      </c>
      <c r="G1496" s="13">
        <f ca="1">IFERROR(__xludf.DUMMYFUNCTION("GOOGLEFINANCE(A1496,""CLOSEYEST"")"),105.64)</f>
        <v>105.64</v>
      </c>
      <c r="H1496" s="14" t="str">
        <f t="shared" ca="1" si="48"/>
        <v/>
      </c>
      <c r="I1496" s="15">
        <f t="shared" ca="1" si="43"/>
        <v>107.52</v>
      </c>
      <c r="J1496" s="16">
        <f t="shared" ca="1" si="44"/>
        <v>109.03999999999999</v>
      </c>
      <c r="K1496" s="16"/>
      <c r="L1496" s="16">
        <f t="shared" ca="1" si="45"/>
        <v>104.11999999999999</v>
      </c>
      <c r="M1496" s="16">
        <f t="shared" ca="1" si="46"/>
        <v>112.44</v>
      </c>
      <c r="N1496" s="16">
        <f t="shared" ca="1" si="47"/>
        <v>102.6</v>
      </c>
    </row>
    <row r="1497" spans="1:14" ht="24.75" customHeight="1" x14ac:dyDescent="0.8">
      <c r="A1497" s="18" t="s">
        <v>1460</v>
      </c>
      <c r="B1497" s="10">
        <f ca="1">IFERROR(__xludf.DUMMYFUNCTION("GOOGLEFINANCE(A1497,""PRICE"")"),34.45)</f>
        <v>34.450000000000003</v>
      </c>
      <c r="C1497" s="11">
        <f ca="1">IFERROR(__xludf.DUMMYFUNCTION("GOOGLEFINANCE(A1497,""PRICEOPEN"")"),34.7)</f>
        <v>34.700000000000003</v>
      </c>
      <c r="D1497" s="11">
        <f ca="1">IFERROR(__xludf.DUMMYFUNCTION("GOOGLEFINANCE(A1497,""HIGH"")"),35.77)</f>
        <v>35.770000000000003</v>
      </c>
      <c r="E1497" s="11">
        <f ca="1">IFERROR(__xludf.DUMMYFUNCTION("GOOGLEFINANCE(A1497,""LOW"")"),33.75)</f>
        <v>33.75</v>
      </c>
      <c r="F1497" s="12" t="str">
        <f t="shared" ca="1" si="42"/>
        <v/>
      </c>
      <c r="G1497" s="13">
        <f ca="1">IFERROR(__xludf.DUMMYFUNCTION("GOOGLEFINANCE(A1497,""CLOSEYEST"")"),35.06)</f>
        <v>35.06</v>
      </c>
      <c r="H1497" s="14" t="str">
        <f t="shared" ca="1" si="48"/>
        <v>GAP DOWN</v>
      </c>
      <c r="I1497" s="15">
        <f t="shared" ca="1" si="43"/>
        <v>34.860000000000007</v>
      </c>
      <c r="J1497" s="16">
        <f t="shared" ca="1" si="44"/>
        <v>35.970000000000013</v>
      </c>
      <c r="K1497" s="16"/>
      <c r="L1497" s="16">
        <f t="shared" ca="1" si="45"/>
        <v>33.95000000000001</v>
      </c>
      <c r="M1497" s="16">
        <f t="shared" ca="1" si="46"/>
        <v>36.88000000000001</v>
      </c>
      <c r="N1497" s="16">
        <f t="shared" ca="1" si="47"/>
        <v>32.840000000000003</v>
      </c>
    </row>
    <row r="1498" spans="1:14" ht="24.75" customHeight="1" x14ac:dyDescent="0.8">
      <c r="A1498" s="18" t="s">
        <v>1461</v>
      </c>
      <c r="B1498" s="10">
        <f ca="1">IFERROR(__xludf.DUMMYFUNCTION("GOOGLEFINANCE(A1498,""PRICE"")"),127.51)</f>
        <v>127.51</v>
      </c>
      <c r="C1498" s="11">
        <f ca="1">IFERROR(__xludf.DUMMYFUNCTION("GOOGLEFINANCE(A1498,""PRICEOPEN"")"),128.8)</f>
        <v>128.80000000000001</v>
      </c>
      <c r="D1498" s="11">
        <f ca="1">IFERROR(__xludf.DUMMYFUNCTION("GOOGLEFINANCE(A1498,""HIGH"")"),130.09)</f>
        <v>130.09</v>
      </c>
      <c r="E1498" s="11">
        <f ca="1">IFERROR(__xludf.DUMMYFUNCTION("GOOGLEFINANCE(A1498,""LOW"")"),126.52)</f>
        <v>126.52</v>
      </c>
      <c r="F1498" s="12" t="str">
        <f t="shared" ca="1" si="42"/>
        <v/>
      </c>
      <c r="G1498" s="13">
        <f ca="1">IFERROR(__xludf.DUMMYFUNCTION("GOOGLEFINANCE(A1498,""CLOSEYEST"")"),127.32)</f>
        <v>127.32</v>
      </c>
      <c r="H1498" s="14" t="str">
        <f t="shared" ca="1" si="48"/>
        <v>GAP UP</v>
      </c>
      <c r="I1498" s="15">
        <f t="shared" ca="1" si="43"/>
        <v>127.97666666666667</v>
      </c>
      <c r="J1498" s="16">
        <f t="shared" ca="1" si="44"/>
        <v>129.43333333333334</v>
      </c>
      <c r="K1498" s="16"/>
      <c r="L1498" s="16">
        <f t="shared" ca="1" si="45"/>
        <v>125.86333333333334</v>
      </c>
      <c r="M1498" s="16">
        <f t="shared" ca="1" si="46"/>
        <v>131.54666666666668</v>
      </c>
      <c r="N1498" s="16">
        <f t="shared" ca="1" si="47"/>
        <v>124.40666666666668</v>
      </c>
    </row>
    <row r="1499" spans="1:14" ht="24.75" customHeight="1" x14ac:dyDescent="0.8">
      <c r="A1499" s="18" t="s">
        <v>1462</v>
      </c>
      <c r="B1499" s="10">
        <f ca="1">IFERROR(__xludf.DUMMYFUNCTION("GOOGLEFINANCE(A1499,""PRICE"")"),156.05)</f>
        <v>156.05000000000001</v>
      </c>
      <c r="C1499" s="11">
        <f ca="1">IFERROR(__xludf.DUMMYFUNCTION("GOOGLEFINANCE(A1499,""PRICEOPEN"")"),156)</f>
        <v>156</v>
      </c>
      <c r="D1499" s="11">
        <f ca="1">IFERROR(__xludf.DUMMYFUNCTION("GOOGLEFINANCE(A1499,""HIGH"")"),160)</f>
        <v>160</v>
      </c>
      <c r="E1499" s="11">
        <f ca="1">IFERROR(__xludf.DUMMYFUNCTION("GOOGLEFINANCE(A1499,""LOW"")"),152.11)</f>
        <v>152.11000000000001</v>
      </c>
      <c r="F1499" s="12" t="str">
        <f t="shared" ca="1" si="42"/>
        <v/>
      </c>
      <c r="G1499" s="13">
        <f ca="1">IFERROR(__xludf.DUMMYFUNCTION("GOOGLEFINANCE(A1499,""CLOSEYEST"")"),153.31)</f>
        <v>153.31</v>
      </c>
      <c r="H1499" s="14" t="str">
        <f t="shared" ca="1" si="48"/>
        <v>GAP UP</v>
      </c>
      <c r="I1499" s="15">
        <f t="shared" ca="1" si="43"/>
        <v>155.14000000000001</v>
      </c>
      <c r="J1499" s="16">
        <f t="shared" ca="1" si="44"/>
        <v>158.17000000000002</v>
      </c>
      <c r="K1499" s="16"/>
      <c r="L1499" s="16">
        <f t="shared" ca="1" si="45"/>
        <v>150.28000000000003</v>
      </c>
      <c r="M1499" s="16">
        <f t="shared" ca="1" si="46"/>
        <v>163.03</v>
      </c>
      <c r="N1499" s="16">
        <f t="shared" ca="1" si="47"/>
        <v>147.25000000000003</v>
      </c>
    </row>
    <row r="1500" spans="1:14" ht="24.75" customHeight="1" x14ac:dyDescent="0.8">
      <c r="A1500" s="18" t="s">
        <v>1463</v>
      </c>
      <c r="B1500" s="10">
        <f ca="1">IFERROR(__xludf.DUMMYFUNCTION("GOOGLEFINANCE(A1500,""PRICE"")"),72.9)</f>
        <v>72.900000000000006</v>
      </c>
      <c r="C1500" s="11">
        <f ca="1">IFERROR(__xludf.DUMMYFUNCTION("GOOGLEFINANCE(A1500,""PRICEOPEN"")"),73.05)</f>
        <v>73.05</v>
      </c>
      <c r="D1500" s="11">
        <f ca="1">IFERROR(__xludf.DUMMYFUNCTION("GOOGLEFINANCE(A1500,""HIGH"")"),74.4)</f>
        <v>74.400000000000006</v>
      </c>
      <c r="E1500" s="11">
        <f ca="1">IFERROR(__xludf.DUMMYFUNCTION("GOOGLEFINANCE(A1500,""LOW"")"),72.01)</f>
        <v>72.010000000000005</v>
      </c>
      <c r="F1500" s="12" t="str">
        <f t="shared" ca="1" si="42"/>
        <v/>
      </c>
      <c r="G1500" s="13">
        <f ca="1">IFERROR(__xludf.DUMMYFUNCTION("GOOGLEFINANCE(A1500,""CLOSEYEST"")"),73.86)</f>
        <v>73.86</v>
      </c>
      <c r="H1500" s="14" t="str">
        <f t="shared" ca="1" si="48"/>
        <v>GAP DOWN</v>
      </c>
      <c r="I1500" s="15">
        <f t="shared" ca="1" si="43"/>
        <v>73.423333333333346</v>
      </c>
      <c r="J1500" s="16">
        <f t="shared" ca="1" si="44"/>
        <v>74.836666666666687</v>
      </c>
      <c r="K1500" s="16"/>
      <c r="L1500" s="16">
        <f t="shared" ca="1" si="45"/>
        <v>72.446666666666687</v>
      </c>
      <c r="M1500" s="16">
        <f t="shared" ca="1" si="46"/>
        <v>75.813333333333347</v>
      </c>
      <c r="N1500" s="16">
        <f t="shared" ca="1" si="47"/>
        <v>71.033333333333346</v>
      </c>
    </row>
    <row r="1501" spans="1:14" ht="24.75" customHeight="1" x14ac:dyDescent="0.8">
      <c r="A1501" s="18" t="s">
        <v>1464</v>
      </c>
      <c r="B1501" s="10">
        <f ca="1">IFERROR(__xludf.DUMMYFUNCTION("GOOGLEFINANCE(A1501,""PRICE"")"),756)</f>
        <v>756</v>
      </c>
      <c r="C1501" s="11">
        <f ca="1">IFERROR(__xludf.DUMMYFUNCTION("GOOGLEFINANCE(A1501,""PRICEOPEN"")"),755.4)</f>
        <v>755.4</v>
      </c>
      <c r="D1501" s="11">
        <f ca="1">IFERROR(__xludf.DUMMYFUNCTION("GOOGLEFINANCE(A1501,""HIGH"")"),764.9)</f>
        <v>764.9</v>
      </c>
      <c r="E1501" s="11">
        <f ca="1">IFERROR(__xludf.DUMMYFUNCTION("GOOGLEFINANCE(A1501,""LOW"")"),751.45)</f>
        <v>751.45</v>
      </c>
      <c r="F1501" s="12" t="str">
        <f t="shared" ca="1" si="42"/>
        <v/>
      </c>
      <c r="G1501" s="13">
        <f ca="1">IFERROR(__xludf.DUMMYFUNCTION("GOOGLEFINANCE(A1501,""CLOSEYEST"")"),751.45)</f>
        <v>751.45</v>
      </c>
      <c r="H1501" s="14" t="str">
        <f t="shared" ca="1" si="48"/>
        <v/>
      </c>
      <c r="I1501" s="15">
        <f t="shared" ca="1" si="43"/>
        <v>755.93333333333339</v>
      </c>
      <c r="J1501" s="16">
        <f t="shared" ca="1" si="44"/>
        <v>760.41666666666674</v>
      </c>
      <c r="K1501" s="16"/>
      <c r="L1501" s="16">
        <f t="shared" ca="1" si="45"/>
        <v>746.96666666666681</v>
      </c>
      <c r="M1501" s="16">
        <f t="shared" ca="1" si="46"/>
        <v>769.38333333333333</v>
      </c>
      <c r="N1501" s="16">
        <f t="shared" ca="1" si="47"/>
        <v>742.48333333333346</v>
      </c>
    </row>
    <row r="1502" spans="1:14" ht="24.75" customHeight="1" x14ac:dyDescent="0.8">
      <c r="A1502" s="18" t="s">
        <v>1465</v>
      </c>
      <c r="B1502" s="10">
        <f ca="1">IFERROR(__xludf.DUMMYFUNCTION("GOOGLEFINANCE(A1502,""PRICE"")"),325)</f>
        <v>325</v>
      </c>
      <c r="C1502" s="11">
        <f ca="1">IFERROR(__xludf.DUMMYFUNCTION("GOOGLEFINANCE(A1502,""PRICEOPEN"")"),324.4)</f>
        <v>324.39999999999998</v>
      </c>
      <c r="D1502" s="11">
        <f ca="1">IFERROR(__xludf.DUMMYFUNCTION("GOOGLEFINANCE(A1502,""HIGH"")"),330)</f>
        <v>330</v>
      </c>
      <c r="E1502" s="11">
        <f ca="1">IFERROR(__xludf.DUMMYFUNCTION("GOOGLEFINANCE(A1502,""LOW"")"),320.25)</f>
        <v>320.25</v>
      </c>
      <c r="F1502" s="12" t="str">
        <f t="shared" ca="1" si="42"/>
        <v/>
      </c>
      <c r="G1502" s="13">
        <f ca="1">IFERROR(__xludf.DUMMYFUNCTION("GOOGLEFINANCE(A1502,""CLOSEYEST"")"),327.25)</f>
        <v>327.25</v>
      </c>
      <c r="H1502" s="14" t="str">
        <f t="shared" ca="1" si="48"/>
        <v/>
      </c>
      <c r="I1502" s="15">
        <f t="shared" ca="1" si="43"/>
        <v>325.83333333333331</v>
      </c>
      <c r="J1502" s="16">
        <f t="shared" ca="1" si="44"/>
        <v>331.41666666666663</v>
      </c>
      <c r="K1502" s="16"/>
      <c r="L1502" s="16">
        <f t="shared" ca="1" si="45"/>
        <v>321.66666666666663</v>
      </c>
      <c r="M1502" s="16">
        <f t="shared" ca="1" si="46"/>
        <v>335.58333333333331</v>
      </c>
      <c r="N1502" s="16">
        <f t="shared" ca="1" si="47"/>
        <v>316.08333333333331</v>
      </c>
    </row>
    <row r="1503" spans="1:14" ht="24.75" customHeight="1" x14ac:dyDescent="0.8">
      <c r="A1503" s="18" t="s">
        <v>1466</v>
      </c>
      <c r="B1503" s="10">
        <f ca="1">IFERROR(__xludf.DUMMYFUNCTION("GOOGLEFINANCE(A1503,""PRICE"")"),21.11)</f>
        <v>21.11</v>
      </c>
      <c r="C1503" s="11">
        <f ca="1">IFERROR(__xludf.DUMMYFUNCTION("GOOGLEFINANCE(A1503,""PRICEOPEN"")"),21)</f>
        <v>21</v>
      </c>
      <c r="D1503" s="11">
        <f ca="1">IFERROR(__xludf.DUMMYFUNCTION("GOOGLEFINANCE(A1503,""HIGH"")"),21.49)</f>
        <v>21.49</v>
      </c>
      <c r="E1503" s="11">
        <f ca="1">IFERROR(__xludf.DUMMYFUNCTION("GOOGLEFINANCE(A1503,""LOW"")"),20.36)</f>
        <v>20.36</v>
      </c>
      <c r="F1503" s="12" t="str">
        <f t="shared" ca="1" si="42"/>
        <v/>
      </c>
      <c r="G1503" s="13">
        <f ca="1">IFERROR(__xludf.DUMMYFUNCTION("GOOGLEFINANCE(A1503,""CLOSEYEST"")"),20.5)</f>
        <v>20.5</v>
      </c>
      <c r="H1503" s="14" t="str">
        <f t="shared" ca="1" si="48"/>
        <v>GAP UP</v>
      </c>
      <c r="I1503" s="15">
        <f t="shared" ca="1" si="43"/>
        <v>20.783333333333331</v>
      </c>
      <c r="J1503" s="16">
        <f t="shared" ca="1" si="44"/>
        <v>21.206666666666663</v>
      </c>
      <c r="K1503" s="16"/>
      <c r="L1503" s="16">
        <f t="shared" ca="1" si="45"/>
        <v>20.076666666666664</v>
      </c>
      <c r="M1503" s="16">
        <f t="shared" ca="1" si="46"/>
        <v>21.91333333333333</v>
      </c>
      <c r="N1503" s="16">
        <f t="shared" ca="1" si="47"/>
        <v>19.653333333333332</v>
      </c>
    </row>
    <row r="1504" spans="1:14" ht="24.75" customHeight="1" x14ac:dyDescent="0.8">
      <c r="A1504" s="18" t="s">
        <v>1467</v>
      </c>
      <c r="B1504" s="10">
        <f ca="1">IFERROR(__xludf.DUMMYFUNCTION("GOOGLEFINANCE(A1504,""PRICE"")"),75.5)</f>
        <v>75.5</v>
      </c>
      <c r="C1504" s="11">
        <f ca="1">IFERROR(__xludf.DUMMYFUNCTION("GOOGLEFINANCE(A1504,""PRICEOPEN"")"),74.16)</f>
        <v>74.16</v>
      </c>
      <c r="D1504" s="11">
        <f ca="1">IFERROR(__xludf.DUMMYFUNCTION("GOOGLEFINANCE(A1504,""HIGH"")"),75.5)</f>
        <v>75.5</v>
      </c>
      <c r="E1504" s="11">
        <f ca="1">IFERROR(__xludf.DUMMYFUNCTION("GOOGLEFINANCE(A1504,""LOW"")"),74.01)</f>
        <v>74.010000000000005</v>
      </c>
      <c r="F1504" s="12" t="str">
        <f t="shared" ca="1" si="42"/>
        <v/>
      </c>
      <c r="G1504" s="13">
        <f ca="1">IFERROR(__xludf.DUMMYFUNCTION("GOOGLEFINANCE(A1504,""CLOSEYEST"")"),74.18)</f>
        <v>74.180000000000007</v>
      </c>
      <c r="H1504" s="14" t="str">
        <f t="shared" ca="1" si="48"/>
        <v/>
      </c>
      <c r="I1504" s="15">
        <f t="shared" ca="1" si="43"/>
        <v>74.563333333333333</v>
      </c>
      <c r="J1504" s="16">
        <f t="shared" ca="1" si="44"/>
        <v>75.11666666666666</v>
      </c>
      <c r="K1504" s="16"/>
      <c r="L1504" s="16">
        <f t="shared" ca="1" si="45"/>
        <v>73.626666666666665</v>
      </c>
      <c r="M1504" s="16">
        <f t="shared" ca="1" si="46"/>
        <v>76.053333333333327</v>
      </c>
      <c r="N1504" s="16">
        <f t="shared" ca="1" si="47"/>
        <v>73.073333333333338</v>
      </c>
    </row>
    <row r="1505" spans="1:14" ht="24.75" customHeight="1" x14ac:dyDescent="0.8">
      <c r="A1505" s="18" t="s">
        <v>1468</v>
      </c>
      <c r="B1505" s="10">
        <f ca="1">IFERROR(__xludf.DUMMYFUNCTION("GOOGLEFINANCE(A1505,""PRICE"")"),39)</f>
        <v>39</v>
      </c>
      <c r="C1505" s="11">
        <f ca="1">IFERROR(__xludf.DUMMYFUNCTION("GOOGLEFINANCE(A1505,""PRICEOPEN"")"),40.38)</f>
        <v>40.380000000000003</v>
      </c>
      <c r="D1505" s="11">
        <f ca="1">IFERROR(__xludf.DUMMYFUNCTION("GOOGLEFINANCE(A1505,""HIGH"")"),41.99)</f>
        <v>41.99</v>
      </c>
      <c r="E1505" s="11">
        <f ca="1">IFERROR(__xludf.DUMMYFUNCTION("GOOGLEFINANCE(A1505,""LOW"")"),38.26)</f>
        <v>38.26</v>
      </c>
      <c r="F1505" s="12" t="str">
        <f t="shared" ca="1" si="42"/>
        <v/>
      </c>
      <c r="G1505" s="13">
        <f ca="1">IFERROR(__xludf.DUMMYFUNCTION("GOOGLEFINANCE(A1505,""CLOSEYEST"")"),38.69)</f>
        <v>38.69</v>
      </c>
      <c r="H1505" s="14" t="str">
        <f t="shared" ca="1" si="48"/>
        <v>GAP UP</v>
      </c>
      <c r="I1505" s="15">
        <f t="shared" ca="1" si="43"/>
        <v>39.646666666666668</v>
      </c>
      <c r="J1505" s="16">
        <f t="shared" ca="1" si="44"/>
        <v>41.033333333333339</v>
      </c>
      <c r="K1505" s="16"/>
      <c r="L1505" s="16">
        <f t="shared" ca="1" si="45"/>
        <v>37.303333333333335</v>
      </c>
      <c r="M1505" s="16">
        <f t="shared" ca="1" si="46"/>
        <v>43.376666666666672</v>
      </c>
      <c r="N1505" s="16">
        <f t="shared" ca="1" si="47"/>
        <v>35.916666666666664</v>
      </c>
    </row>
    <row r="1506" spans="1:14" ht="24.75" customHeight="1" x14ac:dyDescent="0.8">
      <c r="A1506" s="18" t="s">
        <v>1469</v>
      </c>
      <c r="B1506" s="10">
        <f ca="1">IFERROR(__xludf.DUMMYFUNCTION("GOOGLEFINANCE(A1506,""PRICE"")"),63.4)</f>
        <v>63.4</v>
      </c>
      <c r="C1506" s="11">
        <f ca="1">IFERROR(__xludf.DUMMYFUNCTION("GOOGLEFINANCE(A1506,""PRICEOPEN"")"),62.01)</f>
        <v>62.01</v>
      </c>
      <c r="D1506" s="11">
        <f ca="1">IFERROR(__xludf.DUMMYFUNCTION("GOOGLEFINANCE(A1506,""HIGH"")"),63.83)</f>
        <v>63.83</v>
      </c>
      <c r="E1506" s="11">
        <f ca="1">IFERROR(__xludf.DUMMYFUNCTION("GOOGLEFINANCE(A1506,""LOW"")"),62)</f>
        <v>62</v>
      </c>
      <c r="F1506" s="12" t="str">
        <f t="shared" ca="1" si="42"/>
        <v/>
      </c>
      <c r="G1506" s="13">
        <f ca="1">IFERROR(__xludf.DUMMYFUNCTION("GOOGLEFINANCE(A1506,""CLOSEYEST"")"),63.1)</f>
        <v>63.1</v>
      </c>
      <c r="H1506" s="14" t="str">
        <f t="shared" ca="1" si="48"/>
        <v>GAP DOWN</v>
      </c>
      <c r="I1506" s="15">
        <f t="shared" ca="1" si="43"/>
        <v>62.976666666666667</v>
      </c>
      <c r="J1506" s="16">
        <f t="shared" ca="1" si="44"/>
        <v>63.953333333333333</v>
      </c>
      <c r="K1506" s="16"/>
      <c r="L1506" s="16">
        <f t="shared" ca="1" si="45"/>
        <v>62.123333333333335</v>
      </c>
      <c r="M1506" s="16">
        <f t="shared" ca="1" si="46"/>
        <v>64.806666666666672</v>
      </c>
      <c r="N1506" s="16">
        <f t="shared" ca="1" si="47"/>
        <v>61.146666666666668</v>
      </c>
    </row>
    <row r="1507" spans="1:14" ht="24.75" customHeight="1" x14ac:dyDescent="0.8">
      <c r="A1507" s="18" t="s">
        <v>1470</v>
      </c>
      <c r="B1507" s="10">
        <f ca="1">IFERROR(__xludf.DUMMYFUNCTION("GOOGLEFINANCE(A1507,""PRICE"")"),1011)</f>
        <v>1011</v>
      </c>
      <c r="C1507" s="11">
        <f ca="1">IFERROR(__xludf.DUMMYFUNCTION("GOOGLEFINANCE(A1507,""PRICEOPEN"")"),1065.3)</f>
        <v>1065.3</v>
      </c>
      <c r="D1507" s="11">
        <f ca="1">IFERROR(__xludf.DUMMYFUNCTION("GOOGLEFINANCE(A1507,""HIGH"")"),1099.4)</f>
        <v>1099.4000000000001</v>
      </c>
      <c r="E1507" s="11">
        <f ca="1">IFERROR(__xludf.DUMMYFUNCTION("GOOGLEFINANCE(A1507,""LOW"")"),1006.1)</f>
        <v>1006.1</v>
      </c>
      <c r="F1507" s="12" t="str">
        <f t="shared" ca="1" si="42"/>
        <v/>
      </c>
      <c r="G1507" s="13">
        <f ca="1">IFERROR(__xludf.DUMMYFUNCTION("GOOGLEFINANCE(A1507,""CLOSEYEST"")"),1085)</f>
        <v>1085</v>
      </c>
      <c r="H1507" s="14" t="str">
        <f t="shared" ca="1" si="48"/>
        <v>GAP DOWN</v>
      </c>
      <c r="I1507" s="15">
        <f t="shared" ca="1" si="43"/>
        <v>1063.5</v>
      </c>
      <c r="J1507" s="16">
        <f t="shared" ca="1" si="44"/>
        <v>1120.9000000000001</v>
      </c>
      <c r="K1507" s="16"/>
      <c r="L1507" s="16">
        <f t="shared" ca="1" si="45"/>
        <v>1027.5999999999999</v>
      </c>
      <c r="M1507" s="16">
        <f t="shared" ca="1" si="46"/>
        <v>1156.8000000000002</v>
      </c>
      <c r="N1507" s="16">
        <f t="shared" ca="1" si="47"/>
        <v>970.19999999999982</v>
      </c>
    </row>
    <row r="1508" spans="1:14" ht="24.75" customHeight="1" x14ac:dyDescent="0.8">
      <c r="A1508" s="18" t="s">
        <v>1471</v>
      </c>
      <c r="B1508" s="10">
        <f ca="1">IFERROR(__xludf.DUMMYFUNCTION("GOOGLEFINANCE(A1508,""PRICE"")"),42.49)</f>
        <v>42.49</v>
      </c>
      <c r="C1508" s="11">
        <f ca="1">IFERROR(__xludf.DUMMYFUNCTION("GOOGLEFINANCE(A1508,""PRICEOPEN"")"),42.85)</f>
        <v>42.85</v>
      </c>
      <c r="D1508" s="11">
        <f ca="1">IFERROR(__xludf.DUMMYFUNCTION("GOOGLEFINANCE(A1508,""HIGH"")"),42.85)</f>
        <v>42.85</v>
      </c>
      <c r="E1508" s="11">
        <f ca="1">IFERROR(__xludf.DUMMYFUNCTION("GOOGLEFINANCE(A1508,""LOW"")"),41.5)</f>
        <v>41.5</v>
      </c>
      <c r="F1508" s="12" t="str">
        <f t="shared" ca="1" si="42"/>
        <v>SELL</v>
      </c>
      <c r="G1508" s="13">
        <f ca="1">IFERROR(__xludf.DUMMYFUNCTION("GOOGLEFINANCE(A1508,""CLOSEYEST"")"),42.46)</f>
        <v>42.46</v>
      </c>
      <c r="H1508" s="14" t="str">
        <f t="shared" ca="1" si="48"/>
        <v/>
      </c>
      <c r="I1508" s="15">
        <f t="shared" ca="1" si="43"/>
        <v>42.27</v>
      </c>
      <c r="J1508" s="16">
        <f t="shared" ca="1" si="44"/>
        <v>43.040000000000006</v>
      </c>
      <c r="K1508" s="16"/>
      <c r="L1508" s="16">
        <f t="shared" ca="1" si="45"/>
        <v>41.690000000000005</v>
      </c>
      <c r="M1508" s="16">
        <f t="shared" ca="1" si="46"/>
        <v>43.620000000000005</v>
      </c>
      <c r="N1508" s="16">
        <f t="shared" ca="1" si="47"/>
        <v>40.92</v>
      </c>
    </row>
    <row r="1509" spans="1:14" ht="24.75" customHeight="1" x14ac:dyDescent="0.8">
      <c r="A1509" s="18" t="s">
        <v>1472</v>
      </c>
      <c r="B1509" s="10" t="str">
        <f ca="1">IFERROR(__xludf.DUMMYFUNCTION("GOOGLEFINANCE(A1509,""PRICE"")"),"#N/A")</f>
        <v>#N/A</v>
      </c>
      <c r="C1509" s="11" t="str">
        <f ca="1">IFERROR(__xludf.DUMMYFUNCTION("GOOGLEFINANCE(A1509,""PRICEOPEN"")"),"#N/A")</f>
        <v>#N/A</v>
      </c>
      <c r="D1509" s="11" t="str">
        <f ca="1">IFERROR(__xludf.DUMMYFUNCTION("GOOGLEFINANCE(A1509,""HIGH"")"),"#N/A")</f>
        <v>#N/A</v>
      </c>
      <c r="E1509" s="11" t="str">
        <f ca="1">IFERROR(__xludf.DUMMYFUNCTION("GOOGLEFINANCE(A1509,""LOW"")"),"#N/A")</f>
        <v>#N/A</v>
      </c>
      <c r="F1509" s="12" t="str">
        <f t="shared" ca="1" si="42"/>
        <v>SELL</v>
      </c>
      <c r="G1509" s="13" t="str">
        <f ca="1">IFERROR(__xludf.DUMMYFUNCTION("GOOGLEFINANCE(A1509,""CLOSEYEST"")"),"#N/A")</f>
        <v>#N/A</v>
      </c>
      <c r="H1509" s="14" t="e">
        <f t="shared" ca="1" si="48"/>
        <v>#VALUE!</v>
      </c>
      <c r="I1509" s="15" t="e">
        <f t="shared" ca="1" si="43"/>
        <v>#VALUE!</v>
      </c>
      <c r="J1509" s="16" t="e">
        <f t="shared" ca="1" si="44"/>
        <v>#VALUE!</v>
      </c>
      <c r="K1509" s="16"/>
      <c r="L1509" s="16" t="e">
        <f t="shared" ca="1" si="45"/>
        <v>#VALUE!</v>
      </c>
      <c r="M1509" s="16" t="e">
        <f t="shared" ca="1" si="46"/>
        <v>#VALUE!</v>
      </c>
      <c r="N1509" s="16" t="e">
        <f t="shared" ca="1" si="47"/>
        <v>#VALUE!</v>
      </c>
    </row>
    <row r="1510" spans="1:14" ht="24.75" customHeight="1" x14ac:dyDescent="0.8">
      <c r="A1510" s="18" t="s">
        <v>1473</v>
      </c>
      <c r="B1510" s="10">
        <f ca="1">IFERROR(__xludf.DUMMYFUNCTION("GOOGLEFINANCE(A1510,""PRICE"")"),45.55)</f>
        <v>45.55</v>
      </c>
      <c r="C1510" s="11">
        <f ca="1">IFERROR(__xludf.DUMMYFUNCTION("GOOGLEFINANCE(A1510,""PRICEOPEN"")"),48.79)</f>
        <v>48.79</v>
      </c>
      <c r="D1510" s="11">
        <f ca="1">IFERROR(__xludf.DUMMYFUNCTION("GOOGLEFINANCE(A1510,""HIGH"")"),48.79)</f>
        <v>48.79</v>
      </c>
      <c r="E1510" s="11">
        <f ca="1">IFERROR(__xludf.DUMMYFUNCTION("GOOGLEFINANCE(A1510,""LOW"")"),45.55)</f>
        <v>45.55</v>
      </c>
      <c r="F1510" s="12" t="str">
        <f t="shared" ca="1" si="42"/>
        <v>SELL</v>
      </c>
      <c r="G1510" s="13">
        <f ca="1">IFERROR(__xludf.DUMMYFUNCTION("GOOGLEFINANCE(A1510,""CLOSEYEST"")"),46.98)</f>
        <v>46.98</v>
      </c>
      <c r="H1510" s="14" t="str">
        <f t="shared" ca="1" si="48"/>
        <v>GAP UP</v>
      </c>
      <c r="I1510" s="15">
        <f t="shared" ca="1" si="43"/>
        <v>47.106666666666662</v>
      </c>
      <c r="J1510" s="16">
        <f t="shared" ca="1" si="44"/>
        <v>48.663333333333327</v>
      </c>
      <c r="K1510" s="16"/>
      <c r="L1510" s="16">
        <f t="shared" ca="1" si="45"/>
        <v>45.423333333333325</v>
      </c>
      <c r="M1510" s="16">
        <f t="shared" ca="1" si="46"/>
        <v>50.346666666666664</v>
      </c>
      <c r="N1510" s="16">
        <f t="shared" ca="1" si="47"/>
        <v>43.86666666666666</v>
      </c>
    </row>
    <row r="1511" spans="1:14" ht="24.75" customHeight="1" x14ac:dyDescent="0.8">
      <c r="A1511" s="18" t="s">
        <v>1474</v>
      </c>
      <c r="B1511" s="10" t="str">
        <f ca="1">IFERROR(__xludf.DUMMYFUNCTION("GOOGLEFINANCE(A1511,""PRICE"")"),"#N/A")</f>
        <v>#N/A</v>
      </c>
      <c r="C1511" s="11" t="str">
        <f ca="1">IFERROR(__xludf.DUMMYFUNCTION("GOOGLEFINANCE(A1511,""PRICEOPEN"")"),"#N/A")</f>
        <v>#N/A</v>
      </c>
      <c r="D1511" s="11" t="str">
        <f ca="1">IFERROR(__xludf.DUMMYFUNCTION("GOOGLEFINANCE(A1511,""HIGH"")"),"#N/A")</f>
        <v>#N/A</v>
      </c>
      <c r="E1511" s="11" t="str">
        <f ca="1">IFERROR(__xludf.DUMMYFUNCTION("GOOGLEFINANCE(A1511,""LOW"")"),"#N/A")</f>
        <v>#N/A</v>
      </c>
      <c r="F1511" s="12" t="str">
        <f t="shared" ca="1" si="42"/>
        <v>SELL</v>
      </c>
      <c r="G1511" s="13" t="str">
        <f ca="1">IFERROR(__xludf.DUMMYFUNCTION("GOOGLEFINANCE(A1511,""CLOSEYEST"")"),"#N/A")</f>
        <v>#N/A</v>
      </c>
      <c r="H1511" s="14" t="e">
        <f t="shared" ca="1" si="48"/>
        <v>#VALUE!</v>
      </c>
      <c r="I1511" s="15" t="e">
        <f t="shared" ca="1" si="43"/>
        <v>#VALUE!</v>
      </c>
      <c r="J1511" s="16" t="e">
        <f t="shared" ca="1" si="44"/>
        <v>#VALUE!</v>
      </c>
      <c r="K1511" s="16"/>
      <c r="L1511" s="16" t="e">
        <f t="shared" ca="1" si="45"/>
        <v>#VALUE!</v>
      </c>
      <c r="M1511" s="16" t="e">
        <f t="shared" ca="1" si="46"/>
        <v>#VALUE!</v>
      </c>
      <c r="N1511" s="16" t="e">
        <f t="shared" ca="1" si="47"/>
        <v>#VALUE!</v>
      </c>
    </row>
    <row r="1512" spans="1:14" ht="24.75" customHeight="1" x14ac:dyDescent="0.8">
      <c r="A1512" s="18" t="s">
        <v>1475</v>
      </c>
      <c r="B1512" s="10">
        <f ca="1">IFERROR(__xludf.DUMMYFUNCTION("GOOGLEFINANCE(A1512,""PRICE"")"),55.6)</f>
        <v>55.6</v>
      </c>
      <c r="C1512" s="11">
        <f ca="1">IFERROR(__xludf.DUMMYFUNCTION("GOOGLEFINANCE(A1512,""PRICEOPEN"")"),54.27)</f>
        <v>54.27</v>
      </c>
      <c r="D1512" s="11">
        <f ca="1">IFERROR(__xludf.DUMMYFUNCTION("GOOGLEFINANCE(A1512,""HIGH"")"),56)</f>
        <v>56</v>
      </c>
      <c r="E1512" s="11">
        <f ca="1">IFERROR(__xludf.DUMMYFUNCTION("GOOGLEFINANCE(A1512,""LOW"")"),53.99)</f>
        <v>53.99</v>
      </c>
      <c r="F1512" s="12" t="str">
        <f t="shared" ca="1" si="42"/>
        <v/>
      </c>
      <c r="G1512" s="13">
        <f ca="1">IFERROR(__xludf.DUMMYFUNCTION("GOOGLEFINANCE(A1512,""CLOSEYEST"")"),54.27)</f>
        <v>54.27</v>
      </c>
      <c r="H1512" s="14" t="str">
        <f t="shared" ca="1" si="48"/>
        <v/>
      </c>
      <c r="I1512" s="15">
        <f t="shared" ca="1" si="43"/>
        <v>54.753333333333337</v>
      </c>
      <c r="J1512" s="16">
        <f t="shared" ca="1" si="44"/>
        <v>55.516666666666673</v>
      </c>
      <c r="K1512" s="16"/>
      <c r="L1512" s="16">
        <f t="shared" ca="1" si="45"/>
        <v>53.506666666666675</v>
      </c>
      <c r="M1512" s="16">
        <f t="shared" ca="1" si="46"/>
        <v>56.763333333333335</v>
      </c>
      <c r="N1512" s="16">
        <f t="shared" ca="1" si="47"/>
        <v>52.743333333333339</v>
      </c>
    </row>
    <row r="1513" spans="1:14" ht="24.75" customHeight="1" x14ac:dyDescent="0.8">
      <c r="A1513" s="18" t="s">
        <v>1476</v>
      </c>
      <c r="B1513" s="10">
        <f ca="1">IFERROR(__xludf.DUMMYFUNCTION("GOOGLEFINANCE(A1513,""PRICE"")"),41.1)</f>
        <v>41.1</v>
      </c>
      <c r="C1513" s="11">
        <f ca="1">IFERROR(__xludf.DUMMYFUNCTION("GOOGLEFINANCE(A1513,""PRICEOPEN"")"),41.5)</f>
        <v>41.5</v>
      </c>
      <c r="D1513" s="11">
        <f ca="1">IFERROR(__xludf.DUMMYFUNCTION("GOOGLEFINANCE(A1513,""HIGH"")"),42.4)</f>
        <v>42.4</v>
      </c>
      <c r="E1513" s="11">
        <f ca="1">IFERROR(__xludf.DUMMYFUNCTION("GOOGLEFINANCE(A1513,""LOW"")"),40.3)</f>
        <v>40.299999999999997</v>
      </c>
      <c r="F1513" s="12" t="str">
        <f t="shared" ca="1" si="42"/>
        <v/>
      </c>
      <c r="G1513" s="13">
        <f ca="1">IFERROR(__xludf.DUMMYFUNCTION("GOOGLEFINANCE(A1513,""CLOSEYEST"")"),41.49)</f>
        <v>41.49</v>
      </c>
      <c r="H1513" s="14" t="str">
        <f t="shared" ca="1" si="48"/>
        <v/>
      </c>
      <c r="I1513" s="15">
        <f t="shared" ca="1" si="43"/>
        <v>41.396666666666668</v>
      </c>
      <c r="J1513" s="16">
        <f t="shared" ca="1" si="44"/>
        <v>42.493333333333339</v>
      </c>
      <c r="K1513" s="16"/>
      <c r="L1513" s="16">
        <f t="shared" ca="1" si="45"/>
        <v>40.393333333333338</v>
      </c>
      <c r="M1513" s="16">
        <f t="shared" ca="1" si="46"/>
        <v>43.49666666666667</v>
      </c>
      <c r="N1513" s="16">
        <f t="shared" ca="1" si="47"/>
        <v>39.296666666666667</v>
      </c>
    </row>
    <row r="1514" spans="1:14" ht="24.75" customHeight="1" x14ac:dyDescent="0.8">
      <c r="A1514" s="18" t="s">
        <v>1477</v>
      </c>
      <c r="B1514" s="10">
        <f ca="1">IFERROR(__xludf.DUMMYFUNCTION("GOOGLEFINANCE(A1514,""PRICE"")"),243.53)</f>
        <v>243.53</v>
      </c>
      <c r="C1514" s="11">
        <f ca="1">IFERROR(__xludf.DUMMYFUNCTION("GOOGLEFINANCE(A1514,""PRICEOPEN"")"),241)</f>
        <v>241</v>
      </c>
      <c r="D1514" s="11">
        <f ca="1">IFERROR(__xludf.DUMMYFUNCTION("GOOGLEFINANCE(A1514,""HIGH"")"),248)</f>
        <v>248</v>
      </c>
      <c r="E1514" s="11">
        <f ca="1">IFERROR(__xludf.DUMMYFUNCTION("GOOGLEFINANCE(A1514,""LOW"")"),240.22)</f>
        <v>240.22</v>
      </c>
      <c r="F1514" s="12" t="str">
        <f t="shared" ca="1" si="42"/>
        <v/>
      </c>
      <c r="G1514" s="13">
        <f ca="1">IFERROR(__xludf.DUMMYFUNCTION("GOOGLEFINANCE(A1514,""CLOSEYEST"")"),239.25)</f>
        <v>239.25</v>
      </c>
      <c r="H1514" s="14" t="str">
        <f t="shared" ca="1" si="48"/>
        <v/>
      </c>
      <c r="I1514" s="15">
        <f t="shared" ca="1" si="43"/>
        <v>242.49</v>
      </c>
      <c r="J1514" s="16">
        <f t="shared" ca="1" si="44"/>
        <v>244.76000000000002</v>
      </c>
      <c r="K1514" s="16"/>
      <c r="L1514" s="16">
        <f t="shared" ca="1" si="45"/>
        <v>236.98000000000002</v>
      </c>
      <c r="M1514" s="16">
        <f t="shared" ca="1" si="46"/>
        <v>250.27</v>
      </c>
      <c r="N1514" s="16">
        <f t="shared" ca="1" si="47"/>
        <v>234.71</v>
      </c>
    </row>
    <row r="1515" spans="1:14" ht="24.75" customHeight="1" x14ac:dyDescent="0.8">
      <c r="A1515" s="18" t="s">
        <v>1478</v>
      </c>
      <c r="B1515" s="10">
        <f ca="1">IFERROR(__xludf.DUMMYFUNCTION("GOOGLEFINANCE(A1515,""PRICE"")"),6.43)</f>
        <v>6.43</v>
      </c>
      <c r="C1515" s="11">
        <f ca="1">IFERROR(__xludf.DUMMYFUNCTION("GOOGLEFINANCE(A1515,""PRICEOPEN"")"),6.25)</f>
        <v>6.25</v>
      </c>
      <c r="D1515" s="11">
        <f ca="1">IFERROR(__xludf.DUMMYFUNCTION("GOOGLEFINANCE(A1515,""HIGH"")"),6.49)</f>
        <v>6.49</v>
      </c>
      <c r="E1515" s="11">
        <f ca="1">IFERROR(__xludf.DUMMYFUNCTION("GOOGLEFINANCE(A1515,""LOW"")"),6.23)</f>
        <v>6.23</v>
      </c>
      <c r="F1515" s="12" t="str">
        <f t="shared" ca="1" si="42"/>
        <v/>
      </c>
      <c r="G1515" s="13">
        <f ca="1">IFERROR(__xludf.DUMMYFUNCTION("GOOGLEFINANCE(A1515,""CLOSEYEST"")"),6.27)</f>
        <v>6.27</v>
      </c>
      <c r="H1515" s="14" t="str">
        <f t="shared" ca="1" si="48"/>
        <v/>
      </c>
      <c r="I1515" s="15">
        <f t="shared" ca="1" si="43"/>
        <v>6.330000000000001</v>
      </c>
      <c r="J1515" s="16">
        <f t="shared" ca="1" si="44"/>
        <v>6.4300000000000015</v>
      </c>
      <c r="K1515" s="16"/>
      <c r="L1515" s="16">
        <f t="shared" ca="1" si="45"/>
        <v>6.1700000000000017</v>
      </c>
      <c r="M1515" s="16">
        <f t="shared" ca="1" si="46"/>
        <v>6.5900000000000007</v>
      </c>
      <c r="N1515" s="16">
        <f t="shared" ca="1" si="47"/>
        <v>6.0700000000000012</v>
      </c>
    </row>
    <row r="1516" spans="1:14" ht="24.75" customHeight="1" x14ac:dyDescent="0.8">
      <c r="A1516" s="18" t="s">
        <v>1479</v>
      </c>
      <c r="B1516" s="10">
        <f ca="1">IFERROR(__xludf.DUMMYFUNCTION("GOOGLEFINANCE(A1516,""PRICE"")"),18.1)</f>
        <v>18.100000000000001</v>
      </c>
      <c r="C1516" s="11">
        <f ca="1">IFERROR(__xludf.DUMMYFUNCTION("GOOGLEFINANCE(A1516,""PRICEOPEN"")"),17.72)</f>
        <v>17.72</v>
      </c>
      <c r="D1516" s="11">
        <f ca="1">IFERROR(__xludf.DUMMYFUNCTION("GOOGLEFINANCE(A1516,""HIGH"")"),18.21)</f>
        <v>18.21</v>
      </c>
      <c r="E1516" s="11">
        <f ca="1">IFERROR(__xludf.DUMMYFUNCTION("GOOGLEFINANCE(A1516,""LOW"")"),17.53)</f>
        <v>17.53</v>
      </c>
      <c r="F1516" s="12" t="str">
        <f t="shared" ca="1" si="42"/>
        <v/>
      </c>
      <c r="G1516" s="13">
        <f ca="1">IFERROR(__xludf.DUMMYFUNCTION("GOOGLEFINANCE(A1516,""CLOSEYEST"")"),17.55)</f>
        <v>17.55</v>
      </c>
      <c r="H1516" s="14" t="str">
        <f t="shared" ca="1" si="48"/>
        <v/>
      </c>
      <c r="I1516" s="15">
        <f t="shared" ca="1" si="43"/>
        <v>17.763333333333335</v>
      </c>
      <c r="J1516" s="16">
        <f t="shared" ca="1" si="44"/>
        <v>17.99666666666667</v>
      </c>
      <c r="K1516" s="16"/>
      <c r="L1516" s="16">
        <f t="shared" ca="1" si="45"/>
        <v>17.31666666666667</v>
      </c>
      <c r="M1516" s="16">
        <f t="shared" ca="1" si="46"/>
        <v>18.443333333333335</v>
      </c>
      <c r="N1516" s="16">
        <f t="shared" ca="1" si="47"/>
        <v>17.083333333333336</v>
      </c>
    </row>
    <row r="1517" spans="1:14" ht="24.75" customHeight="1" x14ac:dyDescent="0.8">
      <c r="A1517" s="18" t="s">
        <v>1480</v>
      </c>
      <c r="B1517" s="10">
        <f ca="1">IFERROR(__xludf.DUMMYFUNCTION("GOOGLEFINANCE(A1517,""PRICE"")"),3950)</f>
        <v>3950</v>
      </c>
      <c r="C1517" s="11">
        <f ca="1">IFERROR(__xludf.DUMMYFUNCTION("GOOGLEFINANCE(A1517,""PRICEOPEN"")"),3899)</f>
        <v>3899</v>
      </c>
      <c r="D1517" s="11">
        <f ca="1">IFERROR(__xludf.DUMMYFUNCTION("GOOGLEFINANCE(A1517,""HIGH"")"),3989.8)</f>
        <v>3989.8</v>
      </c>
      <c r="E1517" s="11">
        <f ca="1">IFERROR(__xludf.DUMMYFUNCTION("GOOGLEFINANCE(A1517,""LOW"")"),3806)</f>
        <v>3806</v>
      </c>
      <c r="F1517" s="12" t="str">
        <f t="shared" ca="1" si="42"/>
        <v/>
      </c>
      <c r="G1517" s="13">
        <f ca="1">IFERROR(__xludf.DUMMYFUNCTION("GOOGLEFINANCE(A1517,""CLOSEYEST"")"),3893.6)</f>
        <v>3893.6</v>
      </c>
      <c r="H1517" s="14" t="str">
        <f t="shared" ca="1" si="48"/>
        <v/>
      </c>
      <c r="I1517" s="15">
        <f t="shared" ca="1" si="43"/>
        <v>3896.4666666666667</v>
      </c>
      <c r="J1517" s="16">
        <f t="shared" ca="1" si="44"/>
        <v>3986.9333333333334</v>
      </c>
      <c r="K1517" s="16"/>
      <c r="L1517" s="16">
        <f t="shared" ca="1" si="45"/>
        <v>3803.1333333333332</v>
      </c>
      <c r="M1517" s="16">
        <f t="shared" ca="1" si="46"/>
        <v>4080.2666666666669</v>
      </c>
      <c r="N1517" s="16">
        <f t="shared" ca="1" si="47"/>
        <v>3712.6666666666665</v>
      </c>
    </row>
    <row r="1518" spans="1:14" ht="24.75" customHeight="1" x14ac:dyDescent="0.8">
      <c r="A1518" s="18" t="s">
        <v>1481</v>
      </c>
      <c r="B1518" s="10">
        <f ca="1">IFERROR(__xludf.DUMMYFUNCTION("GOOGLEFINANCE(A1518,""PRICE"")"),101)</f>
        <v>101</v>
      </c>
      <c r="C1518" s="11">
        <f ca="1">IFERROR(__xludf.DUMMYFUNCTION("GOOGLEFINANCE(A1518,""PRICEOPEN"")"),98.66)</f>
        <v>98.66</v>
      </c>
      <c r="D1518" s="11">
        <f ca="1">IFERROR(__xludf.DUMMYFUNCTION("GOOGLEFINANCE(A1518,""HIGH"")"),102)</f>
        <v>102</v>
      </c>
      <c r="E1518" s="11">
        <f ca="1">IFERROR(__xludf.DUMMYFUNCTION("GOOGLEFINANCE(A1518,""LOW"")"),98.13)</f>
        <v>98.13</v>
      </c>
      <c r="F1518" s="12" t="str">
        <f t="shared" ca="1" si="42"/>
        <v/>
      </c>
      <c r="G1518" s="13">
        <f ca="1">IFERROR(__xludf.DUMMYFUNCTION("GOOGLEFINANCE(A1518,""CLOSEYEST"")"),99.75)</f>
        <v>99.75</v>
      </c>
      <c r="H1518" s="14" t="str">
        <f t="shared" ca="1" si="48"/>
        <v>GAP DOWN</v>
      </c>
      <c r="I1518" s="15">
        <f t="shared" ca="1" si="43"/>
        <v>99.96</v>
      </c>
      <c r="J1518" s="16">
        <f t="shared" ca="1" si="44"/>
        <v>101.78999999999999</v>
      </c>
      <c r="K1518" s="16"/>
      <c r="L1518" s="16">
        <f t="shared" ca="1" si="45"/>
        <v>97.919999999999987</v>
      </c>
      <c r="M1518" s="16">
        <f t="shared" ca="1" si="46"/>
        <v>103.83</v>
      </c>
      <c r="N1518" s="16">
        <f t="shared" ca="1" si="47"/>
        <v>96.089999999999989</v>
      </c>
    </row>
    <row r="1519" spans="1:14" ht="24.75" customHeight="1" x14ac:dyDescent="0.8">
      <c r="A1519" s="18" t="s">
        <v>1482</v>
      </c>
      <c r="B1519" s="10">
        <f ca="1">IFERROR(__xludf.DUMMYFUNCTION("GOOGLEFINANCE(A1519,""PRICE"")"),118.5)</f>
        <v>118.5</v>
      </c>
      <c r="C1519" s="11">
        <f ca="1">IFERROR(__xludf.DUMMYFUNCTION("GOOGLEFINANCE(A1519,""PRICEOPEN"")"),116.06)</f>
        <v>116.06</v>
      </c>
      <c r="D1519" s="11">
        <f ca="1">IFERROR(__xludf.DUMMYFUNCTION("GOOGLEFINANCE(A1519,""HIGH"")"),118.58)</f>
        <v>118.58</v>
      </c>
      <c r="E1519" s="11">
        <f ca="1">IFERROR(__xludf.DUMMYFUNCTION("GOOGLEFINANCE(A1519,""LOW"")"),116.06)</f>
        <v>116.06</v>
      </c>
      <c r="F1519" s="12" t="str">
        <f t="shared" ca="1" si="42"/>
        <v>BUY</v>
      </c>
      <c r="G1519" s="13">
        <f ca="1">IFERROR(__xludf.DUMMYFUNCTION("GOOGLEFINANCE(A1519,""CLOSEYEST"")"),116.32)</f>
        <v>116.32</v>
      </c>
      <c r="H1519" s="14" t="str">
        <f t="shared" ca="1" si="48"/>
        <v/>
      </c>
      <c r="I1519" s="15">
        <f t="shared" ca="1" si="43"/>
        <v>116.98666666666666</v>
      </c>
      <c r="J1519" s="16">
        <f t="shared" ca="1" si="44"/>
        <v>117.91333333333333</v>
      </c>
      <c r="K1519" s="16"/>
      <c r="L1519" s="16">
        <f t="shared" ca="1" si="45"/>
        <v>115.39333333333333</v>
      </c>
      <c r="M1519" s="16">
        <f t="shared" ca="1" si="46"/>
        <v>119.50666666666666</v>
      </c>
      <c r="N1519" s="16">
        <f t="shared" ca="1" si="47"/>
        <v>114.46666666666667</v>
      </c>
    </row>
    <row r="1520" spans="1:14" ht="24.75" customHeight="1" x14ac:dyDescent="0.8">
      <c r="A1520" s="18" t="s">
        <v>1483</v>
      </c>
      <c r="B1520" s="10">
        <f ca="1">IFERROR(__xludf.DUMMYFUNCTION("GOOGLEFINANCE(A1520,""PRICE"")"),0.33)</f>
        <v>0.33</v>
      </c>
      <c r="C1520" s="11">
        <f ca="1">IFERROR(__xludf.DUMMYFUNCTION("GOOGLEFINANCE(A1520,""PRICEOPEN"")"),0.32)</f>
        <v>0.32</v>
      </c>
      <c r="D1520" s="11">
        <f ca="1">IFERROR(__xludf.DUMMYFUNCTION("GOOGLEFINANCE(A1520,""HIGH"")"),0.33)</f>
        <v>0.33</v>
      </c>
      <c r="E1520" s="11">
        <f ca="1">IFERROR(__xludf.DUMMYFUNCTION("GOOGLEFINANCE(A1520,""LOW"")"),0.32)</f>
        <v>0.32</v>
      </c>
      <c r="F1520" s="12" t="str">
        <f t="shared" ca="1" si="42"/>
        <v>BUY</v>
      </c>
      <c r="G1520" s="13">
        <f ca="1">IFERROR(__xludf.DUMMYFUNCTION("GOOGLEFINANCE(A1520,""CLOSEYEST"")"),0.32)</f>
        <v>0.32</v>
      </c>
      <c r="H1520" s="14" t="str">
        <f t="shared" ca="1" si="48"/>
        <v/>
      </c>
      <c r="I1520" s="15">
        <f t="shared" ca="1" si="43"/>
        <v>0.32333333333333331</v>
      </c>
      <c r="J1520" s="16">
        <f t="shared" ca="1" si="44"/>
        <v>0.32666666666666661</v>
      </c>
      <c r="K1520" s="16"/>
      <c r="L1520" s="16">
        <f t="shared" ca="1" si="45"/>
        <v>0.3166666666666666</v>
      </c>
      <c r="M1520" s="16">
        <f t="shared" ca="1" si="46"/>
        <v>0.33333333333333331</v>
      </c>
      <c r="N1520" s="16">
        <f t="shared" ca="1" si="47"/>
        <v>0.3133333333333333</v>
      </c>
    </row>
    <row r="1521" spans="1:14" ht="24.75" customHeight="1" x14ac:dyDescent="0.8">
      <c r="A1521" s="18" t="s">
        <v>1484</v>
      </c>
      <c r="B1521" s="10">
        <f ca="1">IFERROR(__xludf.DUMMYFUNCTION("GOOGLEFINANCE(A1521,""PRICE"")"),17.45)</f>
        <v>17.45</v>
      </c>
      <c r="C1521" s="11">
        <f ca="1">IFERROR(__xludf.DUMMYFUNCTION("GOOGLEFINANCE(A1521,""PRICEOPEN"")"),17.99)</f>
        <v>17.989999999999998</v>
      </c>
      <c r="D1521" s="11">
        <f ca="1">IFERROR(__xludf.DUMMYFUNCTION("GOOGLEFINANCE(A1521,""HIGH"")"),17.99)</f>
        <v>17.989999999999998</v>
      </c>
      <c r="E1521" s="11">
        <f ca="1">IFERROR(__xludf.DUMMYFUNCTION("GOOGLEFINANCE(A1521,""LOW"")"),17.06)</f>
        <v>17.059999999999999</v>
      </c>
      <c r="F1521" s="12" t="str">
        <f t="shared" ca="1" si="42"/>
        <v>SELL</v>
      </c>
      <c r="G1521" s="13">
        <f ca="1">IFERROR(__xludf.DUMMYFUNCTION("GOOGLEFINANCE(A1521,""CLOSEYEST"")"),17.77)</f>
        <v>17.77</v>
      </c>
      <c r="H1521" s="14" t="str">
        <f t="shared" ca="1" si="48"/>
        <v>GAP UP</v>
      </c>
      <c r="I1521" s="15">
        <f t="shared" ca="1" si="43"/>
        <v>17.606666666666666</v>
      </c>
      <c r="J1521" s="16">
        <f t="shared" ca="1" si="44"/>
        <v>18.153333333333332</v>
      </c>
      <c r="K1521" s="16"/>
      <c r="L1521" s="16">
        <f t="shared" ca="1" si="45"/>
        <v>17.223333333333333</v>
      </c>
      <c r="M1521" s="16">
        <f t="shared" ca="1" si="46"/>
        <v>18.536666666666665</v>
      </c>
      <c r="N1521" s="16">
        <f t="shared" ca="1" si="47"/>
        <v>16.676666666666666</v>
      </c>
    </row>
    <row r="1522" spans="1:14" ht="24.75" customHeight="1" x14ac:dyDescent="0.8">
      <c r="A1522" s="18" t="s">
        <v>1485</v>
      </c>
      <c r="B1522" s="10">
        <f ca="1">IFERROR(__xludf.DUMMYFUNCTION("GOOGLEFINANCE(A1522,""PRICE"")"),253)</f>
        <v>253</v>
      </c>
      <c r="C1522" s="11">
        <f ca="1">IFERROR(__xludf.DUMMYFUNCTION("GOOGLEFINANCE(A1522,""PRICEOPEN"")"),250.5)</f>
        <v>250.5</v>
      </c>
      <c r="D1522" s="11">
        <f ca="1">IFERROR(__xludf.DUMMYFUNCTION("GOOGLEFINANCE(A1522,""HIGH"")"),254.5)</f>
        <v>254.5</v>
      </c>
      <c r="E1522" s="11">
        <f ca="1">IFERROR(__xludf.DUMMYFUNCTION("GOOGLEFINANCE(A1522,""LOW"")"),250)</f>
        <v>250</v>
      </c>
      <c r="F1522" s="12" t="str">
        <f t="shared" ca="1" si="42"/>
        <v/>
      </c>
      <c r="G1522" s="13">
        <f ca="1">IFERROR(__xludf.DUMMYFUNCTION("GOOGLEFINANCE(A1522,""CLOSEYEST"")"),250.5)</f>
        <v>250.5</v>
      </c>
      <c r="H1522" s="14" t="str">
        <f t="shared" ca="1" si="48"/>
        <v/>
      </c>
      <c r="I1522" s="15">
        <f t="shared" ca="1" si="43"/>
        <v>251.66666666666666</v>
      </c>
      <c r="J1522" s="16">
        <f t="shared" ca="1" si="44"/>
        <v>253.33333333333331</v>
      </c>
      <c r="K1522" s="16"/>
      <c r="L1522" s="16">
        <f t="shared" ca="1" si="45"/>
        <v>248.83333333333331</v>
      </c>
      <c r="M1522" s="16">
        <f t="shared" ca="1" si="46"/>
        <v>256.16666666666663</v>
      </c>
      <c r="N1522" s="16">
        <f t="shared" ca="1" si="47"/>
        <v>247.16666666666666</v>
      </c>
    </row>
    <row r="1523" spans="1:14" ht="24.75" customHeight="1" x14ac:dyDescent="0.8">
      <c r="A1523" s="18" t="s">
        <v>1486</v>
      </c>
      <c r="B1523" s="10" t="str">
        <f ca="1">IFERROR(__xludf.DUMMYFUNCTION("GOOGLEFINANCE(A1523,""PRICE"")"),"#N/A")</f>
        <v>#N/A</v>
      </c>
      <c r="C1523" s="11" t="str">
        <f ca="1">IFERROR(__xludf.DUMMYFUNCTION("GOOGLEFINANCE(A1523,""PRICEOPEN"")"),"#N/A")</f>
        <v>#N/A</v>
      </c>
      <c r="D1523" s="11" t="str">
        <f ca="1">IFERROR(__xludf.DUMMYFUNCTION("GOOGLEFINANCE(A1523,""HIGH"")"),"#N/A")</f>
        <v>#N/A</v>
      </c>
      <c r="E1523" s="11" t="str">
        <f ca="1">IFERROR(__xludf.DUMMYFUNCTION("GOOGLEFINANCE(A1523,""LOW"")"),"#N/A")</f>
        <v>#N/A</v>
      </c>
      <c r="F1523" s="12" t="str">
        <f t="shared" ca="1" si="42"/>
        <v>SELL</v>
      </c>
      <c r="G1523" s="13" t="str">
        <f ca="1">IFERROR(__xludf.DUMMYFUNCTION("GOOGLEFINANCE(A1523,""CLOSEYEST"")"),"#N/A")</f>
        <v>#N/A</v>
      </c>
      <c r="H1523" s="14" t="e">
        <f t="shared" ca="1" si="48"/>
        <v>#VALUE!</v>
      </c>
      <c r="I1523" s="15" t="e">
        <f t="shared" ca="1" si="43"/>
        <v>#VALUE!</v>
      </c>
      <c r="J1523" s="16" t="e">
        <f t="shared" ca="1" si="44"/>
        <v>#VALUE!</v>
      </c>
      <c r="K1523" s="16"/>
      <c r="L1523" s="16" t="e">
        <f t="shared" ca="1" si="45"/>
        <v>#VALUE!</v>
      </c>
      <c r="M1523" s="16" t="e">
        <f t="shared" ca="1" si="46"/>
        <v>#VALUE!</v>
      </c>
      <c r="N1523" s="16" t="e">
        <f t="shared" ca="1" si="47"/>
        <v>#VALUE!</v>
      </c>
    </row>
    <row r="1524" spans="1:14" ht="24.75" customHeight="1" x14ac:dyDescent="0.8">
      <c r="A1524" s="18" t="s">
        <v>1487</v>
      </c>
      <c r="B1524" s="10">
        <f ca="1">IFERROR(__xludf.DUMMYFUNCTION("GOOGLEFINANCE(A1524,""PRICE"")"),29.32)</f>
        <v>29.32</v>
      </c>
      <c r="C1524" s="11">
        <f ca="1">IFERROR(__xludf.DUMMYFUNCTION("GOOGLEFINANCE(A1524,""PRICEOPEN"")"),27.35)</f>
        <v>27.35</v>
      </c>
      <c r="D1524" s="11">
        <f ca="1">IFERROR(__xludf.DUMMYFUNCTION("GOOGLEFINANCE(A1524,""HIGH"")"),29.32)</f>
        <v>29.32</v>
      </c>
      <c r="E1524" s="11">
        <f ca="1">IFERROR(__xludf.DUMMYFUNCTION("GOOGLEFINANCE(A1524,""LOW"")"),27.25)</f>
        <v>27.25</v>
      </c>
      <c r="F1524" s="12" t="str">
        <f t="shared" ca="1" si="42"/>
        <v/>
      </c>
      <c r="G1524" s="13">
        <f ca="1">IFERROR(__xludf.DUMMYFUNCTION("GOOGLEFINANCE(A1524,""CLOSEYEST"")"),27.93)</f>
        <v>27.93</v>
      </c>
      <c r="H1524" s="14" t="str">
        <f t="shared" ca="1" si="48"/>
        <v>GAP DOWN</v>
      </c>
      <c r="I1524" s="15">
        <f t="shared" ca="1" si="43"/>
        <v>28.166666666666668</v>
      </c>
      <c r="J1524" s="16">
        <f t="shared" ca="1" si="44"/>
        <v>29.083333333333336</v>
      </c>
      <c r="K1524" s="16"/>
      <c r="L1524" s="16">
        <f t="shared" ca="1" si="45"/>
        <v>27.013333333333335</v>
      </c>
      <c r="M1524" s="16">
        <f t="shared" ca="1" si="46"/>
        <v>30.236666666666668</v>
      </c>
      <c r="N1524" s="16">
        <f t="shared" ca="1" si="47"/>
        <v>26.096666666666668</v>
      </c>
    </row>
    <row r="1525" spans="1:14" ht="24.75" customHeight="1" x14ac:dyDescent="0.8">
      <c r="A1525" s="18" t="s">
        <v>1488</v>
      </c>
      <c r="B1525" s="10" t="str">
        <f ca="1">IFERROR(__xludf.DUMMYFUNCTION("GOOGLEFINANCE(A1525,""PRICE"")"),"#N/A")</f>
        <v>#N/A</v>
      </c>
      <c r="C1525" s="11" t="str">
        <f ca="1">IFERROR(__xludf.DUMMYFUNCTION("GOOGLEFINANCE(A1525,""PRICEOPEN"")"),"#N/A")</f>
        <v>#N/A</v>
      </c>
      <c r="D1525" s="11" t="str">
        <f ca="1">IFERROR(__xludf.DUMMYFUNCTION("GOOGLEFINANCE(A1525,""HIGH"")"),"#N/A")</f>
        <v>#N/A</v>
      </c>
      <c r="E1525" s="11" t="str">
        <f ca="1">IFERROR(__xludf.DUMMYFUNCTION("GOOGLEFINANCE(A1525,""LOW"")"),"#N/A")</f>
        <v>#N/A</v>
      </c>
      <c r="F1525" s="12" t="str">
        <f t="shared" ca="1" si="42"/>
        <v>SELL</v>
      </c>
      <c r="G1525" s="13" t="str">
        <f ca="1">IFERROR(__xludf.DUMMYFUNCTION("GOOGLEFINANCE(A1525,""CLOSEYEST"")"),"#N/A")</f>
        <v>#N/A</v>
      </c>
      <c r="H1525" s="14" t="e">
        <f t="shared" ca="1" si="48"/>
        <v>#VALUE!</v>
      </c>
      <c r="I1525" s="15" t="e">
        <f t="shared" ca="1" si="43"/>
        <v>#VALUE!</v>
      </c>
      <c r="J1525" s="16" t="e">
        <f t="shared" ca="1" si="44"/>
        <v>#VALUE!</v>
      </c>
      <c r="K1525" s="16"/>
      <c r="L1525" s="16" t="e">
        <f t="shared" ca="1" si="45"/>
        <v>#VALUE!</v>
      </c>
      <c r="M1525" s="16" t="e">
        <f t="shared" ca="1" si="46"/>
        <v>#VALUE!</v>
      </c>
      <c r="N1525" s="16" t="e">
        <f t="shared" ca="1" si="47"/>
        <v>#VALUE!</v>
      </c>
    </row>
    <row r="1526" spans="1:14" ht="24.75" customHeight="1" x14ac:dyDescent="0.8">
      <c r="A1526" s="18" t="s">
        <v>1489</v>
      </c>
      <c r="B1526" s="10">
        <f ca="1">IFERROR(__xludf.DUMMYFUNCTION("GOOGLEFINANCE(A1526,""PRICE"")"),70.27)</f>
        <v>70.27</v>
      </c>
      <c r="C1526" s="11">
        <f ca="1">IFERROR(__xludf.DUMMYFUNCTION("GOOGLEFINANCE(A1526,""PRICEOPEN"")"),71.59)</f>
        <v>71.59</v>
      </c>
      <c r="D1526" s="11">
        <f ca="1">IFERROR(__xludf.DUMMYFUNCTION("GOOGLEFINANCE(A1526,""HIGH"")"),72.94)</f>
        <v>72.94</v>
      </c>
      <c r="E1526" s="11">
        <f ca="1">IFERROR(__xludf.DUMMYFUNCTION("GOOGLEFINANCE(A1526,""LOW"")"),70.02)</f>
        <v>70.02</v>
      </c>
      <c r="F1526" s="12" t="str">
        <f t="shared" ca="1" si="42"/>
        <v/>
      </c>
      <c r="G1526" s="13">
        <f ca="1">IFERROR(__xludf.DUMMYFUNCTION("GOOGLEFINANCE(A1526,""CLOSEYEST"")"),71.53)</f>
        <v>71.53</v>
      </c>
      <c r="H1526" s="14" t="str">
        <f t="shared" ca="1" si="48"/>
        <v/>
      </c>
      <c r="I1526" s="15">
        <f t="shared" ca="1" si="43"/>
        <v>71.496666666666655</v>
      </c>
      <c r="J1526" s="16">
        <f t="shared" ca="1" si="44"/>
        <v>72.973333333333315</v>
      </c>
      <c r="K1526" s="16"/>
      <c r="L1526" s="16">
        <f t="shared" ca="1" si="45"/>
        <v>70.053333333333313</v>
      </c>
      <c r="M1526" s="16">
        <f t="shared" ca="1" si="46"/>
        <v>74.416666666666657</v>
      </c>
      <c r="N1526" s="16">
        <f t="shared" ca="1" si="47"/>
        <v>68.576666666666654</v>
      </c>
    </row>
    <row r="1527" spans="1:14" ht="24.75" customHeight="1" x14ac:dyDescent="0.8">
      <c r="A1527" s="18" t="s">
        <v>1490</v>
      </c>
      <c r="B1527" s="10">
        <f ca="1">IFERROR(__xludf.DUMMYFUNCTION("GOOGLEFINANCE(A1527,""PRICE"")"),192.6)</f>
        <v>192.6</v>
      </c>
      <c r="C1527" s="11">
        <f ca="1">IFERROR(__xludf.DUMMYFUNCTION("GOOGLEFINANCE(A1527,""PRICEOPEN"")"),190)</f>
        <v>190</v>
      </c>
      <c r="D1527" s="11">
        <f ca="1">IFERROR(__xludf.DUMMYFUNCTION("GOOGLEFINANCE(A1527,""HIGH"")"),198.69)</f>
        <v>198.69</v>
      </c>
      <c r="E1527" s="11">
        <f ca="1">IFERROR(__xludf.DUMMYFUNCTION("GOOGLEFINANCE(A1527,""LOW"")"),188.1)</f>
        <v>188.1</v>
      </c>
      <c r="F1527" s="12" t="str">
        <f t="shared" ca="1" si="42"/>
        <v/>
      </c>
      <c r="G1527" s="13">
        <f ca="1">IFERROR(__xludf.DUMMYFUNCTION("GOOGLEFINANCE(A1527,""CLOSEYEST"")"),191.41)</f>
        <v>191.41</v>
      </c>
      <c r="H1527" s="14" t="str">
        <f t="shared" ca="1" si="48"/>
        <v/>
      </c>
      <c r="I1527" s="15">
        <f t="shared" ca="1" si="43"/>
        <v>192.73333333333332</v>
      </c>
      <c r="J1527" s="16">
        <f t="shared" ca="1" si="44"/>
        <v>197.36666666666665</v>
      </c>
      <c r="K1527" s="16"/>
      <c r="L1527" s="16">
        <f t="shared" ca="1" si="45"/>
        <v>186.77666666666664</v>
      </c>
      <c r="M1527" s="16">
        <f t="shared" ca="1" si="46"/>
        <v>203.32333333333332</v>
      </c>
      <c r="N1527" s="16">
        <f t="shared" ca="1" si="47"/>
        <v>182.14333333333332</v>
      </c>
    </row>
    <row r="1528" spans="1:14" ht="24.75" customHeight="1" x14ac:dyDescent="0.8">
      <c r="A1528" s="18" t="s">
        <v>1491</v>
      </c>
      <c r="B1528" s="10">
        <f ca="1">IFERROR(__xludf.DUMMYFUNCTION("GOOGLEFINANCE(A1528,""PRICE"")"),33.99)</f>
        <v>33.99</v>
      </c>
      <c r="C1528" s="11">
        <f ca="1">IFERROR(__xludf.DUMMYFUNCTION("GOOGLEFINANCE(A1528,""PRICEOPEN"")"),34)</f>
        <v>34</v>
      </c>
      <c r="D1528" s="11">
        <f ca="1">IFERROR(__xludf.DUMMYFUNCTION("GOOGLEFINANCE(A1528,""HIGH"")"),34)</f>
        <v>34</v>
      </c>
      <c r="E1528" s="11">
        <f ca="1">IFERROR(__xludf.DUMMYFUNCTION("GOOGLEFINANCE(A1528,""LOW"")"),33.2)</f>
        <v>33.200000000000003</v>
      </c>
      <c r="F1528" s="12" t="str">
        <f t="shared" ca="1" si="42"/>
        <v>SELL</v>
      </c>
      <c r="G1528" s="13">
        <f ca="1">IFERROR(__xludf.DUMMYFUNCTION("GOOGLEFINANCE(A1528,""CLOSEYEST"")"),33.99)</f>
        <v>33.99</v>
      </c>
      <c r="H1528" s="14" t="str">
        <f t="shared" ca="1" si="48"/>
        <v/>
      </c>
      <c r="I1528" s="15">
        <f t="shared" ca="1" si="43"/>
        <v>33.729999999999997</v>
      </c>
      <c r="J1528" s="16">
        <f t="shared" ca="1" si="44"/>
        <v>34.259999999999991</v>
      </c>
      <c r="K1528" s="16"/>
      <c r="L1528" s="16">
        <f t="shared" ca="1" si="45"/>
        <v>33.459999999999994</v>
      </c>
      <c r="M1528" s="16">
        <f t="shared" ca="1" si="46"/>
        <v>34.529999999999994</v>
      </c>
      <c r="N1528" s="16">
        <f t="shared" ca="1" si="47"/>
        <v>32.93</v>
      </c>
    </row>
    <row r="1529" spans="1:14" ht="24.75" customHeight="1" x14ac:dyDescent="0.8">
      <c r="A1529" s="18" t="s">
        <v>1492</v>
      </c>
      <c r="B1529" s="10">
        <f ca="1">IFERROR(__xludf.DUMMYFUNCTION("GOOGLEFINANCE(A1529,""PRICE"")"),120)</f>
        <v>120</v>
      </c>
      <c r="C1529" s="11">
        <f ca="1">IFERROR(__xludf.DUMMYFUNCTION("GOOGLEFINANCE(A1529,""PRICEOPEN"")"),124.29)</f>
        <v>124.29</v>
      </c>
      <c r="D1529" s="11">
        <f ca="1">IFERROR(__xludf.DUMMYFUNCTION("GOOGLEFINANCE(A1529,""HIGH"")"),124.99)</f>
        <v>124.99</v>
      </c>
      <c r="E1529" s="11">
        <f ca="1">IFERROR(__xludf.DUMMYFUNCTION("GOOGLEFINANCE(A1529,""LOW"")"),120)</f>
        <v>120</v>
      </c>
      <c r="F1529" s="12" t="str">
        <f t="shared" ca="1" si="42"/>
        <v/>
      </c>
      <c r="G1529" s="13">
        <f ca="1">IFERROR(__xludf.DUMMYFUNCTION("GOOGLEFINANCE(A1529,""CLOSEYEST"")"),122.81)</f>
        <v>122.81</v>
      </c>
      <c r="H1529" s="14" t="str">
        <f t="shared" ca="1" si="48"/>
        <v>GAP UP</v>
      </c>
      <c r="I1529" s="15">
        <f t="shared" ca="1" si="43"/>
        <v>122.60000000000001</v>
      </c>
      <c r="J1529" s="16">
        <f t="shared" ca="1" si="44"/>
        <v>125.20000000000002</v>
      </c>
      <c r="K1529" s="16"/>
      <c r="L1529" s="16">
        <f t="shared" ca="1" si="45"/>
        <v>120.21000000000002</v>
      </c>
      <c r="M1529" s="16">
        <f t="shared" ca="1" si="46"/>
        <v>127.59</v>
      </c>
      <c r="N1529" s="16">
        <f t="shared" ca="1" si="47"/>
        <v>117.61000000000001</v>
      </c>
    </row>
    <row r="1530" spans="1:14" ht="24.75" customHeight="1" x14ac:dyDescent="0.8">
      <c r="A1530" s="18" t="s">
        <v>1493</v>
      </c>
      <c r="B1530" s="10">
        <f ca="1">IFERROR(__xludf.DUMMYFUNCTION("GOOGLEFINANCE(A1530,""PRICE"")"),37.4)</f>
        <v>37.4</v>
      </c>
      <c r="C1530" s="11">
        <f ca="1">IFERROR(__xludf.DUMMYFUNCTION("GOOGLEFINANCE(A1530,""PRICEOPEN"")"),36)</f>
        <v>36</v>
      </c>
      <c r="D1530" s="11">
        <f ca="1">IFERROR(__xludf.DUMMYFUNCTION("GOOGLEFINANCE(A1530,""HIGH"")"),37.4)</f>
        <v>37.4</v>
      </c>
      <c r="E1530" s="11">
        <f ca="1">IFERROR(__xludf.DUMMYFUNCTION("GOOGLEFINANCE(A1530,""LOW"")"),35.76)</f>
        <v>35.76</v>
      </c>
      <c r="F1530" s="12" t="str">
        <f t="shared" ca="1" si="42"/>
        <v/>
      </c>
      <c r="G1530" s="13">
        <f ca="1">IFERROR(__xludf.DUMMYFUNCTION("GOOGLEFINANCE(A1530,""CLOSEYEST"")"),35.75)</f>
        <v>35.75</v>
      </c>
      <c r="H1530" s="14" t="str">
        <f t="shared" ca="1" si="48"/>
        <v/>
      </c>
      <c r="I1530" s="15">
        <f t="shared" ca="1" si="43"/>
        <v>36.303333333333335</v>
      </c>
      <c r="J1530" s="16">
        <f t="shared" ca="1" si="44"/>
        <v>36.846666666666671</v>
      </c>
      <c r="K1530" s="16"/>
      <c r="L1530" s="16">
        <f t="shared" ca="1" si="45"/>
        <v>35.206666666666671</v>
      </c>
      <c r="M1530" s="16">
        <f t="shared" ca="1" si="46"/>
        <v>37.943333333333335</v>
      </c>
      <c r="N1530" s="16">
        <f t="shared" ca="1" si="47"/>
        <v>34.663333333333334</v>
      </c>
    </row>
    <row r="1531" spans="1:14" ht="24.75" customHeight="1" x14ac:dyDescent="0.8">
      <c r="A1531" s="18" t="s">
        <v>1494</v>
      </c>
      <c r="B1531" s="10">
        <f ca="1">IFERROR(__xludf.DUMMYFUNCTION("GOOGLEFINANCE(A1531,""PRICE"")"),27.74)</f>
        <v>27.74</v>
      </c>
      <c r="C1531" s="11">
        <f ca="1">IFERROR(__xludf.DUMMYFUNCTION("GOOGLEFINANCE(A1531,""PRICEOPEN"")"),29.2)</f>
        <v>29.2</v>
      </c>
      <c r="D1531" s="11">
        <f ca="1">IFERROR(__xludf.DUMMYFUNCTION("GOOGLEFINANCE(A1531,""HIGH"")"),29.5)</f>
        <v>29.5</v>
      </c>
      <c r="E1531" s="11">
        <f ca="1">IFERROR(__xludf.DUMMYFUNCTION("GOOGLEFINANCE(A1531,""LOW"")"),27.74)</f>
        <v>27.74</v>
      </c>
      <c r="F1531" s="12" t="str">
        <f t="shared" ca="1" si="42"/>
        <v/>
      </c>
      <c r="G1531" s="13">
        <f ca="1">IFERROR(__xludf.DUMMYFUNCTION("GOOGLEFINANCE(A1531,""CLOSEYEST"")"),29.2)</f>
        <v>29.2</v>
      </c>
      <c r="H1531" s="14" t="str">
        <f t="shared" ca="1" si="48"/>
        <v/>
      </c>
      <c r="I1531" s="15">
        <f t="shared" ca="1" si="43"/>
        <v>28.813333333333333</v>
      </c>
      <c r="J1531" s="16">
        <f t="shared" ca="1" si="44"/>
        <v>29.886666666666667</v>
      </c>
      <c r="K1531" s="16"/>
      <c r="L1531" s="16">
        <f t="shared" ca="1" si="45"/>
        <v>28.126666666666665</v>
      </c>
      <c r="M1531" s="16">
        <f t="shared" ca="1" si="46"/>
        <v>30.573333333333334</v>
      </c>
      <c r="N1531" s="16">
        <f t="shared" ca="1" si="47"/>
        <v>27.053333333333331</v>
      </c>
    </row>
    <row r="1532" spans="1:14" ht="24.75" customHeight="1" x14ac:dyDescent="0.8">
      <c r="A1532" s="18" t="s">
        <v>1495</v>
      </c>
      <c r="B1532" s="10">
        <f ca="1">IFERROR(__xludf.DUMMYFUNCTION("GOOGLEFINANCE(A1532,""PRICE"")"),1025)</f>
        <v>1025</v>
      </c>
      <c r="C1532" s="11">
        <f ca="1">IFERROR(__xludf.DUMMYFUNCTION("GOOGLEFINANCE(A1532,""PRICEOPEN"")"),1039.5)</f>
        <v>1039.5</v>
      </c>
      <c r="D1532" s="11">
        <f ca="1">IFERROR(__xludf.DUMMYFUNCTION("GOOGLEFINANCE(A1532,""HIGH"")"),1039.5)</f>
        <v>1039.5</v>
      </c>
      <c r="E1532" s="11">
        <f ca="1">IFERROR(__xludf.DUMMYFUNCTION("GOOGLEFINANCE(A1532,""LOW"")"),1025)</f>
        <v>1025</v>
      </c>
      <c r="F1532" s="12" t="str">
        <f t="shared" ca="1" si="42"/>
        <v>SELL</v>
      </c>
      <c r="G1532" s="13">
        <f ca="1">IFERROR(__xludf.DUMMYFUNCTION("GOOGLEFINANCE(A1532,""CLOSEYEST"")"),1039.5)</f>
        <v>1039.5</v>
      </c>
      <c r="H1532" s="14" t="str">
        <f t="shared" ca="1" si="48"/>
        <v/>
      </c>
      <c r="I1532" s="15">
        <f t="shared" ca="1" si="43"/>
        <v>1034.6666666666667</v>
      </c>
      <c r="J1532" s="16">
        <f t="shared" ca="1" si="44"/>
        <v>1044.3333333333335</v>
      </c>
      <c r="K1532" s="16"/>
      <c r="L1532" s="16">
        <f t="shared" ca="1" si="45"/>
        <v>1029.8333333333335</v>
      </c>
      <c r="M1532" s="16">
        <f t="shared" ca="1" si="46"/>
        <v>1049.1666666666667</v>
      </c>
      <c r="N1532" s="16">
        <f t="shared" ca="1" si="47"/>
        <v>1020.1666666666667</v>
      </c>
    </row>
    <row r="1533" spans="1:14" ht="24.75" customHeight="1" x14ac:dyDescent="0.8">
      <c r="A1533" s="18" t="s">
        <v>1496</v>
      </c>
      <c r="B1533" s="10">
        <f ca="1">IFERROR(__xludf.DUMMYFUNCTION("GOOGLEFINANCE(A1533,""PRICE"")"),82.22)</f>
        <v>82.22</v>
      </c>
      <c r="C1533" s="11">
        <f ca="1">IFERROR(__xludf.DUMMYFUNCTION("GOOGLEFINANCE(A1533,""PRICEOPEN"")"),83)</f>
        <v>83</v>
      </c>
      <c r="D1533" s="11">
        <f ca="1">IFERROR(__xludf.DUMMYFUNCTION("GOOGLEFINANCE(A1533,""HIGH"")"),83)</f>
        <v>83</v>
      </c>
      <c r="E1533" s="11">
        <f ca="1">IFERROR(__xludf.DUMMYFUNCTION("GOOGLEFINANCE(A1533,""LOW"")"),82.22)</f>
        <v>82.22</v>
      </c>
      <c r="F1533" s="12" t="str">
        <f t="shared" ca="1" si="42"/>
        <v>SELL</v>
      </c>
      <c r="G1533" s="13">
        <f ca="1">IFERROR(__xludf.DUMMYFUNCTION("GOOGLEFINANCE(A1533,""CLOSEYEST"")"),83.9)</f>
        <v>83.9</v>
      </c>
      <c r="H1533" s="14" t="str">
        <f t="shared" ca="1" si="48"/>
        <v>GAP DOWN</v>
      </c>
      <c r="I1533" s="15">
        <f t="shared" ca="1" si="43"/>
        <v>83.04</v>
      </c>
      <c r="J1533" s="16">
        <f t="shared" ca="1" si="44"/>
        <v>83.860000000000014</v>
      </c>
      <c r="K1533" s="16"/>
      <c r="L1533" s="16">
        <f t="shared" ca="1" si="45"/>
        <v>83.080000000000013</v>
      </c>
      <c r="M1533" s="16">
        <f t="shared" ca="1" si="46"/>
        <v>83.820000000000007</v>
      </c>
      <c r="N1533" s="16">
        <f t="shared" ca="1" si="47"/>
        <v>82.26</v>
      </c>
    </row>
    <row r="1534" spans="1:14" ht="24.75" customHeight="1" x14ac:dyDescent="0.8">
      <c r="A1534" s="18" t="s">
        <v>1497</v>
      </c>
      <c r="B1534" s="10">
        <f ca="1">IFERROR(__xludf.DUMMYFUNCTION("GOOGLEFINANCE(A1534,""PRICE"")"),47.16)</f>
        <v>47.16</v>
      </c>
      <c r="C1534" s="11">
        <f ca="1">IFERROR(__xludf.DUMMYFUNCTION("GOOGLEFINANCE(A1534,""PRICEOPEN"")"),47.1)</f>
        <v>47.1</v>
      </c>
      <c r="D1534" s="11">
        <f ca="1">IFERROR(__xludf.DUMMYFUNCTION("GOOGLEFINANCE(A1534,""HIGH"")"),49)</f>
        <v>49</v>
      </c>
      <c r="E1534" s="11">
        <f ca="1">IFERROR(__xludf.DUMMYFUNCTION("GOOGLEFINANCE(A1534,""LOW"")"),46)</f>
        <v>46</v>
      </c>
      <c r="F1534" s="12" t="str">
        <f t="shared" ca="1" si="42"/>
        <v/>
      </c>
      <c r="G1534" s="13">
        <f ca="1">IFERROR(__xludf.DUMMYFUNCTION("GOOGLEFINANCE(A1534,""CLOSEYEST"")"),46.4)</f>
        <v>46.4</v>
      </c>
      <c r="H1534" s="14" t="str">
        <f t="shared" ca="1" si="48"/>
        <v>GAP UP</v>
      </c>
      <c r="I1534" s="15">
        <f t="shared" ca="1" si="43"/>
        <v>47.133333333333333</v>
      </c>
      <c r="J1534" s="16">
        <f t="shared" ca="1" si="44"/>
        <v>48.266666666666666</v>
      </c>
      <c r="K1534" s="16"/>
      <c r="L1534" s="16">
        <f t="shared" ca="1" si="45"/>
        <v>45.266666666666666</v>
      </c>
      <c r="M1534" s="16">
        <f t="shared" ca="1" si="46"/>
        <v>50.133333333333333</v>
      </c>
      <c r="N1534" s="16">
        <f t="shared" ca="1" si="47"/>
        <v>44.133333333333333</v>
      </c>
    </row>
    <row r="1535" spans="1:14" ht="24.75" customHeight="1" x14ac:dyDescent="0.8">
      <c r="A1535" s="18" t="s">
        <v>1498</v>
      </c>
      <c r="B1535" s="10">
        <f ca="1">IFERROR(__xludf.DUMMYFUNCTION("GOOGLEFINANCE(A1535,""PRICE"")"),187)</f>
        <v>187</v>
      </c>
      <c r="C1535" s="11">
        <f ca="1">IFERROR(__xludf.DUMMYFUNCTION("GOOGLEFINANCE(A1535,""PRICEOPEN"")"),185.05)</f>
        <v>185.05</v>
      </c>
      <c r="D1535" s="11">
        <f ca="1">IFERROR(__xludf.DUMMYFUNCTION("GOOGLEFINANCE(A1535,""HIGH"")"),190.73)</f>
        <v>190.73</v>
      </c>
      <c r="E1535" s="11">
        <f ca="1">IFERROR(__xludf.DUMMYFUNCTION("GOOGLEFINANCE(A1535,""LOW"")"),185.05)</f>
        <v>185.05</v>
      </c>
      <c r="F1535" s="12" t="str">
        <f t="shared" ca="1" si="42"/>
        <v>BUY</v>
      </c>
      <c r="G1535" s="13">
        <f ca="1">IFERROR(__xludf.DUMMYFUNCTION("GOOGLEFINANCE(A1535,""CLOSEYEST"")"),186.01)</f>
        <v>186.01</v>
      </c>
      <c r="H1535" s="14" t="str">
        <f t="shared" ca="1" si="48"/>
        <v/>
      </c>
      <c r="I1535" s="15">
        <f t="shared" ca="1" si="43"/>
        <v>187.26333333333332</v>
      </c>
      <c r="J1535" s="16">
        <f t="shared" ca="1" si="44"/>
        <v>189.47666666666663</v>
      </c>
      <c r="K1535" s="16"/>
      <c r="L1535" s="16">
        <f t="shared" ca="1" si="45"/>
        <v>183.79666666666665</v>
      </c>
      <c r="M1535" s="16">
        <f t="shared" ca="1" si="46"/>
        <v>192.9433333333333</v>
      </c>
      <c r="N1535" s="16">
        <f t="shared" ca="1" si="47"/>
        <v>181.58333333333334</v>
      </c>
    </row>
    <row r="1536" spans="1:14" ht="24.75" customHeight="1" x14ac:dyDescent="0.8">
      <c r="A1536" s="18" t="s">
        <v>1499</v>
      </c>
      <c r="B1536" s="10">
        <f ca="1">IFERROR(__xludf.DUMMYFUNCTION("GOOGLEFINANCE(A1536,""PRICE"")"),36.9)</f>
        <v>36.9</v>
      </c>
      <c r="C1536" s="11">
        <f ca="1">IFERROR(__xludf.DUMMYFUNCTION("GOOGLEFINANCE(A1536,""PRICEOPEN"")"),35.49)</f>
        <v>35.49</v>
      </c>
      <c r="D1536" s="11">
        <f ca="1">IFERROR(__xludf.DUMMYFUNCTION("GOOGLEFINANCE(A1536,""HIGH"")"),37.47)</f>
        <v>37.47</v>
      </c>
      <c r="E1536" s="11">
        <f ca="1">IFERROR(__xludf.DUMMYFUNCTION("GOOGLEFINANCE(A1536,""LOW"")"),34.22)</f>
        <v>34.22</v>
      </c>
      <c r="F1536" s="12" t="str">
        <f t="shared" ca="1" si="42"/>
        <v/>
      </c>
      <c r="G1536" s="13">
        <f ca="1">IFERROR(__xludf.DUMMYFUNCTION("GOOGLEFINANCE(A1536,""CLOSEYEST"")"),35.69)</f>
        <v>35.69</v>
      </c>
      <c r="H1536" s="14" t="str">
        <f t="shared" ca="1" si="48"/>
        <v/>
      </c>
      <c r="I1536" s="15">
        <f t="shared" ca="1" si="43"/>
        <v>35.793333333333329</v>
      </c>
      <c r="J1536" s="16">
        <f t="shared" ca="1" si="44"/>
        <v>37.36666666666666</v>
      </c>
      <c r="K1536" s="16"/>
      <c r="L1536" s="16">
        <f t="shared" ca="1" si="45"/>
        <v>34.11666666666666</v>
      </c>
      <c r="M1536" s="16">
        <f t="shared" ca="1" si="46"/>
        <v>39.043333333333329</v>
      </c>
      <c r="N1536" s="16">
        <f t="shared" ca="1" si="47"/>
        <v>32.543333333333329</v>
      </c>
    </row>
    <row r="1537" spans="1:14" ht="24.75" customHeight="1" x14ac:dyDescent="0.8">
      <c r="A1537" s="18" t="s">
        <v>1500</v>
      </c>
      <c r="B1537" s="10">
        <f ca="1">IFERROR(__xludf.DUMMYFUNCTION("GOOGLEFINANCE(A1537,""PRICE"")"),129.65)</f>
        <v>129.65</v>
      </c>
      <c r="C1537" s="11">
        <f ca="1">IFERROR(__xludf.DUMMYFUNCTION("GOOGLEFINANCE(A1537,""PRICEOPEN"")"),123.1)</f>
        <v>123.1</v>
      </c>
      <c r="D1537" s="11">
        <f ca="1">IFERROR(__xludf.DUMMYFUNCTION("GOOGLEFINANCE(A1537,""HIGH"")"),129.75)</f>
        <v>129.75</v>
      </c>
      <c r="E1537" s="11">
        <f ca="1">IFERROR(__xludf.DUMMYFUNCTION("GOOGLEFINANCE(A1537,""LOW"")"),122.9)</f>
        <v>122.9</v>
      </c>
      <c r="F1537" s="12" t="str">
        <f t="shared" ca="1" si="42"/>
        <v/>
      </c>
      <c r="G1537" s="13">
        <f ca="1">IFERROR(__xludf.DUMMYFUNCTION("GOOGLEFINANCE(A1537,""CLOSEYEST"")"),121.86)</f>
        <v>121.86</v>
      </c>
      <c r="H1537" s="14" t="str">
        <f t="shared" ca="1" si="48"/>
        <v>GAP UP</v>
      </c>
      <c r="I1537" s="15">
        <f t="shared" ca="1" si="43"/>
        <v>124.83666666666666</v>
      </c>
      <c r="J1537" s="16">
        <f t="shared" ca="1" si="44"/>
        <v>126.77333333333331</v>
      </c>
      <c r="K1537" s="16"/>
      <c r="L1537" s="16">
        <f t="shared" ca="1" si="45"/>
        <v>119.92333333333332</v>
      </c>
      <c r="M1537" s="16">
        <f t="shared" ca="1" si="46"/>
        <v>131.68666666666667</v>
      </c>
      <c r="N1537" s="16">
        <f t="shared" ca="1" si="47"/>
        <v>117.98666666666666</v>
      </c>
    </row>
    <row r="1538" spans="1:14" ht="24.75" customHeight="1" x14ac:dyDescent="0.8">
      <c r="A1538" s="18" t="s">
        <v>1501</v>
      </c>
      <c r="B1538" s="10">
        <f ca="1">IFERROR(__xludf.DUMMYFUNCTION("GOOGLEFINANCE(A1538,""PRICE"")"),53.1)</f>
        <v>53.1</v>
      </c>
      <c r="C1538" s="11">
        <f ca="1">IFERROR(__xludf.DUMMYFUNCTION("GOOGLEFINANCE(A1538,""PRICEOPEN"")"),51.88)</f>
        <v>51.88</v>
      </c>
      <c r="D1538" s="11">
        <f ca="1">IFERROR(__xludf.DUMMYFUNCTION("GOOGLEFINANCE(A1538,""HIGH"")"),53.1)</f>
        <v>53.1</v>
      </c>
      <c r="E1538" s="11">
        <f ca="1">IFERROR(__xludf.DUMMYFUNCTION("GOOGLEFINANCE(A1538,""LOW"")"),51.23)</f>
        <v>51.23</v>
      </c>
      <c r="F1538" s="12" t="str">
        <f t="shared" ca="1" si="42"/>
        <v/>
      </c>
      <c r="G1538" s="13">
        <f ca="1">IFERROR(__xludf.DUMMYFUNCTION("GOOGLEFINANCE(A1538,""CLOSEYEST"")"),52.23)</f>
        <v>52.23</v>
      </c>
      <c r="H1538" s="14" t="str">
        <f t="shared" ca="1" si="48"/>
        <v/>
      </c>
      <c r="I1538" s="15">
        <f t="shared" ca="1" si="43"/>
        <v>52.186666666666667</v>
      </c>
      <c r="J1538" s="16">
        <f t="shared" ca="1" si="44"/>
        <v>53.143333333333338</v>
      </c>
      <c r="K1538" s="16"/>
      <c r="L1538" s="16">
        <f t="shared" ca="1" si="45"/>
        <v>51.273333333333333</v>
      </c>
      <c r="M1538" s="16">
        <f t="shared" ca="1" si="46"/>
        <v>54.056666666666672</v>
      </c>
      <c r="N1538" s="16">
        <f t="shared" ca="1" si="47"/>
        <v>50.316666666666663</v>
      </c>
    </row>
    <row r="1539" spans="1:14" ht="24.75" customHeight="1" x14ac:dyDescent="0.8">
      <c r="A1539" s="18" t="s">
        <v>1502</v>
      </c>
      <c r="B1539" s="10">
        <f ca="1">IFERROR(__xludf.DUMMYFUNCTION("GOOGLEFINANCE(A1539,""PRICE"")"),1)</f>
        <v>1</v>
      </c>
      <c r="C1539" s="11">
        <f ca="1">IFERROR(__xludf.DUMMYFUNCTION("GOOGLEFINANCE(A1539,""PRICEOPEN"")"),1)</f>
        <v>1</v>
      </c>
      <c r="D1539" s="11">
        <f ca="1">IFERROR(__xludf.DUMMYFUNCTION("GOOGLEFINANCE(A1539,""HIGH"")"),1.06)</f>
        <v>1.06</v>
      </c>
      <c r="E1539" s="11">
        <f ca="1">IFERROR(__xludf.DUMMYFUNCTION("GOOGLEFINANCE(A1539,""LOW"")"),0.97)</f>
        <v>0.97</v>
      </c>
      <c r="F1539" s="12" t="str">
        <f t="shared" ca="1" si="42"/>
        <v/>
      </c>
      <c r="G1539" s="13">
        <f ca="1">IFERROR(__xludf.DUMMYFUNCTION("GOOGLEFINANCE(A1539,""CLOSEYEST"")"),0.99)</f>
        <v>0.99</v>
      </c>
      <c r="H1539" s="14" t="str">
        <f t="shared" ca="1" si="48"/>
        <v>GAP UP</v>
      </c>
      <c r="I1539" s="15">
        <f t="shared" ca="1" si="43"/>
        <v>1.0066666666666668</v>
      </c>
      <c r="J1539" s="16">
        <f t="shared" ca="1" si="44"/>
        <v>1.0433333333333337</v>
      </c>
      <c r="K1539" s="16"/>
      <c r="L1539" s="16">
        <f t="shared" ca="1" si="45"/>
        <v>0.95333333333333359</v>
      </c>
      <c r="M1539" s="16">
        <f t="shared" ca="1" si="46"/>
        <v>1.0966666666666669</v>
      </c>
      <c r="N1539" s="16">
        <f t="shared" ca="1" si="47"/>
        <v>0.91666666666666674</v>
      </c>
    </row>
    <row r="1540" spans="1:14" ht="24.75" customHeight="1" x14ac:dyDescent="0.8">
      <c r="A1540" s="18" t="s">
        <v>1503</v>
      </c>
      <c r="B1540" s="10">
        <f ca="1">IFERROR(__xludf.DUMMYFUNCTION("GOOGLEFINANCE(A1540,""PRICE"")"),73.08)</f>
        <v>73.08</v>
      </c>
      <c r="C1540" s="11">
        <f ca="1">IFERROR(__xludf.DUMMYFUNCTION("GOOGLEFINANCE(A1540,""PRICEOPEN"")"),72.25)</f>
        <v>72.25</v>
      </c>
      <c r="D1540" s="11">
        <f ca="1">IFERROR(__xludf.DUMMYFUNCTION("GOOGLEFINANCE(A1540,""HIGH"")"),73.08)</f>
        <v>73.08</v>
      </c>
      <c r="E1540" s="11">
        <f ca="1">IFERROR(__xludf.DUMMYFUNCTION("GOOGLEFINANCE(A1540,""LOW"")"),71.55)</f>
        <v>71.55</v>
      </c>
      <c r="F1540" s="12" t="str">
        <f t="shared" ca="1" si="42"/>
        <v/>
      </c>
      <c r="G1540" s="13">
        <f ca="1">IFERROR(__xludf.DUMMYFUNCTION("GOOGLEFINANCE(A1540,""CLOSEYEST"")"),72.22)</f>
        <v>72.22</v>
      </c>
      <c r="H1540" s="14" t="str">
        <f t="shared" ca="1" si="48"/>
        <v/>
      </c>
      <c r="I1540" s="15">
        <f t="shared" ca="1" si="43"/>
        <v>72.283333333333331</v>
      </c>
      <c r="J1540" s="16">
        <f t="shared" ca="1" si="44"/>
        <v>73.016666666666666</v>
      </c>
      <c r="K1540" s="16"/>
      <c r="L1540" s="16">
        <f t="shared" ca="1" si="45"/>
        <v>71.486666666666665</v>
      </c>
      <c r="M1540" s="16">
        <f t="shared" ca="1" si="46"/>
        <v>73.813333333333333</v>
      </c>
      <c r="N1540" s="16">
        <f t="shared" ca="1" si="47"/>
        <v>70.75333333333333</v>
      </c>
    </row>
    <row r="1541" spans="1:14" ht="24.75" customHeight="1" x14ac:dyDescent="0.8">
      <c r="A1541" s="18" t="s">
        <v>1504</v>
      </c>
      <c r="B1541" s="10">
        <f ca="1">IFERROR(__xludf.DUMMYFUNCTION("GOOGLEFINANCE(A1541,""PRICE"")"),71.4)</f>
        <v>71.400000000000006</v>
      </c>
      <c r="C1541" s="11">
        <f ca="1">IFERROR(__xludf.DUMMYFUNCTION("GOOGLEFINANCE(A1541,""PRICEOPEN"")"),69.85)</f>
        <v>69.849999999999994</v>
      </c>
      <c r="D1541" s="11">
        <f ca="1">IFERROR(__xludf.DUMMYFUNCTION("GOOGLEFINANCE(A1541,""HIGH"")"),72)</f>
        <v>72</v>
      </c>
      <c r="E1541" s="11">
        <f ca="1">IFERROR(__xludf.DUMMYFUNCTION("GOOGLEFINANCE(A1541,""LOW"")"),69.52)</f>
        <v>69.52</v>
      </c>
      <c r="F1541" s="12" t="str">
        <f t="shared" ca="1" si="42"/>
        <v/>
      </c>
      <c r="G1541" s="13">
        <f ca="1">IFERROR(__xludf.DUMMYFUNCTION("GOOGLEFINANCE(A1541,""CLOSEYEST"")"),69.85)</f>
        <v>69.849999999999994</v>
      </c>
      <c r="H1541" s="14" t="str">
        <f t="shared" ca="1" si="48"/>
        <v/>
      </c>
      <c r="I1541" s="15">
        <f t="shared" ca="1" si="43"/>
        <v>70.456666666666663</v>
      </c>
      <c r="J1541" s="16">
        <f t="shared" ca="1" si="44"/>
        <v>71.393333333333331</v>
      </c>
      <c r="K1541" s="16"/>
      <c r="L1541" s="16">
        <f t="shared" ca="1" si="45"/>
        <v>68.913333333333327</v>
      </c>
      <c r="M1541" s="16">
        <f t="shared" ca="1" si="46"/>
        <v>72.936666666666667</v>
      </c>
      <c r="N1541" s="16">
        <f t="shared" ca="1" si="47"/>
        <v>67.976666666666659</v>
      </c>
    </row>
    <row r="1542" spans="1:14" ht="24.75" customHeight="1" x14ac:dyDescent="0.8">
      <c r="A1542" s="18" t="s">
        <v>1505</v>
      </c>
      <c r="B1542" s="10" t="str">
        <f ca="1">IFERROR(__xludf.DUMMYFUNCTION("GOOGLEFINANCE(A1542,""PRICE"")"),"#N/A")</f>
        <v>#N/A</v>
      </c>
      <c r="C1542" s="11" t="str">
        <f ca="1">IFERROR(__xludf.DUMMYFUNCTION("GOOGLEFINANCE(A1542,""PRICEOPEN"")"),"#N/A")</f>
        <v>#N/A</v>
      </c>
      <c r="D1542" s="11" t="str">
        <f ca="1">IFERROR(__xludf.DUMMYFUNCTION("GOOGLEFINANCE(A1542,""HIGH"")"),"#N/A")</f>
        <v>#N/A</v>
      </c>
      <c r="E1542" s="11" t="str">
        <f ca="1">IFERROR(__xludf.DUMMYFUNCTION("GOOGLEFINANCE(A1542,""LOW"")"),"#N/A")</f>
        <v>#N/A</v>
      </c>
      <c r="F1542" s="12" t="str">
        <f t="shared" ca="1" si="42"/>
        <v>SELL</v>
      </c>
      <c r="G1542" s="13" t="str">
        <f ca="1">IFERROR(__xludf.DUMMYFUNCTION("GOOGLEFINANCE(A1542,""CLOSEYEST"")"),"#N/A")</f>
        <v>#N/A</v>
      </c>
      <c r="H1542" s="14" t="e">
        <f t="shared" ca="1" si="48"/>
        <v>#VALUE!</v>
      </c>
      <c r="I1542" s="15" t="e">
        <f t="shared" ca="1" si="43"/>
        <v>#VALUE!</v>
      </c>
      <c r="J1542" s="16" t="e">
        <f t="shared" ca="1" si="44"/>
        <v>#VALUE!</v>
      </c>
      <c r="K1542" s="16"/>
      <c r="L1542" s="16" t="e">
        <f t="shared" ca="1" si="45"/>
        <v>#VALUE!</v>
      </c>
      <c r="M1542" s="16" t="e">
        <f t="shared" ca="1" si="46"/>
        <v>#VALUE!</v>
      </c>
      <c r="N1542" s="16" t="e">
        <f t="shared" ca="1" si="47"/>
        <v>#VALUE!</v>
      </c>
    </row>
    <row r="1543" spans="1:14" ht="24.75" customHeight="1" x14ac:dyDescent="0.8">
      <c r="A1543" s="18" t="s">
        <v>1506</v>
      </c>
      <c r="B1543" s="10">
        <f ca="1">IFERROR(__xludf.DUMMYFUNCTION("GOOGLEFINANCE(A1543,""PRICE"")"),14.01)</f>
        <v>14.01</v>
      </c>
      <c r="C1543" s="11">
        <f ca="1">IFERROR(__xludf.DUMMYFUNCTION("GOOGLEFINANCE(A1543,""PRICEOPEN"")"),13.95)</f>
        <v>13.95</v>
      </c>
      <c r="D1543" s="11">
        <f ca="1">IFERROR(__xludf.DUMMYFUNCTION("GOOGLEFINANCE(A1543,""HIGH"")"),14.04)</f>
        <v>14.04</v>
      </c>
      <c r="E1543" s="11">
        <f ca="1">IFERROR(__xludf.DUMMYFUNCTION("GOOGLEFINANCE(A1543,""LOW"")"),13.95)</f>
        <v>13.95</v>
      </c>
      <c r="F1543" s="12" t="str">
        <f t="shared" ca="1" si="42"/>
        <v>BUY</v>
      </c>
      <c r="G1543" s="13">
        <f ca="1">IFERROR(__xludf.DUMMYFUNCTION("GOOGLEFINANCE(A1543,""CLOSEYEST"")"),14)</f>
        <v>14</v>
      </c>
      <c r="H1543" s="14" t="str">
        <f t="shared" ca="1" si="48"/>
        <v/>
      </c>
      <c r="I1543" s="15">
        <f t="shared" ca="1" si="43"/>
        <v>13.996666666666664</v>
      </c>
      <c r="J1543" s="16">
        <f t="shared" ca="1" si="44"/>
        <v>14.043333333333329</v>
      </c>
      <c r="K1543" s="16"/>
      <c r="L1543" s="16">
        <f t="shared" ca="1" si="45"/>
        <v>13.95333333333333</v>
      </c>
      <c r="M1543" s="16">
        <f t="shared" ca="1" si="46"/>
        <v>14.086666666666664</v>
      </c>
      <c r="N1543" s="16">
        <f t="shared" ca="1" si="47"/>
        <v>13.906666666666665</v>
      </c>
    </row>
    <row r="1544" spans="1:14" ht="24.75" customHeight="1" x14ac:dyDescent="0.8">
      <c r="A1544" s="18" t="s">
        <v>1507</v>
      </c>
      <c r="B1544" s="10">
        <f ca="1">IFERROR(__xludf.DUMMYFUNCTION("GOOGLEFINANCE(A1544,""PRICE"")"),38.9)</f>
        <v>38.9</v>
      </c>
      <c r="C1544" s="11">
        <f ca="1">IFERROR(__xludf.DUMMYFUNCTION("GOOGLEFINANCE(A1544,""PRICEOPEN"")"),37.32)</f>
        <v>37.32</v>
      </c>
      <c r="D1544" s="11">
        <f ca="1">IFERROR(__xludf.DUMMYFUNCTION("GOOGLEFINANCE(A1544,""HIGH"")"),40)</f>
        <v>40</v>
      </c>
      <c r="E1544" s="11">
        <f ca="1">IFERROR(__xludf.DUMMYFUNCTION("GOOGLEFINANCE(A1544,""LOW"")"),37.32)</f>
        <v>37.32</v>
      </c>
      <c r="F1544" s="12" t="str">
        <f t="shared" ca="1" si="42"/>
        <v>BUY</v>
      </c>
      <c r="G1544" s="13">
        <f ca="1">IFERROR(__xludf.DUMMYFUNCTION("GOOGLEFINANCE(A1544,""CLOSEYEST"")"),37.31)</f>
        <v>37.31</v>
      </c>
      <c r="H1544" s="14" t="str">
        <f t="shared" ca="1" si="48"/>
        <v/>
      </c>
      <c r="I1544" s="15">
        <f t="shared" ca="1" si="43"/>
        <v>38.21</v>
      </c>
      <c r="J1544" s="16">
        <f t="shared" ca="1" si="44"/>
        <v>39.1</v>
      </c>
      <c r="K1544" s="16"/>
      <c r="L1544" s="16">
        <f t="shared" ca="1" si="45"/>
        <v>36.42</v>
      </c>
      <c r="M1544" s="16">
        <f t="shared" ca="1" si="46"/>
        <v>40.89</v>
      </c>
      <c r="N1544" s="16">
        <f t="shared" ca="1" si="47"/>
        <v>35.53</v>
      </c>
    </row>
    <row r="1545" spans="1:14" ht="24.75" customHeight="1" x14ac:dyDescent="0.8">
      <c r="A1545" s="18" t="s">
        <v>1508</v>
      </c>
      <c r="B1545" s="10">
        <f ca="1">IFERROR(__xludf.DUMMYFUNCTION("GOOGLEFINANCE(A1545,""PRICE"")"),49.31)</f>
        <v>49.31</v>
      </c>
      <c r="C1545" s="11">
        <f ca="1">IFERROR(__xludf.DUMMYFUNCTION("GOOGLEFINANCE(A1545,""PRICEOPEN"")"),49.48)</f>
        <v>49.48</v>
      </c>
      <c r="D1545" s="11">
        <f ca="1">IFERROR(__xludf.DUMMYFUNCTION("GOOGLEFINANCE(A1545,""HIGH"")"),49.48)</f>
        <v>49.48</v>
      </c>
      <c r="E1545" s="11">
        <f ca="1">IFERROR(__xludf.DUMMYFUNCTION("GOOGLEFINANCE(A1545,""LOW"")"),49.48)</f>
        <v>49.48</v>
      </c>
      <c r="F1545" s="12" t="str">
        <f t="shared" ca="1" si="42"/>
        <v>SELL</v>
      </c>
      <c r="G1545" s="13">
        <f ca="1">IFERROR(__xludf.DUMMYFUNCTION("GOOGLEFINANCE(A1545,""CLOSEYEST"")"),49.31)</f>
        <v>49.31</v>
      </c>
      <c r="H1545" s="14" t="str">
        <f t="shared" ca="1" si="48"/>
        <v/>
      </c>
      <c r="I1545" s="15">
        <f t="shared" ca="1" si="43"/>
        <v>49.423333333333325</v>
      </c>
      <c r="J1545" s="16">
        <f t="shared" ca="1" si="44"/>
        <v>49.366666666666653</v>
      </c>
      <c r="K1545" s="16"/>
      <c r="L1545" s="16">
        <f t="shared" ca="1" si="45"/>
        <v>49.366666666666653</v>
      </c>
      <c r="M1545" s="16">
        <f t="shared" ca="1" si="46"/>
        <v>49.423333333333325</v>
      </c>
      <c r="N1545" s="16">
        <f t="shared" ca="1" si="47"/>
        <v>49.423333333333325</v>
      </c>
    </row>
    <row r="1546" spans="1:14" ht="24.75" customHeight="1" x14ac:dyDescent="0.8">
      <c r="A1546" s="18" t="s">
        <v>1509</v>
      </c>
      <c r="B1546" s="10">
        <f ca="1">IFERROR(__xludf.DUMMYFUNCTION("GOOGLEFINANCE(A1546,""PRICE"")"),70.9)</f>
        <v>70.900000000000006</v>
      </c>
      <c r="C1546" s="11">
        <f ca="1">IFERROR(__xludf.DUMMYFUNCTION("GOOGLEFINANCE(A1546,""PRICEOPEN"")"),70.01)</f>
        <v>70.010000000000005</v>
      </c>
      <c r="D1546" s="11">
        <f ca="1">IFERROR(__xludf.DUMMYFUNCTION("GOOGLEFINANCE(A1546,""HIGH"")"),70.98)</f>
        <v>70.98</v>
      </c>
      <c r="E1546" s="11">
        <f ca="1">IFERROR(__xludf.DUMMYFUNCTION("GOOGLEFINANCE(A1546,""LOW"")"),70)</f>
        <v>70</v>
      </c>
      <c r="F1546" s="12" t="str">
        <f t="shared" ca="1" si="42"/>
        <v/>
      </c>
      <c r="G1546" s="13">
        <f ca="1">IFERROR(__xludf.DUMMYFUNCTION("GOOGLEFINANCE(A1546,""CLOSEYEST"")"),70)</f>
        <v>70</v>
      </c>
      <c r="H1546" s="14" t="str">
        <f t="shared" ca="1" si="48"/>
        <v/>
      </c>
      <c r="I1546" s="15">
        <f t="shared" ca="1" si="43"/>
        <v>70.326666666666668</v>
      </c>
      <c r="J1546" s="16">
        <f t="shared" ca="1" si="44"/>
        <v>70.653333333333336</v>
      </c>
      <c r="K1546" s="16"/>
      <c r="L1546" s="16">
        <f t="shared" ca="1" si="45"/>
        <v>69.673333333333332</v>
      </c>
      <c r="M1546" s="16">
        <f t="shared" ca="1" si="46"/>
        <v>71.306666666666672</v>
      </c>
      <c r="N1546" s="16">
        <f t="shared" ca="1" si="47"/>
        <v>69.346666666666664</v>
      </c>
    </row>
    <row r="1547" spans="1:14" ht="24.75" customHeight="1" x14ac:dyDescent="0.8">
      <c r="A1547" s="18" t="s">
        <v>1510</v>
      </c>
      <c r="B1547" s="10">
        <f ca="1">IFERROR(__xludf.DUMMYFUNCTION("GOOGLEFINANCE(A1547,""PRICE"")"),136.5)</f>
        <v>136.5</v>
      </c>
      <c r="C1547" s="11">
        <f ca="1">IFERROR(__xludf.DUMMYFUNCTION("GOOGLEFINANCE(A1547,""PRICEOPEN"")"),131.45)</f>
        <v>131.44999999999999</v>
      </c>
      <c r="D1547" s="11">
        <f ca="1">IFERROR(__xludf.DUMMYFUNCTION("GOOGLEFINANCE(A1547,""HIGH"")"),138.8)</f>
        <v>138.80000000000001</v>
      </c>
      <c r="E1547" s="11">
        <f ca="1">IFERROR(__xludf.DUMMYFUNCTION("GOOGLEFINANCE(A1547,""LOW"")"),131.45)</f>
        <v>131.44999999999999</v>
      </c>
      <c r="F1547" s="12" t="str">
        <f t="shared" ca="1" si="42"/>
        <v>BUY</v>
      </c>
      <c r="G1547" s="13">
        <f ca="1">IFERROR(__xludf.DUMMYFUNCTION("GOOGLEFINANCE(A1547,""CLOSEYEST"")"),132.23)</f>
        <v>132.22999999999999</v>
      </c>
      <c r="H1547" s="14" t="str">
        <f t="shared" ca="1" si="48"/>
        <v/>
      </c>
      <c r="I1547" s="15">
        <f t="shared" ca="1" si="43"/>
        <v>134.16</v>
      </c>
      <c r="J1547" s="16">
        <f t="shared" ca="1" si="44"/>
        <v>136.87</v>
      </c>
      <c r="K1547" s="16"/>
      <c r="L1547" s="16">
        <f t="shared" ca="1" si="45"/>
        <v>129.51999999999998</v>
      </c>
      <c r="M1547" s="16">
        <f t="shared" ca="1" si="46"/>
        <v>141.51000000000002</v>
      </c>
      <c r="N1547" s="16">
        <f t="shared" ca="1" si="47"/>
        <v>126.80999999999997</v>
      </c>
    </row>
    <row r="1548" spans="1:14" ht="24.75" customHeight="1" x14ac:dyDescent="0.8">
      <c r="A1548" s="18" t="s">
        <v>1511</v>
      </c>
      <c r="B1548" s="10" t="str">
        <f ca="1">IFERROR(__xludf.DUMMYFUNCTION("GOOGLEFINANCE(A1548,""PRICE"")"),"#N/A")</f>
        <v>#N/A</v>
      </c>
      <c r="C1548" s="11" t="str">
        <f ca="1">IFERROR(__xludf.DUMMYFUNCTION("GOOGLEFINANCE(A1548,""PRICEOPEN"")"),"#N/A")</f>
        <v>#N/A</v>
      </c>
      <c r="D1548" s="11" t="str">
        <f ca="1">IFERROR(__xludf.DUMMYFUNCTION("GOOGLEFINANCE(A1548,""HIGH"")"),"#N/A")</f>
        <v>#N/A</v>
      </c>
      <c r="E1548" s="11" t="str">
        <f ca="1">IFERROR(__xludf.DUMMYFUNCTION("GOOGLEFINANCE(A1548,""LOW"")"),"#N/A")</f>
        <v>#N/A</v>
      </c>
      <c r="F1548" s="12" t="str">
        <f t="shared" ca="1" si="42"/>
        <v>SELL</v>
      </c>
      <c r="G1548" s="13" t="str">
        <f ca="1">IFERROR(__xludf.DUMMYFUNCTION("GOOGLEFINANCE(A1548,""CLOSEYEST"")"),"#N/A")</f>
        <v>#N/A</v>
      </c>
      <c r="H1548" s="14" t="e">
        <f t="shared" ca="1" si="48"/>
        <v>#VALUE!</v>
      </c>
      <c r="I1548" s="15" t="e">
        <f t="shared" ca="1" si="43"/>
        <v>#VALUE!</v>
      </c>
      <c r="J1548" s="16" t="e">
        <f t="shared" ca="1" si="44"/>
        <v>#VALUE!</v>
      </c>
      <c r="K1548" s="16"/>
      <c r="L1548" s="16" t="e">
        <f t="shared" ca="1" si="45"/>
        <v>#VALUE!</v>
      </c>
      <c r="M1548" s="16" t="e">
        <f t="shared" ca="1" si="46"/>
        <v>#VALUE!</v>
      </c>
      <c r="N1548" s="16" t="e">
        <f t="shared" ca="1" si="47"/>
        <v>#VALUE!</v>
      </c>
    </row>
    <row r="1549" spans="1:14" ht="24.75" customHeight="1" x14ac:dyDescent="0.8">
      <c r="A1549" s="18" t="s">
        <v>1512</v>
      </c>
      <c r="B1549" s="10">
        <f ca="1">IFERROR(__xludf.DUMMYFUNCTION("GOOGLEFINANCE(A1549,""PRICE"")"),50.6)</f>
        <v>50.6</v>
      </c>
      <c r="C1549" s="11">
        <f ca="1">IFERROR(__xludf.DUMMYFUNCTION("GOOGLEFINANCE(A1549,""PRICEOPEN"")"),49.06)</f>
        <v>49.06</v>
      </c>
      <c r="D1549" s="11">
        <f ca="1">IFERROR(__xludf.DUMMYFUNCTION("GOOGLEFINANCE(A1549,""HIGH"")"),51.5)</f>
        <v>51.5</v>
      </c>
      <c r="E1549" s="11">
        <f ca="1">IFERROR(__xludf.DUMMYFUNCTION("GOOGLEFINANCE(A1549,""LOW"")"),49.06)</f>
        <v>49.06</v>
      </c>
      <c r="F1549" s="12" t="str">
        <f t="shared" ca="1" si="42"/>
        <v>BUY</v>
      </c>
      <c r="G1549" s="13">
        <f ca="1">IFERROR(__xludf.DUMMYFUNCTION("GOOGLEFINANCE(A1549,""CLOSEYEST"")"),49.65)</f>
        <v>49.65</v>
      </c>
      <c r="H1549" s="14" t="str">
        <f t="shared" ca="1" si="48"/>
        <v>GAP DOWN</v>
      </c>
      <c r="I1549" s="15">
        <f t="shared" ca="1" si="43"/>
        <v>50.07</v>
      </c>
      <c r="J1549" s="16">
        <f t="shared" ca="1" si="44"/>
        <v>51.08</v>
      </c>
      <c r="K1549" s="16"/>
      <c r="L1549" s="16">
        <f t="shared" ca="1" si="45"/>
        <v>48.64</v>
      </c>
      <c r="M1549" s="16">
        <f t="shared" ca="1" si="46"/>
        <v>52.51</v>
      </c>
      <c r="N1549" s="16">
        <f t="shared" ca="1" si="47"/>
        <v>47.63</v>
      </c>
    </row>
    <row r="1550" spans="1:14" ht="24.75" customHeight="1" x14ac:dyDescent="0.8">
      <c r="A1550" s="18" t="s">
        <v>1513</v>
      </c>
      <c r="B1550" s="10">
        <f ca="1">IFERROR(__xludf.DUMMYFUNCTION("GOOGLEFINANCE(A1550,""PRICE"")"),1098.7)</f>
        <v>1098.7</v>
      </c>
      <c r="C1550" s="11">
        <f ca="1">IFERROR(__xludf.DUMMYFUNCTION("GOOGLEFINANCE(A1550,""PRICEOPEN"")"),1098.7)</f>
        <v>1098.7</v>
      </c>
      <c r="D1550" s="11">
        <f ca="1">IFERROR(__xludf.DUMMYFUNCTION("GOOGLEFINANCE(A1550,""HIGH"")"),1098.7)</f>
        <v>1098.7</v>
      </c>
      <c r="E1550" s="11">
        <f ca="1">IFERROR(__xludf.DUMMYFUNCTION("GOOGLEFINANCE(A1550,""LOW"")"),1098.7)</f>
        <v>1098.7</v>
      </c>
      <c r="F1550" s="12" t="str">
        <f t="shared" ca="1" si="42"/>
        <v>SELL</v>
      </c>
      <c r="G1550" s="13">
        <f ca="1">IFERROR(__xludf.DUMMYFUNCTION("GOOGLEFINANCE(A1550,""CLOSEYEST"")"),1156.5)</f>
        <v>1156.5</v>
      </c>
      <c r="H1550" s="14" t="str">
        <f t="shared" ca="1" si="48"/>
        <v>GAP DOWN</v>
      </c>
      <c r="I1550" s="15">
        <f t="shared" ca="1" si="43"/>
        <v>1117.9666666666667</v>
      </c>
      <c r="J1550" s="16">
        <f t="shared" ca="1" si="44"/>
        <v>1137.2333333333333</v>
      </c>
      <c r="K1550" s="16"/>
      <c r="L1550" s="16">
        <f t="shared" ca="1" si="45"/>
        <v>1137.2333333333333</v>
      </c>
      <c r="M1550" s="16">
        <f t="shared" ca="1" si="46"/>
        <v>1117.9666666666667</v>
      </c>
      <c r="N1550" s="16">
        <f t="shared" ca="1" si="47"/>
        <v>1117.9666666666667</v>
      </c>
    </row>
    <row r="1551" spans="1:14" ht="24.75" customHeight="1" x14ac:dyDescent="0.8">
      <c r="A1551" s="18" t="s">
        <v>1514</v>
      </c>
      <c r="B1551" s="10">
        <f ca="1">IFERROR(__xludf.DUMMYFUNCTION("GOOGLEFINANCE(A1551,""PRICE"")"),1.72)</f>
        <v>1.72</v>
      </c>
      <c r="C1551" s="11">
        <f ca="1">IFERROR(__xludf.DUMMYFUNCTION("GOOGLEFINANCE(A1551,""PRICEOPEN"")"),1.72)</f>
        <v>1.72</v>
      </c>
      <c r="D1551" s="11">
        <f ca="1">IFERROR(__xludf.DUMMYFUNCTION("GOOGLEFINANCE(A1551,""HIGH"")"),1.72)</f>
        <v>1.72</v>
      </c>
      <c r="E1551" s="11">
        <f ca="1">IFERROR(__xludf.DUMMYFUNCTION("GOOGLEFINANCE(A1551,""LOW"")"),1.72)</f>
        <v>1.72</v>
      </c>
      <c r="F1551" s="12" t="str">
        <f t="shared" ca="1" si="42"/>
        <v>SELL</v>
      </c>
      <c r="G1551" s="13">
        <f ca="1">IFERROR(__xludf.DUMMYFUNCTION("GOOGLEFINANCE(A1551,""CLOSEYEST"")"),1.69)</f>
        <v>1.69</v>
      </c>
      <c r="H1551" s="14" t="str">
        <f t="shared" ca="1" si="48"/>
        <v>GAP UP</v>
      </c>
      <c r="I1551" s="15">
        <f t="shared" ca="1" si="43"/>
        <v>1.71</v>
      </c>
      <c r="J1551" s="16">
        <f t="shared" ca="1" si="44"/>
        <v>1.7</v>
      </c>
      <c r="K1551" s="16"/>
      <c r="L1551" s="16">
        <f t="shared" ca="1" si="45"/>
        <v>1.7</v>
      </c>
      <c r="M1551" s="16">
        <f t="shared" ca="1" si="46"/>
        <v>1.71</v>
      </c>
      <c r="N1551" s="16">
        <f t="shared" ca="1" si="47"/>
        <v>1.71</v>
      </c>
    </row>
    <row r="1552" spans="1:14" ht="24.75" customHeight="1" x14ac:dyDescent="0.8">
      <c r="A1552" s="18" t="s">
        <v>1515</v>
      </c>
      <c r="B1552" s="10">
        <f ca="1">IFERROR(__xludf.DUMMYFUNCTION("GOOGLEFINANCE(A1552,""PRICE"")"),1.94)</f>
        <v>1.94</v>
      </c>
      <c r="C1552" s="11">
        <f ca="1">IFERROR(__xludf.DUMMYFUNCTION("GOOGLEFINANCE(A1552,""PRICEOPEN"")"),1.96)</f>
        <v>1.96</v>
      </c>
      <c r="D1552" s="11">
        <f ca="1">IFERROR(__xludf.DUMMYFUNCTION("GOOGLEFINANCE(A1552,""HIGH"")"),1.96)</f>
        <v>1.96</v>
      </c>
      <c r="E1552" s="11">
        <f ca="1">IFERROR(__xludf.DUMMYFUNCTION("GOOGLEFINANCE(A1552,""LOW"")"),1.9)</f>
        <v>1.9</v>
      </c>
      <c r="F1552" s="12" t="str">
        <f t="shared" ca="1" si="42"/>
        <v>SELL</v>
      </c>
      <c r="G1552" s="13">
        <f ca="1">IFERROR(__xludf.DUMMYFUNCTION("GOOGLEFINANCE(A1552,""CLOSEYEST"")"),1.91)</f>
        <v>1.91</v>
      </c>
      <c r="H1552" s="14" t="str">
        <f t="shared" ca="1" si="48"/>
        <v>GAP UP</v>
      </c>
      <c r="I1552" s="15">
        <f t="shared" ca="1" si="43"/>
        <v>1.9233333333333331</v>
      </c>
      <c r="J1552" s="16">
        <f t="shared" ca="1" si="44"/>
        <v>1.9466666666666663</v>
      </c>
      <c r="K1552" s="16"/>
      <c r="L1552" s="16">
        <f t="shared" ca="1" si="45"/>
        <v>1.8866666666666663</v>
      </c>
      <c r="M1552" s="16">
        <f t="shared" ca="1" si="46"/>
        <v>1.9833333333333332</v>
      </c>
      <c r="N1552" s="16">
        <f t="shared" ca="1" si="47"/>
        <v>1.8633333333333331</v>
      </c>
    </row>
    <row r="1553" spans="1:14" ht="24.75" customHeight="1" x14ac:dyDescent="0.8">
      <c r="A1553" s="18" t="s">
        <v>1516</v>
      </c>
      <c r="B1553" s="10" t="str">
        <f ca="1">IFERROR(__xludf.DUMMYFUNCTION("GOOGLEFINANCE(A1553,""PRICE"")"),"#N/A")</f>
        <v>#N/A</v>
      </c>
      <c r="C1553" s="11" t="str">
        <f ca="1">IFERROR(__xludf.DUMMYFUNCTION("GOOGLEFINANCE(A1553,""PRICEOPEN"")"),"#N/A")</f>
        <v>#N/A</v>
      </c>
      <c r="D1553" s="11" t="str">
        <f ca="1">IFERROR(__xludf.DUMMYFUNCTION("GOOGLEFINANCE(A1553,""HIGH"")"),"#N/A")</f>
        <v>#N/A</v>
      </c>
      <c r="E1553" s="11" t="str">
        <f ca="1">IFERROR(__xludf.DUMMYFUNCTION("GOOGLEFINANCE(A1553,""LOW"")"),"#N/A")</f>
        <v>#N/A</v>
      </c>
      <c r="F1553" s="12" t="str">
        <f t="shared" ca="1" si="42"/>
        <v>SELL</v>
      </c>
      <c r="G1553" s="13" t="str">
        <f ca="1">IFERROR(__xludf.DUMMYFUNCTION("GOOGLEFINANCE(A1553,""CLOSEYEST"")"),"#N/A")</f>
        <v>#N/A</v>
      </c>
      <c r="H1553" s="14" t="e">
        <f t="shared" ca="1" si="48"/>
        <v>#VALUE!</v>
      </c>
      <c r="I1553" s="15" t="e">
        <f t="shared" ca="1" si="43"/>
        <v>#VALUE!</v>
      </c>
      <c r="J1553" s="16" t="e">
        <f t="shared" ca="1" si="44"/>
        <v>#VALUE!</v>
      </c>
      <c r="K1553" s="16"/>
      <c r="L1553" s="16" t="e">
        <f t="shared" ca="1" si="45"/>
        <v>#VALUE!</v>
      </c>
      <c r="M1553" s="16" t="e">
        <f t="shared" ca="1" si="46"/>
        <v>#VALUE!</v>
      </c>
      <c r="N1553" s="16" t="e">
        <f t="shared" ca="1" si="47"/>
        <v>#VALUE!</v>
      </c>
    </row>
    <row r="1554" spans="1:14" ht="24.75" customHeight="1" x14ac:dyDescent="0.8">
      <c r="A1554" s="18" t="s">
        <v>1517</v>
      </c>
      <c r="B1554" s="10">
        <f ca="1">IFERROR(__xludf.DUMMYFUNCTION("GOOGLEFINANCE(A1554,""PRICE"")"),7.09)</f>
        <v>7.09</v>
      </c>
      <c r="C1554" s="11">
        <f ca="1">IFERROR(__xludf.DUMMYFUNCTION("GOOGLEFINANCE(A1554,""PRICEOPEN"")"),7.14)</f>
        <v>7.14</v>
      </c>
      <c r="D1554" s="11">
        <f ca="1">IFERROR(__xludf.DUMMYFUNCTION("GOOGLEFINANCE(A1554,""HIGH"")"),7.14)</f>
        <v>7.14</v>
      </c>
      <c r="E1554" s="11">
        <f ca="1">IFERROR(__xludf.DUMMYFUNCTION("GOOGLEFINANCE(A1554,""LOW"")"),6.93)</f>
        <v>6.93</v>
      </c>
      <c r="F1554" s="12" t="str">
        <f t="shared" ref="F1554:F1592" ca="1" si="49">IF(C1554=D1554,"SELL",IF(C1554=E1554,"BUY", ""))</f>
        <v>SELL</v>
      </c>
      <c r="G1554" s="13">
        <f ca="1">IFERROR(__xludf.DUMMYFUNCTION("GOOGLEFINANCE(A1554,""CLOSEYEST"")"),7.02)</f>
        <v>7.02</v>
      </c>
      <c r="H1554" s="14" t="str">
        <f t="shared" ca="1" si="48"/>
        <v>GAP UP</v>
      </c>
      <c r="I1554" s="15">
        <f t="shared" ref="I1554:I1592" ca="1" si="50">(D1554+E1554+G1554)/3</f>
        <v>7.03</v>
      </c>
      <c r="J1554" s="16">
        <f t="shared" ref="J1554:J1592" ca="1" si="51">(I1554*2)-E1554</f>
        <v>7.1300000000000008</v>
      </c>
      <c r="K1554" s="16"/>
      <c r="L1554" s="16">
        <f t="shared" ref="L1554:L1592" ca="1" si="52">(I1554*2)-D1554</f>
        <v>6.9200000000000008</v>
      </c>
      <c r="M1554" s="16">
        <f t="shared" ref="M1554:M1592" ca="1" si="53">I1554+(J1554-L1554)</f>
        <v>7.24</v>
      </c>
      <c r="N1554" s="16">
        <f t="shared" ref="N1554:N1592" ca="1" si="54">I1554-(J1554-L1554)</f>
        <v>6.82</v>
      </c>
    </row>
    <row r="1555" spans="1:14" ht="24.75" customHeight="1" x14ac:dyDescent="0.8">
      <c r="A1555" s="18" t="s">
        <v>1518</v>
      </c>
      <c r="B1555" s="10">
        <f ca="1">IFERROR(__xludf.DUMMYFUNCTION("GOOGLEFINANCE(A1555,""PRICE"")"),59.53)</f>
        <v>59.53</v>
      </c>
      <c r="C1555" s="11">
        <f ca="1">IFERROR(__xludf.DUMMYFUNCTION("GOOGLEFINANCE(A1555,""PRICEOPEN"")"),59.68)</f>
        <v>59.68</v>
      </c>
      <c r="D1555" s="11">
        <f ca="1">IFERROR(__xludf.DUMMYFUNCTION("GOOGLEFINANCE(A1555,""HIGH"")"),62.2)</f>
        <v>62.2</v>
      </c>
      <c r="E1555" s="11">
        <f ca="1">IFERROR(__xludf.DUMMYFUNCTION("GOOGLEFINANCE(A1555,""LOW"")"),59)</f>
        <v>59</v>
      </c>
      <c r="F1555" s="12" t="str">
        <f t="shared" ca="1" si="49"/>
        <v/>
      </c>
      <c r="G1555" s="13">
        <f ca="1">IFERROR(__xludf.DUMMYFUNCTION("GOOGLEFINANCE(A1555,""CLOSEYEST"")"),59.7)</f>
        <v>59.7</v>
      </c>
      <c r="H1555" s="14" t="str">
        <f t="shared" ca="1" si="48"/>
        <v/>
      </c>
      <c r="I1555" s="15">
        <f t="shared" ca="1" si="50"/>
        <v>60.300000000000004</v>
      </c>
      <c r="J1555" s="16">
        <f t="shared" ca="1" si="51"/>
        <v>61.600000000000009</v>
      </c>
      <c r="K1555" s="16"/>
      <c r="L1555" s="16">
        <f t="shared" ca="1" si="52"/>
        <v>58.400000000000006</v>
      </c>
      <c r="M1555" s="16">
        <f t="shared" ca="1" si="53"/>
        <v>63.500000000000007</v>
      </c>
      <c r="N1555" s="16">
        <f t="shared" ca="1" si="54"/>
        <v>57.1</v>
      </c>
    </row>
    <row r="1556" spans="1:14" ht="24.75" customHeight="1" x14ac:dyDescent="0.8">
      <c r="A1556" s="18" t="s">
        <v>1519</v>
      </c>
      <c r="B1556" s="10">
        <f ca="1">IFERROR(__xludf.DUMMYFUNCTION("GOOGLEFINANCE(A1556,""PRICE"")"),67.85)</f>
        <v>67.849999999999994</v>
      </c>
      <c r="C1556" s="11">
        <f ca="1">IFERROR(__xludf.DUMMYFUNCTION("GOOGLEFINANCE(A1556,""PRICEOPEN"")"),67.14)</f>
        <v>67.14</v>
      </c>
      <c r="D1556" s="11">
        <f ca="1">IFERROR(__xludf.DUMMYFUNCTION("GOOGLEFINANCE(A1556,""HIGH"")"),67.85)</f>
        <v>67.849999999999994</v>
      </c>
      <c r="E1556" s="11">
        <f ca="1">IFERROR(__xludf.DUMMYFUNCTION("GOOGLEFINANCE(A1556,""LOW"")"),65.41)</f>
        <v>65.41</v>
      </c>
      <c r="F1556" s="12" t="str">
        <f t="shared" ca="1" si="49"/>
        <v/>
      </c>
      <c r="G1556" s="13">
        <f ca="1">IFERROR(__xludf.DUMMYFUNCTION("GOOGLEFINANCE(A1556,""CLOSEYEST"")"),65.25)</f>
        <v>65.25</v>
      </c>
      <c r="H1556" s="14" t="str">
        <f t="shared" ref="H1556:H1592" ca="1" si="55">IF(C1556&gt;=(G1556+(G1556*1%)),"GAP UP",IF(C1556&lt;=(G1556-(G1556*1%)),"GAP DOWN",""))</f>
        <v>GAP UP</v>
      </c>
      <c r="I1556" s="15">
        <f t="shared" ca="1" si="50"/>
        <v>66.17</v>
      </c>
      <c r="J1556" s="16">
        <f t="shared" ca="1" si="51"/>
        <v>66.930000000000007</v>
      </c>
      <c r="K1556" s="16"/>
      <c r="L1556" s="16">
        <f t="shared" ca="1" si="52"/>
        <v>64.490000000000009</v>
      </c>
      <c r="M1556" s="16">
        <f t="shared" ca="1" si="53"/>
        <v>68.61</v>
      </c>
      <c r="N1556" s="16">
        <f t="shared" ca="1" si="54"/>
        <v>63.730000000000004</v>
      </c>
    </row>
    <row r="1557" spans="1:14" ht="24.75" customHeight="1" x14ac:dyDescent="0.8">
      <c r="A1557" s="18" t="s">
        <v>1520</v>
      </c>
      <c r="B1557" s="10">
        <f ca="1">IFERROR(__xludf.DUMMYFUNCTION("GOOGLEFINANCE(A1557,""PRICE"")"),109.4)</f>
        <v>109.4</v>
      </c>
      <c r="C1557" s="11">
        <f ca="1">IFERROR(__xludf.DUMMYFUNCTION("GOOGLEFINANCE(A1557,""PRICEOPEN"")"),110.21)</f>
        <v>110.21</v>
      </c>
      <c r="D1557" s="11">
        <f ca="1">IFERROR(__xludf.DUMMYFUNCTION("GOOGLEFINANCE(A1557,""HIGH"")"),110.21)</f>
        <v>110.21</v>
      </c>
      <c r="E1557" s="11">
        <f ca="1">IFERROR(__xludf.DUMMYFUNCTION("GOOGLEFINANCE(A1557,""LOW"")"),107.04)</f>
        <v>107.04</v>
      </c>
      <c r="F1557" s="12" t="str">
        <f t="shared" ca="1" si="49"/>
        <v>SELL</v>
      </c>
      <c r="G1557" s="13">
        <f ca="1">IFERROR(__xludf.DUMMYFUNCTION("GOOGLEFINANCE(A1557,""CLOSEYEST"")"),109.12)</f>
        <v>109.12</v>
      </c>
      <c r="H1557" s="14" t="str">
        <f t="shared" ca="1" si="55"/>
        <v/>
      </c>
      <c r="I1557" s="15">
        <f t="shared" ca="1" si="50"/>
        <v>108.79</v>
      </c>
      <c r="J1557" s="16">
        <f t="shared" ca="1" si="51"/>
        <v>110.54</v>
      </c>
      <c r="K1557" s="16"/>
      <c r="L1557" s="16">
        <f t="shared" ca="1" si="52"/>
        <v>107.37000000000002</v>
      </c>
      <c r="M1557" s="16">
        <f t="shared" ca="1" si="53"/>
        <v>111.96</v>
      </c>
      <c r="N1557" s="16">
        <f t="shared" ca="1" si="54"/>
        <v>105.62000000000002</v>
      </c>
    </row>
    <row r="1558" spans="1:14" ht="24.75" customHeight="1" x14ac:dyDescent="0.8">
      <c r="A1558" s="18" t="s">
        <v>1521</v>
      </c>
      <c r="B1558" s="10">
        <f ca="1">IFERROR(__xludf.DUMMYFUNCTION("GOOGLEFINANCE(A1558,""PRICE"")"),265.25)</f>
        <v>265.25</v>
      </c>
      <c r="C1558" s="11">
        <f ca="1">IFERROR(__xludf.DUMMYFUNCTION("GOOGLEFINANCE(A1558,""PRICEOPEN"")"),263.85)</f>
        <v>263.85000000000002</v>
      </c>
      <c r="D1558" s="11">
        <f ca="1">IFERROR(__xludf.DUMMYFUNCTION("GOOGLEFINANCE(A1558,""HIGH"")"),267.9)</f>
        <v>267.89999999999998</v>
      </c>
      <c r="E1558" s="11">
        <f ca="1">IFERROR(__xludf.DUMMYFUNCTION("GOOGLEFINANCE(A1558,""LOW"")"),263.8)</f>
        <v>263.8</v>
      </c>
      <c r="F1558" s="12" t="str">
        <f t="shared" ca="1" si="49"/>
        <v/>
      </c>
      <c r="G1558" s="13">
        <f ca="1">IFERROR(__xludf.DUMMYFUNCTION("GOOGLEFINANCE(A1558,""CLOSEYEST"")"),263.75)</f>
        <v>263.75</v>
      </c>
      <c r="H1558" s="14" t="str">
        <f t="shared" ca="1" si="55"/>
        <v/>
      </c>
      <c r="I1558" s="15">
        <f t="shared" ca="1" si="50"/>
        <v>265.15000000000003</v>
      </c>
      <c r="J1558" s="16">
        <f t="shared" ca="1" si="51"/>
        <v>266.50000000000006</v>
      </c>
      <c r="K1558" s="16"/>
      <c r="L1558" s="16">
        <f t="shared" ca="1" si="52"/>
        <v>262.40000000000009</v>
      </c>
      <c r="M1558" s="16">
        <f t="shared" ca="1" si="53"/>
        <v>269.25</v>
      </c>
      <c r="N1558" s="16">
        <f t="shared" ca="1" si="54"/>
        <v>261.05000000000007</v>
      </c>
    </row>
    <row r="1559" spans="1:14" ht="24.75" customHeight="1" x14ac:dyDescent="0.8">
      <c r="A1559" s="18" t="s">
        <v>1522</v>
      </c>
      <c r="B1559" s="10">
        <f ca="1">IFERROR(__xludf.DUMMYFUNCTION("GOOGLEFINANCE(A1559,""PRICE"")"),457)</f>
        <v>457</v>
      </c>
      <c r="C1559" s="11">
        <f ca="1">IFERROR(__xludf.DUMMYFUNCTION("GOOGLEFINANCE(A1559,""PRICEOPEN"")"),454)</f>
        <v>454</v>
      </c>
      <c r="D1559" s="11">
        <f ca="1">IFERROR(__xludf.DUMMYFUNCTION("GOOGLEFINANCE(A1559,""HIGH"")"),468)</f>
        <v>468</v>
      </c>
      <c r="E1559" s="11">
        <f ca="1">IFERROR(__xludf.DUMMYFUNCTION("GOOGLEFINANCE(A1559,""LOW"")"),446)</f>
        <v>446</v>
      </c>
      <c r="F1559" s="12" t="str">
        <f t="shared" ca="1" si="49"/>
        <v/>
      </c>
      <c r="G1559" s="13">
        <f ca="1">IFERROR(__xludf.DUMMYFUNCTION("GOOGLEFINANCE(A1559,""CLOSEYEST"")"),454)</f>
        <v>454</v>
      </c>
      <c r="H1559" s="14" t="str">
        <f t="shared" ca="1" si="55"/>
        <v/>
      </c>
      <c r="I1559" s="15">
        <f t="shared" ca="1" si="50"/>
        <v>456</v>
      </c>
      <c r="J1559" s="16">
        <f t="shared" ca="1" si="51"/>
        <v>466</v>
      </c>
      <c r="K1559" s="16"/>
      <c r="L1559" s="16">
        <f t="shared" ca="1" si="52"/>
        <v>444</v>
      </c>
      <c r="M1559" s="16">
        <f t="shared" ca="1" si="53"/>
        <v>478</v>
      </c>
      <c r="N1559" s="16">
        <f t="shared" ca="1" si="54"/>
        <v>434</v>
      </c>
    </row>
    <row r="1560" spans="1:14" ht="24.75" customHeight="1" x14ac:dyDescent="0.8">
      <c r="A1560" s="18" t="s">
        <v>1523</v>
      </c>
      <c r="B1560" s="10" t="str">
        <f ca="1">IFERROR(__xludf.DUMMYFUNCTION("GOOGLEFINANCE(A1560,""PRICE"")"),"#N/A")</f>
        <v>#N/A</v>
      </c>
      <c r="C1560" s="11" t="str">
        <f ca="1">IFERROR(__xludf.DUMMYFUNCTION("GOOGLEFINANCE(A1560,""PRICEOPEN"")"),"#N/A")</f>
        <v>#N/A</v>
      </c>
      <c r="D1560" s="11" t="str">
        <f ca="1">IFERROR(__xludf.DUMMYFUNCTION("GOOGLEFINANCE(A1560,""HIGH"")"),"#N/A")</f>
        <v>#N/A</v>
      </c>
      <c r="E1560" s="11" t="str">
        <f ca="1">IFERROR(__xludf.DUMMYFUNCTION("GOOGLEFINANCE(A1560,""LOW"")"),"#N/A")</f>
        <v>#N/A</v>
      </c>
      <c r="F1560" s="12" t="str">
        <f t="shared" ca="1" si="49"/>
        <v>SELL</v>
      </c>
      <c r="G1560" s="13" t="str">
        <f ca="1">IFERROR(__xludf.DUMMYFUNCTION("GOOGLEFINANCE(A1560,""CLOSEYEST"")"),"#N/A")</f>
        <v>#N/A</v>
      </c>
      <c r="H1560" s="14" t="e">
        <f t="shared" ca="1" si="55"/>
        <v>#VALUE!</v>
      </c>
      <c r="I1560" s="15" t="e">
        <f t="shared" ca="1" si="50"/>
        <v>#VALUE!</v>
      </c>
      <c r="J1560" s="16" t="e">
        <f t="shared" ca="1" si="51"/>
        <v>#VALUE!</v>
      </c>
      <c r="K1560" s="16"/>
      <c r="L1560" s="16" t="e">
        <f t="shared" ca="1" si="52"/>
        <v>#VALUE!</v>
      </c>
      <c r="M1560" s="16" t="e">
        <f t="shared" ca="1" si="53"/>
        <v>#VALUE!</v>
      </c>
      <c r="N1560" s="16" t="e">
        <f t="shared" ca="1" si="54"/>
        <v>#VALUE!</v>
      </c>
    </row>
    <row r="1561" spans="1:14" ht="24.75" customHeight="1" x14ac:dyDescent="0.8">
      <c r="A1561" s="18" t="s">
        <v>1524</v>
      </c>
      <c r="B1561" s="10" t="str">
        <f ca="1">IFERROR(__xludf.DUMMYFUNCTION("GOOGLEFINANCE(A1561,""PRICE"")"),"#N/A")</f>
        <v>#N/A</v>
      </c>
      <c r="C1561" s="11" t="str">
        <f ca="1">IFERROR(__xludf.DUMMYFUNCTION("GOOGLEFINANCE(A1561,""PRICEOPEN"")"),"#N/A")</f>
        <v>#N/A</v>
      </c>
      <c r="D1561" s="11" t="str">
        <f ca="1">IFERROR(__xludf.DUMMYFUNCTION("GOOGLEFINANCE(A1561,""HIGH"")"),"#N/A")</f>
        <v>#N/A</v>
      </c>
      <c r="E1561" s="11" t="str">
        <f ca="1">IFERROR(__xludf.DUMMYFUNCTION("GOOGLEFINANCE(A1561,""LOW"")"),"#N/A")</f>
        <v>#N/A</v>
      </c>
      <c r="F1561" s="12" t="str">
        <f t="shared" ca="1" si="49"/>
        <v>SELL</v>
      </c>
      <c r="G1561" s="13" t="str">
        <f ca="1">IFERROR(__xludf.DUMMYFUNCTION("GOOGLEFINANCE(A1561,""CLOSEYEST"")"),"#N/A")</f>
        <v>#N/A</v>
      </c>
      <c r="H1561" s="14" t="e">
        <f t="shared" ca="1" si="55"/>
        <v>#VALUE!</v>
      </c>
      <c r="I1561" s="15" t="e">
        <f t="shared" ca="1" si="50"/>
        <v>#VALUE!</v>
      </c>
      <c r="J1561" s="16" t="e">
        <f t="shared" ca="1" si="51"/>
        <v>#VALUE!</v>
      </c>
      <c r="K1561" s="16"/>
      <c r="L1561" s="16" t="e">
        <f t="shared" ca="1" si="52"/>
        <v>#VALUE!</v>
      </c>
      <c r="M1561" s="16" t="e">
        <f t="shared" ca="1" si="53"/>
        <v>#VALUE!</v>
      </c>
      <c r="N1561" s="16" t="e">
        <f t="shared" ca="1" si="54"/>
        <v>#VALUE!</v>
      </c>
    </row>
    <row r="1562" spans="1:14" ht="24.75" customHeight="1" x14ac:dyDescent="0.8">
      <c r="A1562" s="18" t="s">
        <v>1525</v>
      </c>
      <c r="B1562" s="10">
        <f ca="1">IFERROR(__xludf.DUMMYFUNCTION("GOOGLEFINANCE(A1562,""PRICE"")"),14.5)</f>
        <v>14.5</v>
      </c>
      <c r="C1562" s="11">
        <f ca="1">IFERROR(__xludf.DUMMYFUNCTION("GOOGLEFINANCE(A1562,""PRICEOPEN"")"),14.58)</f>
        <v>14.58</v>
      </c>
      <c r="D1562" s="11">
        <f ca="1">IFERROR(__xludf.DUMMYFUNCTION("GOOGLEFINANCE(A1562,""HIGH"")"),14.77)</f>
        <v>14.77</v>
      </c>
      <c r="E1562" s="11">
        <f ca="1">IFERROR(__xludf.DUMMYFUNCTION("GOOGLEFINANCE(A1562,""LOW"")"),14.23)</f>
        <v>14.23</v>
      </c>
      <c r="F1562" s="12" t="str">
        <f t="shared" ca="1" si="49"/>
        <v/>
      </c>
      <c r="G1562" s="13">
        <f ca="1">IFERROR(__xludf.DUMMYFUNCTION("GOOGLEFINANCE(A1562,""CLOSEYEST"")"),14.45)</f>
        <v>14.45</v>
      </c>
      <c r="H1562" s="14" t="str">
        <f t="shared" ca="1" si="55"/>
        <v/>
      </c>
      <c r="I1562" s="15">
        <f t="shared" ca="1" si="50"/>
        <v>14.483333333333334</v>
      </c>
      <c r="J1562" s="16">
        <f t="shared" ca="1" si="51"/>
        <v>14.736666666666668</v>
      </c>
      <c r="K1562" s="16"/>
      <c r="L1562" s="16">
        <f t="shared" ca="1" si="52"/>
        <v>14.196666666666669</v>
      </c>
      <c r="M1562" s="16">
        <f t="shared" ca="1" si="53"/>
        <v>15.023333333333333</v>
      </c>
      <c r="N1562" s="16">
        <f t="shared" ca="1" si="54"/>
        <v>13.943333333333335</v>
      </c>
    </row>
    <row r="1563" spans="1:14" ht="24.75" customHeight="1" x14ac:dyDescent="0.8">
      <c r="A1563" s="18" t="s">
        <v>1526</v>
      </c>
      <c r="B1563" s="10">
        <f ca="1">IFERROR(__xludf.DUMMYFUNCTION("GOOGLEFINANCE(A1563,""PRICE"")"),26.25)</f>
        <v>26.25</v>
      </c>
      <c r="C1563" s="11">
        <f ca="1">IFERROR(__xludf.DUMMYFUNCTION("GOOGLEFINANCE(A1563,""PRICEOPEN"")"),26.21)</f>
        <v>26.21</v>
      </c>
      <c r="D1563" s="11">
        <f ca="1">IFERROR(__xludf.DUMMYFUNCTION("GOOGLEFINANCE(A1563,""HIGH"")"),26.59)</f>
        <v>26.59</v>
      </c>
      <c r="E1563" s="11">
        <f ca="1">IFERROR(__xludf.DUMMYFUNCTION("GOOGLEFINANCE(A1563,""LOW"")"),26.01)</f>
        <v>26.01</v>
      </c>
      <c r="F1563" s="12" t="str">
        <f t="shared" ca="1" si="49"/>
        <v/>
      </c>
      <c r="G1563" s="13">
        <f ca="1">IFERROR(__xludf.DUMMYFUNCTION("GOOGLEFINANCE(A1563,""CLOSEYEST"")"),26.21)</f>
        <v>26.21</v>
      </c>
      <c r="H1563" s="14" t="str">
        <f t="shared" ca="1" si="55"/>
        <v/>
      </c>
      <c r="I1563" s="15">
        <f t="shared" ca="1" si="50"/>
        <v>26.27</v>
      </c>
      <c r="J1563" s="16">
        <f t="shared" ca="1" si="51"/>
        <v>26.529999999999998</v>
      </c>
      <c r="K1563" s="16"/>
      <c r="L1563" s="16">
        <f t="shared" ca="1" si="52"/>
        <v>25.95</v>
      </c>
      <c r="M1563" s="16">
        <f t="shared" ca="1" si="53"/>
        <v>26.849999999999998</v>
      </c>
      <c r="N1563" s="16">
        <f t="shared" ca="1" si="54"/>
        <v>25.69</v>
      </c>
    </row>
    <row r="1564" spans="1:14" ht="24.75" customHeight="1" x14ac:dyDescent="0.8">
      <c r="A1564" s="18" t="s">
        <v>1527</v>
      </c>
      <c r="B1564" s="10">
        <f ca="1">IFERROR(__xludf.DUMMYFUNCTION("GOOGLEFINANCE(A1564,""PRICE"")"),103.78)</f>
        <v>103.78</v>
      </c>
      <c r="C1564" s="11">
        <f ca="1">IFERROR(__xludf.DUMMYFUNCTION("GOOGLEFINANCE(A1564,""PRICEOPEN"")"),106)</f>
        <v>106</v>
      </c>
      <c r="D1564" s="11">
        <f ca="1">IFERROR(__xludf.DUMMYFUNCTION("GOOGLEFINANCE(A1564,""HIGH"")"),106)</f>
        <v>106</v>
      </c>
      <c r="E1564" s="11">
        <f ca="1">IFERROR(__xludf.DUMMYFUNCTION("GOOGLEFINANCE(A1564,""LOW"")"),101.5)</f>
        <v>101.5</v>
      </c>
      <c r="F1564" s="12" t="str">
        <f t="shared" ca="1" si="49"/>
        <v>SELL</v>
      </c>
      <c r="G1564" s="13">
        <f ca="1">IFERROR(__xludf.DUMMYFUNCTION("GOOGLEFINANCE(A1564,""CLOSEYEST"")"),102.8)</f>
        <v>102.8</v>
      </c>
      <c r="H1564" s="14" t="str">
        <f t="shared" ca="1" si="55"/>
        <v>GAP UP</v>
      </c>
      <c r="I1564" s="15">
        <f t="shared" ca="1" si="50"/>
        <v>103.43333333333334</v>
      </c>
      <c r="J1564" s="16">
        <f t="shared" ca="1" si="51"/>
        <v>105.36666666666667</v>
      </c>
      <c r="K1564" s="16"/>
      <c r="L1564" s="16">
        <f t="shared" ca="1" si="52"/>
        <v>100.86666666666667</v>
      </c>
      <c r="M1564" s="16">
        <f t="shared" ca="1" si="53"/>
        <v>107.93333333333334</v>
      </c>
      <c r="N1564" s="16">
        <f t="shared" ca="1" si="54"/>
        <v>98.933333333333337</v>
      </c>
    </row>
    <row r="1565" spans="1:14" ht="24.75" customHeight="1" x14ac:dyDescent="0.8">
      <c r="A1565" s="18" t="s">
        <v>1528</v>
      </c>
      <c r="B1565" s="10" t="str">
        <f ca="1">IFERROR(__xludf.DUMMYFUNCTION("GOOGLEFINANCE(A1565,""PRICE"")"),"#N/A")</f>
        <v>#N/A</v>
      </c>
      <c r="C1565" s="11" t="str">
        <f ca="1">IFERROR(__xludf.DUMMYFUNCTION("GOOGLEFINANCE(A1565,""PRICEOPEN"")"),"#N/A")</f>
        <v>#N/A</v>
      </c>
      <c r="D1565" s="11" t="str">
        <f ca="1">IFERROR(__xludf.DUMMYFUNCTION("GOOGLEFINANCE(A1565,""HIGH"")"),"#N/A")</f>
        <v>#N/A</v>
      </c>
      <c r="E1565" s="11" t="str">
        <f ca="1">IFERROR(__xludf.DUMMYFUNCTION("GOOGLEFINANCE(A1565,""LOW"")"),"#N/A")</f>
        <v>#N/A</v>
      </c>
      <c r="F1565" s="12" t="str">
        <f t="shared" ca="1" si="49"/>
        <v>SELL</v>
      </c>
      <c r="G1565" s="13" t="str">
        <f ca="1">IFERROR(__xludf.DUMMYFUNCTION("GOOGLEFINANCE(A1565,""CLOSEYEST"")"),"#N/A")</f>
        <v>#N/A</v>
      </c>
      <c r="H1565" s="14" t="e">
        <f t="shared" ca="1" si="55"/>
        <v>#VALUE!</v>
      </c>
      <c r="I1565" s="15" t="e">
        <f t="shared" ca="1" si="50"/>
        <v>#VALUE!</v>
      </c>
      <c r="J1565" s="16" t="e">
        <f t="shared" ca="1" si="51"/>
        <v>#VALUE!</v>
      </c>
      <c r="K1565" s="16"/>
      <c r="L1565" s="16" t="e">
        <f t="shared" ca="1" si="52"/>
        <v>#VALUE!</v>
      </c>
      <c r="M1565" s="16" t="e">
        <f t="shared" ca="1" si="53"/>
        <v>#VALUE!</v>
      </c>
      <c r="N1565" s="16" t="e">
        <f t="shared" ca="1" si="54"/>
        <v>#VALUE!</v>
      </c>
    </row>
    <row r="1566" spans="1:14" ht="24.75" customHeight="1" x14ac:dyDescent="0.8">
      <c r="A1566" s="18" t="s">
        <v>1529</v>
      </c>
      <c r="B1566" s="10">
        <f ca="1">IFERROR(__xludf.DUMMYFUNCTION("GOOGLEFINANCE(A1566,""PRICE"")"),190)</f>
        <v>190</v>
      </c>
      <c r="C1566" s="11">
        <f ca="1">IFERROR(__xludf.DUMMYFUNCTION("GOOGLEFINANCE(A1566,""PRICEOPEN"")"),183)</f>
        <v>183</v>
      </c>
      <c r="D1566" s="11">
        <f ca="1">IFERROR(__xludf.DUMMYFUNCTION("GOOGLEFINANCE(A1566,""HIGH"")"),194.48)</f>
        <v>194.48</v>
      </c>
      <c r="E1566" s="11">
        <f ca="1">IFERROR(__xludf.DUMMYFUNCTION("GOOGLEFINANCE(A1566,""LOW"")"),181.61)</f>
        <v>181.61</v>
      </c>
      <c r="F1566" s="12" t="str">
        <f t="shared" ca="1" si="49"/>
        <v/>
      </c>
      <c r="G1566" s="13">
        <f ca="1">IFERROR(__xludf.DUMMYFUNCTION("GOOGLEFINANCE(A1566,""CLOSEYEST"")"),180.17)</f>
        <v>180.17</v>
      </c>
      <c r="H1566" s="14" t="str">
        <f t="shared" ca="1" si="55"/>
        <v>GAP UP</v>
      </c>
      <c r="I1566" s="15">
        <f t="shared" ca="1" si="50"/>
        <v>185.42</v>
      </c>
      <c r="J1566" s="16">
        <f t="shared" ca="1" si="51"/>
        <v>189.22999999999996</v>
      </c>
      <c r="K1566" s="16"/>
      <c r="L1566" s="16">
        <f t="shared" ca="1" si="52"/>
        <v>176.35999999999999</v>
      </c>
      <c r="M1566" s="16">
        <f t="shared" ca="1" si="53"/>
        <v>198.28999999999996</v>
      </c>
      <c r="N1566" s="16">
        <f t="shared" ca="1" si="54"/>
        <v>172.55</v>
      </c>
    </row>
    <row r="1567" spans="1:14" ht="24.75" customHeight="1" x14ac:dyDescent="0.8">
      <c r="A1567" s="18" t="s">
        <v>1530</v>
      </c>
      <c r="B1567" s="10" t="str">
        <f ca="1">IFERROR(__xludf.DUMMYFUNCTION("GOOGLEFINANCE(A1567,""PRICE"")"),"#N/A")</f>
        <v>#N/A</v>
      </c>
      <c r="C1567" s="11" t="str">
        <f ca="1">IFERROR(__xludf.DUMMYFUNCTION("GOOGLEFINANCE(A1567,""PRICEOPEN"")"),"#N/A")</f>
        <v>#N/A</v>
      </c>
      <c r="D1567" s="11" t="str">
        <f ca="1">IFERROR(__xludf.DUMMYFUNCTION("GOOGLEFINANCE(A1567,""HIGH"")"),"#N/A")</f>
        <v>#N/A</v>
      </c>
      <c r="E1567" s="11" t="str">
        <f ca="1">IFERROR(__xludf.DUMMYFUNCTION("GOOGLEFINANCE(A1567,""LOW"")"),"#N/A")</f>
        <v>#N/A</v>
      </c>
      <c r="F1567" s="12" t="str">
        <f t="shared" ca="1" si="49"/>
        <v>SELL</v>
      </c>
      <c r="G1567" s="13" t="str">
        <f ca="1">IFERROR(__xludf.DUMMYFUNCTION("GOOGLEFINANCE(A1567,""CLOSEYEST"")"),"#N/A")</f>
        <v>#N/A</v>
      </c>
      <c r="H1567" s="14" t="e">
        <f t="shared" ca="1" si="55"/>
        <v>#VALUE!</v>
      </c>
      <c r="I1567" s="15" t="e">
        <f t="shared" ca="1" si="50"/>
        <v>#VALUE!</v>
      </c>
      <c r="J1567" s="16" t="e">
        <f t="shared" ca="1" si="51"/>
        <v>#VALUE!</v>
      </c>
      <c r="K1567" s="16"/>
      <c r="L1567" s="16" t="e">
        <f t="shared" ca="1" si="52"/>
        <v>#VALUE!</v>
      </c>
      <c r="M1567" s="16" t="e">
        <f t="shared" ca="1" si="53"/>
        <v>#VALUE!</v>
      </c>
      <c r="N1567" s="16" t="e">
        <f t="shared" ca="1" si="54"/>
        <v>#VALUE!</v>
      </c>
    </row>
    <row r="1568" spans="1:14" ht="24.75" customHeight="1" x14ac:dyDescent="0.8">
      <c r="A1568" s="18" t="s">
        <v>1531</v>
      </c>
      <c r="B1568" s="10">
        <f ca="1">IFERROR(__xludf.DUMMYFUNCTION("GOOGLEFINANCE(A1568,""PRICE"")"),323)</f>
        <v>323</v>
      </c>
      <c r="C1568" s="11">
        <f ca="1">IFERROR(__xludf.DUMMYFUNCTION("GOOGLEFINANCE(A1568,""PRICEOPEN"")"),322)</f>
        <v>322</v>
      </c>
      <c r="D1568" s="11">
        <f ca="1">IFERROR(__xludf.DUMMYFUNCTION("GOOGLEFINANCE(A1568,""HIGH"")"),324.9)</f>
        <v>324.89999999999998</v>
      </c>
      <c r="E1568" s="11">
        <f ca="1">IFERROR(__xludf.DUMMYFUNCTION("GOOGLEFINANCE(A1568,""LOW"")"),317.1)</f>
        <v>317.10000000000002</v>
      </c>
      <c r="F1568" s="12" t="str">
        <f t="shared" ca="1" si="49"/>
        <v/>
      </c>
      <c r="G1568" s="13">
        <f ca="1">IFERROR(__xludf.DUMMYFUNCTION("GOOGLEFINANCE(A1568,""CLOSEYEST"")"),318.1)</f>
        <v>318.10000000000002</v>
      </c>
      <c r="H1568" s="14" t="str">
        <f t="shared" ca="1" si="55"/>
        <v>GAP UP</v>
      </c>
      <c r="I1568" s="15">
        <f t="shared" ca="1" si="50"/>
        <v>320.03333333333336</v>
      </c>
      <c r="J1568" s="16">
        <f t="shared" ca="1" si="51"/>
        <v>322.9666666666667</v>
      </c>
      <c r="K1568" s="16"/>
      <c r="L1568" s="16">
        <f t="shared" ca="1" si="52"/>
        <v>315.16666666666674</v>
      </c>
      <c r="M1568" s="16">
        <f t="shared" ca="1" si="53"/>
        <v>327.83333333333331</v>
      </c>
      <c r="N1568" s="16">
        <f t="shared" ca="1" si="54"/>
        <v>312.23333333333341</v>
      </c>
    </row>
    <row r="1569" spans="1:14" ht="24.75" customHeight="1" x14ac:dyDescent="0.8">
      <c r="A1569" s="18" t="s">
        <v>1532</v>
      </c>
      <c r="B1569" s="10" t="str">
        <f ca="1">IFERROR(__xludf.DUMMYFUNCTION("GOOGLEFINANCE(A1569,""PRICE"")"),"#N/A")</f>
        <v>#N/A</v>
      </c>
      <c r="C1569" s="11" t="str">
        <f ca="1">IFERROR(__xludf.DUMMYFUNCTION("GOOGLEFINANCE(A1569,""PRICEOPEN"")"),"#N/A")</f>
        <v>#N/A</v>
      </c>
      <c r="D1569" s="11" t="str">
        <f ca="1">IFERROR(__xludf.DUMMYFUNCTION("GOOGLEFINANCE(A1569,""HIGH"")"),"#N/A")</f>
        <v>#N/A</v>
      </c>
      <c r="E1569" s="11" t="str">
        <f ca="1">IFERROR(__xludf.DUMMYFUNCTION("GOOGLEFINANCE(A1569,""LOW"")"),"#N/A")</f>
        <v>#N/A</v>
      </c>
      <c r="F1569" s="12" t="str">
        <f t="shared" ca="1" si="49"/>
        <v>SELL</v>
      </c>
      <c r="G1569" s="13" t="str">
        <f ca="1">IFERROR(__xludf.DUMMYFUNCTION("GOOGLEFINANCE(A1569,""CLOSEYEST"")"),"#N/A")</f>
        <v>#N/A</v>
      </c>
      <c r="H1569" s="14" t="e">
        <f t="shared" ca="1" si="55"/>
        <v>#VALUE!</v>
      </c>
      <c r="I1569" s="15" t="e">
        <f t="shared" ca="1" si="50"/>
        <v>#VALUE!</v>
      </c>
      <c r="J1569" s="16" t="e">
        <f t="shared" ca="1" si="51"/>
        <v>#VALUE!</v>
      </c>
      <c r="K1569" s="16"/>
      <c r="L1569" s="16" t="e">
        <f t="shared" ca="1" si="52"/>
        <v>#VALUE!</v>
      </c>
      <c r="M1569" s="16" t="e">
        <f t="shared" ca="1" si="53"/>
        <v>#VALUE!</v>
      </c>
      <c r="N1569" s="16" t="e">
        <f t="shared" ca="1" si="54"/>
        <v>#VALUE!</v>
      </c>
    </row>
    <row r="1570" spans="1:14" ht="24.75" customHeight="1" x14ac:dyDescent="0.8">
      <c r="A1570" s="18" t="s">
        <v>1533</v>
      </c>
      <c r="B1570" s="10">
        <f ca="1">IFERROR(__xludf.DUMMYFUNCTION("GOOGLEFINANCE(A1570,""PRICE"")"),749)</f>
        <v>749</v>
      </c>
      <c r="C1570" s="11">
        <f ca="1">IFERROR(__xludf.DUMMYFUNCTION("GOOGLEFINANCE(A1570,""PRICEOPEN"")"),759.8)</f>
        <v>759.8</v>
      </c>
      <c r="D1570" s="11">
        <f ca="1">IFERROR(__xludf.DUMMYFUNCTION("GOOGLEFINANCE(A1570,""HIGH"")"),761.3)</f>
        <v>761.3</v>
      </c>
      <c r="E1570" s="11">
        <f ca="1">IFERROR(__xludf.DUMMYFUNCTION("GOOGLEFINANCE(A1570,""LOW"")"),740.1)</f>
        <v>740.1</v>
      </c>
      <c r="F1570" s="12" t="str">
        <f t="shared" ca="1" si="49"/>
        <v/>
      </c>
      <c r="G1570" s="13">
        <f ca="1">IFERROR(__xludf.DUMMYFUNCTION("GOOGLEFINANCE(A1570,""CLOSEYEST"")"),748.2)</f>
        <v>748.2</v>
      </c>
      <c r="H1570" s="14" t="str">
        <f t="shared" ca="1" si="55"/>
        <v>GAP UP</v>
      </c>
      <c r="I1570" s="15">
        <f t="shared" ca="1" si="50"/>
        <v>749.86666666666679</v>
      </c>
      <c r="J1570" s="16">
        <f t="shared" ca="1" si="51"/>
        <v>759.63333333333355</v>
      </c>
      <c r="K1570" s="16"/>
      <c r="L1570" s="16">
        <f t="shared" ca="1" si="52"/>
        <v>738.43333333333362</v>
      </c>
      <c r="M1570" s="16">
        <f t="shared" ca="1" si="53"/>
        <v>771.06666666666672</v>
      </c>
      <c r="N1570" s="16">
        <f t="shared" ca="1" si="54"/>
        <v>728.66666666666686</v>
      </c>
    </row>
    <row r="1571" spans="1:14" ht="24.75" customHeight="1" x14ac:dyDescent="0.8">
      <c r="A1571" s="18" t="s">
        <v>1534</v>
      </c>
      <c r="B1571" s="10">
        <f ca="1">IFERROR(__xludf.DUMMYFUNCTION("GOOGLEFINANCE(A1571,""PRICE"")"),52.6)</f>
        <v>52.6</v>
      </c>
      <c r="C1571" s="11">
        <f ca="1">IFERROR(__xludf.DUMMYFUNCTION("GOOGLEFINANCE(A1571,""PRICEOPEN"")"),52.75)</f>
        <v>52.75</v>
      </c>
      <c r="D1571" s="11">
        <f ca="1">IFERROR(__xludf.DUMMYFUNCTION("GOOGLEFINANCE(A1571,""HIGH"")"),52.75)</f>
        <v>52.75</v>
      </c>
      <c r="E1571" s="11">
        <f ca="1">IFERROR(__xludf.DUMMYFUNCTION("GOOGLEFINANCE(A1571,""LOW"")"),51.5)</f>
        <v>51.5</v>
      </c>
      <c r="F1571" s="12" t="str">
        <f t="shared" ca="1" si="49"/>
        <v>SELL</v>
      </c>
      <c r="G1571" s="13">
        <f ca="1">IFERROR(__xludf.DUMMYFUNCTION("GOOGLEFINANCE(A1571,""CLOSEYEST"")"),51.63)</f>
        <v>51.63</v>
      </c>
      <c r="H1571" s="14" t="str">
        <f t="shared" ca="1" si="55"/>
        <v>GAP UP</v>
      </c>
      <c r="I1571" s="15">
        <f t="shared" ca="1" si="50"/>
        <v>51.96</v>
      </c>
      <c r="J1571" s="16">
        <f t="shared" ca="1" si="51"/>
        <v>52.42</v>
      </c>
      <c r="K1571" s="16"/>
      <c r="L1571" s="16">
        <f t="shared" ca="1" si="52"/>
        <v>51.17</v>
      </c>
      <c r="M1571" s="16">
        <f t="shared" ca="1" si="53"/>
        <v>53.21</v>
      </c>
      <c r="N1571" s="16">
        <f t="shared" ca="1" si="54"/>
        <v>50.71</v>
      </c>
    </row>
    <row r="1572" spans="1:14" ht="24.75" customHeight="1" x14ac:dyDescent="0.8">
      <c r="A1572" s="18" t="s">
        <v>1535</v>
      </c>
      <c r="B1572" s="10">
        <f ca="1">IFERROR(__xludf.DUMMYFUNCTION("GOOGLEFINANCE(A1572,""PRICE"")"),47.43)</f>
        <v>47.43</v>
      </c>
      <c r="C1572" s="11">
        <f ca="1">IFERROR(__xludf.DUMMYFUNCTION("GOOGLEFINANCE(A1572,""PRICEOPEN"")"),47.43)</f>
        <v>47.43</v>
      </c>
      <c r="D1572" s="11">
        <f ca="1">IFERROR(__xludf.DUMMYFUNCTION("GOOGLEFINANCE(A1572,""HIGH"")"),47.43)</f>
        <v>47.43</v>
      </c>
      <c r="E1572" s="11">
        <f ca="1">IFERROR(__xludf.DUMMYFUNCTION("GOOGLEFINANCE(A1572,""LOW"")"),47.43)</f>
        <v>47.43</v>
      </c>
      <c r="F1572" s="12" t="str">
        <f t="shared" ca="1" si="49"/>
        <v>SELL</v>
      </c>
      <c r="G1572" s="13">
        <f ca="1">IFERROR(__xludf.DUMMYFUNCTION("GOOGLEFINANCE(A1572,""CLOSEYEST"")"),45.18)</f>
        <v>45.18</v>
      </c>
      <c r="H1572" s="14" t="str">
        <f t="shared" ca="1" si="55"/>
        <v>GAP UP</v>
      </c>
      <c r="I1572" s="15">
        <f t="shared" ca="1" si="50"/>
        <v>46.68</v>
      </c>
      <c r="J1572" s="16">
        <f t="shared" ca="1" si="51"/>
        <v>45.93</v>
      </c>
      <c r="K1572" s="16"/>
      <c r="L1572" s="16">
        <f t="shared" ca="1" si="52"/>
        <v>45.93</v>
      </c>
      <c r="M1572" s="16">
        <f t="shared" ca="1" si="53"/>
        <v>46.68</v>
      </c>
      <c r="N1572" s="16">
        <f t="shared" ca="1" si="54"/>
        <v>46.68</v>
      </c>
    </row>
    <row r="1573" spans="1:14" ht="24.75" customHeight="1" x14ac:dyDescent="0.8">
      <c r="A1573" s="18" t="s">
        <v>1536</v>
      </c>
      <c r="B1573" s="10">
        <f ca="1">IFERROR(__xludf.DUMMYFUNCTION("GOOGLEFINANCE(A1573,""PRICE"")"),75.8)</f>
        <v>75.8</v>
      </c>
      <c r="C1573" s="11">
        <f ca="1">IFERROR(__xludf.DUMMYFUNCTION("GOOGLEFINANCE(A1573,""PRICEOPEN"")"),79.9)</f>
        <v>79.900000000000006</v>
      </c>
      <c r="D1573" s="11">
        <f ca="1">IFERROR(__xludf.DUMMYFUNCTION("GOOGLEFINANCE(A1573,""HIGH"")"),79.9)</f>
        <v>79.900000000000006</v>
      </c>
      <c r="E1573" s="11">
        <f ca="1">IFERROR(__xludf.DUMMYFUNCTION("GOOGLEFINANCE(A1573,""LOW"")"),75.8)</f>
        <v>75.8</v>
      </c>
      <c r="F1573" s="12" t="str">
        <f t="shared" ca="1" si="49"/>
        <v>SELL</v>
      </c>
      <c r="G1573" s="13">
        <f ca="1">IFERROR(__xludf.DUMMYFUNCTION("GOOGLEFINANCE(A1573,""CLOSEYEST"")"),77.76)</f>
        <v>77.760000000000005</v>
      </c>
      <c r="H1573" s="14" t="str">
        <f t="shared" ca="1" si="55"/>
        <v>GAP UP</v>
      </c>
      <c r="I1573" s="15">
        <f t="shared" ca="1" si="50"/>
        <v>77.819999999999993</v>
      </c>
      <c r="J1573" s="16">
        <f t="shared" ca="1" si="51"/>
        <v>79.839999999999989</v>
      </c>
      <c r="K1573" s="16"/>
      <c r="L1573" s="16">
        <f t="shared" ca="1" si="52"/>
        <v>75.739999999999981</v>
      </c>
      <c r="M1573" s="16">
        <f t="shared" ca="1" si="53"/>
        <v>81.92</v>
      </c>
      <c r="N1573" s="16">
        <f t="shared" ca="1" si="54"/>
        <v>73.719999999999985</v>
      </c>
    </row>
    <row r="1574" spans="1:14" ht="24.75" customHeight="1" x14ac:dyDescent="0.8">
      <c r="A1574" s="18" t="s">
        <v>1537</v>
      </c>
      <c r="B1574" s="10">
        <f ca="1">IFERROR(__xludf.DUMMYFUNCTION("GOOGLEFINANCE(A1574,""PRICE"")"),40.28)</f>
        <v>40.28</v>
      </c>
      <c r="C1574" s="11">
        <f ca="1">IFERROR(__xludf.DUMMYFUNCTION("GOOGLEFINANCE(A1574,""PRICEOPEN"")"),39.81)</f>
        <v>39.81</v>
      </c>
      <c r="D1574" s="11">
        <f ca="1">IFERROR(__xludf.DUMMYFUNCTION("GOOGLEFINANCE(A1574,""HIGH"")"),40.69)</f>
        <v>40.69</v>
      </c>
      <c r="E1574" s="11">
        <f ca="1">IFERROR(__xludf.DUMMYFUNCTION("GOOGLEFINANCE(A1574,""LOW"")"),39.81)</f>
        <v>39.81</v>
      </c>
      <c r="F1574" s="12" t="str">
        <f t="shared" ca="1" si="49"/>
        <v>BUY</v>
      </c>
      <c r="G1574" s="13">
        <f ca="1">IFERROR(__xludf.DUMMYFUNCTION("GOOGLEFINANCE(A1574,""CLOSEYEST"")"),40.46)</f>
        <v>40.46</v>
      </c>
      <c r="H1574" s="14" t="str">
        <f t="shared" ca="1" si="55"/>
        <v>GAP DOWN</v>
      </c>
      <c r="I1574" s="15">
        <f t="shared" ca="1" si="50"/>
        <v>40.32</v>
      </c>
      <c r="J1574" s="16">
        <f t="shared" ca="1" si="51"/>
        <v>40.83</v>
      </c>
      <c r="K1574" s="16"/>
      <c r="L1574" s="16">
        <f t="shared" ca="1" si="52"/>
        <v>39.950000000000003</v>
      </c>
      <c r="M1574" s="16">
        <f t="shared" ca="1" si="53"/>
        <v>41.199999999999996</v>
      </c>
      <c r="N1574" s="16">
        <f t="shared" ca="1" si="54"/>
        <v>39.440000000000005</v>
      </c>
    </row>
    <row r="1575" spans="1:14" ht="24.75" customHeight="1" x14ac:dyDescent="0.8">
      <c r="A1575" s="18" t="s">
        <v>1538</v>
      </c>
      <c r="B1575" s="10">
        <f ca="1">IFERROR(__xludf.DUMMYFUNCTION("GOOGLEFINANCE(A1575,""PRICE"")"),122.9)</f>
        <v>122.9</v>
      </c>
      <c r="C1575" s="11">
        <f ca="1">IFERROR(__xludf.DUMMYFUNCTION("GOOGLEFINANCE(A1575,""PRICEOPEN"")"),121.1)</f>
        <v>121.1</v>
      </c>
      <c r="D1575" s="11">
        <f ca="1">IFERROR(__xludf.DUMMYFUNCTION("GOOGLEFINANCE(A1575,""HIGH"")"),123.89)</f>
        <v>123.89</v>
      </c>
      <c r="E1575" s="11">
        <f ca="1">IFERROR(__xludf.DUMMYFUNCTION("GOOGLEFINANCE(A1575,""LOW"")"),121.1)</f>
        <v>121.1</v>
      </c>
      <c r="F1575" s="12" t="str">
        <f t="shared" ca="1" si="49"/>
        <v>BUY</v>
      </c>
      <c r="G1575" s="13">
        <f ca="1">IFERROR(__xludf.DUMMYFUNCTION("GOOGLEFINANCE(A1575,""CLOSEYEST"")"),122.77)</f>
        <v>122.77</v>
      </c>
      <c r="H1575" s="14" t="str">
        <f t="shared" ca="1" si="55"/>
        <v>GAP DOWN</v>
      </c>
      <c r="I1575" s="15">
        <f t="shared" ca="1" si="50"/>
        <v>122.58666666666666</v>
      </c>
      <c r="J1575" s="16">
        <f t="shared" ca="1" si="51"/>
        <v>124.07333333333332</v>
      </c>
      <c r="K1575" s="16"/>
      <c r="L1575" s="16">
        <f t="shared" ca="1" si="52"/>
        <v>121.28333333333332</v>
      </c>
      <c r="M1575" s="16">
        <f t="shared" ca="1" si="53"/>
        <v>125.37666666666667</v>
      </c>
      <c r="N1575" s="16">
        <f t="shared" ca="1" si="54"/>
        <v>119.79666666666665</v>
      </c>
    </row>
    <row r="1576" spans="1:14" ht="24.75" customHeight="1" x14ac:dyDescent="0.8">
      <c r="A1576" s="18" t="s">
        <v>1539</v>
      </c>
      <c r="B1576" s="10">
        <f ca="1">IFERROR(__xludf.DUMMYFUNCTION("GOOGLEFINANCE(A1576,""PRICE"")"),138.8)</f>
        <v>138.80000000000001</v>
      </c>
      <c r="C1576" s="11">
        <f ca="1">IFERROR(__xludf.DUMMYFUNCTION("GOOGLEFINANCE(A1576,""PRICEOPEN"")"),131.4)</f>
        <v>131.4</v>
      </c>
      <c r="D1576" s="11">
        <f ca="1">IFERROR(__xludf.DUMMYFUNCTION("GOOGLEFINANCE(A1576,""HIGH"")"),139.36)</f>
        <v>139.36000000000001</v>
      </c>
      <c r="E1576" s="11">
        <f ca="1">IFERROR(__xludf.DUMMYFUNCTION("GOOGLEFINANCE(A1576,""LOW"")"),129.11)</f>
        <v>129.11000000000001</v>
      </c>
      <c r="F1576" s="12" t="str">
        <f t="shared" ca="1" si="49"/>
        <v/>
      </c>
      <c r="G1576" s="13">
        <f ca="1">IFERROR(__xludf.DUMMYFUNCTION("GOOGLEFINANCE(A1576,""CLOSEYEST"")"),132.73)</f>
        <v>132.72999999999999</v>
      </c>
      <c r="H1576" s="14" t="str">
        <f t="shared" ca="1" si="55"/>
        <v>GAP DOWN</v>
      </c>
      <c r="I1576" s="15">
        <f t="shared" ca="1" si="50"/>
        <v>133.73333333333335</v>
      </c>
      <c r="J1576" s="16">
        <f t="shared" ca="1" si="51"/>
        <v>138.35666666666668</v>
      </c>
      <c r="K1576" s="16"/>
      <c r="L1576" s="16">
        <f t="shared" ca="1" si="52"/>
        <v>128.10666666666668</v>
      </c>
      <c r="M1576" s="16">
        <f t="shared" ca="1" si="53"/>
        <v>143.98333333333335</v>
      </c>
      <c r="N1576" s="16">
        <f t="shared" ca="1" si="54"/>
        <v>123.48333333333335</v>
      </c>
    </row>
    <row r="1577" spans="1:14" ht="24.75" customHeight="1" x14ac:dyDescent="0.8">
      <c r="A1577" s="18" t="s">
        <v>1540</v>
      </c>
      <c r="B1577" s="10">
        <f ca="1">IFERROR(__xludf.DUMMYFUNCTION("GOOGLEFINANCE(A1577,""PRICE"")"),68.5)</f>
        <v>68.5</v>
      </c>
      <c r="C1577" s="11">
        <f ca="1">IFERROR(__xludf.DUMMYFUNCTION("GOOGLEFINANCE(A1577,""PRICEOPEN"")"),69.74)</f>
        <v>69.739999999999995</v>
      </c>
      <c r="D1577" s="11">
        <f ca="1">IFERROR(__xludf.DUMMYFUNCTION("GOOGLEFINANCE(A1577,""HIGH"")"),69.74)</f>
        <v>69.739999999999995</v>
      </c>
      <c r="E1577" s="11">
        <f ca="1">IFERROR(__xludf.DUMMYFUNCTION("GOOGLEFINANCE(A1577,""LOW"")"),67.07)</f>
        <v>67.069999999999993</v>
      </c>
      <c r="F1577" s="12" t="str">
        <f t="shared" ca="1" si="49"/>
        <v>SELL</v>
      </c>
      <c r="G1577" s="13">
        <f ca="1">IFERROR(__xludf.DUMMYFUNCTION("GOOGLEFINANCE(A1577,""CLOSEYEST"")"),68.65)</f>
        <v>68.650000000000006</v>
      </c>
      <c r="H1577" s="14" t="str">
        <f t="shared" ca="1" si="55"/>
        <v>GAP UP</v>
      </c>
      <c r="I1577" s="15">
        <f t="shared" ca="1" si="50"/>
        <v>68.486666666666665</v>
      </c>
      <c r="J1577" s="16">
        <f t="shared" ca="1" si="51"/>
        <v>69.903333333333336</v>
      </c>
      <c r="K1577" s="16"/>
      <c r="L1577" s="16">
        <f t="shared" ca="1" si="52"/>
        <v>67.233333333333334</v>
      </c>
      <c r="M1577" s="16">
        <f t="shared" ca="1" si="53"/>
        <v>71.156666666666666</v>
      </c>
      <c r="N1577" s="16">
        <f t="shared" ca="1" si="54"/>
        <v>65.816666666666663</v>
      </c>
    </row>
    <row r="1578" spans="1:14" ht="24.75" customHeight="1" x14ac:dyDescent="0.8">
      <c r="A1578" s="18" t="s">
        <v>1541</v>
      </c>
      <c r="B1578" s="10">
        <f ca="1">IFERROR(__xludf.DUMMYFUNCTION("GOOGLEFINANCE(A1578,""PRICE"")"),24.19)</f>
        <v>24.19</v>
      </c>
      <c r="C1578" s="11">
        <f ca="1">IFERROR(__xludf.DUMMYFUNCTION("GOOGLEFINANCE(A1578,""PRICEOPEN"")"),24.14)</f>
        <v>24.14</v>
      </c>
      <c r="D1578" s="11">
        <f ca="1">IFERROR(__xludf.DUMMYFUNCTION("GOOGLEFINANCE(A1578,""HIGH"")"),24.5)</f>
        <v>24.5</v>
      </c>
      <c r="E1578" s="11">
        <f ca="1">IFERROR(__xludf.DUMMYFUNCTION("GOOGLEFINANCE(A1578,""LOW"")"),23.8)</f>
        <v>23.8</v>
      </c>
      <c r="F1578" s="12" t="str">
        <f t="shared" ca="1" si="49"/>
        <v/>
      </c>
      <c r="G1578" s="13">
        <f ca="1">IFERROR(__xludf.DUMMYFUNCTION("GOOGLEFINANCE(A1578,""CLOSEYEST"")"),24.14)</f>
        <v>24.14</v>
      </c>
      <c r="H1578" s="14" t="str">
        <f t="shared" ca="1" si="55"/>
        <v/>
      </c>
      <c r="I1578" s="15">
        <f t="shared" ca="1" si="50"/>
        <v>24.146666666666665</v>
      </c>
      <c r="J1578" s="16">
        <f t="shared" ca="1" si="51"/>
        <v>24.493333333333329</v>
      </c>
      <c r="K1578" s="16"/>
      <c r="L1578" s="16">
        <f t="shared" ca="1" si="52"/>
        <v>23.793333333333329</v>
      </c>
      <c r="M1578" s="16">
        <f t="shared" ca="1" si="53"/>
        <v>24.846666666666664</v>
      </c>
      <c r="N1578" s="16">
        <f t="shared" ca="1" si="54"/>
        <v>23.446666666666665</v>
      </c>
    </row>
    <row r="1579" spans="1:14" ht="24.75" customHeight="1" x14ac:dyDescent="0.8">
      <c r="A1579" s="18" t="s">
        <v>1542</v>
      </c>
      <c r="B1579" s="10">
        <f ca="1">IFERROR(__xludf.DUMMYFUNCTION("GOOGLEFINANCE(A1579,""PRICE"")"),122.75)</f>
        <v>122.75</v>
      </c>
      <c r="C1579" s="11">
        <f ca="1">IFERROR(__xludf.DUMMYFUNCTION("GOOGLEFINANCE(A1579,""PRICEOPEN"")"),123)</f>
        <v>123</v>
      </c>
      <c r="D1579" s="11">
        <f ca="1">IFERROR(__xludf.DUMMYFUNCTION("GOOGLEFINANCE(A1579,""HIGH"")"),125)</f>
        <v>125</v>
      </c>
      <c r="E1579" s="11">
        <f ca="1">IFERROR(__xludf.DUMMYFUNCTION("GOOGLEFINANCE(A1579,""LOW"")"),120.3)</f>
        <v>120.3</v>
      </c>
      <c r="F1579" s="12" t="str">
        <f t="shared" ca="1" si="49"/>
        <v/>
      </c>
      <c r="G1579" s="13">
        <f ca="1">IFERROR(__xludf.DUMMYFUNCTION("GOOGLEFINANCE(A1579,""CLOSEYEST"")"),122.89)</f>
        <v>122.89</v>
      </c>
      <c r="H1579" s="14" t="str">
        <f t="shared" ca="1" si="55"/>
        <v/>
      </c>
      <c r="I1579" s="15">
        <f t="shared" ca="1" si="50"/>
        <v>122.73</v>
      </c>
      <c r="J1579" s="16">
        <f t="shared" ca="1" si="51"/>
        <v>125.16000000000001</v>
      </c>
      <c r="K1579" s="16"/>
      <c r="L1579" s="16">
        <f t="shared" ca="1" si="52"/>
        <v>120.46000000000001</v>
      </c>
      <c r="M1579" s="16">
        <f t="shared" ca="1" si="53"/>
        <v>127.43</v>
      </c>
      <c r="N1579" s="16">
        <f t="shared" ca="1" si="54"/>
        <v>118.03</v>
      </c>
    </row>
    <row r="1580" spans="1:14" ht="24.75" customHeight="1" x14ac:dyDescent="0.8">
      <c r="A1580" s="18" t="s">
        <v>1543</v>
      </c>
      <c r="B1580" s="10">
        <f ca="1">IFERROR(__xludf.DUMMYFUNCTION("GOOGLEFINANCE(A1580,""PRICE"")"),70.95)</f>
        <v>70.95</v>
      </c>
      <c r="C1580" s="11">
        <f ca="1">IFERROR(__xludf.DUMMYFUNCTION("GOOGLEFINANCE(A1580,""PRICEOPEN"")"),71.79)</f>
        <v>71.790000000000006</v>
      </c>
      <c r="D1580" s="11">
        <f ca="1">IFERROR(__xludf.DUMMYFUNCTION("GOOGLEFINANCE(A1580,""HIGH"")"),72.4)</f>
        <v>72.400000000000006</v>
      </c>
      <c r="E1580" s="11">
        <f ca="1">IFERROR(__xludf.DUMMYFUNCTION("GOOGLEFINANCE(A1580,""LOW"")"),70.59)</f>
        <v>70.59</v>
      </c>
      <c r="F1580" s="12" t="str">
        <f t="shared" ca="1" si="49"/>
        <v/>
      </c>
      <c r="G1580" s="13">
        <f ca="1">IFERROR(__xludf.DUMMYFUNCTION("GOOGLEFINANCE(A1580,""CLOSEYEST"")"),71.25)</f>
        <v>71.25</v>
      </c>
      <c r="H1580" s="14" t="str">
        <f t="shared" ca="1" si="55"/>
        <v/>
      </c>
      <c r="I1580" s="15">
        <f t="shared" ca="1" si="50"/>
        <v>71.413333333333341</v>
      </c>
      <c r="J1580" s="16">
        <f t="shared" ca="1" si="51"/>
        <v>72.236666666666679</v>
      </c>
      <c r="K1580" s="16"/>
      <c r="L1580" s="16">
        <f t="shared" ca="1" si="52"/>
        <v>70.426666666666677</v>
      </c>
      <c r="M1580" s="16">
        <f t="shared" ca="1" si="53"/>
        <v>73.223333333333343</v>
      </c>
      <c r="N1580" s="16">
        <f t="shared" ca="1" si="54"/>
        <v>69.603333333333339</v>
      </c>
    </row>
    <row r="1581" spans="1:14" ht="24.75" customHeight="1" x14ac:dyDescent="0.8">
      <c r="A1581" s="18" t="s">
        <v>1544</v>
      </c>
      <c r="B1581" s="10">
        <f ca="1">IFERROR(__xludf.DUMMYFUNCTION("GOOGLEFINANCE(A1581,""PRICE"")"),33.5)</f>
        <v>33.5</v>
      </c>
      <c r="C1581" s="11">
        <f ca="1">IFERROR(__xludf.DUMMYFUNCTION("GOOGLEFINANCE(A1581,""PRICEOPEN"")"),33.3)</f>
        <v>33.299999999999997</v>
      </c>
      <c r="D1581" s="11">
        <f ca="1">IFERROR(__xludf.DUMMYFUNCTION("GOOGLEFINANCE(A1581,""HIGH"")"),33.5)</f>
        <v>33.5</v>
      </c>
      <c r="E1581" s="11">
        <f ca="1">IFERROR(__xludf.DUMMYFUNCTION("GOOGLEFINANCE(A1581,""LOW"")"),32.6)</f>
        <v>32.6</v>
      </c>
      <c r="F1581" s="12" t="str">
        <f t="shared" ca="1" si="49"/>
        <v/>
      </c>
      <c r="G1581" s="13">
        <f ca="1">IFERROR(__xludf.DUMMYFUNCTION("GOOGLEFINANCE(A1581,""CLOSEYEST"")"),33.19)</f>
        <v>33.19</v>
      </c>
      <c r="H1581" s="14" t="str">
        <f t="shared" ca="1" si="55"/>
        <v/>
      </c>
      <c r="I1581" s="15">
        <f t="shared" ca="1" si="50"/>
        <v>33.096666666666664</v>
      </c>
      <c r="J1581" s="16">
        <f t="shared" ca="1" si="51"/>
        <v>33.593333333333327</v>
      </c>
      <c r="K1581" s="16"/>
      <c r="L1581" s="16">
        <f t="shared" ca="1" si="52"/>
        <v>32.693333333333328</v>
      </c>
      <c r="M1581" s="16">
        <f t="shared" ca="1" si="53"/>
        <v>33.996666666666663</v>
      </c>
      <c r="N1581" s="16">
        <f t="shared" ca="1" si="54"/>
        <v>32.196666666666665</v>
      </c>
    </row>
    <row r="1582" spans="1:14" ht="24.75" customHeight="1" x14ac:dyDescent="0.8">
      <c r="A1582" s="18" t="s">
        <v>1545</v>
      </c>
      <c r="B1582" s="10">
        <f ca="1">IFERROR(__xludf.DUMMYFUNCTION("GOOGLEFINANCE(A1582,""PRICE"")"),91.6)</f>
        <v>91.6</v>
      </c>
      <c r="C1582" s="11">
        <f ca="1">IFERROR(__xludf.DUMMYFUNCTION("GOOGLEFINANCE(A1582,""PRICEOPEN"")"),92.9)</f>
        <v>92.9</v>
      </c>
      <c r="D1582" s="11">
        <f ca="1">IFERROR(__xludf.DUMMYFUNCTION("GOOGLEFINANCE(A1582,""HIGH"")"),92.9)</f>
        <v>92.9</v>
      </c>
      <c r="E1582" s="11">
        <f ca="1">IFERROR(__xludf.DUMMYFUNCTION("GOOGLEFINANCE(A1582,""LOW"")"),91.6)</f>
        <v>91.6</v>
      </c>
      <c r="F1582" s="12" t="str">
        <f t="shared" ca="1" si="49"/>
        <v>SELL</v>
      </c>
      <c r="G1582" s="13">
        <f ca="1">IFERROR(__xludf.DUMMYFUNCTION("GOOGLEFINANCE(A1582,""CLOSEYEST"")"),91.64)</f>
        <v>91.64</v>
      </c>
      <c r="H1582" s="14" t="str">
        <f t="shared" ca="1" si="55"/>
        <v>GAP UP</v>
      </c>
      <c r="I1582" s="15">
        <f t="shared" ca="1" si="50"/>
        <v>92.046666666666667</v>
      </c>
      <c r="J1582" s="16">
        <f t="shared" ca="1" si="51"/>
        <v>92.493333333333339</v>
      </c>
      <c r="K1582" s="16"/>
      <c r="L1582" s="16">
        <f t="shared" ca="1" si="52"/>
        <v>91.193333333333328</v>
      </c>
      <c r="M1582" s="16">
        <f t="shared" ca="1" si="53"/>
        <v>93.346666666666678</v>
      </c>
      <c r="N1582" s="16">
        <f t="shared" ca="1" si="54"/>
        <v>90.746666666666655</v>
      </c>
    </row>
    <row r="1583" spans="1:14" ht="24.75" customHeight="1" x14ac:dyDescent="0.8">
      <c r="A1583" s="18" t="s">
        <v>1546</v>
      </c>
      <c r="B1583" s="10">
        <f ca="1">IFERROR(__xludf.DUMMYFUNCTION("GOOGLEFINANCE(A1583,""PRICE"")"),108)</f>
        <v>108</v>
      </c>
      <c r="C1583" s="11">
        <f ca="1">IFERROR(__xludf.DUMMYFUNCTION("GOOGLEFINANCE(A1583,""PRICEOPEN"")"),107)</f>
        <v>107</v>
      </c>
      <c r="D1583" s="11">
        <f ca="1">IFERROR(__xludf.DUMMYFUNCTION("GOOGLEFINANCE(A1583,""HIGH"")"),108.46)</f>
        <v>108.46</v>
      </c>
      <c r="E1583" s="11">
        <f ca="1">IFERROR(__xludf.DUMMYFUNCTION("GOOGLEFINANCE(A1583,""LOW"")"),103)</f>
        <v>103</v>
      </c>
      <c r="F1583" s="12" t="str">
        <f t="shared" ca="1" si="49"/>
        <v/>
      </c>
      <c r="G1583" s="13">
        <f ca="1">IFERROR(__xludf.DUMMYFUNCTION("GOOGLEFINANCE(A1583,""CLOSEYEST"")"),105.6)</f>
        <v>105.6</v>
      </c>
      <c r="H1583" s="14" t="str">
        <f t="shared" ca="1" si="55"/>
        <v>GAP UP</v>
      </c>
      <c r="I1583" s="15">
        <f t="shared" ca="1" si="50"/>
        <v>105.68666666666665</v>
      </c>
      <c r="J1583" s="16">
        <f t="shared" ca="1" si="51"/>
        <v>108.37333333333331</v>
      </c>
      <c r="K1583" s="16"/>
      <c r="L1583" s="16">
        <f t="shared" ca="1" si="52"/>
        <v>102.91333333333331</v>
      </c>
      <c r="M1583" s="16">
        <f t="shared" ca="1" si="53"/>
        <v>111.14666666666665</v>
      </c>
      <c r="N1583" s="16">
        <f t="shared" ca="1" si="54"/>
        <v>100.22666666666666</v>
      </c>
    </row>
    <row r="1584" spans="1:14" ht="24.75" customHeight="1" x14ac:dyDescent="0.8">
      <c r="A1584" s="18" t="s">
        <v>1547</v>
      </c>
      <c r="B1584" s="10">
        <f ca="1">IFERROR(__xludf.DUMMYFUNCTION("GOOGLEFINANCE(A1584,""PRICE"")"),38.07)</f>
        <v>38.07</v>
      </c>
      <c r="C1584" s="11">
        <f ca="1">IFERROR(__xludf.DUMMYFUNCTION("GOOGLEFINANCE(A1584,""PRICEOPEN"")"),38.07)</f>
        <v>38.07</v>
      </c>
      <c r="D1584" s="11">
        <f ca="1">IFERROR(__xludf.DUMMYFUNCTION("GOOGLEFINANCE(A1584,""HIGH"")"),38.07)</f>
        <v>38.07</v>
      </c>
      <c r="E1584" s="11">
        <f ca="1">IFERROR(__xludf.DUMMYFUNCTION("GOOGLEFINANCE(A1584,""LOW"")"),37)</f>
        <v>37</v>
      </c>
      <c r="F1584" s="12" t="str">
        <f t="shared" ca="1" si="49"/>
        <v>SELL</v>
      </c>
      <c r="G1584" s="13">
        <f ca="1">IFERROR(__xludf.DUMMYFUNCTION("GOOGLEFINANCE(A1584,""CLOSEYEST"")"),36.26)</f>
        <v>36.26</v>
      </c>
      <c r="H1584" s="14" t="str">
        <f t="shared" ca="1" si="55"/>
        <v>GAP UP</v>
      </c>
      <c r="I1584" s="15">
        <f t="shared" ca="1" si="50"/>
        <v>37.109999999999992</v>
      </c>
      <c r="J1584" s="16">
        <f t="shared" ca="1" si="51"/>
        <v>37.219999999999985</v>
      </c>
      <c r="K1584" s="16"/>
      <c r="L1584" s="16">
        <f t="shared" ca="1" si="52"/>
        <v>36.149999999999984</v>
      </c>
      <c r="M1584" s="16">
        <f t="shared" ca="1" si="53"/>
        <v>38.179999999999993</v>
      </c>
      <c r="N1584" s="16">
        <f t="shared" ca="1" si="54"/>
        <v>36.039999999999992</v>
      </c>
    </row>
    <row r="1585" spans="1:14" ht="24.75" customHeight="1" x14ac:dyDescent="0.8">
      <c r="A1585" s="18" t="s">
        <v>1548</v>
      </c>
      <c r="B1585" s="10">
        <f ca="1">IFERROR(__xludf.DUMMYFUNCTION("GOOGLEFINANCE(A1585,""PRICE"")"),72.5)</f>
        <v>72.5</v>
      </c>
      <c r="C1585" s="11">
        <f ca="1">IFERROR(__xludf.DUMMYFUNCTION("GOOGLEFINANCE(A1585,""PRICEOPEN"")"),73.98)</f>
        <v>73.98</v>
      </c>
      <c r="D1585" s="11">
        <f ca="1">IFERROR(__xludf.DUMMYFUNCTION("GOOGLEFINANCE(A1585,""HIGH"")"),73.98)</f>
        <v>73.98</v>
      </c>
      <c r="E1585" s="11">
        <f ca="1">IFERROR(__xludf.DUMMYFUNCTION("GOOGLEFINANCE(A1585,""LOW"")"),70.91)</f>
        <v>70.91</v>
      </c>
      <c r="F1585" s="12" t="str">
        <f t="shared" ca="1" si="49"/>
        <v>SELL</v>
      </c>
      <c r="G1585" s="13">
        <f ca="1">IFERROR(__xludf.DUMMYFUNCTION("GOOGLEFINANCE(A1585,""CLOSEYEST"")"),70.46)</f>
        <v>70.459999999999994</v>
      </c>
      <c r="H1585" s="14" t="str">
        <f t="shared" ca="1" si="55"/>
        <v>GAP UP</v>
      </c>
      <c r="I1585" s="15">
        <f t="shared" ca="1" si="50"/>
        <v>71.783333333333317</v>
      </c>
      <c r="J1585" s="16">
        <f t="shared" ca="1" si="51"/>
        <v>72.656666666666638</v>
      </c>
      <c r="K1585" s="16"/>
      <c r="L1585" s="16">
        <f t="shared" ca="1" si="52"/>
        <v>69.58666666666663</v>
      </c>
      <c r="M1585" s="16">
        <f t="shared" ca="1" si="53"/>
        <v>74.853333333333325</v>
      </c>
      <c r="N1585" s="16">
        <f t="shared" ca="1" si="54"/>
        <v>68.71333333333331</v>
      </c>
    </row>
    <row r="1586" spans="1:14" ht="24.75" customHeight="1" x14ac:dyDescent="0.8">
      <c r="A1586" s="18" t="s">
        <v>1549</v>
      </c>
      <c r="B1586" s="10">
        <f ca="1">IFERROR(__xludf.DUMMYFUNCTION("GOOGLEFINANCE(A1586,""PRICE"")"),9.11)</f>
        <v>9.11</v>
      </c>
      <c r="C1586" s="11">
        <f ca="1">IFERROR(__xludf.DUMMYFUNCTION("GOOGLEFINANCE(A1586,""PRICEOPEN"")"),9.11)</f>
        <v>9.11</v>
      </c>
      <c r="D1586" s="11">
        <f ca="1">IFERROR(__xludf.DUMMYFUNCTION("GOOGLEFINANCE(A1586,""HIGH"")"),9.11)</f>
        <v>9.11</v>
      </c>
      <c r="E1586" s="11">
        <f ca="1">IFERROR(__xludf.DUMMYFUNCTION("GOOGLEFINANCE(A1586,""LOW"")"),9.11)</f>
        <v>9.11</v>
      </c>
      <c r="F1586" s="12" t="str">
        <f t="shared" ca="1" si="49"/>
        <v>SELL</v>
      </c>
      <c r="G1586" s="13">
        <f ca="1">IFERROR(__xludf.DUMMYFUNCTION("GOOGLEFINANCE(A1586,""CLOSEYEST"")"),8.68)</f>
        <v>8.68</v>
      </c>
      <c r="H1586" s="14" t="str">
        <f t="shared" ca="1" si="55"/>
        <v>GAP UP</v>
      </c>
      <c r="I1586" s="15">
        <f t="shared" ca="1" si="50"/>
        <v>8.9666666666666668</v>
      </c>
      <c r="J1586" s="16">
        <f t="shared" ca="1" si="51"/>
        <v>8.8233333333333341</v>
      </c>
      <c r="K1586" s="16"/>
      <c r="L1586" s="16">
        <f t="shared" ca="1" si="52"/>
        <v>8.8233333333333341</v>
      </c>
      <c r="M1586" s="16">
        <f t="shared" ca="1" si="53"/>
        <v>8.9666666666666668</v>
      </c>
      <c r="N1586" s="16">
        <f t="shared" ca="1" si="54"/>
        <v>8.9666666666666668</v>
      </c>
    </row>
    <row r="1587" spans="1:14" ht="24.75" customHeight="1" x14ac:dyDescent="0.8">
      <c r="A1587" s="18" t="s">
        <v>1550</v>
      </c>
      <c r="B1587" s="10">
        <f ca="1">IFERROR(__xludf.DUMMYFUNCTION("GOOGLEFINANCE(A1587,""PRICE"")"),20.66)</f>
        <v>20.66</v>
      </c>
      <c r="C1587" s="11">
        <f ca="1">IFERROR(__xludf.DUMMYFUNCTION("GOOGLEFINANCE(A1587,""PRICEOPEN"")"),21.35)</f>
        <v>21.35</v>
      </c>
      <c r="D1587" s="11">
        <f ca="1">IFERROR(__xludf.DUMMYFUNCTION("GOOGLEFINANCE(A1587,""HIGH"")"),21.35)</f>
        <v>21.35</v>
      </c>
      <c r="E1587" s="11">
        <f ca="1">IFERROR(__xludf.DUMMYFUNCTION("GOOGLEFINANCE(A1587,""LOW"")"),20)</f>
        <v>20</v>
      </c>
      <c r="F1587" s="12" t="str">
        <f t="shared" ca="1" si="49"/>
        <v>SELL</v>
      </c>
      <c r="G1587" s="13">
        <f ca="1">IFERROR(__xludf.DUMMYFUNCTION("GOOGLEFINANCE(A1587,""CLOSEYEST"")"),21.02)</f>
        <v>21.02</v>
      </c>
      <c r="H1587" s="14" t="str">
        <f t="shared" ca="1" si="55"/>
        <v>GAP UP</v>
      </c>
      <c r="I1587" s="15">
        <f t="shared" ca="1" si="50"/>
        <v>20.790000000000003</v>
      </c>
      <c r="J1587" s="16">
        <f t="shared" ca="1" si="51"/>
        <v>21.580000000000005</v>
      </c>
      <c r="K1587" s="16"/>
      <c r="L1587" s="16">
        <f t="shared" ca="1" si="52"/>
        <v>20.230000000000004</v>
      </c>
      <c r="M1587" s="16">
        <f t="shared" ca="1" si="53"/>
        <v>22.140000000000004</v>
      </c>
      <c r="N1587" s="16">
        <f t="shared" ca="1" si="54"/>
        <v>19.440000000000001</v>
      </c>
    </row>
    <row r="1588" spans="1:14" ht="24.75" customHeight="1" x14ac:dyDescent="0.8">
      <c r="A1588" s="18" t="s">
        <v>1551</v>
      </c>
      <c r="B1588" s="10" t="str">
        <f ca="1">IFERROR(__xludf.DUMMYFUNCTION("GOOGLEFINANCE(A1588,""PRICE"")"),"#N/A")</f>
        <v>#N/A</v>
      </c>
      <c r="C1588" s="11" t="str">
        <f ca="1">IFERROR(__xludf.DUMMYFUNCTION("GOOGLEFINANCE(A1588,""PRICEOPEN"")"),"#N/A")</f>
        <v>#N/A</v>
      </c>
      <c r="D1588" s="11" t="str">
        <f ca="1">IFERROR(__xludf.DUMMYFUNCTION("GOOGLEFINANCE(A1588,""HIGH"")"),"#N/A")</f>
        <v>#N/A</v>
      </c>
      <c r="E1588" s="11" t="str">
        <f ca="1">IFERROR(__xludf.DUMMYFUNCTION("GOOGLEFINANCE(A1588,""LOW"")"),"#N/A")</f>
        <v>#N/A</v>
      </c>
      <c r="F1588" s="12" t="str">
        <f t="shared" ca="1" si="49"/>
        <v>SELL</v>
      </c>
      <c r="G1588" s="13" t="str">
        <f ca="1">IFERROR(__xludf.DUMMYFUNCTION("GOOGLEFINANCE(A1588,""CLOSEYEST"")"),"#N/A")</f>
        <v>#N/A</v>
      </c>
      <c r="H1588" s="14" t="e">
        <f t="shared" ca="1" si="55"/>
        <v>#VALUE!</v>
      </c>
      <c r="I1588" s="15" t="e">
        <f t="shared" ca="1" si="50"/>
        <v>#VALUE!</v>
      </c>
      <c r="J1588" s="16" t="e">
        <f t="shared" ca="1" si="51"/>
        <v>#VALUE!</v>
      </c>
      <c r="K1588" s="16"/>
      <c r="L1588" s="16" t="e">
        <f t="shared" ca="1" si="52"/>
        <v>#VALUE!</v>
      </c>
      <c r="M1588" s="16" t="e">
        <f t="shared" ca="1" si="53"/>
        <v>#VALUE!</v>
      </c>
      <c r="N1588" s="16" t="e">
        <f t="shared" ca="1" si="54"/>
        <v>#VALUE!</v>
      </c>
    </row>
    <row r="1589" spans="1:14" ht="24.75" customHeight="1" x14ac:dyDescent="0.8">
      <c r="A1589" s="18" t="s">
        <v>1552</v>
      </c>
      <c r="B1589" s="10">
        <f ca="1">IFERROR(__xludf.DUMMYFUNCTION("GOOGLEFINANCE(A1589,""PRICE"")"),99.99)</f>
        <v>99.99</v>
      </c>
      <c r="C1589" s="11">
        <f ca="1">IFERROR(__xludf.DUMMYFUNCTION("GOOGLEFINANCE(A1589,""PRICEOPEN"")"),101.32)</f>
        <v>101.32</v>
      </c>
      <c r="D1589" s="11">
        <f ca="1">IFERROR(__xludf.DUMMYFUNCTION("GOOGLEFINANCE(A1589,""HIGH"")"),102.2)</f>
        <v>102.2</v>
      </c>
      <c r="E1589" s="11">
        <f ca="1">IFERROR(__xludf.DUMMYFUNCTION("GOOGLEFINANCE(A1589,""LOW"")"),99.6)</f>
        <v>99.6</v>
      </c>
      <c r="F1589" s="12" t="str">
        <f t="shared" ca="1" si="49"/>
        <v/>
      </c>
      <c r="G1589" s="13">
        <f ca="1">IFERROR(__xludf.DUMMYFUNCTION("GOOGLEFINANCE(A1589,""CLOSEYEST"")"),101.32)</f>
        <v>101.32</v>
      </c>
      <c r="H1589" s="14" t="str">
        <f t="shared" ca="1" si="55"/>
        <v/>
      </c>
      <c r="I1589" s="15">
        <f t="shared" ca="1" si="50"/>
        <v>101.04</v>
      </c>
      <c r="J1589" s="16">
        <f t="shared" ca="1" si="51"/>
        <v>102.48000000000002</v>
      </c>
      <c r="K1589" s="16"/>
      <c r="L1589" s="16">
        <f t="shared" ca="1" si="52"/>
        <v>99.88000000000001</v>
      </c>
      <c r="M1589" s="16">
        <f t="shared" ca="1" si="53"/>
        <v>103.64000000000001</v>
      </c>
      <c r="N1589" s="16">
        <f t="shared" ca="1" si="54"/>
        <v>98.44</v>
      </c>
    </row>
    <row r="1590" spans="1:14" ht="24.75" customHeight="1" x14ac:dyDescent="0.8">
      <c r="A1590" s="18" t="s">
        <v>1553</v>
      </c>
      <c r="B1590" s="10">
        <f ca="1">IFERROR(__xludf.DUMMYFUNCTION("GOOGLEFINANCE(A1590,""PRICE"")"),102)</f>
        <v>102</v>
      </c>
      <c r="C1590" s="11">
        <f ca="1">IFERROR(__xludf.DUMMYFUNCTION("GOOGLEFINANCE(A1590,""PRICEOPEN"")"),101.24)</f>
        <v>101.24</v>
      </c>
      <c r="D1590" s="11">
        <f ca="1">IFERROR(__xludf.DUMMYFUNCTION("GOOGLEFINANCE(A1590,""HIGH"")"),102.84)</f>
        <v>102.84</v>
      </c>
      <c r="E1590" s="11">
        <f ca="1">IFERROR(__xludf.DUMMYFUNCTION("GOOGLEFINANCE(A1590,""LOW"")"),101.05)</f>
        <v>101.05</v>
      </c>
      <c r="F1590" s="12" t="str">
        <f t="shared" ca="1" si="49"/>
        <v/>
      </c>
      <c r="G1590" s="13">
        <f ca="1">IFERROR(__xludf.DUMMYFUNCTION("GOOGLEFINANCE(A1590,""CLOSEYEST"")"),101.85)</f>
        <v>101.85</v>
      </c>
      <c r="H1590" s="14" t="str">
        <f t="shared" ca="1" si="55"/>
        <v/>
      </c>
      <c r="I1590" s="15">
        <f t="shared" ca="1" si="50"/>
        <v>101.91333333333334</v>
      </c>
      <c r="J1590" s="16">
        <f t="shared" ca="1" si="51"/>
        <v>102.77666666666669</v>
      </c>
      <c r="K1590" s="16"/>
      <c r="L1590" s="16">
        <f t="shared" ca="1" si="52"/>
        <v>100.98666666666668</v>
      </c>
      <c r="M1590" s="16">
        <f t="shared" ca="1" si="53"/>
        <v>103.70333333333335</v>
      </c>
      <c r="N1590" s="16">
        <f t="shared" ca="1" si="54"/>
        <v>100.12333333333333</v>
      </c>
    </row>
    <row r="1591" spans="1:14" ht="24.75" customHeight="1" x14ac:dyDescent="0.8">
      <c r="A1591" s="18" t="s">
        <v>1554</v>
      </c>
      <c r="B1591" s="10">
        <f ca="1">IFERROR(__xludf.DUMMYFUNCTION("GOOGLEFINANCE(A1591,""PRICE"")"),0.59)</f>
        <v>0.59</v>
      </c>
      <c r="C1591" s="11">
        <f ca="1">IFERROR(__xludf.DUMMYFUNCTION("GOOGLEFINANCE(A1591,""PRICEOPEN"")"),0.59)</f>
        <v>0.59</v>
      </c>
      <c r="D1591" s="11">
        <f ca="1">IFERROR(__xludf.DUMMYFUNCTION("GOOGLEFINANCE(A1591,""HIGH"")"),0.6)</f>
        <v>0.6</v>
      </c>
      <c r="E1591" s="11">
        <f ca="1">IFERROR(__xludf.DUMMYFUNCTION("GOOGLEFINANCE(A1591,""LOW"")"),0.58)</f>
        <v>0.57999999999999996</v>
      </c>
      <c r="F1591" s="12" t="str">
        <f t="shared" ca="1" si="49"/>
        <v/>
      </c>
      <c r="G1591" s="13">
        <f ca="1">IFERROR(__xludf.DUMMYFUNCTION("GOOGLEFINANCE(A1591,""CLOSEYEST"")"),0.59)</f>
        <v>0.59</v>
      </c>
      <c r="H1591" s="14" t="str">
        <f t="shared" ca="1" si="55"/>
        <v/>
      </c>
      <c r="I1591" s="15">
        <f t="shared" ca="1" si="50"/>
        <v>0.59</v>
      </c>
      <c r="J1591" s="16">
        <f t="shared" ca="1" si="51"/>
        <v>0.6</v>
      </c>
      <c r="K1591" s="16"/>
      <c r="L1591" s="16">
        <f t="shared" ca="1" si="52"/>
        <v>0.57999999999999996</v>
      </c>
      <c r="M1591" s="16">
        <f t="shared" ca="1" si="53"/>
        <v>0.61</v>
      </c>
      <c r="N1591" s="16">
        <f t="shared" ca="1" si="54"/>
        <v>0.56999999999999995</v>
      </c>
    </row>
    <row r="1592" spans="1:14" ht="24.75" customHeight="1" x14ac:dyDescent="0.8">
      <c r="A1592" s="18" t="s">
        <v>1555</v>
      </c>
      <c r="B1592" s="10">
        <f ca="1">IFERROR(__xludf.DUMMYFUNCTION("GOOGLEFINANCE(A1592,""PRICE"")"),1.22)</f>
        <v>1.22</v>
      </c>
      <c r="C1592" s="11">
        <f ca="1">IFERROR(__xludf.DUMMYFUNCTION("GOOGLEFINANCE(A1592,""PRICEOPEN"")"),1.18)</f>
        <v>1.18</v>
      </c>
      <c r="D1592" s="11">
        <f ca="1">IFERROR(__xludf.DUMMYFUNCTION("GOOGLEFINANCE(A1592,""HIGH"")"),1.29)</f>
        <v>1.29</v>
      </c>
      <c r="E1592" s="11">
        <f ca="1">IFERROR(__xludf.DUMMYFUNCTION("GOOGLEFINANCE(A1592,""LOW"")"),1.18)</f>
        <v>1.18</v>
      </c>
      <c r="F1592" s="12" t="str">
        <f t="shared" ca="1" si="49"/>
        <v>BUY</v>
      </c>
      <c r="G1592" s="13">
        <f ca="1">IFERROR(__xludf.DUMMYFUNCTION("GOOGLEFINANCE(A1592,""CLOSEYEST"")"),1.23)</f>
        <v>1.23</v>
      </c>
      <c r="H1592" s="14" t="str">
        <f t="shared" ca="1" si="55"/>
        <v>GAP DOWN</v>
      </c>
      <c r="I1592" s="15">
        <f t="shared" ca="1" si="50"/>
        <v>1.2333333333333332</v>
      </c>
      <c r="J1592" s="16">
        <f t="shared" ca="1" si="51"/>
        <v>1.2866666666666664</v>
      </c>
      <c r="K1592" s="16"/>
      <c r="L1592" s="16">
        <f t="shared" ca="1" si="52"/>
        <v>1.1766666666666663</v>
      </c>
      <c r="M1592" s="16">
        <f t="shared" ca="1" si="53"/>
        <v>1.3433333333333333</v>
      </c>
      <c r="N1592" s="16">
        <f t="shared" ca="1" si="54"/>
        <v>1.1233333333333331</v>
      </c>
    </row>
    <row r="1593" spans="1:14" ht="15.75" customHeight="1" x14ac:dyDescent="0.2">
      <c r="A1593" s="19"/>
    </row>
    <row r="1594" spans="1:14" ht="15.75" customHeight="1" x14ac:dyDescent="0.2">
      <c r="A1594" s="19"/>
    </row>
    <row r="1595" spans="1:14" ht="15.75" customHeight="1" x14ac:dyDescent="0.2">
      <c r="A1595" s="19"/>
    </row>
  </sheetData>
  <mergeCells count="1">
    <mergeCell ref="B1:N1"/>
  </mergeCells>
  <conditionalFormatting sqref="F2:F1592">
    <cfRule type="containsText" dxfId="11" priority="3" operator="containsText" text="BUY">
      <formula>NOT(ISERROR(SEARCH(("BUY"),(F2))))</formula>
    </cfRule>
    <cfRule type="containsText" dxfId="10" priority="4" operator="containsText" text="SELL">
      <formula>NOT(ISERROR(SEARCH(("SELL"),(F2))))</formula>
    </cfRule>
    <cfRule type="containsBlanks" dxfId="9" priority="5">
      <formula>LEN(TRIM(F2))=0</formula>
    </cfRule>
  </conditionalFormatting>
  <conditionalFormatting sqref="H2:H1592">
    <cfRule type="containsText" dxfId="8" priority="1" operator="containsText" text="GAP UP">
      <formula>NOT(ISERROR(SEARCH(("GAP UP"),(H2))))</formula>
    </cfRule>
    <cfRule type="containsText" dxfId="7" priority="2" operator="containsText" text="GAP DOWN">
      <formula>NOT(ISERROR(SEARCH(("GAP DOWN"),(H2))))</formula>
    </cfRule>
    <cfRule type="containsBlanks" dxfId="6" priority="6">
      <formula>LEN(TRIM(H2))=0</formula>
    </cfRule>
  </conditionalFormatting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2"/>
  <sheetViews>
    <sheetView workbookViewId="0"/>
  </sheetViews>
  <sheetFormatPr defaultColWidth="12.67578125" defaultRowHeight="15" customHeight="1" x14ac:dyDescent="0.15"/>
  <sheetData>
    <row r="1" spans="1:1" ht="15" customHeight="1" x14ac:dyDescent="0.15">
      <c r="A1" s="20" t="s">
        <v>1556</v>
      </c>
    </row>
    <row r="2" spans="1:1" ht="12.75" x14ac:dyDescent="0.15">
      <c r="A2" s="21" t="e">
        <f ca="1">_xludf.WEBSERVICE("https://query1.finance.yahoo.com/v7/finance/quote?symbols=BPCL.NS")</f>
        <v>#NAME?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N1595"/>
  <sheetViews>
    <sheetView workbookViewId="0">
      <pane xSplit="1" ySplit="2" topLeftCell="B3" activePane="bottomRight" state="frozen"/>
      <selection pane="bottomLeft" activeCell="A3" sqref="A3"/>
      <selection pane="topRight" activeCell="B1" sqref="B1"/>
      <selection pane="bottomRight" activeCell="B3" sqref="B3"/>
    </sheetView>
  </sheetViews>
  <sheetFormatPr defaultColWidth="12.67578125" defaultRowHeight="15" customHeight="1" x14ac:dyDescent="0.15"/>
  <cols>
    <col min="1" max="1" width="35.05859375" customWidth="1"/>
    <col min="2" max="2" width="17.39453125" customWidth="1"/>
    <col min="3" max="4" width="12.67578125" customWidth="1"/>
    <col min="5" max="5" width="9.57421875" customWidth="1"/>
    <col min="6" max="6" width="37.3515625" customWidth="1"/>
    <col min="7" max="7" width="22.921875" customWidth="1"/>
    <col min="8" max="8" width="42.34375" customWidth="1"/>
    <col min="9" max="9" width="20.2265625" customWidth="1"/>
    <col min="10" max="11" width="19.01171875" customWidth="1"/>
    <col min="12" max="12" width="15.37109375" customWidth="1"/>
  </cols>
  <sheetData>
    <row r="1" spans="1:14" ht="69.75" customHeight="1" x14ac:dyDescent="1.2">
      <c r="A1" s="1" t="s">
        <v>0</v>
      </c>
      <c r="B1" s="22" t="s">
        <v>1</v>
      </c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4"/>
    </row>
    <row r="2" spans="1:14" ht="24.75" customHeight="1" x14ac:dyDescent="0.3">
      <c r="A2" s="2" t="s">
        <v>2</v>
      </c>
      <c r="B2" s="3" t="s">
        <v>3</v>
      </c>
      <c r="C2" s="4" t="s">
        <v>4</v>
      </c>
      <c r="D2" s="4" t="s">
        <v>5</v>
      </c>
      <c r="E2" s="4" t="s">
        <v>6</v>
      </c>
      <c r="F2" s="5" t="s">
        <v>7</v>
      </c>
      <c r="G2" s="4" t="s">
        <v>8</v>
      </c>
      <c r="H2" s="6" t="s">
        <v>9</v>
      </c>
      <c r="I2" s="7" t="s">
        <v>10</v>
      </c>
      <c r="J2" s="8" t="s">
        <v>11</v>
      </c>
      <c r="K2" s="8"/>
      <c r="L2" s="8" t="s">
        <v>12</v>
      </c>
      <c r="M2" s="8" t="s">
        <v>13</v>
      </c>
      <c r="N2" s="8" t="s">
        <v>14</v>
      </c>
    </row>
    <row r="3" spans="1:14" ht="24.75" customHeight="1" x14ac:dyDescent="0.8">
      <c r="A3" s="9" t="s">
        <v>15</v>
      </c>
      <c r="B3" s="10">
        <f ca="1">IFERROR(__xludf.DUMMYFUNCTION("GOOGLEFINANCE(A3,""PRICE"")"),2586.1)</f>
        <v>2586.1</v>
      </c>
      <c r="C3" s="11">
        <f ca="1">IFERROR(__xludf.DUMMYFUNCTION("GOOGLEFINANCE(A3,""PRICEOPEN"")"),2595)</f>
        <v>2595</v>
      </c>
      <c r="D3" s="11">
        <f ca="1">IFERROR(__xludf.DUMMYFUNCTION("GOOGLEFINANCE(A3,""HIGH"")"),2612.9)</f>
        <v>2612.9</v>
      </c>
      <c r="E3" s="11">
        <f ca="1">IFERROR(__xludf.DUMMYFUNCTION("GOOGLEFINANCE(A3,""LOW"")"),2564.4)</f>
        <v>2564.4</v>
      </c>
      <c r="F3" s="12" t="str">
        <f t="shared" ref="F3:F22" ca="1" si="0">IF(C3=D3,"SELL",IF(C3=E3,"BUY", ""))</f>
        <v/>
      </c>
      <c r="G3" s="13">
        <f ca="1">IFERROR(__xludf.DUMMYFUNCTION("GOOGLEFINANCE(A3,""CLOSEYEST"")"),2592.7)</f>
        <v>2592.6999999999998</v>
      </c>
      <c r="H3" s="14" t="str">
        <f t="shared" ref="H3:H22" ca="1" si="1">IF(C3&gt;=(G3+(G3*1%)),"GAP UP",IF(C3&lt;=(G3-(G3*1%)),"GAP DOWN",""))</f>
        <v/>
      </c>
      <c r="I3" s="15">
        <f t="shared" ref="I3:I22" ca="1" si="2">(D3+E3+G3)/3</f>
        <v>2590</v>
      </c>
      <c r="J3" s="16">
        <f t="shared" ref="J3:J22" ca="1" si="3">(I3*2)-E3</f>
        <v>2615.6</v>
      </c>
      <c r="K3" s="16"/>
      <c r="L3" s="16">
        <f t="shared" ref="L3:L22" ca="1" si="4">(I3*2)-D3</f>
        <v>2567.1</v>
      </c>
      <c r="M3" s="16">
        <f t="shared" ref="M3:M22" ca="1" si="5">I3+(J3-L3)</f>
        <v>2638.5</v>
      </c>
      <c r="N3" s="16">
        <f t="shared" ref="N3:N22" ca="1" si="6">I3-(J3-L3)</f>
        <v>2541.5</v>
      </c>
    </row>
    <row r="4" spans="1:14" ht="24.75" customHeight="1" x14ac:dyDescent="0.8">
      <c r="A4" s="9" t="s">
        <v>16</v>
      </c>
      <c r="B4" s="10">
        <f ca="1">IFERROR(__xludf.DUMMYFUNCTION("GOOGLEFINANCE(A4,""PRICE"")"),1419.9)</f>
        <v>1419.9</v>
      </c>
      <c r="C4" s="11">
        <f ca="1">IFERROR(__xludf.DUMMYFUNCTION("GOOGLEFINANCE(A4,""PRICEOPEN"")"),1413)</f>
        <v>1413</v>
      </c>
      <c r="D4" s="11">
        <f ca="1">IFERROR(__xludf.DUMMYFUNCTION("GOOGLEFINANCE(A4,""HIGH"")"),1431)</f>
        <v>1431</v>
      </c>
      <c r="E4" s="11">
        <f ca="1">IFERROR(__xludf.DUMMYFUNCTION("GOOGLEFINANCE(A4,""LOW"")"),1412.5)</f>
        <v>1412.5</v>
      </c>
      <c r="F4" s="12" t="str">
        <f t="shared" ca="1" si="0"/>
        <v/>
      </c>
      <c r="G4" s="13">
        <f ca="1">IFERROR(__xludf.DUMMYFUNCTION("GOOGLEFINANCE(A4,""CLOSEYEST"")"),1422.7)</f>
        <v>1422.7</v>
      </c>
      <c r="H4" s="14" t="str">
        <f t="shared" ca="1" si="1"/>
        <v/>
      </c>
      <c r="I4" s="15">
        <f t="shared" ca="1" si="2"/>
        <v>1422.0666666666666</v>
      </c>
      <c r="J4" s="16">
        <f t="shared" ca="1" si="3"/>
        <v>1431.6333333333332</v>
      </c>
      <c r="K4" s="16"/>
      <c r="L4" s="16">
        <f t="shared" ca="1" si="4"/>
        <v>1413.1333333333332</v>
      </c>
      <c r="M4" s="16">
        <f t="shared" ca="1" si="5"/>
        <v>1440.5666666666666</v>
      </c>
      <c r="N4" s="16">
        <f t="shared" ca="1" si="6"/>
        <v>1403.5666666666666</v>
      </c>
    </row>
    <row r="5" spans="1:14" ht="24.75" customHeight="1" x14ac:dyDescent="0.8">
      <c r="A5" s="9" t="s">
        <v>17</v>
      </c>
      <c r="B5" s="10">
        <f ca="1">IFERROR(__xludf.DUMMYFUNCTION("GOOGLEFINANCE(A5,""PRICE"")"),7450)</f>
        <v>7450</v>
      </c>
      <c r="C5" s="11">
        <f ca="1">IFERROR(__xludf.DUMMYFUNCTION("GOOGLEFINANCE(A5,""PRICEOPEN"")"),7441)</f>
        <v>7441</v>
      </c>
      <c r="D5" s="11">
        <f ca="1">IFERROR(__xludf.DUMMYFUNCTION("GOOGLEFINANCE(A5,""HIGH"")"),7484)</f>
        <v>7484</v>
      </c>
      <c r="E5" s="11">
        <f ca="1">IFERROR(__xludf.DUMMYFUNCTION("GOOGLEFINANCE(A5,""LOW"")"),7404)</f>
        <v>7404</v>
      </c>
      <c r="F5" s="12" t="str">
        <f t="shared" ca="1" si="0"/>
        <v/>
      </c>
      <c r="G5" s="13">
        <f ca="1">IFERROR(__xludf.DUMMYFUNCTION("GOOGLEFINANCE(A5,""CLOSEYEST"")"),7441)</f>
        <v>7441</v>
      </c>
      <c r="H5" s="14" t="str">
        <f t="shared" ca="1" si="1"/>
        <v/>
      </c>
      <c r="I5" s="15">
        <f t="shared" ca="1" si="2"/>
        <v>7443</v>
      </c>
      <c r="J5" s="16">
        <f t="shared" ca="1" si="3"/>
        <v>7482</v>
      </c>
      <c r="K5" s="16"/>
      <c r="L5" s="16">
        <f t="shared" ca="1" si="4"/>
        <v>7402</v>
      </c>
      <c r="M5" s="16">
        <f t="shared" ca="1" si="5"/>
        <v>7523</v>
      </c>
      <c r="N5" s="16">
        <f t="shared" ca="1" si="6"/>
        <v>7363</v>
      </c>
    </row>
    <row r="6" spans="1:14" ht="24.75" customHeight="1" x14ac:dyDescent="0.8">
      <c r="A6" s="9" t="s">
        <v>18</v>
      </c>
      <c r="B6" s="10">
        <f ca="1">IFERROR(__xludf.DUMMYFUNCTION("GOOGLEFINANCE(A6,""PRICE"")"),2358.1)</f>
        <v>2358.1</v>
      </c>
      <c r="C6" s="11">
        <f ca="1">IFERROR(__xludf.DUMMYFUNCTION("GOOGLEFINANCE(A6,""PRICEOPEN"")"),2342.2)</f>
        <v>2342.1999999999998</v>
      </c>
      <c r="D6" s="11">
        <f ca="1">IFERROR(__xludf.DUMMYFUNCTION("GOOGLEFINANCE(A6,""HIGH"")"),2362.7)</f>
        <v>2362.6999999999998</v>
      </c>
      <c r="E6" s="11">
        <f ca="1">IFERROR(__xludf.DUMMYFUNCTION("GOOGLEFINANCE(A6,""LOW"")"),2336.1)</f>
        <v>2336.1</v>
      </c>
      <c r="F6" s="12" t="str">
        <f t="shared" ca="1" si="0"/>
        <v/>
      </c>
      <c r="G6" s="13">
        <f ca="1">IFERROR(__xludf.DUMMYFUNCTION("GOOGLEFINANCE(A6,""CLOSEYEST"")"),2335.8)</f>
        <v>2335.8000000000002</v>
      </c>
      <c r="H6" s="14" t="str">
        <f t="shared" ca="1" si="1"/>
        <v/>
      </c>
      <c r="I6" s="15">
        <f t="shared" ca="1" si="2"/>
        <v>2344.8666666666663</v>
      </c>
      <c r="J6" s="16">
        <f t="shared" ca="1" si="3"/>
        <v>2353.6333333333328</v>
      </c>
      <c r="K6" s="16"/>
      <c r="L6" s="16">
        <f t="shared" ca="1" si="4"/>
        <v>2327.0333333333328</v>
      </c>
      <c r="M6" s="16">
        <f t="shared" ca="1" si="5"/>
        <v>2371.4666666666662</v>
      </c>
      <c r="N6" s="16">
        <f t="shared" ca="1" si="6"/>
        <v>2318.2666666666664</v>
      </c>
    </row>
    <row r="7" spans="1:14" ht="24.75" customHeight="1" x14ac:dyDescent="0.8">
      <c r="A7" s="9" t="s">
        <v>19</v>
      </c>
      <c r="B7" s="10">
        <f ca="1">IFERROR(__xludf.DUMMYFUNCTION("GOOGLEFINANCE(A7,""PRICE"")"),1183)</f>
        <v>1183</v>
      </c>
      <c r="C7" s="11">
        <f ca="1">IFERROR(__xludf.DUMMYFUNCTION("GOOGLEFINANCE(A7,""PRICEOPEN"")"),1171)</f>
        <v>1171</v>
      </c>
      <c r="D7" s="11">
        <f ca="1">IFERROR(__xludf.DUMMYFUNCTION("GOOGLEFINANCE(A7,""HIGH"")"),1188)</f>
        <v>1188</v>
      </c>
      <c r="E7" s="11">
        <f ca="1">IFERROR(__xludf.DUMMYFUNCTION("GOOGLEFINANCE(A7,""LOW"")"),1169.5)</f>
        <v>1169.5</v>
      </c>
      <c r="F7" s="12" t="str">
        <f t="shared" ca="1" si="0"/>
        <v/>
      </c>
      <c r="G7" s="13">
        <f ca="1">IFERROR(__xludf.DUMMYFUNCTION("GOOGLEFINANCE(A7,""CLOSEYEST"")"),1159.5)</f>
        <v>1159.5</v>
      </c>
      <c r="H7" s="14" t="str">
        <f t="shared" ca="1" si="1"/>
        <v/>
      </c>
      <c r="I7" s="15">
        <f t="shared" ca="1" si="2"/>
        <v>1172.3333333333333</v>
      </c>
      <c r="J7" s="16">
        <f t="shared" ca="1" si="3"/>
        <v>1175.1666666666665</v>
      </c>
      <c r="K7" s="16"/>
      <c r="L7" s="16">
        <f t="shared" ca="1" si="4"/>
        <v>1156.6666666666665</v>
      </c>
      <c r="M7" s="16">
        <f t="shared" ca="1" si="5"/>
        <v>1190.8333333333333</v>
      </c>
      <c r="N7" s="16">
        <f t="shared" ca="1" si="6"/>
        <v>1153.8333333333333</v>
      </c>
    </row>
    <row r="8" spans="1:14" ht="24.75" customHeight="1" x14ac:dyDescent="0.8">
      <c r="A8" s="9" t="s">
        <v>20</v>
      </c>
      <c r="B8" s="10">
        <f ca="1">IFERROR(__xludf.DUMMYFUNCTION("GOOGLEFINANCE(A8,""PRICE"")"),8685)</f>
        <v>8685</v>
      </c>
      <c r="C8" s="11">
        <f ca="1">IFERROR(__xludf.DUMMYFUNCTION("GOOGLEFINANCE(A8,""PRICEOPEN"")"),8626.5)</f>
        <v>8626.5</v>
      </c>
      <c r="D8" s="11">
        <f ca="1">IFERROR(__xludf.DUMMYFUNCTION("GOOGLEFINANCE(A8,""HIGH"")"),8698.5)</f>
        <v>8698.5</v>
      </c>
      <c r="E8" s="11">
        <f ca="1">IFERROR(__xludf.DUMMYFUNCTION("GOOGLEFINANCE(A8,""LOW"")"),8491.5)</f>
        <v>8491.5</v>
      </c>
      <c r="F8" s="12" t="str">
        <f t="shared" ca="1" si="0"/>
        <v/>
      </c>
      <c r="G8" s="13">
        <f ca="1">IFERROR(__xludf.DUMMYFUNCTION("GOOGLEFINANCE(A8,""CLOSEYEST"")"),8626.5)</f>
        <v>8626.5</v>
      </c>
      <c r="H8" s="14" t="str">
        <f t="shared" ca="1" si="1"/>
        <v/>
      </c>
      <c r="I8" s="15">
        <f t="shared" ca="1" si="2"/>
        <v>8605.5</v>
      </c>
      <c r="J8" s="16">
        <f t="shared" ca="1" si="3"/>
        <v>8719.5</v>
      </c>
      <c r="K8" s="16"/>
      <c r="L8" s="16">
        <f t="shared" ca="1" si="4"/>
        <v>8512.5</v>
      </c>
      <c r="M8" s="16">
        <f t="shared" ca="1" si="5"/>
        <v>8812.5</v>
      </c>
      <c r="N8" s="16">
        <f t="shared" ca="1" si="6"/>
        <v>8398.5</v>
      </c>
    </row>
    <row r="9" spans="1:14" ht="24.75" customHeight="1" x14ac:dyDescent="0.8">
      <c r="A9" s="9" t="s">
        <v>21</v>
      </c>
      <c r="B9" s="10">
        <f ca="1">IFERROR(__xludf.DUMMYFUNCTION("GOOGLEFINANCE(A9,""PRICE"")"),990)</f>
        <v>990</v>
      </c>
      <c r="C9" s="11">
        <f ca="1">IFERROR(__xludf.DUMMYFUNCTION("GOOGLEFINANCE(A9,""PRICEOPEN"")"),975)</f>
        <v>975</v>
      </c>
      <c r="D9" s="11">
        <f ca="1">IFERROR(__xludf.DUMMYFUNCTION("GOOGLEFINANCE(A9,""HIGH"")"),992.2)</f>
        <v>992.2</v>
      </c>
      <c r="E9" s="11">
        <f ca="1">IFERROR(__xludf.DUMMYFUNCTION("GOOGLEFINANCE(A9,""LOW"")"),972)</f>
        <v>972</v>
      </c>
      <c r="F9" s="12" t="str">
        <f t="shared" ca="1" si="0"/>
        <v/>
      </c>
      <c r="G9" s="13">
        <f ca="1">IFERROR(__xludf.DUMMYFUNCTION("GOOGLEFINANCE(A9,""CLOSEYEST"")"),987.7)</f>
        <v>987.7</v>
      </c>
      <c r="H9" s="14" t="str">
        <f t="shared" ca="1" si="1"/>
        <v>GAP DOWN</v>
      </c>
      <c r="I9" s="15">
        <f t="shared" ca="1" si="2"/>
        <v>983.9666666666667</v>
      </c>
      <c r="J9" s="16">
        <f t="shared" ca="1" si="3"/>
        <v>995.93333333333339</v>
      </c>
      <c r="K9" s="16"/>
      <c r="L9" s="16">
        <f t="shared" ca="1" si="4"/>
        <v>975.73333333333335</v>
      </c>
      <c r="M9" s="16">
        <f t="shared" ca="1" si="5"/>
        <v>1004.1666666666667</v>
      </c>
      <c r="N9" s="16">
        <f t="shared" ca="1" si="6"/>
        <v>963.76666666666665</v>
      </c>
    </row>
    <row r="10" spans="1:14" ht="24.75" customHeight="1" x14ac:dyDescent="0.8">
      <c r="A10" s="9" t="s">
        <v>22</v>
      </c>
      <c r="B10" s="10">
        <f ca="1">IFERROR(__xludf.DUMMYFUNCTION("GOOGLEFINANCE(A10,""PRICE"")"),1994.2)</f>
        <v>1994.2</v>
      </c>
      <c r="C10" s="11">
        <f ca="1">IFERROR(__xludf.DUMMYFUNCTION("GOOGLEFINANCE(A10,""PRICEOPEN"")"),2016.5)</f>
        <v>2016.5</v>
      </c>
      <c r="D10" s="11">
        <f ca="1">IFERROR(__xludf.DUMMYFUNCTION("GOOGLEFINANCE(A10,""HIGH"")"),2017)</f>
        <v>2017</v>
      </c>
      <c r="E10" s="11">
        <f ca="1">IFERROR(__xludf.DUMMYFUNCTION("GOOGLEFINANCE(A10,""LOW"")"),1968)</f>
        <v>1968</v>
      </c>
      <c r="F10" s="12" t="str">
        <f t="shared" ca="1" si="0"/>
        <v/>
      </c>
      <c r="G10" s="13">
        <f ca="1">IFERROR(__xludf.DUMMYFUNCTION("GOOGLEFINANCE(A10,""CLOSEYEST"")"),2007)</f>
        <v>2007</v>
      </c>
      <c r="H10" s="14" t="str">
        <f t="shared" ca="1" si="1"/>
        <v/>
      </c>
      <c r="I10" s="15">
        <f t="shared" ca="1" si="2"/>
        <v>1997.3333333333333</v>
      </c>
      <c r="J10" s="16">
        <f t="shared" ca="1" si="3"/>
        <v>2026.6666666666665</v>
      </c>
      <c r="K10" s="16"/>
      <c r="L10" s="16">
        <f t="shared" ca="1" si="4"/>
        <v>1977.6666666666665</v>
      </c>
      <c r="M10" s="16">
        <f t="shared" ca="1" si="5"/>
        <v>2046.3333333333333</v>
      </c>
      <c r="N10" s="16">
        <f t="shared" ca="1" si="6"/>
        <v>1948.3333333333333</v>
      </c>
    </row>
    <row r="11" spans="1:14" ht="24.75" customHeight="1" x14ac:dyDescent="0.8">
      <c r="A11" s="9" t="s">
        <v>23</v>
      </c>
      <c r="B11" s="10">
        <f ca="1">IFERROR(__xludf.DUMMYFUNCTION("GOOGLEFINANCE(A11,""PRICE"")"),342)</f>
        <v>342</v>
      </c>
      <c r="C11" s="11">
        <f ca="1">IFERROR(__xludf.DUMMYFUNCTION("GOOGLEFINANCE(A11,""PRICEOPEN"")"),344)</f>
        <v>344</v>
      </c>
      <c r="D11" s="11">
        <f ca="1">IFERROR(__xludf.DUMMYFUNCTION("GOOGLEFINANCE(A11,""HIGH"")"),344.9)</f>
        <v>344.9</v>
      </c>
      <c r="E11" s="11">
        <f ca="1">IFERROR(__xludf.DUMMYFUNCTION("GOOGLEFINANCE(A11,""LOW"")"),337.6)</f>
        <v>337.6</v>
      </c>
      <c r="F11" s="12" t="str">
        <f t="shared" ca="1" si="0"/>
        <v/>
      </c>
      <c r="G11" s="13">
        <f ca="1">IFERROR(__xludf.DUMMYFUNCTION("GOOGLEFINANCE(A11,""CLOSEYEST"")"),339.7)</f>
        <v>339.7</v>
      </c>
      <c r="H11" s="14" t="str">
        <f t="shared" ca="1" si="1"/>
        <v>GAP UP</v>
      </c>
      <c r="I11" s="15">
        <f t="shared" ca="1" si="2"/>
        <v>340.73333333333335</v>
      </c>
      <c r="J11" s="16">
        <f t="shared" ca="1" si="3"/>
        <v>343.86666666666667</v>
      </c>
      <c r="K11" s="16"/>
      <c r="L11" s="16">
        <f t="shared" ca="1" si="4"/>
        <v>336.56666666666672</v>
      </c>
      <c r="M11" s="16">
        <f t="shared" ca="1" si="5"/>
        <v>348.0333333333333</v>
      </c>
      <c r="N11" s="16">
        <f t="shared" ca="1" si="6"/>
        <v>333.43333333333339</v>
      </c>
    </row>
    <row r="12" spans="1:14" ht="24.75" customHeight="1" x14ac:dyDescent="0.8">
      <c r="A12" s="9" t="s">
        <v>24</v>
      </c>
      <c r="B12" s="10">
        <f ca="1">IFERROR(__xludf.DUMMYFUNCTION("GOOGLEFINANCE(A12,""PRICE"")"),1896.9)</f>
        <v>1896.9</v>
      </c>
      <c r="C12" s="11">
        <f ca="1">IFERROR(__xludf.DUMMYFUNCTION("GOOGLEFINANCE(A12,""PRICEOPEN"")"),1851.2)</f>
        <v>1851.2</v>
      </c>
      <c r="D12" s="11">
        <f ca="1">IFERROR(__xludf.DUMMYFUNCTION("GOOGLEFINANCE(A12,""HIGH"")"),1900.3)</f>
        <v>1900.3</v>
      </c>
      <c r="E12" s="11">
        <f ca="1">IFERROR(__xludf.DUMMYFUNCTION("GOOGLEFINANCE(A12,""LOW"")"),1848.1)</f>
        <v>1848.1</v>
      </c>
      <c r="F12" s="12" t="str">
        <f t="shared" ca="1" si="0"/>
        <v/>
      </c>
      <c r="G12" s="13">
        <f ca="1">IFERROR(__xludf.DUMMYFUNCTION("GOOGLEFINANCE(A12,""CLOSEYEST"")"),1867.6)</f>
        <v>1867.6</v>
      </c>
      <c r="H12" s="14" t="str">
        <f t="shared" ca="1" si="1"/>
        <v/>
      </c>
      <c r="I12" s="15">
        <f t="shared" ca="1" si="2"/>
        <v>1872</v>
      </c>
      <c r="J12" s="16">
        <f t="shared" ca="1" si="3"/>
        <v>1895.9</v>
      </c>
      <c r="K12" s="16"/>
      <c r="L12" s="16">
        <f t="shared" ca="1" si="4"/>
        <v>1843.7</v>
      </c>
      <c r="M12" s="16">
        <f t="shared" ca="1" si="5"/>
        <v>1924.2</v>
      </c>
      <c r="N12" s="16">
        <f t="shared" ca="1" si="6"/>
        <v>1819.8</v>
      </c>
    </row>
    <row r="13" spans="1:14" ht="24.75" customHeight="1" x14ac:dyDescent="0.8">
      <c r="A13" s="9" t="s">
        <v>25</v>
      </c>
      <c r="B13" s="10">
        <f ca="1">IFERROR(__xludf.DUMMYFUNCTION("GOOGLEFINANCE(A13,""PRICE"")"),5985)</f>
        <v>5985</v>
      </c>
      <c r="C13" s="11">
        <f ca="1">IFERROR(__xludf.DUMMYFUNCTION("GOOGLEFINANCE(A13,""PRICEOPEN"")"),5965)</f>
        <v>5965</v>
      </c>
      <c r="D13" s="11">
        <f ca="1">IFERROR(__xludf.DUMMYFUNCTION("GOOGLEFINANCE(A13,""HIGH"")"),6014)</f>
        <v>6014</v>
      </c>
      <c r="E13" s="11">
        <f ca="1">IFERROR(__xludf.DUMMYFUNCTION("GOOGLEFINANCE(A13,""LOW"")"),5931.5)</f>
        <v>5931.5</v>
      </c>
      <c r="F13" s="12" t="str">
        <f t="shared" ca="1" si="0"/>
        <v/>
      </c>
      <c r="G13" s="13">
        <f ca="1">IFERROR(__xludf.DUMMYFUNCTION("GOOGLEFINANCE(A13,""CLOSEYEST"")"),5966.5)</f>
        <v>5966.5</v>
      </c>
      <c r="H13" s="14" t="str">
        <f t="shared" ca="1" si="1"/>
        <v/>
      </c>
      <c r="I13" s="15">
        <f t="shared" ca="1" si="2"/>
        <v>5970.666666666667</v>
      </c>
      <c r="J13" s="16">
        <f t="shared" ca="1" si="3"/>
        <v>6009.8333333333339</v>
      </c>
      <c r="K13" s="16"/>
      <c r="L13" s="16">
        <f t="shared" ca="1" si="4"/>
        <v>5927.3333333333339</v>
      </c>
      <c r="M13" s="16">
        <f t="shared" ca="1" si="5"/>
        <v>6053.166666666667</v>
      </c>
      <c r="N13" s="16">
        <f t="shared" ca="1" si="6"/>
        <v>5888.166666666667</v>
      </c>
    </row>
    <row r="14" spans="1:14" ht="24.75" customHeight="1" x14ac:dyDescent="0.8">
      <c r="A14" s="9" t="s">
        <v>26</v>
      </c>
      <c r="B14" s="10">
        <f ca="1">IFERROR(__xludf.DUMMYFUNCTION("GOOGLEFINANCE(A14,""PRICE"")"),1517.5)</f>
        <v>1517.5</v>
      </c>
      <c r="C14" s="11">
        <f ca="1">IFERROR(__xludf.DUMMYFUNCTION("GOOGLEFINANCE(A14,""PRICEOPEN"")"),1522)</f>
        <v>1522</v>
      </c>
      <c r="D14" s="11">
        <f ca="1">IFERROR(__xludf.DUMMYFUNCTION("GOOGLEFINANCE(A14,""HIGH"")"),1537.8)</f>
        <v>1537.8</v>
      </c>
      <c r="E14" s="11">
        <f ca="1">IFERROR(__xludf.DUMMYFUNCTION("GOOGLEFINANCE(A14,""LOW"")"),1509.5)</f>
        <v>1509.5</v>
      </c>
      <c r="F14" s="12" t="str">
        <f t="shared" ca="1" si="0"/>
        <v/>
      </c>
      <c r="G14" s="13">
        <f ca="1">IFERROR(__xludf.DUMMYFUNCTION("GOOGLEFINANCE(A14,""CLOSEYEST"")"),1513)</f>
        <v>1513</v>
      </c>
      <c r="H14" s="14" t="str">
        <f t="shared" ca="1" si="1"/>
        <v/>
      </c>
      <c r="I14" s="15">
        <f t="shared" ca="1" si="2"/>
        <v>1520.1000000000001</v>
      </c>
      <c r="J14" s="16">
        <f t="shared" ca="1" si="3"/>
        <v>1530.7000000000003</v>
      </c>
      <c r="K14" s="16"/>
      <c r="L14" s="16">
        <f t="shared" ca="1" si="4"/>
        <v>1502.4000000000003</v>
      </c>
      <c r="M14" s="16">
        <f t="shared" ca="1" si="5"/>
        <v>1548.4</v>
      </c>
      <c r="N14" s="16">
        <f t="shared" ca="1" si="6"/>
        <v>1491.8000000000002</v>
      </c>
    </row>
    <row r="15" spans="1:14" ht="24.75" customHeight="1" x14ac:dyDescent="0.8">
      <c r="A15" s="9" t="s">
        <v>27</v>
      </c>
      <c r="B15" s="10">
        <f ca="1">IFERROR(__xludf.DUMMYFUNCTION("GOOGLEFINANCE(A15,""PRICE"")"),383.9)</f>
        <v>383.9</v>
      </c>
      <c r="C15" s="11">
        <f ca="1">IFERROR(__xludf.DUMMYFUNCTION("GOOGLEFINANCE(A15,""PRICEOPEN"")"),388.5)</f>
        <v>388.5</v>
      </c>
      <c r="D15" s="11">
        <f ca="1">IFERROR(__xludf.DUMMYFUNCTION("GOOGLEFINANCE(A15,""HIGH"")"),389.1)</f>
        <v>389.1</v>
      </c>
      <c r="E15" s="11">
        <f ca="1">IFERROR(__xludf.DUMMYFUNCTION("GOOGLEFINANCE(A15,""LOW"")"),381.5)</f>
        <v>381.5</v>
      </c>
      <c r="F15" s="12" t="str">
        <f t="shared" ca="1" si="0"/>
        <v/>
      </c>
      <c r="G15" s="13">
        <f ca="1">IFERROR(__xludf.DUMMYFUNCTION("GOOGLEFINANCE(A15,""CLOSEYEST"")"),388.5)</f>
        <v>388.5</v>
      </c>
      <c r="H15" s="14" t="str">
        <f t="shared" ca="1" si="1"/>
        <v/>
      </c>
      <c r="I15" s="15">
        <f t="shared" ca="1" si="2"/>
        <v>386.36666666666662</v>
      </c>
      <c r="J15" s="16">
        <f t="shared" ca="1" si="3"/>
        <v>391.23333333333323</v>
      </c>
      <c r="K15" s="16"/>
      <c r="L15" s="16">
        <f t="shared" ca="1" si="4"/>
        <v>383.63333333333321</v>
      </c>
      <c r="M15" s="16">
        <f t="shared" ca="1" si="5"/>
        <v>393.96666666666664</v>
      </c>
      <c r="N15" s="16">
        <f t="shared" ca="1" si="6"/>
        <v>378.76666666666659</v>
      </c>
    </row>
    <row r="16" spans="1:14" ht="24.75" customHeight="1" x14ac:dyDescent="0.8">
      <c r="A16" s="9" t="s">
        <v>28</v>
      </c>
      <c r="B16" s="10">
        <f ca="1">IFERROR(__xludf.DUMMYFUNCTION("GOOGLEFINANCE(A16,""PRICE"")"),5851.5)</f>
        <v>5851.5</v>
      </c>
      <c r="C16" s="11">
        <f ca="1">IFERROR(__xludf.DUMMYFUNCTION("GOOGLEFINANCE(A16,""PRICEOPEN"")"),5759.5)</f>
        <v>5759.5</v>
      </c>
      <c r="D16" s="11">
        <f ca="1">IFERROR(__xludf.DUMMYFUNCTION("GOOGLEFINANCE(A16,""HIGH"")"),5932)</f>
        <v>5932</v>
      </c>
      <c r="E16" s="11">
        <f ca="1">IFERROR(__xludf.DUMMYFUNCTION("GOOGLEFINANCE(A16,""LOW"")"),5746)</f>
        <v>5746</v>
      </c>
      <c r="F16" s="12" t="str">
        <f t="shared" ca="1" si="0"/>
        <v/>
      </c>
      <c r="G16" s="13">
        <f ca="1">IFERROR(__xludf.DUMMYFUNCTION("GOOGLEFINANCE(A16,""CLOSEYEST"")"),5710)</f>
        <v>5710</v>
      </c>
      <c r="H16" s="14" t="str">
        <f t="shared" ca="1" si="1"/>
        <v/>
      </c>
      <c r="I16" s="15">
        <f t="shared" ca="1" si="2"/>
        <v>5796</v>
      </c>
      <c r="J16" s="16">
        <f t="shared" ca="1" si="3"/>
        <v>5846</v>
      </c>
      <c r="K16" s="16"/>
      <c r="L16" s="16">
        <f t="shared" ca="1" si="4"/>
        <v>5660</v>
      </c>
      <c r="M16" s="16">
        <f t="shared" ca="1" si="5"/>
        <v>5982</v>
      </c>
      <c r="N16" s="16">
        <f t="shared" ca="1" si="6"/>
        <v>5610</v>
      </c>
    </row>
    <row r="17" spans="1:14" ht="24.75" customHeight="1" x14ac:dyDescent="0.8">
      <c r="A17" s="9" t="s">
        <v>29</v>
      </c>
      <c r="B17" s="10">
        <f ca="1">IFERROR(__xludf.DUMMYFUNCTION("GOOGLEFINANCE(A17,""PRICE"")"),1247.8)</f>
        <v>1247.8</v>
      </c>
      <c r="C17" s="11">
        <f ca="1">IFERROR(__xludf.DUMMYFUNCTION("GOOGLEFINANCE(A17,""PRICEOPEN"")"),1243.9)</f>
        <v>1243.9000000000001</v>
      </c>
      <c r="D17" s="11">
        <f ca="1">IFERROR(__xludf.DUMMYFUNCTION("GOOGLEFINANCE(A17,""HIGH"")"),1265.4)</f>
        <v>1265.4000000000001</v>
      </c>
      <c r="E17" s="11">
        <f ca="1">IFERROR(__xludf.DUMMYFUNCTION("GOOGLEFINANCE(A17,""LOW"")"),1240)</f>
        <v>1240</v>
      </c>
      <c r="F17" s="12" t="str">
        <f t="shared" ca="1" si="0"/>
        <v/>
      </c>
      <c r="G17" s="13">
        <f ca="1">IFERROR(__xludf.DUMMYFUNCTION("GOOGLEFINANCE(A17,""CLOSEYEST"")"),1244.7)</f>
        <v>1244.7</v>
      </c>
      <c r="H17" s="14" t="str">
        <f t="shared" ca="1" si="1"/>
        <v/>
      </c>
      <c r="I17" s="15">
        <f t="shared" ca="1" si="2"/>
        <v>1250.0333333333335</v>
      </c>
      <c r="J17" s="16">
        <f t="shared" ca="1" si="3"/>
        <v>1260.0666666666671</v>
      </c>
      <c r="K17" s="16"/>
      <c r="L17" s="16">
        <f t="shared" ca="1" si="4"/>
        <v>1234.666666666667</v>
      </c>
      <c r="M17" s="16">
        <f t="shared" ca="1" si="5"/>
        <v>1275.4333333333336</v>
      </c>
      <c r="N17" s="16">
        <f t="shared" ca="1" si="6"/>
        <v>1224.6333333333334</v>
      </c>
    </row>
    <row r="18" spans="1:14" ht="24.75" customHeight="1" x14ac:dyDescent="0.8">
      <c r="A18" s="9" t="s">
        <v>30</v>
      </c>
      <c r="B18" s="10">
        <f ca="1">IFERROR(__xludf.DUMMYFUNCTION("GOOGLEFINANCE(A18,""PRICE"")"),6935)</f>
        <v>6935</v>
      </c>
      <c r="C18" s="11">
        <f ca="1">IFERROR(__xludf.DUMMYFUNCTION("GOOGLEFINANCE(A18,""PRICEOPEN"")"),7000)</f>
        <v>7000</v>
      </c>
      <c r="D18" s="11">
        <f ca="1">IFERROR(__xludf.DUMMYFUNCTION("GOOGLEFINANCE(A18,""HIGH"")"),7008.5)</f>
        <v>7008.5</v>
      </c>
      <c r="E18" s="11">
        <f ca="1">IFERROR(__xludf.DUMMYFUNCTION("GOOGLEFINANCE(A18,""LOW"")"),6850)</f>
        <v>6850</v>
      </c>
      <c r="F18" s="12" t="str">
        <f t="shared" ca="1" si="0"/>
        <v/>
      </c>
      <c r="G18" s="13">
        <f ca="1">IFERROR(__xludf.DUMMYFUNCTION("GOOGLEFINANCE(A18,""CLOSEYEST"")"),7021.5)</f>
        <v>7021.5</v>
      </c>
      <c r="H18" s="14" t="str">
        <f t="shared" ca="1" si="1"/>
        <v/>
      </c>
      <c r="I18" s="15">
        <f t="shared" ca="1" si="2"/>
        <v>6960</v>
      </c>
      <c r="J18" s="16">
        <f t="shared" ca="1" si="3"/>
        <v>7070</v>
      </c>
      <c r="K18" s="16"/>
      <c r="L18" s="16">
        <f t="shared" ca="1" si="4"/>
        <v>6911.5</v>
      </c>
      <c r="M18" s="16">
        <f t="shared" ca="1" si="5"/>
        <v>7118.5</v>
      </c>
      <c r="N18" s="16">
        <f t="shared" ca="1" si="6"/>
        <v>6801.5</v>
      </c>
    </row>
    <row r="19" spans="1:14" ht="24.75" customHeight="1" x14ac:dyDescent="0.8">
      <c r="A19" s="9" t="s">
        <v>31</v>
      </c>
      <c r="B19" s="10">
        <f ca="1">IFERROR(__xludf.DUMMYFUNCTION("GOOGLEFINANCE(A19,""PRICE"")"),2799.3)</f>
        <v>2799.3</v>
      </c>
      <c r="C19" s="11">
        <f ca="1">IFERROR(__xludf.DUMMYFUNCTION("GOOGLEFINANCE(A19,""PRICEOPEN"")"),2800)</f>
        <v>2800</v>
      </c>
      <c r="D19" s="11">
        <f ca="1">IFERROR(__xludf.DUMMYFUNCTION("GOOGLEFINANCE(A19,""HIGH"")"),2806.8)</f>
        <v>2806.8</v>
      </c>
      <c r="E19" s="11">
        <f ca="1">IFERROR(__xludf.DUMMYFUNCTION("GOOGLEFINANCE(A19,""LOW"")"),2766)</f>
        <v>2766</v>
      </c>
      <c r="F19" s="12" t="str">
        <f t="shared" ca="1" si="0"/>
        <v/>
      </c>
      <c r="G19" s="13">
        <f ca="1">IFERROR(__xludf.DUMMYFUNCTION("GOOGLEFINANCE(A19,""CLOSEYEST"")"),2789.7)</f>
        <v>2789.7</v>
      </c>
      <c r="H19" s="14" t="str">
        <f t="shared" ca="1" si="1"/>
        <v/>
      </c>
      <c r="I19" s="15">
        <f t="shared" ca="1" si="2"/>
        <v>2787.5</v>
      </c>
      <c r="J19" s="16">
        <f t="shared" ca="1" si="3"/>
        <v>2809</v>
      </c>
      <c r="K19" s="16"/>
      <c r="L19" s="16">
        <f t="shared" ca="1" si="4"/>
        <v>2768.2</v>
      </c>
      <c r="M19" s="16">
        <f t="shared" ca="1" si="5"/>
        <v>2828.3</v>
      </c>
      <c r="N19" s="16">
        <f t="shared" ca="1" si="6"/>
        <v>2746.7</v>
      </c>
    </row>
    <row r="20" spans="1:14" ht="24.75" customHeight="1" x14ac:dyDescent="0.8">
      <c r="A20" s="9" t="s">
        <v>32</v>
      </c>
      <c r="B20" s="10">
        <f ca="1">IFERROR(__xludf.DUMMYFUNCTION("GOOGLEFINANCE(A20,""PRICE"")"),1392.8)</f>
        <v>1392.8</v>
      </c>
      <c r="C20" s="11">
        <f ca="1">IFERROR(__xludf.DUMMYFUNCTION("GOOGLEFINANCE(A20,""PRICEOPEN"")"),1396.5)</f>
        <v>1396.5</v>
      </c>
      <c r="D20" s="11">
        <f ca="1">IFERROR(__xludf.DUMMYFUNCTION("GOOGLEFINANCE(A20,""HIGH"")"),1399.8)</f>
        <v>1399.8</v>
      </c>
      <c r="E20" s="11">
        <f ca="1">IFERROR(__xludf.DUMMYFUNCTION("GOOGLEFINANCE(A20,""LOW"")"),1380.4)</f>
        <v>1380.4</v>
      </c>
      <c r="F20" s="12" t="str">
        <f t="shared" ca="1" si="0"/>
        <v/>
      </c>
      <c r="G20" s="13">
        <f ca="1">IFERROR(__xludf.DUMMYFUNCTION("GOOGLEFINANCE(A20,""CLOSEYEST"")"),1389.5)</f>
        <v>1389.5</v>
      </c>
      <c r="H20" s="14" t="str">
        <f t="shared" ca="1" si="1"/>
        <v/>
      </c>
      <c r="I20" s="15">
        <f t="shared" ca="1" si="2"/>
        <v>1389.8999999999999</v>
      </c>
      <c r="J20" s="16">
        <f t="shared" ca="1" si="3"/>
        <v>1399.3999999999996</v>
      </c>
      <c r="K20" s="16"/>
      <c r="L20" s="16">
        <f t="shared" ca="1" si="4"/>
        <v>1379.9999999999998</v>
      </c>
      <c r="M20" s="16">
        <f t="shared" ca="1" si="5"/>
        <v>1409.2999999999997</v>
      </c>
      <c r="N20" s="16">
        <f t="shared" ca="1" si="6"/>
        <v>1370.5</v>
      </c>
    </row>
    <row r="21" spans="1:14" ht="24.75" customHeight="1" x14ac:dyDescent="0.8">
      <c r="A21" s="9" t="s">
        <v>33</v>
      </c>
      <c r="B21" s="10">
        <f ca="1">IFERROR(__xludf.DUMMYFUNCTION("GOOGLEFINANCE(A21,""PRICE"")"),963.7)</f>
        <v>963.7</v>
      </c>
      <c r="C21" s="11">
        <f ca="1">IFERROR(__xludf.DUMMYFUNCTION("GOOGLEFINANCE(A21,""PRICEOPEN"")"),952)</f>
        <v>952</v>
      </c>
      <c r="D21" s="11">
        <f ca="1">IFERROR(__xludf.DUMMYFUNCTION("GOOGLEFINANCE(A21,""HIGH"")"),966.75)</f>
        <v>966.75</v>
      </c>
      <c r="E21" s="11">
        <f ca="1">IFERROR(__xludf.DUMMYFUNCTION("GOOGLEFINANCE(A21,""LOW"")"),952)</f>
        <v>952</v>
      </c>
      <c r="F21" s="12" t="str">
        <f t="shared" ca="1" si="0"/>
        <v>BUY</v>
      </c>
      <c r="G21" s="13">
        <f ca="1">IFERROR(__xludf.DUMMYFUNCTION("GOOGLEFINANCE(A21,""CLOSEYEST"")"),965.25)</f>
        <v>965.25</v>
      </c>
      <c r="H21" s="14" t="str">
        <f t="shared" ca="1" si="1"/>
        <v>GAP DOWN</v>
      </c>
      <c r="I21" s="15">
        <f t="shared" ca="1" si="2"/>
        <v>961.33333333333337</v>
      </c>
      <c r="J21" s="16">
        <f t="shared" ca="1" si="3"/>
        <v>970.66666666666674</v>
      </c>
      <c r="K21" s="16"/>
      <c r="L21" s="16">
        <f t="shared" ca="1" si="4"/>
        <v>955.91666666666674</v>
      </c>
      <c r="M21" s="16">
        <f t="shared" ca="1" si="5"/>
        <v>976.08333333333337</v>
      </c>
      <c r="N21" s="16">
        <f t="shared" ca="1" si="6"/>
        <v>946.58333333333337</v>
      </c>
    </row>
    <row r="22" spans="1:14" ht="24.75" customHeight="1" x14ac:dyDescent="0.8">
      <c r="A22" s="9" t="s">
        <v>34</v>
      </c>
      <c r="B22" s="10">
        <f ca="1">IFERROR(__xludf.DUMMYFUNCTION("GOOGLEFINANCE(A22,""PRICE"")"),760)</f>
        <v>760</v>
      </c>
      <c r="C22" s="11">
        <f ca="1">IFERROR(__xludf.DUMMYFUNCTION("GOOGLEFINANCE(A22,""PRICEOPEN"")"),756.65)</f>
        <v>756.65</v>
      </c>
      <c r="D22" s="11">
        <f ca="1">IFERROR(__xludf.DUMMYFUNCTION("GOOGLEFINANCE(A22,""HIGH"")"),767.15)</f>
        <v>767.15</v>
      </c>
      <c r="E22" s="11">
        <f ca="1">IFERROR(__xludf.DUMMYFUNCTION("GOOGLEFINANCE(A22,""LOW"")"),754.95)</f>
        <v>754.95</v>
      </c>
      <c r="F22" s="12" t="str">
        <f t="shared" ca="1" si="0"/>
        <v/>
      </c>
      <c r="G22" s="13">
        <f ca="1">IFERROR(__xludf.DUMMYFUNCTION("GOOGLEFINANCE(A22,""CLOSEYEST"")"),764)</f>
        <v>764</v>
      </c>
      <c r="H22" s="14" t="str">
        <f t="shared" ca="1" si="1"/>
        <v/>
      </c>
      <c r="I22" s="15">
        <f t="shared" ca="1" si="2"/>
        <v>762.0333333333333</v>
      </c>
      <c r="J22" s="16">
        <f t="shared" ca="1" si="3"/>
        <v>769.11666666666656</v>
      </c>
      <c r="K22" s="16"/>
      <c r="L22" s="16">
        <f t="shared" ca="1" si="4"/>
        <v>756.91666666666663</v>
      </c>
      <c r="M22" s="16">
        <f t="shared" ca="1" si="5"/>
        <v>774.23333333333323</v>
      </c>
      <c r="N22" s="16">
        <f t="shared" ca="1" si="6"/>
        <v>749.83333333333337</v>
      </c>
    </row>
    <row r="23" spans="1:14" ht="24.75" customHeight="1" x14ac:dyDescent="0.8">
      <c r="A23" s="9"/>
      <c r="B23" s="10"/>
      <c r="C23" s="11"/>
      <c r="D23" s="11"/>
      <c r="E23" s="11"/>
      <c r="F23" s="12"/>
      <c r="G23" s="13"/>
      <c r="H23" s="14"/>
      <c r="I23" s="15"/>
      <c r="J23" s="16"/>
      <c r="K23" s="16"/>
      <c r="L23" s="16"/>
      <c r="M23" s="17"/>
      <c r="N23" s="17"/>
    </row>
    <row r="24" spans="1:14" ht="24.75" customHeight="1" x14ac:dyDescent="0.8">
      <c r="A24" s="9" t="s">
        <v>35</v>
      </c>
      <c r="B24" s="10">
        <f ca="1">IFERROR(__xludf.DUMMYFUNCTION("GOOGLEFINANCE(A24,""PRICE"")"),5545.5)</f>
        <v>5545.5</v>
      </c>
      <c r="C24" s="11">
        <f ca="1">IFERROR(__xludf.DUMMYFUNCTION("GOOGLEFINANCE(A24,""PRICEOPEN"")"),5465)</f>
        <v>5465</v>
      </c>
      <c r="D24" s="11">
        <f ca="1">IFERROR(__xludf.DUMMYFUNCTION("GOOGLEFINANCE(A24,""HIGH"")"),5584)</f>
        <v>5584</v>
      </c>
      <c r="E24" s="11">
        <f ca="1">IFERROR(__xludf.DUMMYFUNCTION("GOOGLEFINANCE(A24,""LOW"")"),5370.5)</f>
        <v>5370.5</v>
      </c>
      <c r="F24" s="12" t="str">
        <f t="shared" ref="F24:F1592" ca="1" si="7">IF(C24=D24,"SELL",IF(C24=E24,"BUY", ""))</f>
        <v/>
      </c>
      <c r="G24" s="13">
        <f ca="1">IFERROR(__xludf.DUMMYFUNCTION("GOOGLEFINANCE(A24,""CLOSEYEST"")"),5432.5)</f>
        <v>5432.5</v>
      </c>
      <c r="H24" s="14" t="str">
        <f ca="1">IF(C24&gt;=(G24+(G24*1%)),"GAP UP",IF(C24&lt;=(G24-(G24*1%)),"GAP DOWN",""))</f>
        <v/>
      </c>
      <c r="I24" s="15">
        <f t="shared" ref="I24:I1592" ca="1" si="8">(D24+E24+G24)/3</f>
        <v>5462.333333333333</v>
      </c>
      <c r="J24" s="16">
        <f t="shared" ref="J24:J1592" ca="1" si="9">(I24*2)-E24</f>
        <v>5554.1666666666661</v>
      </c>
      <c r="K24" s="16"/>
      <c r="L24" s="16">
        <f t="shared" ref="L24:L1592" ca="1" si="10">(I24*2)-D24</f>
        <v>5340.6666666666661</v>
      </c>
      <c r="M24" s="16">
        <f t="shared" ref="M24:M1592" ca="1" si="11">I24+(J24-L24)</f>
        <v>5675.833333333333</v>
      </c>
      <c r="N24" s="16">
        <f t="shared" ref="N24:N1592" ca="1" si="12">I24-(J24-L24)</f>
        <v>5248.833333333333</v>
      </c>
    </row>
    <row r="25" spans="1:14" ht="24.75" customHeight="1" x14ac:dyDescent="0.8">
      <c r="A25" s="9" t="s">
        <v>36</v>
      </c>
      <c r="B25" s="10">
        <f ca="1">IFERROR(__xludf.DUMMYFUNCTION("GOOGLEFINANCE(A25,""PRICE"")"),780)</f>
        <v>780</v>
      </c>
      <c r="C25" s="11">
        <f ca="1">IFERROR(__xludf.DUMMYFUNCTION("GOOGLEFINANCE(A25,""PRICEOPEN"")"),766)</f>
        <v>766</v>
      </c>
      <c r="D25" s="11">
        <f ca="1">IFERROR(__xludf.DUMMYFUNCTION("GOOGLEFINANCE(A25,""HIGH"")"),790.6)</f>
        <v>790.6</v>
      </c>
      <c r="E25" s="11">
        <f ca="1">IFERROR(__xludf.DUMMYFUNCTION("GOOGLEFINANCE(A25,""LOW"")"),764.1)</f>
        <v>764.1</v>
      </c>
      <c r="F25" s="12" t="str">
        <f t="shared" ca="1" si="7"/>
        <v/>
      </c>
      <c r="G25" s="13">
        <f ca="1">IFERROR(__xludf.DUMMYFUNCTION("GOOGLEFINANCE(A25,""CLOSEYEST"")"),765.95)</f>
        <v>765.95</v>
      </c>
      <c r="H25" s="14" t="s">
        <v>37</v>
      </c>
      <c r="I25" s="15">
        <f t="shared" ca="1" si="8"/>
        <v>773.55000000000007</v>
      </c>
      <c r="J25" s="16">
        <f t="shared" ca="1" si="9"/>
        <v>783.00000000000011</v>
      </c>
      <c r="K25" s="16"/>
      <c r="L25" s="16">
        <f t="shared" ca="1" si="10"/>
        <v>756.50000000000011</v>
      </c>
      <c r="M25" s="16">
        <f t="shared" ca="1" si="11"/>
        <v>800.05000000000007</v>
      </c>
      <c r="N25" s="16">
        <f t="shared" ca="1" si="12"/>
        <v>747.05000000000007</v>
      </c>
    </row>
    <row r="26" spans="1:14" ht="24.75" customHeight="1" x14ac:dyDescent="0.8">
      <c r="A26" s="9" t="s">
        <v>38</v>
      </c>
      <c r="B26" s="10">
        <f ca="1">IFERROR(__xludf.DUMMYFUNCTION("GOOGLEFINANCE(A26,""PRICE"")"),2539)</f>
        <v>2539</v>
      </c>
      <c r="C26" s="11">
        <f ca="1">IFERROR(__xludf.DUMMYFUNCTION("GOOGLEFINANCE(A26,""PRICEOPEN"")"),2536.2)</f>
        <v>2536.1999999999998</v>
      </c>
      <c r="D26" s="11">
        <f ca="1">IFERROR(__xludf.DUMMYFUNCTION("GOOGLEFINANCE(A26,""HIGH"")"),2548.6)</f>
        <v>2548.6</v>
      </c>
      <c r="E26" s="11">
        <f ca="1">IFERROR(__xludf.DUMMYFUNCTION("GOOGLEFINANCE(A26,""LOW"")"),2508.3)</f>
        <v>2508.3000000000002</v>
      </c>
      <c r="F26" s="12" t="str">
        <f t="shared" ca="1" si="7"/>
        <v/>
      </c>
      <c r="G26" s="13">
        <f ca="1">IFERROR(__xludf.DUMMYFUNCTION("GOOGLEFINANCE(A26,""CLOSEYEST"")"),2536.2)</f>
        <v>2536.1999999999998</v>
      </c>
      <c r="H26" s="14" t="str">
        <f t="shared" ref="H26:H1592" ca="1" si="13">IF(C26&gt;=(G26+(G26*1%)),"GAP UP",IF(C26&lt;=(G26-(G26*1%)),"GAP DOWN",""))</f>
        <v/>
      </c>
      <c r="I26" s="15">
        <f t="shared" ca="1" si="8"/>
        <v>2531.0333333333333</v>
      </c>
      <c r="J26" s="16">
        <f t="shared" ca="1" si="9"/>
        <v>2553.7666666666664</v>
      </c>
      <c r="K26" s="16"/>
      <c r="L26" s="16">
        <f t="shared" ca="1" si="10"/>
        <v>2513.4666666666667</v>
      </c>
      <c r="M26" s="16">
        <f t="shared" ca="1" si="11"/>
        <v>2571.333333333333</v>
      </c>
      <c r="N26" s="16">
        <f t="shared" ca="1" si="12"/>
        <v>2490.7333333333336</v>
      </c>
    </row>
    <row r="27" spans="1:14" ht="24.75" customHeight="1" x14ac:dyDescent="0.8">
      <c r="A27" s="9" t="s">
        <v>39</v>
      </c>
      <c r="B27" s="10" t="str">
        <f ca="1">IFERROR(__xludf.DUMMYFUNCTION("GOOGLEFINANCE(A27,""PRICE"")"),"#N/A")</f>
        <v>#N/A</v>
      </c>
      <c r="C27" s="11" t="str">
        <f ca="1">IFERROR(__xludf.DUMMYFUNCTION("GOOGLEFINANCE(A27,""PRICEOPEN"")"),"#N/A")</f>
        <v>#N/A</v>
      </c>
      <c r="D27" s="11" t="str">
        <f ca="1">IFERROR(__xludf.DUMMYFUNCTION("GOOGLEFINANCE(A27,""HIGH"")"),"#N/A")</f>
        <v>#N/A</v>
      </c>
      <c r="E27" s="11" t="str">
        <f ca="1">IFERROR(__xludf.DUMMYFUNCTION("GOOGLEFINANCE(A27,""LOW"")"),"#N/A")</f>
        <v>#N/A</v>
      </c>
      <c r="F27" s="12" t="str">
        <f t="shared" ca="1" si="7"/>
        <v>SELL</v>
      </c>
      <c r="G27" s="13" t="str">
        <f ca="1">IFERROR(__xludf.DUMMYFUNCTION("GOOGLEFINANCE(A27,""CLOSEYEST"")"),"#N/A")</f>
        <v>#N/A</v>
      </c>
      <c r="H27" s="14" t="e">
        <f t="shared" ca="1" si="13"/>
        <v>#VALUE!</v>
      </c>
      <c r="I27" s="15" t="e">
        <f t="shared" ca="1" si="8"/>
        <v>#VALUE!</v>
      </c>
      <c r="J27" s="16" t="e">
        <f t="shared" ca="1" si="9"/>
        <v>#VALUE!</v>
      </c>
      <c r="K27" s="16"/>
      <c r="L27" s="16" t="e">
        <f t="shared" ca="1" si="10"/>
        <v>#VALUE!</v>
      </c>
      <c r="M27" s="17" t="e">
        <f t="shared" ca="1" si="11"/>
        <v>#VALUE!</v>
      </c>
      <c r="N27" s="17" t="e">
        <f t="shared" ca="1" si="12"/>
        <v>#VALUE!</v>
      </c>
    </row>
    <row r="28" spans="1:14" ht="24.75" customHeight="1" x14ac:dyDescent="0.8">
      <c r="A28" s="9" t="s">
        <v>40</v>
      </c>
      <c r="B28" s="10">
        <f ca="1">IFERROR(__xludf.DUMMYFUNCTION("GOOGLEFINANCE(A28,""PRICE"")"),1365)</f>
        <v>1365</v>
      </c>
      <c r="C28" s="11">
        <f ca="1">IFERROR(__xludf.DUMMYFUNCTION("GOOGLEFINANCE(A28,""PRICEOPEN"")"),1371.9)</f>
        <v>1371.9</v>
      </c>
      <c r="D28" s="11">
        <f ca="1">IFERROR(__xludf.DUMMYFUNCTION("GOOGLEFINANCE(A28,""HIGH"")"),1371.9)</f>
        <v>1371.9</v>
      </c>
      <c r="E28" s="11">
        <f ca="1">IFERROR(__xludf.DUMMYFUNCTION("GOOGLEFINANCE(A28,""LOW"")"),1361.3)</f>
        <v>1361.3</v>
      </c>
      <c r="F28" s="12" t="str">
        <f t="shared" ca="1" si="7"/>
        <v>SELL</v>
      </c>
      <c r="G28" s="13">
        <f ca="1">IFERROR(__xludf.DUMMYFUNCTION("GOOGLEFINANCE(A28,""CLOSEYEST"")"),1372)</f>
        <v>1372</v>
      </c>
      <c r="H28" s="14" t="str">
        <f t="shared" ca="1" si="13"/>
        <v/>
      </c>
      <c r="I28" s="15">
        <f t="shared" ca="1" si="8"/>
        <v>1368.3999999999999</v>
      </c>
      <c r="J28" s="16">
        <f t="shared" ca="1" si="9"/>
        <v>1375.4999999999998</v>
      </c>
      <c r="K28" s="16"/>
      <c r="L28" s="16">
        <f t="shared" ca="1" si="10"/>
        <v>1364.8999999999996</v>
      </c>
      <c r="M28" s="16">
        <f t="shared" ca="1" si="11"/>
        <v>1379</v>
      </c>
      <c r="N28" s="16">
        <f t="shared" ca="1" si="12"/>
        <v>1357.7999999999997</v>
      </c>
    </row>
    <row r="29" spans="1:14" ht="24.75" customHeight="1" x14ac:dyDescent="0.8">
      <c r="A29" s="9" t="s">
        <v>41</v>
      </c>
      <c r="B29" s="10" t="str">
        <f ca="1">IFERROR(__xludf.DUMMYFUNCTION("GOOGLEFINANCE(A29,""PRICE"")"),"#N/A")</f>
        <v>#N/A</v>
      </c>
      <c r="C29" s="11" t="str">
        <f ca="1">IFERROR(__xludf.DUMMYFUNCTION("GOOGLEFINANCE(A29,""PRICEOPEN"")"),"#N/A")</f>
        <v>#N/A</v>
      </c>
      <c r="D29" s="11" t="str">
        <f ca="1">IFERROR(__xludf.DUMMYFUNCTION("GOOGLEFINANCE(A29,""HIGH"")"),"#N/A")</f>
        <v>#N/A</v>
      </c>
      <c r="E29" s="11" t="str">
        <f ca="1">IFERROR(__xludf.DUMMYFUNCTION("GOOGLEFINANCE(A29,""LOW"")"),"#N/A")</f>
        <v>#N/A</v>
      </c>
      <c r="F29" s="12" t="str">
        <f t="shared" ca="1" si="7"/>
        <v>SELL</v>
      </c>
      <c r="G29" s="13" t="str">
        <f ca="1">IFERROR(__xludf.DUMMYFUNCTION("GOOGLEFINANCE(A29,""CLOSEYEST"")"),"#N/A")</f>
        <v>#N/A</v>
      </c>
      <c r="H29" s="14" t="e">
        <f t="shared" ca="1" si="13"/>
        <v>#VALUE!</v>
      </c>
      <c r="I29" s="15" t="e">
        <f t="shared" ca="1" si="8"/>
        <v>#VALUE!</v>
      </c>
      <c r="J29" s="16" t="e">
        <f t="shared" ca="1" si="9"/>
        <v>#VALUE!</v>
      </c>
      <c r="K29" s="16"/>
      <c r="L29" s="16" t="e">
        <f t="shared" ca="1" si="10"/>
        <v>#VALUE!</v>
      </c>
      <c r="M29" s="17" t="e">
        <f t="shared" ca="1" si="11"/>
        <v>#VALUE!</v>
      </c>
      <c r="N29" s="17" t="e">
        <f t="shared" ca="1" si="12"/>
        <v>#VALUE!</v>
      </c>
    </row>
    <row r="30" spans="1:14" ht="24.75" customHeight="1" x14ac:dyDescent="0.8">
      <c r="A30" s="9" t="s">
        <v>42</v>
      </c>
      <c r="B30" s="10">
        <f ca="1">IFERROR(__xludf.DUMMYFUNCTION("GOOGLEFINANCE(A30,""PRICE"")"),748)</f>
        <v>748</v>
      </c>
      <c r="C30" s="11">
        <f ca="1">IFERROR(__xludf.DUMMYFUNCTION("GOOGLEFINANCE(A30,""PRICEOPEN"")"),743.2)</f>
        <v>743.2</v>
      </c>
      <c r="D30" s="11">
        <f ca="1">IFERROR(__xludf.DUMMYFUNCTION("GOOGLEFINANCE(A30,""HIGH"")"),758.95)</f>
        <v>758.95</v>
      </c>
      <c r="E30" s="11">
        <f ca="1">IFERROR(__xludf.DUMMYFUNCTION("GOOGLEFINANCE(A30,""LOW"")"),741.75)</f>
        <v>741.75</v>
      </c>
      <c r="F30" s="12" t="str">
        <f t="shared" ca="1" si="7"/>
        <v/>
      </c>
      <c r="G30" s="13">
        <f ca="1">IFERROR(__xludf.DUMMYFUNCTION("GOOGLEFINANCE(A30,""CLOSEYEST"")"),743.15)</f>
        <v>743.15</v>
      </c>
      <c r="H30" s="14" t="str">
        <f t="shared" ca="1" si="13"/>
        <v/>
      </c>
      <c r="I30" s="15">
        <f t="shared" ca="1" si="8"/>
        <v>747.94999999999993</v>
      </c>
      <c r="J30" s="16">
        <f t="shared" ca="1" si="9"/>
        <v>754.14999999999986</v>
      </c>
      <c r="K30" s="16"/>
      <c r="L30" s="16">
        <f t="shared" ca="1" si="10"/>
        <v>736.94999999999982</v>
      </c>
      <c r="M30" s="16">
        <f t="shared" ca="1" si="11"/>
        <v>765.15</v>
      </c>
      <c r="N30" s="16">
        <f t="shared" ca="1" si="12"/>
        <v>730.74999999999989</v>
      </c>
    </row>
    <row r="31" spans="1:14" ht="24.75" customHeight="1" x14ac:dyDescent="0.8">
      <c r="A31" s="9" t="s">
        <v>43</v>
      </c>
      <c r="B31" s="10">
        <f ca="1">IFERROR(__xludf.DUMMYFUNCTION("GOOGLEFINANCE(A31,""PRICE"")"),16.23)</f>
        <v>16.23</v>
      </c>
      <c r="C31" s="11">
        <f ca="1">IFERROR(__xludf.DUMMYFUNCTION("GOOGLEFINANCE(A31,""PRICEOPEN"")"),16.24)</f>
        <v>16.239999999999998</v>
      </c>
      <c r="D31" s="11">
        <f ca="1">IFERROR(__xludf.DUMMYFUNCTION("GOOGLEFINANCE(A31,""HIGH"")"),16.25)</f>
        <v>16.25</v>
      </c>
      <c r="E31" s="11">
        <f ca="1">IFERROR(__xludf.DUMMYFUNCTION("GOOGLEFINANCE(A31,""LOW"")"),16.07)</f>
        <v>16.07</v>
      </c>
      <c r="F31" s="12" t="str">
        <f t="shared" ca="1" si="7"/>
        <v/>
      </c>
      <c r="G31" s="13">
        <f ca="1">IFERROR(__xludf.DUMMYFUNCTION("GOOGLEFINANCE(A31,""CLOSEYEST"")"),16.15)</f>
        <v>16.149999999999999</v>
      </c>
      <c r="H31" s="14" t="str">
        <f t="shared" ca="1" si="13"/>
        <v/>
      </c>
      <c r="I31" s="15">
        <f t="shared" ca="1" si="8"/>
        <v>16.156666666666666</v>
      </c>
      <c r="J31" s="16">
        <f t="shared" ca="1" si="9"/>
        <v>16.243333333333332</v>
      </c>
      <c r="K31" s="16"/>
      <c r="L31" s="16">
        <f t="shared" ca="1" si="10"/>
        <v>16.063333333333333</v>
      </c>
      <c r="M31" s="16">
        <f t="shared" ca="1" si="11"/>
        <v>16.336666666666666</v>
      </c>
      <c r="N31" s="16">
        <f t="shared" ca="1" si="12"/>
        <v>15.976666666666667</v>
      </c>
    </row>
    <row r="32" spans="1:14" ht="24.75" customHeight="1" x14ac:dyDescent="0.8">
      <c r="A32" s="9" t="s">
        <v>44</v>
      </c>
      <c r="B32" s="10">
        <f ca="1">IFERROR(__xludf.DUMMYFUNCTION("GOOGLEFINANCE(A32,""PRICE"")"),1160.8)</f>
        <v>1160.8</v>
      </c>
      <c r="C32" s="11">
        <f ca="1">IFERROR(__xludf.DUMMYFUNCTION("GOOGLEFINANCE(A32,""PRICEOPEN"")"),1146.1)</f>
        <v>1146.0999999999999</v>
      </c>
      <c r="D32" s="11">
        <f ca="1">IFERROR(__xludf.DUMMYFUNCTION("GOOGLEFINANCE(A32,""HIGH"")"),1175.8)</f>
        <v>1175.8</v>
      </c>
      <c r="E32" s="11">
        <f ca="1">IFERROR(__xludf.DUMMYFUNCTION("GOOGLEFINANCE(A32,""LOW"")"),1145.9)</f>
        <v>1145.9000000000001</v>
      </c>
      <c r="F32" s="12" t="str">
        <f t="shared" ca="1" si="7"/>
        <v/>
      </c>
      <c r="G32" s="13">
        <f ca="1">IFERROR(__xludf.DUMMYFUNCTION("GOOGLEFINANCE(A32,""CLOSEYEST"")"),1146.1)</f>
        <v>1146.0999999999999</v>
      </c>
      <c r="H32" s="14" t="str">
        <f t="shared" ca="1" si="13"/>
        <v/>
      </c>
      <c r="I32" s="15">
        <f t="shared" ca="1" si="8"/>
        <v>1155.9333333333332</v>
      </c>
      <c r="J32" s="16">
        <f t="shared" ca="1" si="9"/>
        <v>1165.9666666666662</v>
      </c>
      <c r="K32" s="16"/>
      <c r="L32" s="16">
        <f t="shared" ca="1" si="10"/>
        <v>1136.0666666666664</v>
      </c>
      <c r="M32" s="16">
        <f t="shared" ca="1" si="11"/>
        <v>1185.833333333333</v>
      </c>
      <c r="N32" s="16">
        <f t="shared" ca="1" si="12"/>
        <v>1126.0333333333333</v>
      </c>
    </row>
    <row r="33" spans="1:14" ht="24.75" customHeight="1" x14ac:dyDescent="0.8">
      <c r="A33" s="9" t="s">
        <v>45</v>
      </c>
      <c r="B33" s="10">
        <f ca="1">IFERROR(__xludf.DUMMYFUNCTION("GOOGLEFINANCE(A33,""PRICE"")"),2108)</f>
        <v>2108</v>
      </c>
      <c r="C33" s="11">
        <f ca="1">IFERROR(__xludf.DUMMYFUNCTION("GOOGLEFINANCE(A33,""PRICEOPEN"")"),2063.3)</f>
        <v>2063.3000000000002</v>
      </c>
      <c r="D33" s="11">
        <f ca="1">IFERROR(__xludf.DUMMYFUNCTION("GOOGLEFINANCE(A33,""HIGH"")"),2108)</f>
        <v>2108</v>
      </c>
      <c r="E33" s="11">
        <f ca="1">IFERROR(__xludf.DUMMYFUNCTION("GOOGLEFINANCE(A33,""LOW"")"),2062)</f>
        <v>2062</v>
      </c>
      <c r="F33" s="12" t="str">
        <f t="shared" ca="1" si="7"/>
        <v/>
      </c>
      <c r="G33" s="13">
        <f ca="1">IFERROR(__xludf.DUMMYFUNCTION("GOOGLEFINANCE(A33,""CLOSEYEST"")"),2063.3)</f>
        <v>2063.3000000000002</v>
      </c>
      <c r="H33" s="14" t="str">
        <f t="shared" ca="1" si="13"/>
        <v/>
      </c>
      <c r="I33" s="15">
        <f t="shared" ca="1" si="8"/>
        <v>2077.7666666666669</v>
      </c>
      <c r="J33" s="16">
        <f t="shared" ca="1" si="9"/>
        <v>2093.5333333333338</v>
      </c>
      <c r="K33" s="16"/>
      <c r="L33" s="16">
        <f t="shared" ca="1" si="10"/>
        <v>2047.5333333333338</v>
      </c>
      <c r="M33" s="16">
        <f t="shared" ca="1" si="11"/>
        <v>2123.7666666666669</v>
      </c>
      <c r="N33" s="16">
        <f t="shared" ca="1" si="12"/>
        <v>2031.7666666666669</v>
      </c>
    </row>
    <row r="34" spans="1:14" ht="24.75" customHeight="1" x14ac:dyDescent="0.8">
      <c r="A34" s="9" t="s">
        <v>46</v>
      </c>
      <c r="B34" s="10">
        <f ca="1">IFERROR(__xludf.DUMMYFUNCTION("GOOGLEFINANCE(A34,""PRICE"")"),3742.9)</f>
        <v>3742.9</v>
      </c>
      <c r="C34" s="11">
        <f ca="1">IFERROR(__xludf.DUMMYFUNCTION("GOOGLEFINANCE(A34,""PRICEOPEN"")"),3690)</f>
        <v>3690</v>
      </c>
      <c r="D34" s="11">
        <f ca="1">IFERROR(__xludf.DUMMYFUNCTION("GOOGLEFINANCE(A34,""HIGH"")"),3746)</f>
        <v>3746</v>
      </c>
      <c r="E34" s="11">
        <f ca="1">IFERROR(__xludf.DUMMYFUNCTION("GOOGLEFINANCE(A34,""LOW"")"),3666.3)</f>
        <v>3666.3</v>
      </c>
      <c r="F34" s="12" t="str">
        <f t="shared" ca="1" si="7"/>
        <v/>
      </c>
      <c r="G34" s="13">
        <f ca="1">IFERROR(__xludf.DUMMYFUNCTION("GOOGLEFINANCE(A34,""CLOSEYEST"")"),3670.3)</f>
        <v>3670.3</v>
      </c>
      <c r="H34" s="14" t="str">
        <f t="shared" ca="1" si="13"/>
        <v/>
      </c>
      <c r="I34" s="15">
        <f t="shared" ca="1" si="8"/>
        <v>3694.2000000000003</v>
      </c>
      <c r="J34" s="16">
        <f t="shared" ca="1" si="9"/>
        <v>3722.1000000000004</v>
      </c>
      <c r="K34" s="16"/>
      <c r="L34" s="16">
        <f t="shared" ca="1" si="10"/>
        <v>3642.4000000000005</v>
      </c>
      <c r="M34" s="16">
        <f t="shared" ca="1" si="11"/>
        <v>3773.9</v>
      </c>
      <c r="N34" s="16">
        <f t="shared" ca="1" si="12"/>
        <v>3614.5000000000005</v>
      </c>
    </row>
    <row r="35" spans="1:14" ht="24.75" customHeight="1" x14ac:dyDescent="0.8">
      <c r="A35" s="9" t="s">
        <v>47</v>
      </c>
      <c r="B35" s="10">
        <f ca="1">IFERROR(__xludf.DUMMYFUNCTION("GOOGLEFINANCE(A35,""PRICE"")"),3460)</f>
        <v>3460</v>
      </c>
      <c r="C35" s="11">
        <f ca="1">IFERROR(__xludf.DUMMYFUNCTION("GOOGLEFINANCE(A35,""PRICEOPEN"")"),3462.1)</f>
        <v>3462.1</v>
      </c>
      <c r="D35" s="11">
        <f ca="1">IFERROR(__xludf.DUMMYFUNCTION("GOOGLEFINANCE(A35,""HIGH"")"),3492.4)</f>
        <v>3492.4</v>
      </c>
      <c r="E35" s="11">
        <f ca="1">IFERROR(__xludf.DUMMYFUNCTION("GOOGLEFINANCE(A35,""LOW"")"),3404.2)</f>
        <v>3404.2</v>
      </c>
      <c r="F35" s="12" t="str">
        <f t="shared" ca="1" si="7"/>
        <v/>
      </c>
      <c r="G35" s="13">
        <f ca="1">IFERROR(__xludf.DUMMYFUNCTION("GOOGLEFINANCE(A35,""CLOSEYEST"")"),3463.4)</f>
        <v>3463.4</v>
      </c>
      <c r="H35" s="14" t="str">
        <f t="shared" ca="1" si="13"/>
        <v/>
      </c>
      <c r="I35" s="15">
        <f t="shared" ca="1" si="8"/>
        <v>3453.3333333333335</v>
      </c>
      <c r="J35" s="16">
        <f t="shared" ca="1" si="9"/>
        <v>3502.4666666666672</v>
      </c>
      <c r="K35" s="16"/>
      <c r="L35" s="16">
        <f t="shared" ca="1" si="10"/>
        <v>3414.2666666666669</v>
      </c>
      <c r="M35" s="16">
        <f t="shared" ca="1" si="11"/>
        <v>3541.5333333333338</v>
      </c>
      <c r="N35" s="16">
        <f t="shared" ca="1" si="12"/>
        <v>3365.1333333333332</v>
      </c>
    </row>
    <row r="36" spans="1:14" ht="24.75" customHeight="1" x14ac:dyDescent="0.8">
      <c r="A36" s="9" t="s">
        <v>48</v>
      </c>
      <c r="B36" s="10">
        <f ca="1">IFERROR(__xludf.DUMMYFUNCTION("GOOGLEFINANCE(A36,""PRICE"")"),15808)</f>
        <v>15808</v>
      </c>
      <c r="C36" s="11">
        <f ca="1">IFERROR(__xludf.DUMMYFUNCTION("GOOGLEFINANCE(A36,""PRICEOPEN"")"),15949)</f>
        <v>15949</v>
      </c>
      <c r="D36" s="11">
        <f ca="1">IFERROR(__xludf.DUMMYFUNCTION("GOOGLEFINANCE(A36,""HIGH"")"),16025)</f>
        <v>16025</v>
      </c>
      <c r="E36" s="11">
        <f ca="1">IFERROR(__xludf.DUMMYFUNCTION("GOOGLEFINANCE(A36,""LOW"")"),15736)</f>
        <v>15736</v>
      </c>
      <c r="F36" s="12" t="str">
        <f t="shared" ca="1" si="7"/>
        <v/>
      </c>
      <c r="G36" s="13">
        <f ca="1">IFERROR(__xludf.DUMMYFUNCTION("GOOGLEFINANCE(A36,""CLOSEYEST"")"),15965)</f>
        <v>15965</v>
      </c>
      <c r="H36" s="14" t="str">
        <f t="shared" ca="1" si="13"/>
        <v/>
      </c>
      <c r="I36" s="15">
        <f t="shared" ca="1" si="8"/>
        <v>15908.666666666666</v>
      </c>
      <c r="J36" s="16">
        <f t="shared" ca="1" si="9"/>
        <v>16081.333333333332</v>
      </c>
      <c r="K36" s="16"/>
      <c r="L36" s="16">
        <f t="shared" ca="1" si="10"/>
        <v>15792.333333333332</v>
      </c>
      <c r="M36" s="16">
        <f t="shared" ca="1" si="11"/>
        <v>16197.666666666666</v>
      </c>
      <c r="N36" s="16">
        <f t="shared" ca="1" si="12"/>
        <v>15619.666666666666</v>
      </c>
    </row>
    <row r="37" spans="1:14" ht="24.75" customHeight="1" x14ac:dyDescent="0.8">
      <c r="A37" s="9" t="s">
        <v>49</v>
      </c>
      <c r="B37" s="10">
        <f ca="1">IFERROR(__xludf.DUMMYFUNCTION("GOOGLEFINANCE(A37,""PRICE"")"),341.8)</f>
        <v>341.8</v>
      </c>
      <c r="C37" s="11">
        <f ca="1">IFERROR(__xludf.DUMMYFUNCTION("GOOGLEFINANCE(A37,""PRICEOPEN"")"),340.25)</f>
        <v>340.25</v>
      </c>
      <c r="D37" s="11">
        <f ca="1">IFERROR(__xludf.DUMMYFUNCTION("GOOGLEFINANCE(A37,""HIGH"")"),343.5)</f>
        <v>343.5</v>
      </c>
      <c r="E37" s="11">
        <f ca="1">IFERROR(__xludf.DUMMYFUNCTION("GOOGLEFINANCE(A37,""LOW"")"),338.75)</f>
        <v>338.75</v>
      </c>
      <c r="F37" s="12" t="str">
        <f t="shared" ca="1" si="7"/>
        <v/>
      </c>
      <c r="G37" s="13">
        <f ca="1">IFERROR(__xludf.DUMMYFUNCTION("GOOGLEFINANCE(A37,""CLOSEYEST"")"),340.25)</f>
        <v>340.25</v>
      </c>
      <c r="H37" s="14" t="str">
        <f t="shared" ca="1" si="13"/>
        <v/>
      </c>
      <c r="I37" s="15">
        <f t="shared" ca="1" si="8"/>
        <v>340.83333333333331</v>
      </c>
      <c r="J37" s="16">
        <f t="shared" ca="1" si="9"/>
        <v>342.91666666666663</v>
      </c>
      <c r="K37" s="16"/>
      <c r="L37" s="16">
        <f t="shared" ca="1" si="10"/>
        <v>338.16666666666663</v>
      </c>
      <c r="M37" s="16">
        <f t="shared" ca="1" si="11"/>
        <v>345.58333333333331</v>
      </c>
      <c r="N37" s="16">
        <f t="shared" ca="1" si="12"/>
        <v>336.08333333333331</v>
      </c>
    </row>
    <row r="38" spans="1:14" ht="24.75" customHeight="1" x14ac:dyDescent="0.8">
      <c r="A38" s="9" t="s">
        <v>50</v>
      </c>
      <c r="B38" s="10">
        <f ca="1">IFERROR(__xludf.DUMMYFUNCTION("GOOGLEFINANCE(A38,""PRICE"")"),1170)</f>
        <v>1170</v>
      </c>
      <c r="C38" s="11">
        <f ca="1">IFERROR(__xludf.DUMMYFUNCTION("GOOGLEFINANCE(A38,""PRICEOPEN"")"),1160)</f>
        <v>1160</v>
      </c>
      <c r="D38" s="11">
        <f ca="1">IFERROR(__xludf.DUMMYFUNCTION("GOOGLEFINANCE(A38,""HIGH"")"),1171.3)</f>
        <v>1171.3</v>
      </c>
      <c r="E38" s="11">
        <f ca="1">IFERROR(__xludf.DUMMYFUNCTION("GOOGLEFINANCE(A38,""LOW"")"),1154.4)</f>
        <v>1154.4000000000001</v>
      </c>
      <c r="F38" s="12" t="str">
        <f t="shared" ca="1" si="7"/>
        <v/>
      </c>
      <c r="G38" s="13">
        <f ca="1">IFERROR(__xludf.DUMMYFUNCTION("GOOGLEFINANCE(A38,""CLOSEYEST"")"),1166.4)</f>
        <v>1166.4000000000001</v>
      </c>
      <c r="H38" s="14" t="str">
        <f t="shared" ca="1" si="13"/>
        <v/>
      </c>
      <c r="I38" s="15">
        <f t="shared" ca="1" si="8"/>
        <v>1164.0333333333333</v>
      </c>
      <c r="J38" s="16">
        <f t="shared" ca="1" si="9"/>
        <v>1173.6666666666665</v>
      </c>
      <c r="K38" s="16"/>
      <c r="L38" s="16">
        <f t="shared" ca="1" si="10"/>
        <v>1156.7666666666667</v>
      </c>
      <c r="M38" s="16">
        <f t="shared" ca="1" si="11"/>
        <v>1180.9333333333332</v>
      </c>
      <c r="N38" s="16">
        <f t="shared" ca="1" si="12"/>
        <v>1147.1333333333334</v>
      </c>
    </row>
    <row r="39" spans="1:14" ht="24.75" customHeight="1" x14ac:dyDescent="0.8">
      <c r="A39" s="9" t="s">
        <v>51</v>
      </c>
      <c r="B39" s="10">
        <f ca="1">IFERROR(__xludf.DUMMYFUNCTION("GOOGLEFINANCE(A39,""PRICE"")"),243.78)</f>
        <v>243.78</v>
      </c>
      <c r="C39" s="11">
        <f ca="1">IFERROR(__xludf.DUMMYFUNCTION("GOOGLEFINANCE(A39,""PRICEOPEN"")"),242.5)</f>
        <v>242.5</v>
      </c>
      <c r="D39" s="11">
        <f ca="1">IFERROR(__xludf.DUMMYFUNCTION("GOOGLEFINANCE(A39,""HIGH"")"),244.2)</f>
        <v>244.2</v>
      </c>
      <c r="E39" s="11">
        <f ca="1">IFERROR(__xludf.DUMMYFUNCTION("GOOGLEFINANCE(A39,""LOW"")"),239.7)</f>
        <v>239.7</v>
      </c>
      <c r="F39" s="12" t="str">
        <f t="shared" ca="1" si="7"/>
        <v/>
      </c>
      <c r="G39" s="13">
        <f ca="1">IFERROR(__xludf.DUMMYFUNCTION("GOOGLEFINANCE(A39,""CLOSEYEST"")"),243.04)</f>
        <v>243.04</v>
      </c>
      <c r="H39" s="14" t="str">
        <f t="shared" ca="1" si="13"/>
        <v/>
      </c>
      <c r="I39" s="15">
        <f t="shared" ca="1" si="8"/>
        <v>242.3133333333333</v>
      </c>
      <c r="J39" s="16">
        <f t="shared" ca="1" si="9"/>
        <v>244.92666666666662</v>
      </c>
      <c r="K39" s="16"/>
      <c r="L39" s="16">
        <f t="shared" ca="1" si="10"/>
        <v>240.42666666666662</v>
      </c>
      <c r="M39" s="16">
        <f t="shared" ca="1" si="11"/>
        <v>246.8133333333333</v>
      </c>
      <c r="N39" s="16">
        <f t="shared" ca="1" si="12"/>
        <v>237.8133333333333</v>
      </c>
    </row>
    <row r="40" spans="1:14" ht="24.75" customHeight="1" x14ac:dyDescent="0.8">
      <c r="A40" s="9" t="s">
        <v>52</v>
      </c>
      <c r="B40" s="10">
        <f ca="1">IFERROR(__xludf.DUMMYFUNCTION("GOOGLEFINANCE(A40,""PRICE"")"),288.65)</f>
        <v>288.64999999999998</v>
      </c>
      <c r="C40" s="11">
        <f ca="1">IFERROR(__xludf.DUMMYFUNCTION("GOOGLEFINANCE(A40,""PRICEOPEN"")"),283.35)</f>
        <v>283.35000000000002</v>
      </c>
      <c r="D40" s="11">
        <f ca="1">IFERROR(__xludf.DUMMYFUNCTION("GOOGLEFINANCE(A40,""HIGH"")"),290)</f>
        <v>290</v>
      </c>
      <c r="E40" s="11">
        <f ca="1">IFERROR(__xludf.DUMMYFUNCTION("GOOGLEFINANCE(A40,""LOW"")"),281.05)</f>
        <v>281.05</v>
      </c>
      <c r="F40" s="12" t="str">
        <f t="shared" ca="1" si="7"/>
        <v/>
      </c>
      <c r="G40" s="13">
        <f ca="1">IFERROR(__xludf.DUMMYFUNCTION("GOOGLEFINANCE(A40,""CLOSEYEST"")"),280.65)</f>
        <v>280.64999999999998</v>
      </c>
      <c r="H40" s="14" t="str">
        <f t="shared" ca="1" si="13"/>
        <v/>
      </c>
      <c r="I40" s="15">
        <f t="shared" ca="1" si="8"/>
        <v>283.89999999999998</v>
      </c>
      <c r="J40" s="16">
        <f t="shared" ca="1" si="9"/>
        <v>286.74999999999994</v>
      </c>
      <c r="K40" s="16"/>
      <c r="L40" s="16">
        <f t="shared" ca="1" si="10"/>
        <v>277.79999999999995</v>
      </c>
      <c r="M40" s="16">
        <f t="shared" ca="1" si="11"/>
        <v>292.84999999999997</v>
      </c>
      <c r="N40" s="16">
        <f t="shared" ca="1" si="12"/>
        <v>274.95</v>
      </c>
    </row>
    <row r="41" spans="1:14" ht="24.75" customHeight="1" x14ac:dyDescent="0.8">
      <c r="A41" s="9" t="s">
        <v>53</v>
      </c>
      <c r="B41" s="10">
        <f ca="1">IFERROR(__xludf.DUMMYFUNCTION("GOOGLEFINANCE(A41,""PRICE"")"),1363.3)</f>
        <v>1363.3</v>
      </c>
      <c r="C41" s="11">
        <f ca="1">IFERROR(__xludf.DUMMYFUNCTION("GOOGLEFINANCE(A41,""PRICEOPEN"")"),1363.2)</f>
        <v>1363.2</v>
      </c>
      <c r="D41" s="11">
        <f ca="1">IFERROR(__xludf.DUMMYFUNCTION("GOOGLEFINANCE(A41,""HIGH"")"),1371.6)</f>
        <v>1371.6</v>
      </c>
      <c r="E41" s="11">
        <f ca="1">IFERROR(__xludf.DUMMYFUNCTION("GOOGLEFINANCE(A41,""LOW"")"),1356.9)</f>
        <v>1356.9</v>
      </c>
      <c r="F41" s="12" t="str">
        <f t="shared" ca="1" si="7"/>
        <v/>
      </c>
      <c r="G41" s="13">
        <f ca="1">IFERROR(__xludf.DUMMYFUNCTION("GOOGLEFINANCE(A41,""CLOSEYEST"")"),1368.7)</f>
        <v>1368.7</v>
      </c>
      <c r="H41" s="14" t="str">
        <f t="shared" ca="1" si="13"/>
        <v/>
      </c>
      <c r="I41" s="15">
        <f t="shared" ca="1" si="8"/>
        <v>1365.7333333333333</v>
      </c>
      <c r="J41" s="16">
        <f t="shared" ca="1" si="9"/>
        <v>1374.5666666666666</v>
      </c>
      <c r="K41" s="16"/>
      <c r="L41" s="16">
        <f t="shared" ca="1" si="10"/>
        <v>1359.8666666666668</v>
      </c>
      <c r="M41" s="16">
        <f t="shared" ca="1" si="11"/>
        <v>1380.4333333333332</v>
      </c>
      <c r="N41" s="16">
        <f t="shared" ca="1" si="12"/>
        <v>1351.0333333333335</v>
      </c>
    </row>
    <row r="42" spans="1:14" ht="24.75" customHeight="1" x14ac:dyDescent="0.8">
      <c r="A42" s="9" t="s">
        <v>54</v>
      </c>
      <c r="B42" s="10">
        <f ca="1">IFERROR(__xludf.DUMMYFUNCTION("GOOGLEFINANCE(A42,""PRICE"")"),1787)</f>
        <v>1787</v>
      </c>
      <c r="C42" s="11">
        <f ca="1">IFERROR(__xludf.DUMMYFUNCTION("GOOGLEFINANCE(A42,""PRICEOPEN"")"),1801.1)</f>
        <v>1801.1</v>
      </c>
      <c r="D42" s="11">
        <f ca="1">IFERROR(__xludf.DUMMYFUNCTION("GOOGLEFINANCE(A42,""HIGH"")"),1803.2)</f>
        <v>1803.2</v>
      </c>
      <c r="E42" s="11">
        <f ca="1">IFERROR(__xludf.DUMMYFUNCTION("GOOGLEFINANCE(A42,""LOW"")"),1766.2)</f>
        <v>1766.2</v>
      </c>
      <c r="F42" s="12" t="str">
        <f t="shared" ca="1" si="7"/>
        <v/>
      </c>
      <c r="G42" s="13">
        <f ca="1">IFERROR(__xludf.DUMMYFUNCTION("GOOGLEFINANCE(A42,""CLOSEYEST"")"),1801.1)</f>
        <v>1801.1</v>
      </c>
      <c r="H42" s="14" t="str">
        <f t="shared" ca="1" si="13"/>
        <v/>
      </c>
      <c r="I42" s="15">
        <f t="shared" ca="1" si="8"/>
        <v>1790.1666666666667</v>
      </c>
      <c r="J42" s="16">
        <f t="shared" ca="1" si="9"/>
        <v>1814.1333333333334</v>
      </c>
      <c r="K42" s="16"/>
      <c r="L42" s="16">
        <f t="shared" ca="1" si="10"/>
        <v>1777.1333333333334</v>
      </c>
      <c r="M42" s="16">
        <f t="shared" ca="1" si="11"/>
        <v>1827.1666666666667</v>
      </c>
      <c r="N42" s="16">
        <f t="shared" ca="1" si="12"/>
        <v>1753.1666666666667</v>
      </c>
    </row>
    <row r="43" spans="1:14" ht="24.75" customHeight="1" x14ac:dyDescent="0.8">
      <c r="A43" s="9" t="s">
        <v>55</v>
      </c>
      <c r="B43" s="10">
        <f ca="1">IFERROR(__xludf.DUMMYFUNCTION("GOOGLEFINANCE(A43,""PRICE"")"),867.7)</f>
        <v>867.7</v>
      </c>
      <c r="C43" s="11">
        <f ca="1">IFERROR(__xludf.DUMMYFUNCTION("GOOGLEFINANCE(A43,""PRICEOPEN"")"),865.15)</f>
        <v>865.15</v>
      </c>
      <c r="D43" s="11">
        <f ca="1">IFERROR(__xludf.DUMMYFUNCTION("GOOGLEFINANCE(A43,""HIGH"")"),873)</f>
        <v>873</v>
      </c>
      <c r="E43" s="11">
        <f ca="1">IFERROR(__xludf.DUMMYFUNCTION("GOOGLEFINANCE(A43,""LOW"")"),863.8)</f>
        <v>863.8</v>
      </c>
      <c r="F43" s="12" t="str">
        <f t="shared" ca="1" si="7"/>
        <v/>
      </c>
      <c r="G43" s="13">
        <f ca="1">IFERROR(__xludf.DUMMYFUNCTION("GOOGLEFINANCE(A43,""CLOSEYEST"")"),864.1)</f>
        <v>864.1</v>
      </c>
      <c r="H43" s="14" t="str">
        <f t="shared" ca="1" si="13"/>
        <v/>
      </c>
      <c r="I43" s="15">
        <f t="shared" ca="1" si="8"/>
        <v>866.9666666666667</v>
      </c>
      <c r="J43" s="16">
        <f t="shared" ca="1" si="9"/>
        <v>870.13333333333344</v>
      </c>
      <c r="K43" s="16"/>
      <c r="L43" s="16">
        <f t="shared" ca="1" si="10"/>
        <v>860.93333333333339</v>
      </c>
      <c r="M43" s="16">
        <f t="shared" ca="1" si="11"/>
        <v>876.16666666666674</v>
      </c>
      <c r="N43" s="16">
        <f t="shared" ca="1" si="12"/>
        <v>857.76666666666665</v>
      </c>
    </row>
    <row r="44" spans="1:14" ht="24.75" customHeight="1" x14ac:dyDescent="0.8">
      <c r="A44" s="9" t="s">
        <v>56</v>
      </c>
      <c r="B44" s="10">
        <f ca="1">IFERROR(__xludf.DUMMYFUNCTION("GOOGLEFINANCE(A44,""PRICE"")"),1632)</f>
        <v>1632</v>
      </c>
      <c r="C44" s="11">
        <f ca="1">IFERROR(__xludf.DUMMYFUNCTION("GOOGLEFINANCE(A44,""PRICEOPEN"")"),1600)</f>
        <v>1600</v>
      </c>
      <c r="D44" s="11">
        <f ca="1">IFERROR(__xludf.DUMMYFUNCTION("GOOGLEFINANCE(A44,""HIGH"")"),1645.5)</f>
        <v>1645.5</v>
      </c>
      <c r="E44" s="11">
        <f ca="1">IFERROR(__xludf.DUMMYFUNCTION("GOOGLEFINANCE(A44,""LOW"")"),1600)</f>
        <v>1600</v>
      </c>
      <c r="F44" s="12" t="str">
        <f t="shared" ca="1" si="7"/>
        <v>BUY</v>
      </c>
      <c r="G44" s="13">
        <f ca="1">IFERROR(__xludf.DUMMYFUNCTION("GOOGLEFINANCE(A44,""CLOSEYEST"")"),1636.2)</f>
        <v>1636.2</v>
      </c>
      <c r="H44" s="14" t="str">
        <f t="shared" ca="1" si="13"/>
        <v>GAP DOWN</v>
      </c>
      <c r="I44" s="15">
        <f t="shared" ca="1" si="8"/>
        <v>1627.2333333333333</v>
      </c>
      <c r="J44" s="16">
        <f t="shared" ca="1" si="9"/>
        <v>1654.4666666666667</v>
      </c>
      <c r="K44" s="16"/>
      <c r="L44" s="16">
        <f t="shared" ca="1" si="10"/>
        <v>1608.9666666666667</v>
      </c>
      <c r="M44" s="16">
        <f t="shared" ca="1" si="11"/>
        <v>1672.7333333333333</v>
      </c>
      <c r="N44" s="16">
        <f t="shared" ca="1" si="12"/>
        <v>1581.7333333333333</v>
      </c>
    </row>
    <row r="45" spans="1:14" ht="24.75" customHeight="1" x14ac:dyDescent="0.8">
      <c r="A45" s="9" t="s">
        <v>57</v>
      </c>
      <c r="B45" s="10">
        <f ca="1">IFERROR(__xludf.DUMMYFUNCTION("GOOGLEFINANCE(A45,""PRICE"")"),35.67)</f>
        <v>35.67</v>
      </c>
      <c r="C45" s="11">
        <f ca="1">IFERROR(__xludf.DUMMYFUNCTION("GOOGLEFINANCE(A45,""PRICEOPEN"")"),34.95)</f>
        <v>34.950000000000003</v>
      </c>
      <c r="D45" s="11">
        <f ca="1">IFERROR(__xludf.DUMMYFUNCTION("GOOGLEFINANCE(A45,""HIGH"")"),35.63)</f>
        <v>35.630000000000003</v>
      </c>
      <c r="E45" s="11">
        <f ca="1">IFERROR(__xludf.DUMMYFUNCTION("GOOGLEFINANCE(A45,""LOW"")"),34.95)</f>
        <v>34.950000000000003</v>
      </c>
      <c r="F45" s="12" t="str">
        <f t="shared" ca="1" si="7"/>
        <v>BUY</v>
      </c>
      <c r="G45" s="13">
        <f ca="1">IFERROR(__xludf.DUMMYFUNCTION("GOOGLEFINANCE(A45,""CLOSEYEST"")"),34.95)</f>
        <v>34.950000000000003</v>
      </c>
      <c r="H45" s="14" t="str">
        <f t="shared" ca="1" si="13"/>
        <v/>
      </c>
      <c r="I45" s="15">
        <f t="shared" ca="1" si="8"/>
        <v>35.176666666666669</v>
      </c>
      <c r="J45" s="16">
        <f t="shared" ca="1" si="9"/>
        <v>35.403333333333336</v>
      </c>
      <c r="K45" s="16"/>
      <c r="L45" s="16">
        <f t="shared" ca="1" si="10"/>
        <v>34.723333333333336</v>
      </c>
      <c r="M45" s="16">
        <f t="shared" ca="1" si="11"/>
        <v>35.856666666666669</v>
      </c>
      <c r="N45" s="16">
        <f t="shared" ca="1" si="12"/>
        <v>34.49666666666667</v>
      </c>
    </row>
    <row r="46" spans="1:14" ht="24.75" customHeight="1" x14ac:dyDescent="0.8">
      <c r="A46" s="9" t="s">
        <v>58</v>
      </c>
      <c r="B46" s="10">
        <f ca="1">IFERROR(__xludf.DUMMYFUNCTION("GOOGLEFINANCE(A46,""PRICE"")"),1138.5)</f>
        <v>1138.5</v>
      </c>
      <c r="C46" s="11">
        <f ca="1">IFERROR(__xludf.DUMMYFUNCTION("GOOGLEFINANCE(A46,""PRICEOPEN"")"),1146)</f>
        <v>1146</v>
      </c>
      <c r="D46" s="11">
        <f ca="1">IFERROR(__xludf.DUMMYFUNCTION("GOOGLEFINANCE(A46,""HIGH"")"),1150)</f>
        <v>1150</v>
      </c>
      <c r="E46" s="11">
        <f ca="1">IFERROR(__xludf.DUMMYFUNCTION("GOOGLEFINANCE(A46,""LOW"")"),1129.1)</f>
        <v>1129.0999999999999</v>
      </c>
      <c r="F46" s="12" t="str">
        <f t="shared" ca="1" si="7"/>
        <v/>
      </c>
      <c r="G46" s="13">
        <f ca="1">IFERROR(__xludf.DUMMYFUNCTION("GOOGLEFINANCE(A46,""CLOSEYEST"")"),1144.8)</f>
        <v>1144.8</v>
      </c>
      <c r="H46" s="14" t="str">
        <f t="shared" ca="1" si="13"/>
        <v/>
      </c>
      <c r="I46" s="15">
        <f t="shared" ca="1" si="8"/>
        <v>1141.3</v>
      </c>
      <c r="J46" s="16">
        <f t="shared" ca="1" si="9"/>
        <v>1153.5</v>
      </c>
      <c r="K46" s="16"/>
      <c r="L46" s="16">
        <f t="shared" ca="1" si="10"/>
        <v>1132.5999999999999</v>
      </c>
      <c r="M46" s="16">
        <f t="shared" ca="1" si="11"/>
        <v>1162.2</v>
      </c>
      <c r="N46" s="16">
        <f t="shared" ca="1" si="12"/>
        <v>1120.3999999999999</v>
      </c>
    </row>
    <row r="47" spans="1:14" ht="24.75" customHeight="1" x14ac:dyDescent="0.8">
      <c r="A47" s="9" t="s">
        <v>59</v>
      </c>
      <c r="B47" s="10">
        <f ca="1">IFERROR(__xludf.DUMMYFUNCTION("GOOGLEFINANCE(A47,""PRICE"")"),715.85)</f>
        <v>715.85</v>
      </c>
      <c r="C47" s="11">
        <f ca="1">IFERROR(__xludf.DUMMYFUNCTION("GOOGLEFINANCE(A47,""PRICEOPEN"")"),718.5)</f>
        <v>718.5</v>
      </c>
      <c r="D47" s="11">
        <f ca="1">IFERROR(__xludf.DUMMYFUNCTION("GOOGLEFINANCE(A47,""HIGH"")"),739.7)</f>
        <v>739.7</v>
      </c>
      <c r="E47" s="11">
        <f ca="1">IFERROR(__xludf.DUMMYFUNCTION("GOOGLEFINANCE(A47,""LOW"")"),715)</f>
        <v>715</v>
      </c>
      <c r="F47" s="12" t="str">
        <f t="shared" ca="1" si="7"/>
        <v/>
      </c>
      <c r="G47" s="13">
        <f ca="1">IFERROR(__xludf.DUMMYFUNCTION("GOOGLEFINANCE(A47,""CLOSEYEST"")"),718.35)</f>
        <v>718.35</v>
      </c>
      <c r="H47" s="14" t="str">
        <f t="shared" ca="1" si="13"/>
        <v/>
      </c>
      <c r="I47" s="15">
        <f t="shared" ca="1" si="8"/>
        <v>724.35</v>
      </c>
      <c r="J47" s="16">
        <f t="shared" ca="1" si="9"/>
        <v>733.7</v>
      </c>
      <c r="K47" s="16"/>
      <c r="L47" s="16">
        <f t="shared" ca="1" si="10"/>
        <v>709</v>
      </c>
      <c r="M47" s="16">
        <f t="shared" ca="1" si="11"/>
        <v>749.05000000000007</v>
      </c>
      <c r="N47" s="16">
        <f t="shared" ca="1" si="12"/>
        <v>699.65</v>
      </c>
    </row>
    <row r="48" spans="1:14" ht="24.75" customHeight="1" x14ac:dyDescent="0.8">
      <c r="A48" s="9" t="s">
        <v>60</v>
      </c>
      <c r="B48" s="10">
        <f ca="1">IFERROR(__xludf.DUMMYFUNCTION("GOOGLEFINANCE(A48,""PRICE"")"),173.29)</f>
        <v>173.29</v>
      </c>
      <c r="C48" s="11">
        <f ca="1">IFERROR(__xludf.DUMMYFUNCTION("GOOGLEFINANCE(A48,""PRICEOPEN"")"),168.12)</f>
        <v>168.12</v>
      </c>
      <c r="D48" s="11">
        <f ca="1">IFERROR(__xludf.DUMMYFUNCTION("GOOGLEFINANCE(A48,""HIGH"")"),174.74)</f>
        <v>174.74</v>
      </c>
      <c r="E48" s="11">
        <f ca="1">IFERROR(__xludf.DUMMYFUNCTION("GOOGLEFINANCE(A48,""LOW"")"),168.12)</f>
        <v>168.12</v>
      </c>
      <c r="F48" s="12" t="str">
        <f t="shared" ca="1" si="7"/>
        <v>BUY</v>
      </c>
      <c r="G48" s="13">
        <f ca="1">IFERROR(__xludf.DUMMYFUNCTION("GOOGLEFINANCE(A48,""CLOSEYEST"")"),167.51)</f>
        <v>167.51</v>
      </c>
      <c r="H48" s="14" t="str">
        <f t="shared" ca="1" si="13"/>
        <v/>
      </c>
      <c r="I48" s="15">
        <f t="shared" ca="1" si="8"/>
        <v>170.12333333333333</v>
      </c>
      <c r="J48" s="16">
        <f t="shared" ca="1" si="9"/>
        <v>172.12666666666667</v>
      </c>
      <c r="K48" s="16"/>
      <c r="L48" s="16">
        <f t="shared" ca="1" si="10"/>
        <v>165.50666666666666</v>
      </c>
      <c r="M48" s="16">
        <f t="shared" ca="1" si="11"/>
        <v>176.74333333333334</v>
      </c>
      <c r="N48" s="16">
        <f t="shared" ca="1" si="12"/>
        <v>163.50333333333333</v>
      </c>
    </row>
    <row r="49" spans="1:14" ht="24.75" customHeight="1" x14ac:dyDescent="0.8">
      <c r="A49" s="9" t="s">
        <v>61</v>
      </c>
      <c r="B49" s="10">
        <f ca="1">IFERROR(__xludf.DUMMYFUNCTION("GOOGLEFINANCE(A49,""PRICE"")"),1398)</f>
        <v>1398</v>
      </c>
      <c r="C49" s="11">
        <f ca="1">IFERROR(__xludf.DUMMYFUNCTION("GOOGLEFINANCE(A49,""PRICEOPEN"")"),1423)</f>
        <v>1423</v>
      </c>
      <c r="D49" s="11">
        <f ca="1">IFERROR(__xludf.DUMMYFUNCTION("GOOGLEFINANCE(A49,""HIGH"")"),1423.8)</f>
        <v>1423.8</v>
      </c>
      <c r="E49" s="11">
        <f ca="1">IFERROR(__xludf.DUMMYFUNCTION("GOOGLEFINANCE(A49,""LOW"")"),1397.3)</f>
        <v>1397.3</v>
      </c>
      <c r="F49" s="12" t="str">
        <f t="shared" ca="1" si="7"/>
        <v/>
      </c>
      <c r="G49" s="13">
        <f ca="1">IFERROR(__xludf.DUMMYFUNCTION("GOOGLEFINANCE(A49,""CLOSEYEST"")"),1416)</f>
        <v>1416</v>
      </c>
      <c r="H49" s="14" t="str">
        <f t="shared" ca="1" si="13"/>
        <v/>
      </c>
      <c r="I49" s="15">
        <f t="shared" ca="1" si="8"/>
        <v>1412.3666666666668</v>
      </c>
      <c r="J49" s="16">
        <f t="shared" ca="1" si="9"/>
        <v>1427.4333333333336</v>
      </c>
      <c r="K49" s="16"/>
      <c r="L49" s="16">
        <f t="shared" ca="1" si="10"/>
        <v>1400.9333333333336</v>
      </c>
      <c r="M49" s="16">
        <f t="shared" ca="1" si="11"/>
        <v>1438.8666666666668</v>
      </c>
      <c r="N49" s="16">
        <f t="shared" ca="1" si="12"/>
        <v>1385.8666666666668</v>
      </c>
    </row>
    <row r="50" spans="1:14" ht="24.75" customHeight="1" x14ac:dyDescent="0.8">
      <c r="A50" s="9" t="s">
        <v>62</v>
      </c>
      <c r="B50" s="10">
        <f ca="1">IFERROR(__xludf.DUMMYFUNCTION("GOOGLEFINANCE(A50,""PRICE"")"),12018)</f>
        <v>12018</v>
      </c>
      <c r="C50" s="11">
        <f ca="1">IFERROR(__xludf.DUMMYFUNCTION("GOOGLEFINANCE(A50,""PRICEOPEN"")"),12095)</f>
        <v>12095</v>
      </c>
      <c r="D50" s="11">
        <f ca="1">IFERROR(__xludf.DUMMYFUNCTION("GOOGLEFINANCE(A50,""HIGH"")"),12139)</f>
        <v>12139</v>
      </c>
      <c r="E50" s="11">
        <f ca="1">IFERROR(__xludf.DUMMYFUNCTION("GOOGLEFINANCE(A50,""LOW"")"),11982)</f>
        <v>11982</v>
      </c>
      <c r="F50" s="12" t="str">
        <f t="shared" ca="1" si="7"/>
        <v/>
      </c>
      <c r="G50" s="13">
        <f ca="1">IFERROR(__xludf.DUMMYFUNCTION("GOOGLEFINANCE(A50,""CLOSEYEST"")"),12095)</f>
        <v>12095</v>
      </c>
      <c r="H50" s="14" t="str">
        <f t="shared" ca="1" si="13"/>
        <v/>
      </c>
      <c r="I50" s="15">
        <f t="shared" ca="1" si="8"/>
        <v>12072</v>
      </c>
      <c r="J50" s="16">
        <f t="shared" ca="1" si="9"/>
        <v>12162</v>
      </c>
      <c r="K50" s="16"/>
      <c r="L50" s="16">
        <f t="shared" ca="1" si="10"/>
        <v>12005</v>
      </c>
      <c r="M50" s="16">
        <f t="shared" ca="1" si="11"/>
        <v>12229</v>
      </c>
      <c r="N50" s="16">
        <f t="shared" ca="1" si="12"/>
        <v>11915</v>
      </c>
    </row>
    <row r="51" spans="1:14" ht="24.75" customHeight="1" x14ac:dyDescent="0.8">
      <c r="A51" s="9" t="s">
        <v>63</v>
      </c>
      <c r="B51" s="10">
        <f ca="1">IFERROR(__xludf.DUMMYFUNCTION("GOOGLEFINANCE(A51,""PRICE"")"),241.2)</f>
        <v>241.2</v>
      </c>
      <c r="C51" s="11">
        <f ca="1">IFERROR(__xludf.DUMMYFUNCTION("GOOGLEFINANCE(A51,""PRICEOPEN"")"),240.98)</f>
        <v>240.98</v>
      </c>
      <c r="D51" s="11">
        <f ca="1">IFERROR(__xludf.DUMMYFUNCTION("GOOGLEFINANCE(A51,""HIGH"")"),241.4)</f>
        <v>241.4</v>
      </c>
      <c r="E51" s="11">
        <f ca="1">IFERROR(__xludf.DUMMYFUNCTION("GOOGLEFINANCE(A51,""LOW"")"),238.06)</f>
        <v>238.06</v>
      </c>
      <c r="F51" s="12" t="str">
        <f t="shared" ca="1" si="7"/>
        <v/>
      </c>
      <c r="G51" s="13">
        <f ca="1">IFERROR(__xludf.DUMMYFUNCTION("GOOGLEFINANCE(A51,""CLOSEYEST"")"),241.07)</f>
        <v>241.07</v>
      </c>
      <c r="H51" s="14" t="str">
        <f t="shared" ca="1" si="13"/>
        <v/>
      </c>
      <c r="I51" s="15">
        <f t="shared" ca="1" si="8"/>
        <v>240.17666666666665</v>
      </c>
      <c r="J51" s="16">
        <f t="shared" ca="1" si="9"/>
        <v>242.29333333333329</v>
      </c>
      <c r="K51" s="16"/>
      <c r="L51" s="16">
        <f t="shared" ca="1" si="10"/>
        <v>238.95333333333329</v>
      </c>
      <c r="M51" s="16">
        <f t="shared" ca="1" si="11"/>
        <v>243.51666666666665</v>
      </c>
      <c r="N51" s="16">
        <f t="shared" ca="1" si="12"/>
        <v>236.83666666666664</v>
      </c>
    </row>
    <row r="52" spans="1:14" ht="24.75" customHeight="1" x14ac:dyDescent="0.8">
      <c r="A52" s="9" t="s">
        <v>64</v>
      </c>
      <c r="B52" s="10">
        <f ca="1">IFERROR(__xludf.DUMMYFUNCTION("GOOGLEFINANCE(A52,""PRICE"")"),114.15)</f>
        <v>114.15</v>
      </c>
      <c r="C52" s="11">
        <f ca="1">IFERROR(__xludf.DUMMYFUNCTION("GOOGLEFINANCE(A52,""PRICEOPEN"")"),114.49)</f>
        <v>114.49</v>
      </c>
      <c r="D52" s="11">
        <f ca="1">IFERROR(__xludf.DUMMYFUNCTION("GOOGLEFINANCE(A52,""HIGH"")"),115.07)</f>
        <v>115.07</v>
      </c>
      <c r="E52" s="11">
        <f ca="1">IFERROR(__xludf.DUMMYFUNCTION("GOOGLEFINANCE(A52,""LOW"")"),112.63)</f>
        <v>112.63</v>
      </c>
      <c r="F52" s="12" t="str">
        <f t="shared" ca="1" si="7"/>
        <v/>
      </c>
      <c r="G52" s="13">
        <f ca="1">IFERROR(__xludf.DUMMYFUNCTION("GOOGLEFINANCE(A52,""CLOSEYEST"")"),114.21)</f>
        <v>114.21</v>
      </c>
      <c r="H52" s="14" t="str">
        <f t="shared" ca="1" si="13"/>
        <v/>
      </c>
      <c r="I52" s="15">
        <f t="shared" ca="1" si="8"/>
        <v>113.96999999999998</v>
      </c>
      <c r="J52" s="16">
        <f t="shared" ca="1" si="9"/>
        <v>115.30999999999997</v>
      </c>
      <c r="K52" s="16"/>
      <c r="L52" s="16">
        <f t="shared" ca="1" si="10"/>
        <v>112.86999999999998</v>
      </c>
      <c r="M52" s="16">
        <f t="shared" ca="1" si="11"/>
        <v>116.40999999999998</v>
      </c>
      <c r="N52" s="16">
        <f t="shared" ca="1" si="12"/>
        <v>111.52999999999999</v>
      </c>
    </row>
    <row r="53" spans="1:14" ht="24.75" customHeight="1" x14ac:dyDescent="0.8">
      <c r="A53" s="18" t="s">
        <v>65</v>
      </c>
      <c r="B53" s="10" t="str">
        <f ca="1">IFERROR(__xludf.DUMMYFUNCTION("GOOGLEFINANCE(A53,""PRICE"")"),"#N/A")</f>
        <v>#N/A</v>
      </c>
      <c r="C53" s="11" t="str">
        <f ca="1">IFERROR(__xludf.DUMMYFUNCTION("GOOGLEFINANCE(A53,""PRICEOPEN"")"),"#N/A")</f>
        <v>#N/A</v>
      </c>
      <c r="D53" s="11" t="str">
        <f ca="1">IFERROR(__xludf.DUMMYFUNCTION("GOOGLEFINANCE(A53,""HIGH"")"),"#N/A")</f>
        <v>#N/A</v>
      </c>
      <c r="E53" s="11" t="str">
        <f ca="1">IFERROR(__xludf.DUMMYFUNCTION("GOOGLEFINANCE(A53,""LOW"")"),"#N/A")</f>
        <v>#N/A</v>
      </c>
      <c r="F53" s="12" t="str">
        <f t="shared" ca="1" si="7"/>
        <v>SELL</v>
      </c>
      <c r="G53" s="13" t="str">
        <f ca="1">IFERROR(__xludf.DUMMYFUNCTION("GOOGLEFINANCE(A53,""CLOSEYEST"")"),"#N/A")</f>
        <v>#N/A</v>
      </c>
      <c r="H53" s="14" t="e">
        <f t="shared" ca="1" si="13"/>
        <v>#VALUE!</v>
      </c>
      <c r="I53" s="15" t="e">
        <f t="shared" ca="1" si="8"/>
        <v>#VALUE!</v>
      </c>
      <c r="J53" s="16" t="e">
        <f t="shared" ca="1" si="9"/>
        <v>#VALUE!</v>
      </c>
      <c r="K53" s="16"/>
      <c r="L53" s="16" t="e">
        <f t="shared" ca="1" si="10"/>
        <v>#VALUE!</v>
      </c>
      <c r="M53" s="16" t="e">
        <f t="shared" ca="1" si="11"/>
        <v>#VALUE!</v>
      </c>
      <c r="N53" s="16" t="e">
        <f t="shared" ca="1" si="12"/>
        <v>#VALUE!</v>
      </c>
    </row>
    <row r="54" spans="1:14" ht="24.75" customHeight="1" x14ac:dyDescent="0.8">
      <c r="A54" s="18" t="s">
        <v>53</v>
      </c>
      <c r="B54" s="10">
        <f ca="1">IFERROR(__xludf.DUMMYFUNCTION("GOOGLEFINANCE(A54,""PRICE"")"),1363.3)</f>
        <v>1363.3</v>
      </c>
      <c r="C54" s="11">
        <f ca="1">IFERROR(__xludf.DUMMYFUNCTION("GOOGLEFINANCE(A54,""PRICEOPEN"")"),1363.2)</f>
        <v>1363.2</v>
      </c>
      <c r="D54" s="11">
        <f ca="1">IFERROR(__xludf.DUMMYFUNCTION("GOOGLEFINANCE(A54,""HIGH"")"),1371.6)</f>
        <v>1371.6</v>
      </c>
      <c r="E54" s="11">
        <f ca="1">IFERROR(__xludf.DUMMYFUNCTION("GOOGLEFINANCE(A54,""LOW"")"),1356.9)</f>
        <v>1356.9</v>
      </c>
      <c r="F54" s="12" t="str">
        <f t="shared" ca="1" si="7"/>
        <v/>
      </c>
      <c r="G54" s="13">
        <f ca="1">IFERROR(__xludf.DUMMYFUNCTION("GOOGLEFINANCE(A54,""CLOSEYEST"")"),1368.7)</f>
        <v>1368.7</v>
      </c>
      <c r="H54" s="14" t="str">
        <f t="shared" ca="1" si="13"/>
        <v/>
      </c>
      <c r="I54" s="15">
        <f t="shared" ca="1" si="8"/>
        <v>1365.7333333333333</v>
      </c>
      <c r="J54" s="16">
        <f t="shared" ca="1" si="9"/>
        <v>1374.5666666666666</v>
      </c>
      <c r="K54" s="16"/>
      <c r="L54" s="16">
        <f t="shared" ca="1" si="10"/>
        <v>1359.8666666666668</v>
      </c>
      <c r="M54" s="16">
        <f t="shared" ca="1" si="11"/>
        <v>1380.4333333333332</v>
      </c>
      <c r="N54" s="16">
        <f t="shared" ca="1" si="12"/>
        <v>1351.0333333333335</v>
      </c>
    </row>
    <row r="55" spans="1:14" ht="24.75" customHeight="1" x14ac:dyDescent="0.8">
      <c r="A55" s="18" t="s">
        <v>57</v>
      </c>
      <c r="B55" s="10">
        <f ca="1">IFERROR(__xludf.DUMMYFUNCTION("GOOGLEFINANCE(A55,""PRICE"")"),35.67)</f>
        <v>35.67</v>
      </c>
      <c r="C55" s="11">
        <f ca="1">IFERROR(__xludf.DUMMYFUNCTION("GOOGLEFINANCE(A55,""PRICEOPEN"")"),34.95)</f>
        <v>34.950000000000003</v>
      </c>
      <c r="D55" s="11">
        <f ca="1">IFERROR(__xludf.DUMMYFUNCTION("GOOGLEFINANCE(A55,""HIGH"")"),35.63)</f>
        <v>35.630000000000003</v>
      </c>
      <c r="E55" s="11">
        <f ca="1">IFERROR(__xludf.DUMMYFUNCTION("GOOGLEFINANCE(A55,""LOW"")"),34.95)</f>
        <v>34.950000000000003</v>
      </c>
      <c r="F55" s="12" t="str">
        <f t="shared" ca="1" si="7"/>
        <v>BUY</v>
      </c>
      <c r="G55" s="13">
        <f ca="1">IFERROR(__xludf.DUMMYFUNCTION("GOOGLEFINANCE(A55,""CLOSEYEST"")"),34.95)</f>
        <v>34.950000000000003</v>
      </c>
      <c r="H55" s="14" t="str">
        <f t="shared" ca="1" si="13"/>
        <v/>
      </c>
      <c r="I55" s="15">
        <f t="shared" ca="1" si="8"/>
        <v>35.176666666666669</v>
      </c>
      <c r="J55" s="16">
        <f t="shared" ca="1" si="9"/>
        <v>35.403333333333336</v>
      </c>
      <c r="K55" s="16"/>
      <c r="L55" s="16">
        <f t="shared" ca="1" si="10"/>
        <v>34.723333333333336</v>
      </c>
      <c r="M55" s="16">
        <f t="shared" ca="1" si="11"/>
        <v>35.856666666666669</v>
      </c>
      <c r="N55" s="16">
        <f t="shared" ca="1" si="12"/>
        <v>34.49666666666667</v>
      </c>
    </row>
    <row r="56" spans="1:14" ht="24.75" customHeight="1" x14ac:dyDescent="0.8">
      <c r="A56" s="18" t="s">
        <v>33</v>
      </c>
      <c r="B56" s="10">
        <f ca="1">IFERROR(__xludf.DUMMYFUNCTION("GOOGLEFINANCE(A56,""PRICE"")"),963.7)</f>
        <v>963.7</v>
      </c>
      <c r="C56" s="11">
        <f ca="1">IFERROR(__xludf.DUMMYFUNCTION("GOOGLEFINANCE(A56,""PRICEOPEN"")"),952)</f>
        <v>952</v>
      </c>
      <c r="D56" s="11">
        <f ca="1">IFERROR(__xludf.DUMMYFUNCTION("GOOGLEFINANCE(A56,""HIGH"")"),966.75)</f>
        <v>966.75</v>
      </c>
      <c r="E56" s="11">
        <f ca="1">IFERROR(__xludf.DUMMYFUNCTION("GOOGLEFINANCE(A56,""LOW"")"),952)</f>
        <v>952</v>
      </c>
      <c r="F56" s="12" t="str">
        <f t="shared" ca="1" si="7"/>
        <v>BUY</v>
      </c>
      <c r="G56" s="13">
        <f ca="1">IFERROR(__xludf.DUMMYFUNCTION("GOOGLEFINANCE(A56,""CLOSEYEST"")"),965.25)</f>
        <v>965.25</v>
      </c>
      <c r="H56" s="14" t="str">
        <f t="shared" ca="1" si="13"/>
        <v>GAP DOWN</v>
      </c>
      <c r="I56" s="15">
        <f t="shared" ca="1" si="8"/>
        <v>961.33333333333337</v>
      </c>
      <c r="J56" s="16">
        <f t="shared" ca="1" si="9"/>
        <v>970.66666666666674</v>
      </c>
      <c r="K56" s="16"/>
      <c r="L56" s="16">
        <f t="shared" ca="1" si="10"/>
        <v>955.91666666666674</v>
      </c>
      <c r="M56" s="16">
        <f t="shared" ca="1" si="11"/>
        <v>976.08333333333337</v>
      </c>
      <c r="N56" s="16">
        <f t="shared" ca="1" si="12"/>
        <v>946.58333333333337</v>
      </c>
    </row>
    <row r="57" spans="1:14" ht="24.75" customHeight="1" x14ac:dyDescent="0.8">
      <c r="A57" s="18" t="s">
        <v>43</v>
      </c>
      <c r="B57" s="10">
        <f ca="1">IFERROR(__xludf.DUMMYFUNCTION("GOOGLEFINANCE(A57,""PRICE"")"),16.23)</f>
        <v>16.23</v>
      </c>
      <c r="C57" s="11">
        <f ca="1">IFERROR(__xludf.DUMMYFUNCTION("GOOGLEFINANCE(A57,""PRICEOPEN"")"),16.24)</f>
        <v>16.239999999999998</v>
      </c>
      <c r="D57" s="11">
        <f ca="1">IFERROR(__xludf.DUMMYFUNCTION("GOOGLEFINANCE(A57,""HIGH"")"),16.25)</f>
        <v>16.25</v>
      </c>
      <c r="E57" s="11">
        <f ca="1">IFERROR(__xludf.DUMMYFUNCTION("GOOGLEFINANCE(A57,""LOW"")"),16.07)</f>
        <v>16.07</v>
      </c>
      <c r="F57" s="12" t="str">
        <f t="shared" ca="1" si="7"/>
        <v/>
      </c>
      <c r="G57" s="13">
        <f ca="1">IFERROR(__xludf.DUMMYFUNCTION("GOOGLEFINANCE(A57,""CLOSEYEST"")"),16.15)</f>
        <v>16.149999999999999</v>
      </c>
      <c r="H57" s="14" t="str">
        <f t="shared" ca="1" si="13"/>
        <v/>
      </c>
      <c r="I57" s="15">
        <f t="shared" ca="1" si="8"/>
        <v>16.156666666666666</v>
      </c>
      <c r="J57" s="16">
        <f t="shared" ca="1" si="9"/>
        <v>16.243333333333332</v>
      </c>
      <c r="K57" s="16"/>
      <c r="L57" s="16">
        <f t="shared" ca="1" si="10"/>
        <v>16.063333333333333</v>
      </c>
      <c r="M57" s="16">
        <f t="shared" ca="1" si="11"/>
        <v>16.336666666666666</v>
      </c>
      <c r="N57" s="16">
        <f t="shared" ca="1" si="12"/>
        <v>15.976666666666667</v>
      </c>
    </row>
    <row r="58" spans="1:14" ht="24.75" customHeight="1" x14ac:dyDescent="0.8">
      <c r="A58" s="18" t="s">
        <v>40</v>
      </c>
      <c r="B58" s="10">
        <f ca="1">IFERROR(__xludf.DUMMYFUNCTION("GOOGLEFINANCE(A58,""PRICE"")"),1365)</f>
        <v>1365</v>
      </c>
      <c r="C58" s="11">
        <f ca="1">IFERROR(__xludf.DUMMYFUNCTION("GOOGLEFINANCE(A58,""PRICEOPEN"")"),1371.9)</f>
        <v>1371.9</v>
      </c>
      <c r="D58" s="11">
        <f ca="1">IFERROR(__xludf.DUMMYFUNCTION("GOOGLEFINANCE(A58,""HIGH"")"),1371.9)</f>
        <v>1371.9</v>
      </c>
      <c r="E58" s="11">
        <f ca="1">IFERROR(__xludf.DUMMYFUNCTION("GOOGLEFINANCE(A58,""LOW"")"),1361.3)</f>
        <v>1361.3</v>
      </c>
      <c r="F58" s="12" t="str">
        <f t="shared" ca="1" si="7"/>
        <v>SELL</v>
      </c>
      <c r="G58" s="13">
        <f ca="1">IFERROR(__xludf.DUMMYFUNCTION("GOOGLEFINANCE(A58,""CLOSEYEST"")"),1372)</f>
        <v>1372</v>
      </c>
      <c r="H58" s="14" t="str">
        <f t="shared" ca="1" si="13"/>
        <v/>
      </c>
      <c r="I58" s="15">
        <f t="shared" ca="1" si="8"/>
        <v>1368.3999999999999</v>
      </c>
      <c r="J58" s="16">
        <f t="shared" ca="1" si="9"/>
        <v>1375.4999999999998</v>
      </c>
      <c r="K58" s="16"/>
      <c r="L58" s="16">
        <f t="shared" ca="1" si="10"/>
        <v>1364.8999999999996</v>
      </c>
      <c r="M58" s="16">
        <f t="shared" ca="1" si="11"/>
        <v>1379</v>
      </c>
      <c r="N58" s="16">
        <f t="shared" ca="1" si="12"/>
        <v>1357.7999999999997</v>
      </c>
    </row>
    <row r="59" spans="1:14" ht="24.75" customHeight="1" x14ac:dyDescent="0.8">
      <c r="A59" s="18" t="s">
        <v>38</v>
      </c>
      <c r="B59" s="10">
        <f ca="1">IFERROR(__xludf.DUMMYFUNCTION("GOOGLEFINANCE(A59,""PRICE"")"),2539)</f>
        <v>2539</v>
      </c>
      <c r="C59" s="11">
        <f ca="1">IFERROR(__xludf.DUMMYFUNCTION("GOOGLEFINANCE(A59,""PRICEOPEN"")"),2536.2)</f>
        <v>2536.1999999999998</v>
      </c>
      <c r="D59" s="11">
        <f ca="1">IFERROR(__xludf.DUMMYFUNCTION("GOOGLEFINANCE(A59,""HIGH"")"),2548.6)</f>
        <v>2548.6</v>
      </c>
      <c r="E59" s="11">
        <f ca="1">IFERROR(__xludf.DUMMYFUNCTION("GOOGLEFINANCE(A59,""LOW"")"),2508.3)</f>
        <v>2508.3000000000002</v>
      </c>
      <c r="F59" s="12" t="str">
        <f t="shared" ca="1" si="7"/>
        <v/>
      </c>
      <c r="G59" s="13">
        <f ca="1">IFERROR(__xludf.DUMMYFUNCTION("GOOGLEFINANCE(A59,""CLOSEYEST"")"),2536.2)</f>
        <v>2536.1999999999998</v>
      </c>
      <c r="H59" s="14" t="str">
        <f t="shared" ca="1" si="13"/>
        <v/>
      </c>
      <c r="I59" s="15">
        <f t="shared" ca="1" si="8"/>
        <v>2531.0333333333333</v>
      </c>
      <c r="J59" s="16">
        <f t="shared" ca="1" si="9"/>
        <v>2553.7666666666664</v>
      </c>
      <c r="K59" s="16"/>
      <c r="L59" s="16">
        <f t="shared" ca="1" si="10"/>
        <v>2513.4666666666667</v>
      </c>
      <c r="M59" s="16">
        <f t="shared" ca="1" si="11"/>
        <v>2571.333333333333</v>
      </c>
      <c r="N59" s="16">
        <f t="shared" ca="1" si="12"/>
        <v>2490.7333333333336</v>
      </c>
    </row>
    <row r="60" spans="1:14" ht="24.75" customHeight="1" x14ac:dyDescent="0.8">
      <c r="A60" s="18" t="s">
        <v>39</v>
      </c>
      <c r="B60" s="10" t="str">
        <f ca="1">IFERROR(__xludf.DUMMYFUNCTION("GOOGLEFINANCE(A60,""PRICE"")"),"#N/A")</f>
        <v>#N/A</v>
      </c>
      <c r="C60" s="11" t="str">
        <f ca="1">IFERROR(__xludf.DUMMYFUNCTION("GOOGLEFINANCE(A60,""PRICEOPEN"")"),"#N/A")</f>
        <v>#N/A</v>
      </c>
      <c r="D60" s="11" t="str">
        <f ca="1">IFERROR(__xludf.DUMMYFUNCTION("GOOGLEFINANCE(A60,""HIGH"")"),"#N/A")</f>
        <v>#N/A</v>
      </c>
      <c r="E60" s="11" t="str">
        <f ca="1">IFERROR(__xludf.DUMMYFUNCTION("GOOGLEFINANCE(A60,""LOW"")"),"#N/A")</f>
        <v>#N/A</v>
      </c>
      <c r="F60" s="12" t="str">
        <f t="shared" ca="1" si="7"/>
        <v>SELL</v>
      </c>
      <c r="G60" s="13" t="str">
        <f ca="1">IFERROR(__xludf.DUMMYFUNCTION("GOOGLEFINANCE(A60,""CLOSEYEST"")"),"#N/A")</f>
        <v>#N/A</v>
      </c>
      <c r="H60" s="14" t="e">
        <f t="shared" ca="1" si="13"/>
        <v>#VALUE!</v>
      </c>
      <c r="I60" s="15" t="e">
        <f t="shared" ca="1" si="8"/>
        <v>#VALUE!</v>
      </c>
      <c r="J60" s="16" t="e">
        <f t="shared" ca="1" si="9"/>
        <v>#VALUE!</v>
      </c>
      <c r="K60" s="16"/>
      <c r="L60" s="16" t="e">
        <f t="shared" ca="1" si="10"/>
        <v>#VALUE!</v>
      </c>
      <c r="M60" s="16" t="e">
        <f t="shared" ca="1" si="11"/>
        <v>#VALUE!</v>
      </c>
      <c r="N60" s="16" t="e">
        <f t="shared" ca="1" si="12"/>
        <v>#VALUE!</v>
      </c>
    </row>
    <row r="61" spans="1:14" ht="24.75" customHeight="1" x14ac:dyDescent="0.8">
      <c r="A61" s="18" t="s">
        <v>21</v>
      </c>
      <c r="B61" s="10">
        <f ca="1">IFERROR(__xludf.DUMMYFUNCTION("GOOGLEFINANCE(A61,""PRICE"")"),990)</f>
        <v>990</v>
      </c>
      <c r="C61" s="11">
        <f ca="1">IFERROR(__xludf.DUMMYFUNCTION("GOOGLEFINANCE(A61,""PRICEOPEN"")"),975)</f>
        <v>975</v>
      </c>
      <c r="D61" s="11">
        <f ca="1">IFERROR(__xludf.DUMMYFUNCTION("GOOGLEFINANCE(A61,""HIGH"")"),992.2)</f>
        <v>992.2</v>
      </c>
      <c r="E61" s="11">
        <f ca="1">IFERROR(__xludf.DUMMYFUNCTION("GOOGLEFINANCE(A61,""LOW"")"),972)</f>
        <v>972</v>
      </c>
      <c r="F61" s="12" t="str">
        <f t="shared" ca="1" si="7"/>
        <v/>
      </c>
      <c r="G61" s="13">
        <f ca="1">IFERROR(__xludf.DUMMYFUNCTION("GOOGLEFINANCE(A61,""CLOSEYEST"")"),987.7)</f>
        <v>987.7</v>
      </c>
      <c r="H61" s="14" t="str">
        <f t="shared" ca="1" si="13"/>
        <v>GAP DOWN</v>
      </c>
      <c r="I61" s="15">
        <f t="shared" ca="1" si="8"/>
        <v>983.9666666666667</v>
      </c>
      <c r="J61" s="16">
        <f t="shared" ca="1" si="9"/>
        <v>995.93333333333339</v>
      </c>
      <c r="K61" s="16"/>
      <c r="L61" s="16">
        <f t="shared" ca="1" si="10"/>
        <v>975.73333333333335</v>
      </c>
      <c r="M61" s="16">
        <f t="shared" ca="1" si="11"/>
        <v>1004.1666666666667</v>
      </c>
      <c r="N61" s="16">
        <f t="shared" ca="1" si="12"/>
        <v>963.76666666666665</v>
      </c>
    </row>
    <row r="62" spans="1:14" ht="24.75" customHeight="1" x14ac:dyDescent="0.8">
      <c r="A62" s="18" t="s">
        <v>55</v>
      </c>
      <c r="B62" s="10">
        <f ca="1">IFERROR(__xludf.DUMMYFUNCTION("GOOGLEFINANCE(A62,""PRICE"")"),867.7)</f>
        <v>867.7</v>
      </c>
      <c r="C62" s="11">
        <f ca="1">IFERROR(__xludf.DUMMYFUNCTION("GOOGLEFINANCE(A62,""PRICEOPEN"")"),865.15)</f>
        <v>865.15</v>
      </c>
      <c r="D62" s="11">
        <f ca="1">IFERROR(__xludf.DUMMYFUNCTION("GOOGLEFINANCE(A62,""HIGH"")"),873)</f>
        <v>873</v>
      </c>
      <c r="E62" s="11">
        <f ca="1">IFERROR(__xludf.DUMMYFUNCTION("GOOGLEFINANCE(A62,""LOW"")"),863.8)</f>
        <v>863.8</v>
      </c>
      <c r="F62" s="12" t="str">
        <f t="shared" ca="1" si="7"/>
        <v/>
      </c>
      <c r="G62" s="13">
        <f ca="1">IFERROR(__xludf.DUMMYFUNCTION("GOOGLEFINANCE(A62,""CLOSEYEST"")"),864.1)</f>
        <v>864.1</v>
      </c>
      <c r="H62" s="14" t="str">
        <f t="shared" ca="1" si="13"/>
        <v/>
      </c>
      <c r="I62" s="15">
        <f t="shared" ca="1" si="8"/>
        <v>866.9666666666667</v>
      </c>
      <c r="J62" s="16">
        <f t="shared" ca="1" si="9"/>
        <v>870.13333333333344</v>
      </c>
      <c r="K62" s="16"/>
      <c r="L62" s="16">
        <f t="shared" ca="1" si="10"/>
        <v>860.93333333333339</v>
      </c>
      <c r="M62" s="16">
        <f t="shared" ca="1" si="11"/>
        <v>876.16666666666674</v>
      </c>
      <c r="N62" s="16">
        <f t="shared" ca="1" si="12"/>
        <v>857.76666666666665</v>
      </c>
    </row>
    <row r="63" spans="1:14" ht="24.75" customHeight="1" x14ac:dyDescent="0.8">
      <c r="A63" s="18" t="s">
        <v>24</v>
      </c>
      <c r="B63" s="10">
        <f ca="1">IFERROR(__xludf.DUMMYFUNCTION("GOOGLEFINANCE(A63,""PRICE"")"),1896.9)</f>
        <v>1896.9</v>
      </c>
      <c r="C63" s="11">
        <f ca="1">IFERROR(__xludf.DUMMYFUNCTION("GOOGLEFINANCE(A63,""PRICEOPEN"")"),1851.2)</f>
        <v>1851.2</v>
      </c>
      <c r="D63" s="11">
        <f ca="1">IFERROR(__xludf.DUMMYFUNCTION("GOOGLEFINANCE(A63,""HIGH"")"),1900.3)</f>
        <v>1900.3</v>
      </c>
      <c r="E63" s="11">
        <f ca="1">IFERROR(__xludf.DUMMYFUNCTION("GOOGLEFINANCE(A63,""LOW"")"),1848.1)</f>
        <v>1848.1</v>
      </c>
      <c r="F63" s="12" t="str">
        <f t="shared" ca="1" si="7"/>
        <v/>
      </c>
      <c r="G63" s="13">
        <f ca="1">IFERROR(__xludf.DUMMYFUNCTION("GOOGLEFINANCE(A63,""CLOSEYEST"")"),1867.6)</f>
        <v>1867.6</v>
      </c>
      <c r="H63" s="14" t="str">
        <f t="shared" ca="1" si="13"/>
        <v/>
      </c>
      <c r="I63" s="15">
        <f t="shared" ca="1" si="8"/>
        <v>1872</v>
      </c>
      <c r="J63" s="16">
        <f t="shared" ca="1" si="9"/>
        <v>1895.9</v>
      </c>
      <c r="K63" s="16"/>
      <c r="L63" s="16">
        <f t="shared" ca="1" si="10"/>
        <v>1843.7</v>
      </c>
      <c r="M63" s="16">
        <f t="shared" ca="1" si="11"/>
        <v>1924.2</v>
      </c>
      <c r="N63" s="16">
        <f t="shared" ca="1" si="12"/>
        <v>1819.8</v>
      </c>
    </row>
    <row r="64" spans="1:14" ht="24.75" customHeight="1" x14ac:dyDescent="0.8">
      <c r="A64" s="18" t="s">
        <v>45</v>
      </c>
      <c r="B64" s="10">
        <f ca="1">IFERROR(__xludf.DUMMYFUNCTION("GOOGLEFINANCE(A64,""PRICE"")"),2108)</f>
        <v>2108</v>
      </c>
      <c r="C64" s="11">
        <f ca="1">IFERROR(__xludf.DUMMYFUNCTION("GOOGLEFINANCE(A64,""PRICEOPEN"")"),2063.3)</f>
        <v>2063.3000000000002</v>
      </c>
      <c r="D64" s="11">
        <f ca="1">IFERROR(__xludf.DUMMYFUNCTION("GOOGLEFINANCE(A64,""HIGH"")"),2108)</f>
        <v>2108</v>
      </c>
      <c r="E64" s="11">
        <f ca="1">IFERROR(__xludf.DUMMYFUNCTION("GOOGLEFINANCE(A64,""LOW"")"),2062)</f>
        <v>2062</v>
      </c>
      <c r="F64" s="12" t="str">
        <f t="shared" ca="1" si="7"/>
        <v/>
      </c>
      <c r="G64" s="13">
        <f ca="1">IFERROR(__xludf.DUMMYFUNCTION("GOOGLEFINANCE(A64,""CLOSEYEST"")"),2063.3)</f>
        <v>2063.3000000000002</v>
      </c>
      <c r="H64" s="14" t="str">
        <f t="shared" ca="1" si="13"/>
        <v/>
      </c>
      <c r="I64" s="15">
        <f t="shared" ca="1" si="8"/>
        <v>2077.7666666666669</v>
      </c>
      <c r="J64" s="16">
        <f t="shared" ca="1" si="9"/>
        <v>2093.5333333333338</v>
      </c>
      <c r="K64" s="16"/>
      <c r="L64" s="16">
        <f t="shared" ca="1" si="10"/>
        <v>2047.5333333333338</v>
      </c>
      <c r="M64" s="16">
        <f t="shared" ca="1" si="11"/>
        <v>2123.7666666666669</v>
      </c>
      <c r="N64" s="16">
        <f t="shared" ca="1" si="12"/>
        <v>2031.7666666666669</v>
      </c>
    </row>
    <row r="65" spans="1:14" ht="24.75" customHeight="1" x14ac:dyDescent="0.8">
      <c r="A65" s="18" t="s">
        <v>63</v>
      </c>
      <c r="B65" s="10">
        <f ca="1">IFERROR(__xludf.DUMMYFUNCTION("GOOGLEFINANCE(A65,""PRICE"")"),241.2)</f>
        <v>241.2</v>
      </c>
      <c r="C65" s="11">
        <f ca="1">IFERROR(__xludf.DUMMYFUNCTION("GOOGLEFINANCE(A65,""PRICEOPEN"")"),240.98)</f>
        <v>240.98</v>
      </c>
      <c r="D65" s="11">
        <f ca="1">IFERROR(__xludf.DUMMYFUNCTION("GOOGLEFINANCE(A65,""HIGH"")"),241.4)</f>
        <v>241.4</v>
      </c>
      <c r="E65" s="11">
        <f ca="1">IFERROR(__xludf.DUMMYFUNCTION("GOOGLEFINANCE(A65,""LOW"")"),238.06)</f>
        <v>238.06</v>
      </c>
      <c r="F65" s="12" t="str">
        <f t="shared" ca="1" si="7"/>
        <v/>
      </c>
      <c r="G65" s="13">
        <f ca="1">IFERROR(__xludf.DUMMYFUNCTION("GOOGLEFINANCE(A65,""CLOSEYEST"")"),241.07)</f>
        <v>241.07</v>
      </c>
      <c r="H65" s="14" t="str">
        <f t="shared" ca="1" si="13"/>
        <v/>
      </c>
      <c r="I65" s="15">
        <f t="shared" ca="1" si="8"/>
        <v>240.17666666666665</v>
      </c>
      <c r="J65" s="16">
        <f t="shared" ca="1" si="9"/>
        <v>242.29333333333329</v>
      </c>
      <c r="K65" s="16"/>
      <c r="L65" s="16">
        <f t="shared" ca="1" si="10"/>
        <v>238.95333333333329</v>
      </c>
      <c r="M65" s="16">
        <f t="shared" ca="1" si="11"/>
        <v>243.51666666666665</v>
      </c>
      <c r="N65" s="16">
        <f t="shared" ca="1" si="12"/>
        <v>236.83666666666664</v>
      </c>
    </row>
    <row r="66" spans="1:14" ht="24.75" customHeight="1" x14ac:dyDescent="0.8">
      <c r="A66" s="18" t="s">
        <v>32</v>
      </c>
      <c r="B66" s="10">
        <f ca="1">IFERROR(__xludf.DUMMYFUNCTION("GOOGLEFINANCE(A66,""PRICE"")"),1392.8)</f>
        <v>1392.8</v>
      </c>
      <c r="C66" s="11">
        <f ca="1">IFERROR(__xludf.DUMMYFUNCTION("GOOGLEFINANCE(A66,""PRICEOPEN"")"),1396.5)</f>
        <v>1396.5</v>
      </c>
      <c r="D66" s="11">
        <f ca="1">IFERROR(__xludf.DUMMYFUNCTION("GOOGLEFINANCE(A66,""HIGH"")"),1399.8)</f>
        <v>1399.8</v>
      </c>
      <c r="E66" s="11">
        <f ca="1">IFERROR(__xludf.DUMMYFUNCTION("GOOGLEFINANCE(A66,""LOW"")"),1380.4)</f>
        <v>1380.4</v>
      </c>
      <c r="F66" s="12" t="str">
        <f t="shared" ca="1" si="7"/>
        <v/>
      </c>
      <c r="G66" s="13">
        <f ca="1">IFERROR(__xludf.DUMMYFUNCTION("GOOGLEFINANCE(A66,""CLOSEYEST"")"),1389.5)</f>
        <v>1389.5</v>
      </c>
      <c r="H66" s="14" t="str">
        <f t="shared" ca="1" si="13"/>
        <v/>
      </c>
      <c r="I66" s="15">
        <f t="shared" ca="1" si="8"/>
        <v>1389.8999999999999</v>
      </c>
      <c r="J66" s="16">
        <f t="shared" ca="1" si="9"/>
        <v>1399.3999999999996</v>
      </c>
      <c r="K66" s="16"/>
      <c r="L66" s="16">
        <f t="shared" ca="1" si="10"/>
        <v>1379.9999999999998</v>
      </c>
      <c r="M66" s="16">
        <f t="shared" ca="1" si="11"/>
        <v>1409.2999999999997</v>
      </c>
      <c r="N66" s="16">
        <f t="shared" ca="1" si="12"/>
        <v>1370.5</v>
      </c>
    </row>
    <row r="67" spans="1:14" ht="24.75" customHeight="1" x14ac:dyDescent="0.8">
      <c r="A67" s="18" t="s">
        <v>18</v>
      </c>
      <c r="B67" s="10">
        <f ca="1">IFERROR(__xludf.DUMMYFUNCTION("GOOGLEFINANCE(A67,""PRICE"")"),2358.1)</f>
        <v>2358.1</v>
      </c>
      <c r="C67" s="11">
        <f ca="1">IFERROR(__xludf.DUMMYFUNCTION("GOOGLEFINANCE(A67,""PRICEOPEN"")"),2342.2)</f>
        <v>2342.1999999999998</v>
      </c>
      <c r="D67" s="11">
        <f ca="1">IFERROR(__xludf.DUMMYFUNCTION("GOOGLEFINANCE(A67,""HIGH"")"),2362.7)</f>
        <v>2362.6999999999998</v>
      </c>
      <c r="E67" s="11">
        <f ca="1">IFERROR(__xludf.DUMMYFUNCTION("GOOGLEFINANCE(A67,""LOW"")"),2336.1)</f>
        <v>2336.1</v>
      </c>
      <c r="F67" s="12" t="str">
        <f t="shared" ca="1" si="7"/>
        <v/>
      </c>
      <c r="G67" s="13">
        <f ca="1">IFERROR(__xludf.DUMMYFUNCTION("GOOGLEFINANCE(A67,""CLOSEYEST"")"),2335.8)</f>
        <v>2335.8000000000002</v>
      </c>
      <c r="H67" s="14" t="str">
        <f t="shared" ca="1" si="13"/>
        <v/>
      </c>
      <c r="I67" s="15">
        <f t="shared" ca="1" si="8"/>
        <v>2344.8666666666663</v>
      </c>
      <c r="J67" s="16">
        <f t="shared" ca="1" si="9"/>
        <v>2353.6333333333328</v>
      </c>
      <c r="K67" s="16"/>
      <c r="L67" s="16">
        <f t="shared" ca="1" si="10"/>
        <v>2327.0333333333328</v>
      </c>
      <c r="M67" s="16">
        <f t="shared" ca="1" si="11"/>
        <v>2371.4666666666662</v>
      </c>
      <c r="N67" s="16">
        <f t="shared" ca="1" si="12"/>
        <v>2318.2666666666664</v>
      </c>
    </row>
    <row r="68" spans="1:14" ht="24.75" customHeight="1" x14ac:dyDescent="0.8">
      <c r="A68" s="18" t="s">
        <v>22</v>
      </c>
      <c r="B68" s="10">
        <f ca="1">IFERROR(__xludf.DUMMYFUNCTION("GOOGLEFINANCE(A68,""PRICE"")"),1994.2)</f>
        <v>1994.2</v>
      </c>
      <c r="C68" s="11">
        <f ca="1">IFERROR(__xludf.DUMMYFUNCTION("GOOGLEFINANCE(A68,""PRICEOPEN"")"),2016.5)</f>
        <v>2016.5</v>
      </c>
      <c r="D68" s="11">
        <f ca="1">IFERROR(__xludf.DUMMYFUNCTION("GOOGLEFINANCE(A68,""HIGH"")"),2017)</f>
        <v>2017</v>
      </c>
      <c r="E68" s="11">
        <f ca="1">IFERROR(__xludf.DUMMYFUNCTION("GOOGLEFINANCE(A68,""LOW"")"),1968)</f>
        <v>1968</v>
      </c>
      <c r="F68" s="12" t="str">
        <f t="shared" ca="1" si="7"/>
        <v/>
      </c>
      <c r="G68" s="13">
        <f ca="1">IFERROR(__xludf.DUMMYFUNCTION("GOOGLEFINANCE(A68,""CLOSEYEST"")"),2007)</f>
        <v>2007</v>
      </c>
      <c r="H68" s="14" t="str">
        <f t="shared" ca="1" si="13"/>
        <v/>
      </c>
      <c r="I68" s="15">
        <f t="shared" ca="1" si="8"/>
        <v>1997.3333333333333</v>
      </c>
      <c r="J68" s="16">
        <f t="shared" ca="1" si="9"/>
        <v>2026.6666666666665</v>
      </c>
      <c r="K68" s="16"/>
      <c r="L68" s="16">
        <f t="shared" ca="1" si="10"/>
        <v>1977.6666666666665</v>
      </c>
      <c r="M68" s="16">
        <f t="shared" ca="1" si="11"/>
        <v>2046.3333333333333</v>
      </c>
      <c r="N68" s="16">
        <f t="shared" ca="1" si="12"/>
        <v>1948.3333333333333</v>
      </c>
    </row>
    <row r="69" spans="1:14" ht="24.75" customHeight="1" x14ac:dyDescent="0.8">
      <c r="A69" s="18" t="s">
        <v>66</v>
      </c>
      <c r="B69" s="10">
        <f ca="1">IFERROR(__xludf.DUMMYFUNCTION("GOOGLEFINANCE(A69,""PRICE"")"),4420)</f>
        <v>4420</v>
      </c>
      <c r="C69" s="11">
        <f ca="1">IFERROR(__xludf.DUMMYFUNCTION("GOOGLEFINANCE(A69,""PRICEOPEN"")"),4445)</f>
        <v>4445</v>
      </c>
      <c r="D69" s="11">
        <f ca="1">IFERROR(__xludf.DUMMYFUNCTION("GOOGLEFINANCE(A69,""HIGH"")"),4445)</f>
        <v>4445</v>
      </c>
      <c r="E69" s="11">
        <f ca="1">IFERROR(__xludf.DUMMYFUNCTION("GOOGLEFINANCE(A69,""LOW"")"),4387.1)</f>
        <v>4387.1000000000004</v>
      </c>
      <c r="F69" s="12" t="str">
        <f t="shared" ca="1" si="7"/>
        <v>SELL</v>
      </c>
      <c r="G69" s="13">
        <f ca="1">IFERROR(__xludf.DUMMYFUNCTION("GOOGLEFINANCE(A69,""CLOSEYEST"")"),4449.9)</f>
        <v>4449.8999999999996</v>
      </c>
      <c r="H69" s="14" t="str">
        <f t="shared" ca="1" si="13"/>
        <v/>
      </c>
      <c r="I69" s="15">
        <f t="shared" ca="1" si="8"/>
        <v>4427.333333333333</v>
      </c>
      <c r="J69" s="16">
        <f t="shared" ca="1" si="9"/>
        <v>4467.5666666666657</v>
      </c>
      <c r="K69" s="16"/>
      <c r="L69" s="16">
        <f t="shared" ca="1" si="10"/>
        <v>4409.6666666666661</v>
      </c>
      <c r="M69" s="16">
        <f t="shared" ca="1" si="11"/>
        <v>4485.2333333333327</v>
      </c>
      <c r="N69" s="16">
        <f t="shared" ca="1" si="12"/>
        <v>4369.4333333333334</v>
      </c>
    </row>
    <row r="70" spans="1:14" ht="24.75" customHeight="1" x14ac:dyDescent="0.8">
      <c r="A70" s="18" t="s">
        <v>46</v>
      </c>
      <c r="B70" s="10">
        <f ca="1">IFERROR(__xludf.DUMMYFUNCTION("GOOGLEFINANCE(A70,""PRICE"")"),3742.9)</f>
        <v>3742.9</v>
      </c>
      <c r="C70" s="11">
        <f ca="1">IFERROR(__xludf.DUMMYFUNCTION("GOOGLEFINANCE(A70,""PRICEOPEN"")"),3690)</f>
        <v>3690</v>
      </c>
      <c r="D70" s="11">
        <f ca="1">IFERROR(__xludf.DUMMYFUNCTION("GOOGLEFINANCE(A70,""HIGH"")"),3746)</f>
        <v>3746</v>
      </c>
      <c r="E70" s="11">
        <f ca="1">IFERROR(__xludf.DUMMYFUNCTION("GOOGLEFINANCE(A70,""LOW"")"),3666.3)</f>
        <v>3666.3</v>
      </c>
      <c r="F70" s="12" t="str">
        <f t="shared" ca="1" si="7"/>
        <v/>
      </c>
      <c r="G70" s="13">
        <f ca="1">IFERROR(__xludf.DUMMYFUNCTION("GOOGLEFINANCE(A70,""CLOSEYEST"")"),3670.3)</f>
        <v>3670.3</v>
      </c>
      <c r="H70" s="14" t="str">
        <f t="shared" ca="1" si="13"/>
        <v/>
      </c>
      <c r="I70" s="15">
        <f t="shared" ca="1" si="8"/>
        <v>3694.2000000000003</v>
      </c>
      <c r="J70" s="16">
        <f t="shared" ca="1" si="9"/>
        <v>3722.1000000000004</v>
      </c>
      <c r="K70" s="16"/>
      <c r="L70" s="16">
        <f t="shared" ca="1" si="10"/>
        <v>3642.4000000000005</v>
      </c>
      <c r="M70" s="16">
        <f t="shared" ca="1" si="11"/>
        <v>3773.9</v>
      </c>
      <c r="N70" s="16">
        <f t="shared" ca="1" si="12"/>
        <v>3614.5000000000005</v>
      </c>
    </row>
    <row r="71" spans="1:14" ht="24.75" customHeight="1" x14ac:dyDescent="0.8">
      <c r="A71" s="18" t="s">
        <v>41</v>
      </c>
      <c r="B71" s="10" t="str">
        <f ca="1">IFERROR(__xludf.DUMMYFUNCTION("GOOGLEFINANCE(A71,""PRICE"")"),"#N/A")</f>
        <v>#N/A</v>
      </c>
      <c r="C71" s="11" t="str">
        <f ca="1">IFERROR(__xludf.DUMMYFUNCTION("GOOGLEFINANCE(A71,""PRICEOPEN"")"),"#N/A")</f>
        <v>#N/A</v>
      </c>
      <c r="D71" s="11" t="str">
        <f ca="1">IFERROR(__xludf.DUMMYFUNCTION("GOOGLEFINANCE(A71,""HIGH"")"),"#N/A")</f>
        <v>#N/A</v>
      </c>
      <c r="E71" s="11" t="str">
        <f ca="1">IFERROR(__xludf.DUMMYFUNCTION("GOOGLEFINANCE(A71,""LOW"")"),"#N/A")</f>
        <v>#N/A</v>
      </c>
      <c r="F71" s="12" t="str">
        <f t="shared" ca="1" si="7"/>
        <v>SELL</v>
      </c>
      <c r="G71" s="13" t="str">
        <f ca="1">IFERROR(__xludf.DUMMYFUNCTION("GOOGLEFINANCE(A71,""CLOSEYEST"")"),"#N/A")</f>
        <v>#N/A</v>
      </c>
      <c r="H71" s="14" t="e">
        <f t="shared" ca="1" si="13"/>
        <v>#VALUE!</v>
      </c>
      <c r="I71" s="15" t="e">
        <f t="shared" ca="1" si="8"/>
        <v>#VALUE!</v>
      </c>
      <c r="J71" s="16" t="e">
        <f t="shared" ca="1" si="9"/>
        <v>#VALUE!</v>
      </c>
      <c r="K71" s="16"/>
      <c r="L71" s="16" t="e">
        <f t="shared" ca="1" si="10"/>
        <v>#VALUE!</v>
      </c>
      <c r="M71" s="16" t="e">
        <f t="shared" ca="1" si="11"/>
        <v>#VALUE!</v>
      </c>
      <c r="N71" s="16" t="e">
        <f t="shared" ca="1" si="12"/>
        <v>#VALUE!</v>
      </c>
    </row>
    <row r="72" spans="1:14" ht="24.75" customHeight="1" x14ac:dyDescent="0.8">
      <c r="A72" s="18" t="s">
        <v>67</v>
      </c>
      <c r="B72" s="10">
        <f ca="1">IFERROR(__xludf.DUMMYFUNCTION("GOOGLEFINANCE(A72,""PRICE"")"),1072.5)</f>
        <v>1072.5</v>
      </c>
      <c r="C72" s="11">
        <f ca="1">IFERROR(__xludf.DUMMYFUNCTION("GOOGLEFINANCE(A72,""PRICEOPEN"")"),1068.6)</f>
        <v>1068.5999999999999</v>
      </c>
      <c r="D72" s="11">
        <f ca="1">IFERROR(__xludf.DUMMYFUNCTION("GOOGLEFINANCE(A72,""HIGH"")"),1078.8)</f>
        <v>1078.8</v>
      </c>
      <c r="E72" s="11">
        <f ca="1">IFERROR(__xludf.DUMMYFUNCTION("GOOGLEFINANCE(A72,""LOW"")"),1054.3)</f>
        <v>1054.3</v>
      </c>
      <c r="F72" s="12" t="str">
        <f t="shared" ca="1" si="7"/>
        <v/>
      </c>
      <c r="G72" s="13">
        <f ca="1">IFERROR(__xludf.DUMMYFUNCTION("GOOGLEFINANCE(A72,""CLOSEYEST"")"),1064.7)</f>
        <v>1064.7</v>
      </c>
      <c r="H72" s="14" t="str">
        <f t="shared" ca="1" si="13"/>
        <v/>
      </c>
      <c r="I72" s="15">
        <f t="shared" ca="1" si="8"/>
        <v>1065.9333333333334</v>
      </c>
      <c r="J72" s="16">
        <f t="shared" ca="1" si="9"/>
        <v>1077.5666666666668</v>
      </c>
      <c r="K72" s="16"/>
      <c r="L72" s="16">
        <f t="shared" ca="1" si="10"/>
        <v>1053.0666666666668</v>
      </c>
      <c r="M72" s="16">
        <f t="shared" ca="1" si="11"/>
        <v>1090.4333333333334</v>
      </c>
      <c r="N72" s="16">
        <f t="shared" ca="1" si="12"/>
        <v>1041.4333333333334</v>
      </c>
    </row>
    <row r="73" spans="1:14" ht="24.75" customHeight="1" x14ac:dyDescent="0.8">
      <c r="A73" s="18" t="s">
        <v>48</v>
      </c>
      <c r="B73" s="10">
        <f ca="1">IFERROR(__xludf.DUMMYFUNCTION("GOOGLEFINANCE(A73,""PRICE"")"),15808)</f>
        <v>15808</v>
      </c>
      <c r="C73" s="11">
        <f ca="1">IFERROR(__xludf.DUMMYFUNCTION("GOOGLEFINANCE(A73,""PRICEOPEN"")"),15949)</f>
        <v>15949</v>
      </c>
      <c r="D73" s="11">
        <f ca="1">IFERROR(__xludf.DUMMYFUNCTION("GOOGLEFINANCE(A73,""HIGH"")"),16025)</f>
        <v>16025</v>
      </c>
      <c r="E73" s="11">
        <f ca="1">IFERROR(__xludf.DUMMYFUNCTION("GOOGLEFINANCE(A73,""LOW"")"),15736)</f>
        <v>15736</v>
      </c>
      <c r="F73" s="12" t="str">
        <f t="shared" ca="1" si="7"/>
        <v/>
      </c>
      <c r="G73" s="13">
        <f ca="1">IFERROR(__xludf.DUMMYFUNCTION("GOOGLEFINANCE(A73,""CLOSEYEST"")"),15965)</f>
        <v>15965</v>
      </c>
      <c r="H73" s="14" t="str">
        <f t="shared" ca="1" si="13"/>
        <v/>
      </c>
      <c r="I73" s="15">
        <f t="shared" ca="1" si="8"/>
        <v>15908.666666666666</v>
      </c>
      <c r="J73" s="16">
        <f t="shared" ca="1" si="9"/>
        <v>16081.333333333332</v>
      </c>
      <c r="K73" s="16"/>
      <c r="L73" s="16">
        <f t="shared" ca="1" si="10"/>
        <v>15792.333333333332</v>
      </c>
      <c r="M73" s="16">
        <f t="shared" ca="1" si="11"/>
        <v>16197.666666666666</v>
      </c>
      <c r="N73" s="16">
        <f t="shared" ca="1" si="12"/>
        <v>15619.666666666666</v>
      </c>
    </row>
    <row r="74" spans="1:14" ht="24.75" customHeight="1" x14ac:dyDescent="0.8">
      <c r="A74" s="18" t="s">
        <v>68</v>
      </c>
      <c r="B74" s="10">
        <f ca="1">IFERROR(__xludf.DUMMYFUNCTION("GOOGLEFINANCE(A74,""PRICE"")"),6.32)</f>
        <v>6.32</v>
      </c>
      <c r="C74" s="11">
        <f ca="1">IFERROR(__xludf.DUMMYFUNCTION("GOOGLEFINANCE(A74,""PRICEOPEN"")"),6.32)</f>
        <v>6.32</v>
      </c>
      <c r="D74" s="11">
        <f ca="1">IFERROR(__xludf.DUMMYFUNCTION("GOOGLEFINANCE(A74,""HIGH"")"),6.32)</f>
        <v>6.32</v>
      </c>
      <c r="E74" s="11">
        <f ca="1">IFERROR(__xludf.DUMMYFUNCTION("GOOGLEFINANCE(A74,""LOW"")"),6.24)</f>
        <v>6.24</v>
      </c>
      <c r="F74" s="12" t="str">
        <f t="shared" ca="1" si="7"/>
        <v>SELL</v>
      </c>
      <c r="G74" s="13">
        <f ca="1">IFERROR(__xludf.DUMMYFUNCTION("GOOGLEFINANCE(A74,""CLOSEYEST"")"),6.32)</f>
        <v>6.32</v>
      </c>
      <c r="H74" s="14" t="str">
        <f t="shared" ca="1" si="13"/>
        <v/>
      </c>
      <c r="I74" s="15">
        <f t="shared" ca="1" si="8"/>
        <v>6.2933333333333339</v>
      </c>
      <c r="J74" s="16">
        <f t="shared" ca="1" si="9"/>
        <v>6.3466666666666676</v>
      </c>
      <c r="K74" s="16"/>
      <c r="L74" s="16">
        <f t="shared" ca="1" si="10"/>
        <v>6.2666666666666675</v>
      </c>
      <c r="M74" s="16">
        <f t="shared" ca="1" si="11"/>
        <v>6.373333333333334</v>
      </c>
      <c r="N74" s="16">
        <f t="shared" ca="1" si="12"/>
        <v>6.2133333333333338</v>
      </c>
    </row>
    <row r="75" spans="1:14" ht="24.75" customHeight="1" x14ac:dyDescent="0.8">
      <c r="A75" s="18" t="s">
        <v>19</v>
      </c>
      <c r="B75" s="10">
        <f ca="1">IFERROR(__xludf.DUMMYFUNCTION("GOOGLEFINANCE(A75,""PRICE"")"),1183)</f>
        <v>1183</v>
      </c>
      <c r="C75" s="11">
        <f ca="1">IFERROR(__xludf.DUMMYFUNCTION("GOOGLEFINANCE(A75,""PRICEOPEN"")"),1171)</f>
        <v>1171</v>
      </c>
      <c r="D75" s="11">
        <f ca="1">IFERROR(__xludf.DUMMYFUNCTION("GOOGLEFINANCE(A75,""HIGH"")"),1188)</f>
        <v>1188</v>
      </c>
      <c r="E75" s="11">
        <f ca="1">IFERROR(__xludf.DUMMYFUNCTION("GOOGLEFINANCE(A75,""LOW"")"),1169.5)</f>
        <v>1169.5</v>
      </c>
      <c r="F75" s="12" t="str">
        <f t="shared" ca="1" si="7"/>
        <v/>
      </c>
      <c r="G75" s="13">
        <f ca="1">IFERROR(__xludf.DUMMYFUNCTION("GOOGLEFINANCE(A75,""CLOSEYEST"")"),1159.5)</f>
        <v>1159.5</v>
      </c>
      <c r="H75" s="14" t="str">
        <f t="shared" ca="1" si="13"/>
        <v/>
      </c>
      <c r="I75" s="15">
        <f t="shared" ca="1" si="8"/>
        <v>1172.3333333333333</v>
      </c>
      <c r="J75" s="16">
        <f t="shared" ca="1" si="9"/>
        <v>1175.1666666666665</v>
      </c>
      <c r="K75" s="16"/>
      <c r="L75" s="16">
        <f t="shared" ca="1" si="10"/>
        <v>1156.6666666666665</v>
      </c>
      <c r="M75" s="16">
        <f t="shared" ca="1" si="11"/>
        <v>1190.8333333333333</v>
      </c>
      <c r="N75" s="16">
        <f t="shared" ca="1" si="12"/>
        <v>1153.8333333333333</v>
      </c>
    </row>
    <row r="76" spans="1:14" ht="24.75" customHeight="1" x14ac:dyDescent="0.8">
      <c r="A76" s="18" t="s">
        <v>62</v>
      </c>
      <c r="B76" s="10">
        <f ca="1">IFERROR(__xludf.DUMMYFUNCTION("GOOGLEFINANCE(A76,""PRICE"")"),12018)</f>
        <v>12018</v>
      </c>
      <c r="C76" s="11">
        <f ca="1">IFERROR(__xludf.DUMMYFUNCTION("GOOGLEFINANCE(A76,""PRICEOPEN"")"),12095)</f>
        <v>12095</v>
      </c>
      <c r="D76" s="11">
        <f ca="1">IFERROR(__xludf.DUMMYFUNCTION("GOOGLEFINANCE(A76,""HIGH"")"),12139)</f>
        <v>12139</v>
      </c>
      <c r="E76" s="11">
        <f ca="1">IFERROR(__xludf.DUMMYFUNCTION("GOOGLEFINANCE(A76,""LOW"")"),11982)</f>
        <v>11982</v>
      </c>
      <c r="F76" s="12" t="str">
        <f t="shared" ca="1" si="7"/>
        <v/>
      </c>
      <c r="G76" s="13">
        <f ca="1">IFERROR(__xludf.DUMMYFUNCTION("GOOGLEFINANCE(A76,""CLOSEYEST"")"),12095)</f>
        <v>12095</v>
      </c>
      <c r="H76" s="14" t="str">
        <f t="shared" ca="1" si="13"/>
        <v/>
      </c>
      <c r="I76" s="15">
        <f t="shared" ca="1" si="8"/>
        <v>12072</v>
      </c>
      <c r="J76" s="16">
        <f t="shared" ca="1" si="9"/>
        <v>12162</v>
      </c>
      <c r="K76" s="16"/>
      <c r="L76" s="16">
        <f t="shared" ca="1" si="10"/>
        <v>12005</v>
      </c>
      <c r="M76" s="16">
        <f t="shared" ca="1" si="11"/>
        <v>12229</v>
      </c>
      <c r="N76" s="16">
        <f t="shared" ca="1" si="12"/>
        <v>11915</v>
      </c>
    </row>
    <row r="77" spans="1:14" ht="24.75" customHeight="1" x14ac:dyDescent="0.8">
      <c r="A77" s="18" t="s">
        <v>69</v>
      </c>
      <c r="B77" s="10" t="str">
        <f ca="1">IFERROR(__xludf.DUMMYFUNCTION("GOOGLEFINANCE(A77,""PRICE"")"),"#N/A")</f>
        <v>#N/A</v>
      </c>
      <c r="C77" s="11" t="str">
        <f ca="1">IFERROR(__xludf.DUMMYFUNCTION("GOOGLEFINANCE(A77,""PRICEOPEN"")"),"#N/A")</f>
        <v>#N/A</v>
      </c>
      <c r="D77" s="11" t="str">
        <f ca="1">IFERROR(__xludf.DUMMYFUNCTION("GOOGLEFINANCE(A77,""HIGH"")"),"#N/A")</f>
        <v>#N/A</v>
      </c>
      <c r="E77" s="11" t="str">
        <f ca="1">IFERROR(__xludf.DUMMYFUNCTION("GOOGLEFINANCE(A77,""LOW"")"),"#N/A")</f>
        <v>#N/A</v>
      </c>
      <c r="F77" s="12" t="str">
        <f t="shared" ca="1" si="7"/>
        <v>SELL</v>
      </c>
      <c r="G77" s="13" t="str">
        <f ca="1">IFERROR(__xludf.DUMMYFUNCTION("GOOGLEFINANCE(A77,""CLOSEYEST"")"),"#N/A")</f>
        <v>#N/A</v>
      </c>
      <c r="H77" s="14" t="e">
        <f t="shared" ca="1" si="13"/>
        <v>#VALUE!</v>
      </c>
      <c r="I77" s="15" t="e">
        <f t="shared" ca="1" si="8"/>
        <v>#VALUE!</v>
      </c>
      <c r="J77" s="16" t="e">
        <f t="shared" ca="1" si="9"/>
        <v>#VALUE!</v>
      </c>
      <c r="K77" s="16"/>
      <c r="L77" s="16" t="e">
        <f t="shared" ca="1" si="10"/>
        <v>#VALUE!</v>
      </c>
      <c r="M77" s="16" t="e">
        <f t="shared" ca="1" si="11"/>
        <v>#VALUE!</v>
      </c>
      <c r="N77" s="16" t="e">
        <f t="shared" ca="1" si="12"/>
        <v>#VALUE!</v>
      </c>
    </row>
    <row r="78" spans="1:14" ht="24.75" customHeight="1" x14ac:dyDescent="0.8">
      <c r="A78" s="18" t="s">
        <v>51</v>
      </c>
      <c r="B78" s="10">
        <f ca="1">IFERROR(__xludf.DUMMYFUNCTION("GOOGLEFINANCE(A78,""PRICE"")"),243.78)</f>
        <v>243.78</v>
      </c>
      <c r="C78" s="11">
        <f ca="1">IFERROR(__xludf.DUMMYFUNCTION("GOOGLEFINANCE(A78,""PRICEOPEN"")"),242.5)</f>
        <v>242.5</v>
      </c>
      <c r="D78" s="11">
        <f ca="1">IFERROR(__xludf.DUMMYFUNCTION("GOOGLEFINANCE(A78,""HIGH"")"),244.2)</f>
        <v>244.2</v>
      </c>
      <c r="E78" s="11">
        <f ca="1">IFERROR(__xludf.DUMMYFUNCTION("GOOGLEFINANCE(A78,""LOW"")"),239.7)</f>
        <v>239.7</v>
      </c>
      <c r="F78" s="12" t="str">
        <f t="shared" ca="1" si="7"/>
        <v/>
      </c>
      <c r="G78" s="13">
        <f ca="1">IFERROR(__xludf.DUMMYFUNCTION("GOOGLEFINANCE(A78,""CLOSEYEST"")"),243.04)</f>
        <v>243.04</v>
      </c>
      <c r="H78" s="14" t="str">
        <f t="shared" ca="1" si="13"/>
        <v/>
      </c>
      <c r="I78" s="15">
        <f t="shared" ca="1" si="8"/>
        <v>242.3133333333333</v>
      </c>
      <c r="J78" s="16">
        <f t="shared" ca="1" si="9"/>
        <v>244.92666666666662</v>
      </c>
      <c r="K78" s="16"/>
      <c r="L78" s="16">
        <f t="shared" ca="1" si="10"/>
        <v>240.42666666666662</v>
      </c>
      <c r="M78" s="16">
        <f t="shared" ca="1" si="11"/>
        <v>246.8133333333333</v>
      </c>
      <c r="N78" s="16">
        <f t="shared" ca="1" si="12"/>
        <v>237.8133333333333</v>
      </c>
    </row>
    <row r="79" spans="1:14" ht="24.75" customHeight="1" x14ac:dyDescent="0.8">
      <c r="A79" s="18" t="s">
        <v>15</v>
      </c>
      <c r="B79" s="10">
        <f ca="1">IFERROR(__xludf.DUMMYFUNCTION("GOOGLEFINANCE(A79,""PRICE"")"),2586.1)</f>
        <v>2586.1</v>
      </c>
      <c r="C79" s="11">
        <f ca="1">IFERROR(__xludf.DUMMYFUNCTION("GOOGLEFINANCE(A79,""PRICEOPEN"")"),2595)</f>
        <v>2595</v>
      </c>
      <c r="D79" s="11">
        <f ca="1">IFERROR(__xludf.DUMMYFUNCTION("GOOGLEFINANCE(A79,""HIGH"")"),2612.9)</f>
        <v>2612.9</v>
      </c>
      <c r="E79" s="11">
        <f ca="1">IFERROR(__xludf.DUMMYFUNCTION("GOOGLEFINANCE(A79,""LOW"")"),2564.4)</f>
        <v>2564.4</v>
      </c>
      <c r="F79" s="12" t="str">
        <f t="shared" ca="1" si="7"/>
        <v/>
      </c>
      <c r="G79" s="13">
        <f ca="1">IFERROR(__xludf.DUMMYFUNCTION("GOOGLEFINANCE(A79,""CLOSEYEST"")"),2592.7)</f>
        <v>2592.6999999999998</v>
      </c>
      <c r="H79" s="14" t="str">
        <f t="shared" ca="1" si="13"/>
        <v/>
      </c>
      <c r="I79" s="15">
        <f t="shared" ca="1" si="8"/>
        <v>2590</v>
      </c>
      <c r="J79" s="16">
        <f t="shared" ca="1" si="9"/>
        <v>2615.6</v>
      </c>
      <c r="K79" s="16"/>
      <c r="L79" s="16">
        <f t="shared" ca="1" si="10"/>
        <v>2567.1</v>
      </c>
      <c r="M79" s="16">
        <f t="shared" ca="1" si="11"/>
        <v>2638.5</v>
      </c>
      <c r="N79" s="16">
        <f t="shared" ca="1" si="12"/>
        <v>2541.5</v>
      </c>
    </row>
    <row r="80" spans="1:14" ht="24.75" customHeight="1" x14ac:dyDescent="0.8">
      <c r="A80" s="18" t="s">
        <v>56</v>
      </c>
      <c r="B80" s="10">
        <f ca="1">IFERROR(__xludf.DUMMYFUNCTION("GOOGLEFINANCE(A80,""PRICE"")"),1632)</f>
        <v>1632</v>
      </c>
      <c r="C80" s="11">
        <f ca="1">IFERROR(__xludf.DUMMYFUNCTION("GOOGLEFINANCE(A80,""PRICEOPEN"")"),1600)</f>
        <v>1600</v>
      </c>
      <c r="D80" s="11">
        <f ca="1">IFERROR(__xludf.DUMMYFUNCTION("GOOGLEFINANCE(A80,""HIGH"")"),1645.5)</f>
        <v>1645.5</v>
      </c>
      <c r="E80" s="11">
        <f ca="1">IFERROR(__xludf.DUMMYFUNCTION("GOOGLEFINANCE(A80,""LOW"")"),1600)</f>
        <v>1600</v>
      </c>
      <c r="F80" s="12" t="str">
        <f t="shared" ca="1" si="7"/>
        <v>BUY</v>
      </c>
      <c r="G80" s="13">
        <f ca="1">IFERROR(__xludf.DUMMYFUNCTION("GOOGLEFINANCE(A80,""CLOSEYEST"")"),1636.2)</f>
        <v>1636.2</v>
      </c>
      <c r="H80" s="14" t="str">
        <f t="shared" ca="1" si="13"/>
        <v>GAP DOWN</v>
      </c>
      <c r="I80" s="15">
        <f t="shared" ca="1" si="8"/>
        <v>1627.2333333333333</v>
      </c>
      <c r="J80" s="16">
        <f t="shared" ca="1" si="9"/>
        <v>1654.4666666666667</v>
      </c>
      <c r="K80" s="16"/>
      <c r="L80" s="16">
        <f t="shared" ca="1" si="10"/>
        <v>1608.9666666666667</v>
      </c>
      <c r="M80" s="16">
        <f t="shared" ca="1" si="11"/>
        <v>1672.7333333333333</v>
      </c>
      <c r="N80" s="16">
        <f t="shared" ca="1" si="12"/>
        <v>1581.7333333333333</v>
      </c>
    </row>
    <row r="81" spans="1:14" ht="24.75" customHeight="1" x14ac:dyDescent="0.8">
      <c r="A81" s="18" t="s">
        <v>70</v>
      </c>
      <c r="B81" s="10">
        <f ca="1">IFERROR(__xludf.DUMMYFUNCTION("GOOGLEFINANCE(A81,""PRICE"")"),23.17)</f>
        <v>23.17</v>
      </c>
      <c r="C81" s="11">
        <f ca="1">IFERROR(__xludf.DUMMYFUNCTION("GOOGLEFINANCE(A81,""PRICEOPEN"")"),23.17)</f>
        <v>23.17</v>
      </c>
      <c r="D81" s="11">
        <f ca="1">IFERROR(__xludf.DUMMYFUNCTION("GOOGLEFINANCE(A81,""HIGH"")"),23.17)</f>
        <v>23.17</v>
      </c>
      <c r="E81" s="11">
        <f ca="1">IFERROR(__xludf.DUMMYFUNCTION("GOOGLEFINANCE(A81,""LOW"")"),23.17)</f>
        <v>23.17</v>
      </c>
      <c r="F81" s="12" t="str">
        <f t="shared" ca="1" si="7"/>
        <v>SELL</v>
      </c>
      <c r="G81" s="13">
        <f ca="1">IFERROR(__xludf.DUMMYFUNCTION("GOOGLEFINANCE(A81,""CLOSEYEST"")"),25.44)</f>
        <v>25.44</v>
      </c>
      <c r="H81" s="14" t="str">
        <f t="shared" ca="1" si="13"/>
        <v>GAP DOWN</v>
      </c>
      <c r="I81" s="15">
        <f t="shared" ca="1" si="8"/>
        <v>23.926666666666666</v>
      </c>
      <c r="J81" s="16">
        <f t="shared" ca="1" si="9"/>
        <v>24.68333333333333</v>
      </c>
      <c r="K81" s="16"/>
      <c r="L81" s="16">
        <f t="shared" ca="1" si="10"/>
        <v>24.68333333333333</v>
      </c>
      <c r="M81" s="16">
        <f t="shared" ca="1" si="11"/>
        <v>23.926666666666666</v>
      </c>
      <c r="N81" s="16">
        <f t="shared" ca="1" si="12"/>
        <v>23.926666666666666</v>
      </c>
    </row>
    <row r="82" spans="1:14" ht="24.75" customHeight="1" x14ac:dyDescent="0.8">
      <c r="A82" s="18" t="s">
        <v>50</v>
      </c>
      <c r="B82" s="10">
        <f ca="1">IFERROR(__xludf.DUMMYFUNCTION("GOOGLEFINANCE(A82,""PRICE"")"),1170)</f>
        <v>1170</v>
      </c>
      <c r="C82" s="11">
        <f ca="1">IFERROR(__xludf.DUMMYFUNCTION("GOOGLEFINANCE(A82,""PRICEOPEN"")"),1160)</f>
        <v>1160</v>
      </c>
      <c r="D82" s="11">
        <f ca="1">IFERROR(__xludf.DUMMYFUNCTION("GOOGLEFINANCE(A82,""HIGH"")"),1171.3)</f>
        <v>1171.3</v>
      </c>
      <c r="E82" s="11">
        <f ca="1">IFERROR(__xludf.DUMMYFUNCTION("GOOGLEFINANCE(A82,""LOW"")"),1154.4)</f>
        <v>1154.4000000000001</v>
      </c>
      <c r="F82" s="12" t="str">
        <f t="shared" ca="1" si="7"/>
        <v/>
      </c>
      <c r="G82" s="13">
        <f ca="1">IFERROR(__xludf.DUMMYFUNCTION("GOOGLEFINANCE(A82,""CLOSEYEST"")"),1166.4)</f>
        <v>1166.4000000000001</v>
      </c>
      <c r="H82" s="14" t="str">
        <f t="shared" ca="1" si="13"/>
        <v/>
      </c>
      <c r="I82" s="15">
        <f t="shared" ca="1" si="8"/>
        <v>1164.0333333333333</v>
      </c>
      <c r="J82" s="16">
        <f t="shared" ca="1" si="9"/>
        <v>1173.6666666666665</v>
      </c>
      <c r="K82" s="16"/>
      <c r="L82" s="16">
        <f t="shared" ca="1" si="10"/>
        <v>1156.7666666666667</v>
      </c>
      <c r="M82" s="16">
        <f t="shared" ca="1" si="11"/>
        <v>1180.9333333333332</v>
      </c>
      <c r="N82" s="16">
        <f t="shared" ca="1" si="12"/>
        <v>1147.1333333333334</v>
      </c>
    </row>
    <row r="83" spans="1:14" ht="24.75" customHeight="1" x14ac:dyDescent="0.8">
      <c r="A83" s="18" t="s">
        <v>59</v>
      </c>
      <c r="B83" s="10">
        <f ca="1">IFERROR(__xludf.DUMMYFUNCTION("GOOGLEFINANCE(A83,""PRICE"")"),715.85)</f>
        <v>715.85</v>
      </c>
      <c r="C83" s="11">
        <f ca="1">IFERROR(__xludf.DUMMYFUNCTION("GOOGLEFINANCE(A83,""PRICEOPEN"")"),718.5)</f>
        <v>718.5</v>
      </c>
      <c r="D83" s="11">
        <f ca="1">IFERROR(__xludf.DUMMYFUNCTION("GOOGLEFINANCE(A83,""HIGH"")"),739.7)</f>
        <v>739.7</v>
      </c>
      <c r="E83" s="11">
        <f ca="1">IFERROR(__xludf.DUMMYFUNCTION("GOOGLEFINANCE(A83,""LOW"")"),715)</f>
        <v>715</v>
      </c>
      <c r="F83" s="12" t="str">
        <f t="shared" ca="1" si="7"/>
        <v/>
      </c>
      <c r="G83" s="13">
        <f ca="1">IFERROR(__xludf.DUMMYFUNCTION("GOOGLEFINANCE(A83,""CLOSEYEST"")"),718.35)</f>
        <v>718.35</v>
      </c>
      <c r="H83" s="14" t="str">
        <f t="shared" ca="1" si="13"/>
        <v/>
      </c>
      <c r="I83" s="15">
        <f t="shared" ca="1" si="8"/>
        <v>724.35</v>
      </c>
      <c r="J83" s="16">
        <f t="shared" ca="1" si="9"/>
        <v>733.7</v>
      </c>
      <c r="K83" s="16"/>
      <c r="L83" s="16">
        <f t="shared" ca="1" si="10"/>
        <v>709</v>
      </c>
      <c r="M83" s="16">
        <f t="shared" ca="1" si="11"/>
        <v>749.05000000000007</v>
      </c>
      <c r="N83" s="16">
        <f t="shared" ca="1" si="12"/>
        <v>699.65</v>
      </c>
    </row>
    <row r="84" spans="1:14" ht="24.75" customHeight="1" x14ac:dyDescent="0.8">
      <c r="A84" s="18" t="s">
        <v>71</v>
      </c>
      <c r="B84" s="10" t="str">
        <f ca="1">IFERROR(__xludf.DUMMYFUNCTION("GOOGLEFINANCE(A84,""PRICE"")"),"#N/A")</f>
        <v>#N/A</v>
      </c>
      <c r="C84" s="11" t="str">
        <f ca="1">IFERROR(__xludf.DUMMYFUNCTION("GOOGLEFINANCE(A84,""PRICEOPEN"")"),"#N/A")</f>
        <v>#N/A</v>
      </c>
      <c r="D84" s="11" t="str">
        <f ca="1">IFERROR(__xludf.DUMMYFUNCTION("GOOGLEFINANCE(A84,""HIGH"")"),"#N/A")</f>
        <v>#N/A</v>
      </c>
      <c r="E84" s="11" t="str">
        <f ca="1">IFERROR(__xludf.DUMMYFUNCTION("GOOGLEFINANCE(A84,""LOW"")"),"#N/A")</f>
        <v>#N/A</v>
      </c>
      <c r="F84" s="12" t="str">
        <f t="shared" ca="1" si="7"/>
        <v>SELL</v>
      </c>
      <c r="G84" s="13" t="str">
        <f ca="1">IFERROR(__xludf.DUMMYFUNCTION("GOOGLEFINANCE(A84,""CLOSEYEST"")"),"#N/A")</f>
        <v>#N/A</v>
      </c>
      <c r="H84" s="14" t="e">
        <f t="shared" ca="1" si="13"/>
        <v>#VALUE!</v>
      </c>
      <c r="I84" s="15" t="e">
        <f t="shared" ca="1" si="8"/>
        <v>#VALUE!</v>
      </c>
      <c r="J84" s="16" t="e">
        <f t="shared" ca="1" si="9"/>
        <v>#VALUE!</v>
      </c>
      <c r="K84" s="16"/>
      <c r="L84" s="16" t="e">
        <f t="shared" ca="1" si="10"/>
        <v>#VALUE!</v>
      </c>
      <c r="M84" s="16" t="e">
        <f t="shared" ca="1" si="11"/>
        <v>#VALUE!</v>
      </c>
      <c r="N84" s="16" t="e">
        <f t="shared" ca="1" si="12"/>
        <v>#VALUE!</v>
      </c>
    </row>
    <row r="85" spans="1:14" ht="24.75" customHeight="1" x14ac:dyDescent="0.8">
      <c r="A85" s="18" t="s">
        <v>61</v>
      </c>
      <c r="B85" s="10">
        <f ca="1">IFERROR(__xludf.DUMMYFUNCTION("GOOGLEFINANCE(A85,""PRICE"")"),1398)</f>
        <v>1398</v>
      </c>
      <c r="C85" s="11">
        <f ca="1">IFERROR(__xludf.DUMMYFUNCTION("GOOGLEFINANCE(A85,""PRICEOPEN"")"),1423)</f>
        <v>1423</v>
      </c>
      <c r="D85" s="11">
        <f ca="1">IFERROR(__xludf.DUMMYFUNCTION("GOOGLEFINANCE(A85,""HIGH"")"),1423.8)</f>
        <v>1423.8</v>
      </c>
      <c r="E85" s="11">
        <f ca="1">IFERROR(__xludf.DUMMYFUNCTION("GOOGLEFINANCE(A85,""LOW"")"),1397.3)</f>
        <v>1397.3</v>
      </c>
      <c r="F85" s="12" t="str">
        <f t="shared" ca="1" si="7"/>
        <v/>
      </c>
      <c r="G85" s="13">
        <f ca="1">IFERROR(__xludf.DUMMYFUNCTION("GOOGLEFINANCE(A85,""CLOSEYEST"")"),1416)</f>
        <v>1416</v>
      </c>
      <c r="H85" s="14" t="str">
        <f t="shared" ca="1" si="13"/>
        <v/>
      </c>
      <c r="I85" s="15">
        <f t="shared" ca="1" si="8"/>
        <v>1412.3666666666668</v>
      </c>
      <c r="J85" s="16">
        <f t="shared" ca="1" si="9"/>
        <v>1427.4333333333336</v>
      </c>
      <c r="K85" s="16"/>
      <c r="L85" s="16">
        <f t="shared" ca="1" si="10"/>
        <v>1400.9333333333336</v>
      </c>
      <c r="M85" s="16">
        <f t="shared" ca="1" si="11"/>
        <v>1438.8666666666668</v>
      </c>
      <c r="N85" s="16">
        <f t="shared" ca="1" si="12"/>
        <v>1385.8666666666668</v>
      </c>
    </row>
    <row r="86" spans="1:14" ht="24.75" customHeight="1" x14ac:dyDescent="0.8">
      <c r="A86" s="18" t="s">
        <v>44</v>
      </c>
      <c r="B86" s="10">
        <f ca="1">IFERROR(__xludf.DUMMYFUNCTION("GOOGLEFINANCE(A86,""PRICE"")"),1160.8)</f>
        <v>1160.8</v>
      </c>
      <c r="C86" s="11">
        <f ca="1">IFERROR(__xludf.DUMMYFUNCTION("GOOGLEFINANCE(A86,""PRICEOPEN"")"),1146.1)</f>
        <v>1146.0999999999999</v>
      </c>
      <c r="D86" s="11">
        <f ca="1">IFERROR(__xludf.DUMMYFUNCTION("GOOGLEFINANCE(A86,""HIGH"")"),1175.8)</f>
        <v>1175.8</v>
      </c>
      <c r="E86" s="11">
        <f ca="1">IFERROR(__xludf.DUMMYFUNCTION("GOOGLEFINANCE(A86,""LOW"")"),1145.9)</f>
        <v>1145.9000000000001</v>
      </c>
      <c r="F86" s="12" t="str">
        <f t="shared" ca="1" si="7"/>
        <v/>
      </c>
      <c r="G86" s="13">
        <f ca="1">IFERROR(__xludf.DUMMYFUNCTION("GOOGLEFINANCE(A86,""CLOSEYEST"")"),1146.1)</f>
        <v>1146.0999999999999</v>
      </c>
      <c r="H86" s="14" t="str">
        <f t="shared" ca="1" si="13"/>
        <v/>
      </c>
      <c r="I86" s="15">
        <f t="shared" ca="1" si="8"/>
        <v>1155.9333333333332</v>
      </c>
      <c r="J86" s="16">
        <f t="shared" ca="1" si="9"/>
        <v>1165.9666666666662</v>
      </c>
      <c r="K86" s="16"/>
      <c r="L86" s="16">
        <f t="shared" ca="1" si="10"/>
        <v>1136.0666666666664</v>
      </c>
      <c r="M86" s="16">
        <f t="shared" ca="1" si="11"/>
        <v>1185.833333333333</v>
      </c>
      <c r="N86" s="16">
        <f t="shared" ca="1" si="12"/>
        <v>1126.0333333333333</v>
      </c>
    </row>
    <row r="87" spans="1:14" ht="24.75" customHeight="1" x14ac:dyDescent="0.8">
      <c r="A87" s="18" t="s">
        <v>16</v>
      </c>
      <c r="B87" s="10">
        <f ca="1">IFERROR(__xludf.DUMMYFUNCTION("GOOGLEFINANCE(A87,""PRICE"")"),1419.9)</f>
        <v>1419.9</v>
      </c>
      <c r="C87" s="11">
        <f ca="1">IFERROR(__xludf.DUMMYFUNCTION("GOOGLEFINANCE(A87,""PRICEOPEN"")"),1413)</f>
        <v>1413</v>
      </c>
      <c r="D87" s="11">
        <f ca="1">IFERROR(__xludf.DUMMYFUNCTION("GOOGLEFINANCE(A87,""HIGH"")"),1431)</f>
        <v>1431</v>
      </c>
      <c r="E87" s="11">
        <f ca="1">IFERROR(__xludf.DUMMYFUNCTION("GOOGLEFINANCE(A87,""LOW"")"),1412.5)</f>
        <v>1412.5</v>
      </c>
      <c r="F87" s="12" t="str">
        <f t="shared" ca="1" si="7"/>
        <v/>
      </c>
      <c r="G87" s="13">
        <f ca="1">IFERROR(__xludf.DUMMYFUNCTION("GOOGLEFINANCE(A87,""CLOSEYEST"")"),1422.7)</f>
        <v>1422.7</v>
      </c>
      <c r="H87" s="14" t="str">
        <f t="shared" ca="1" si="13"/>
        <v/>
      </c>
      <c r="I87" s="15">
        <f t="shared" ca="1" si="8"/>
        <v>1422.0666666666666</v>
      </c>
      <c r="J87" s="16">
        <f t="shared" ca="1" si="9"/>
        <v>1431.6333333333332</v>
      </c>
      <c r="K87" s="16"/>
      <c r="L87" s="16">
        <f t="shared" ca="1" si="10"/>
        <v>1413.1333333333332</v>
      </c>
      <c r="M87" s="16">
        <f t="shared" ca="1" si="11"/>
        <v>1440.5666666666666</v>
      </c>
      <c r="N87" s="16">
        <f t="shared" ca="1" si="12"/>
        <v>1403.5666666666666</v>
      </c>
    </row>
    <row r="88" spans="1:14" ht="24.75" customHeight="1" x14ac:dyDescent="0.8">
      <c r="A88" s="18" t="s">
        <v>60</v>
      </c>
      <c r="B88" s="10">
        <f ca="1">IFERROR(__xludf.DUMMYFUNCTION("GOOGLEFINANCE(A88,""PRICE"")"),173.29)</f>
        <v>173.29</v>
      </c>
      <c r="C88" s="11">
        <f ca="1">IFERROR(__xludf.DUMMYFUNCTION("GOOGLEFINANCE(A88,""PRICEOPEN"")"),168.12)</f>
        <v>168.12</v>
      </c>
      <c r="D88" s="11">
        <f ca="1">IFERROR(__xludf.DUMMYFUNCTION("GOOGLEFINANCE(A88,""HIGH"")"),174.74)</f>
        <v>174.74</v>
      </c>
      <c r="E88" s="11">
        <f ca="1">IFERROR(__xludf.DUMMYFUNCTION("GOOGLEFINANCE(A88,""LOW"")"),168.12)</f>
        <v>168.12</v>
      </c>
      <c r="F88" s="12" t="str">
        <f t="shared" ca="1" si="7"/>
        <v>BUY</v>
      </c>
      <c r="G88" s="13">
        <f ca="1">IFERROR(__xludf.DUMMYFUNCTION("GOOGLEFINANCE(A88,""CLOSEYEST"")"),167.51)</f>
        <v>167.51</v>
      </c>
      <c r="H88" s="14" t="str">
        <f t="shared" ca="1" si="13"/>
        <v/>
      </c>
      <c r="I88" s="15">
        <f t="shared" ca="1" si="8"/>
        <v>170.12333333333333</v>
      </c>
      <c r="J88" s="16">
        <f t="shared" ca="1" si="9"/>
        <v>172.12666666666667</v>
      </c>
      <c r="K88" s="16"/>
      <c r="L88" s="16">
        <f t="shared" ca="1" si="10"/>
        <v>165.50666666666666</v>
      </c>
      <c r="M88" s="16">
        <f t="shared" ca="1" si="11"/>
        <v>176.74333333333334</v>
      </c>
      <c r="N88" s="16">
        <f t="shared" ca="1" si="12"/>
        <v>163.50333333333333</v>
      </c>
    </row>
    <row r="89" spans="1:14" ht="24.75" customHeight="1" x14ac:dyDescent="0.8">
      <c r="A89" s="18" t="s">
        <v>52</v>
      </c>
      <c r="B89" s="10">
        <f ca="1">IFERROR(__xludf.DUMMYFUNCTION("GOOGLEFINANCE(A89,""PRICE"")"),288.65)</f>
        <v>288.64999999999998</v>
      </c>
      <c r="C89" s="11">
        <f ca="1">IFERROR(__xludf.DUMMYFUNCTION("GOOGLEFINANCE(A89,""PRICEOPEN"")"),283.35)</f>
        <v>283.35000000000002</v>
      </c>
      <c r="D89" s="11">
        <f ca="1">IFERROR(__xludf.DUMMYFUNCTION("GOOGLEFINANCE(A89,""HIGH"")"),290)</f>
        <v>290</v>
      </c>
      <c r="E89" s="11">
        <f ca="1">IFERROR(__xludf.DUMMYFUNCTION("GOOGLEFINANCE(A89,""LOW"")"),281.05)</f>
        <v>281.05</v>
      </c>
      <c r="F89" s="12" t="str">
        <f t="shared" ca="1" si="7"/>
        <v/>
      </c>
      <c r="G89" s="13">
        <f ca="1">IFERROR(__xludf.DUMMYFUNCTION("GOOGLEFINANCE(A89,""CLOSEYEST"")"),280.65)</f>
        <v>280.64999999999998</v>
      </c>
      <c r="H89" s="14" t="str">
        <f t="shared" ca="1" si="13"/>
        <v/>
      </c>
      <c r="I89" s="15">
        <f t="shared" ca="1" si="8"/>
        <v>283.89999999999998</v>
      </c>
      <c r="J89" s="16">
        <f t="shared" ca="1" si="9"/>
        <v>286.74999999999994</v>
      </c>
      <c r="K89" s="16"/>
      <c r="L89" s="16">
        <f t="shared" ca="1" si="10"/>
        <v>277.79999999999995</v>
      </c>
      <c r="M89" s="16">
        <f t="shared" ca="1" si="11"/>
        <v>292.84999999999997</v>
      </c>
      <c r="N89" s="16">
        <f t="shared" ca="1" si="12"/>
        <v>274.95</v>
      </c>
    </row>
    <row r="90" spans="1:14" ht="24.75" customHeight="1" x14ac:dyDescent="0.8">
      <c r="A90" s="18" t="s">
        <v>72</v>
      </c>
      <c r="B90" s="10">
        <f ca="1">IFERROR(__xludf.DUMMYFUNCTION("GOOGLEFINANCE(A90,""PRICE"")"),492.3)</f>
        <v>492.3</v>
      </c>
      <c r="C90" s="11">
        <f ca="1">IFERROR(__xludf.DUMMYFUNCTION("GOOGLEFINANCE(A90,""PRICEOPEN"")"),483)</f>
        <v>483</v>
      </c>
      <c r="D90" s="11">
        <f ca="1">IFERROR(__xludf.DUMMYFUNCTION("GOOGLEFINANCE(A90,""HIGH"")"),496.6)</f>
        <v>496.6</v>
      </c>
      <c r="E90" s="11">
        <f ca="1">IFERROR(__xludf.DUMMYFUNCTION("GOOGLEFINANCE(A90,""LOW"")"),478.9)</f>
        <v>478.9</v>
      </c>
      <c r="F90" s="12" t="str">
        <f t="shared" ca="1" si="7"/>
        <v/>
      </c>
      <c r="G90" s="13">
        <f ca="1">IFERROR(__xludf.DUMMYFUNCTION("GOOGLEFINANCE(A90,""CLOSEYEST"")"),481.35)</f>
        <v>481.35</v>
      </c>
      <c r="H90" s="14" t="str">
        <f t="shared" ca="1" si="13"/>
        <v/>
      </c>
      <c r="I90" s="15">
        <f t="shared" ca="1" si="8"/>
        <v>485.61666666666662</v>
      </c>
      <c r="J90" s="16">
        <f t="shared" ca="1" si="9"/>
        <v>492.33333333333326</v>
      </c>
      <c r="K90" s="16"/>
      <c r="L90" s="16">
        <f t="shared" ca="1" si="10"/>
        <v>474.63333333333321</v>
      </c>
      <c r="M90" s="16">
        <f t="shared" ca="1" si="11"/>
        <v>503.31666666666666</v>
      </c>
      <c r="N90" s="16">
        <f t="shared" ca="1" si="12"/>
        <v>467.91666666666657</v>
      </c>
    </row>
    <row r="91" spans="1:14" ht="24.75" customHeight="1" x14ac:dyDescent="0.8">
      <c r="A91" s="18" t="s">
        <v>34</v>
      </c>
      <c r="B91" s="10">
        <f ca="1">IFERROR(__xludf.DUMMYFUNCTION("GOOGLEFINANCE(A91,""PRICE"")"),760)</f>
        <v>760</v>
      </c>
      <c r="C91" s="11">
        <f ca="1">IFERROR(__xludf.DUMMYFUNCTION("GOOGLEFINANCE(A91,""PRICEOPEN"")"),756.65)</f>
        <v>756.65</v>
      </c>
      <c r="D91" s="11">
        <f ca="1">IFERROR(__xludf.DUMMYFUNCTION("GOOGLEFINANCE(A91,""HIGH"")"),767.15)</f>
        <v>767.15</v>
      </c>
      <c r="E91" s="11">
        <f ca="1">IFERROR(__xludf.DUMMYFUNCTION("GOOGLEFINANCE(A91,""LOW"")"),754.95)</f>
        <v>754.95</v>
      </c>
      <c r="F91" s="12" t="str">
        <f t="shared" ca="1" si="7"/>
        <v/>
      </c>
      <c r="G91" s="13">
        <f ca="1">IFERROR(__xludf.DUMMYFUNCTION("GOOGLEFINANCE(A91,""CLOSEYEST"")"),764)</f>
        <v>764</v>
      </c>
      <c r="H91" s="14" t="str">
        <f t="shared" ca="1" si="13"/>
        <v/>
      </c>
      <c r="I91" s="15">
        <f t="shared" ca="1" si="8"/>
        <v>762.0333333333333</v>
      </c>
      <c r="J91" s="16">
        <f t="shared" ca="1" si="9"/>
        <v>769.11666666666656</v>
      </c>
      <c r="K91" s="16"/>
      <c r="L91" s="16">
        <f t="shared" ca="1" si="10"/>
        <v>756.91666666666663</v>
      </c>
      <c r="M91" s="16">
        <f t="shared" ca="1" si="11"/>
        <v>774.23333333333323</v>
      </c>
      <c r="N91" s="16">
        <f t="shared" ca="1" si="12"/>
        <v>749.83333333333337</v>
      </c>
    </row>
    <row r="92" spans="1:14" ht="24.75" customHeight="1" x14ac:dyDescent="0.8">
      <c r="A92" s="18" t="s">
        <v>73</v>
      </c>
      <c r="B92" s="10">
        <f ca="1">IFERROR(__xludf.DUMMYFUNCTION("GOOGLEFINANCE(A92,""PRICE"")"),1485.8)</f>
        <v>1485.8</v>
      </c>
      <c r="C92" s="11">
        <f ca="1">IFERROR(__xludf.DUMMYFUNCTION("GOOGLEFINANCE(A92,""PRICEOPEN"")"),1475.6)</f>
        <v>1475.6</v>
      </c>
      <c r="D92" s="11">
        <f ca="1">IFERROR(__xludf.DUMMYFUNCTION("GOOGLEFINANCE(A92,""HIGH"")"),1493.6)</f>
        <v>1493.6</v>
      </c>
      <c r="E92" s="11">
        <f ca="1">IFERROR(__xludf.DUMMYFUNCTION("GOOGLEFINANCE(A92,""LOW"")"),1471.3)</f>
        <v>1471.3</v>
      </c>
      <c r="F92" s="12" t="str">
        <f t="shared" ca="1" si="7"/>
        <v/>
      </c>
      <c r="G92" s="13">
        <f ca="1">IFERROR(__xludf.DUMMYFUNCTION("GOOGLEFINANCE(A92,""CLOSEYEST"")"),1475.4)</f>
        <v>1475.4</v>
      </c>
      <c r="H92" s="14" t="str">
        <f t="shared" ca="1" si="13"/>
        <v/>
      </c>
      <c r="I92" s="15">
        <f t="shared" ca="1" si="8"/>
        <v>1480.0999999999997</v>
      </c>
      <c r="J92" s="16">
        <f t="shared" ca="1" si="9"/>
        <v>1488.8999999999994</v>
      </c>
      <c r="K92" s="16"/>
      <c r="L92" s="16">
        <f t="shared" ca="1" si="10"/>
        <v>1466.5999999999995</v>
      </c>
      <c r="M92" s="16">
        <f t="shared" ca="1" si="11"/>
        <v>1502.3999999999996</v>
      </c>
      <c r="N92" s="16">
        <f t="shared" ca="1" si="12"/>
        <v>1457.7999999999997</v>
      </c>
    </row>
    <row r="93" spans="1:14" ht="24.75" customHeight="1" x14ac:dyDescent="0.8">
      <c r="A93" s="18" t="s">
        <v>49</v>
      </c>
      <c r="B93" s="10">
        <f ca="1">IFERROR(__xludf.DUMMYFUNCTION("GOOGLEFINANCE(A93,""PRICE"")"),341.8)</f>
        <v>341.8</v>
      </c>
      <c r="C93" s="11">
        <f ca="1">IFERROR(__xludf.DUMMYFUNCTION("GOOGLEFINANCE(A93,""PRICEOPEN"")"),340.25)</f>
        <v>340.25</v>
      </c>
      <c r="D93" s="11">
        <f ca="1">IFERROR(__xludf.DUMMYFUNCTION("GOOGLEFINANCE(A93,""HIGH"")"),343.5)</f>
        <v>343.5</v>
      </c>
      <c r="E93" s="11">
        <f ca="1">IFERROR(__xludf.DUMMYFUNCTION("GOOGLEFINANCE(A93,""LOW"")"),338.75)</f>
        <v>338.75</v>
      </c>
      <c r="F93" s="12" t="str">
        <f t="shared" ca="1" si="7"/>
        <v/>
      </c>
      <c r="G93" s="13">
        <f ca="1">IFERROR(__xludf.DUMMYFUNCTION("GOOGLEFINANCE(A93,""CLOSEYEST"")"),340.25)</f>
        <v>340.25</v>
      </c>
      <c r="H93" s="14" t="str">
        <f t="shared" ca="1" si="13"/>
        <v/>
      </c>
      <c r="I93" s="15">
        <f t="shared" ca="1" si="8"/>
        <v>340.83333333333331</v>
      </c>
      <c r="J93" s="16">
        <f t="shared" ca="1" si="9"/>
        <v>342.91666666666663</v>
      </c>
      <c r="K93" s="16"/>
      <c r="L93" s="16">
        <f t="shared" ca="1" si="10"/>
        <v>338.16666666666663</v>
      </c>
      <c r="M93" s="16">
        <f t="shared" ca="1" si="11"/>
        <v>345.58333333333331</v>
      </c>
      <c r="N93" s="16">
        <f t="shared" ca="1" si="12"/>
        <v>336.08333333333331</v>
      </c>
    </row>
    <row r="94" spans="1:14" ht="24.75" customHeight="1" x14ac:dyDescent="0.8">
      <c r="A94" s="18" t="s">
        <v>74</v>
      </c>
      <c r="B94" s="10">
        <f ca="1">IFERROR(__xludf.DUMMYFUNCTION("GOOGLEFINANCE(A94,""PRICE"")"),7.2)</f>
        <v>7.2</v>
      </c>
      <c r="C94" s="11">
        <f ca="1">IFERROR(__xludf.DUMMYFUNCTION("GOOGLEFINANCE(A94,""PRICEOPEN"")"),7.2)</f>
        <v>7.2</v>
      </c>
      <c r="D94" s="11">
        <f ca="1">IFERROR(__xludf.DUMMYFUNCTION("GOOGLEFINANCE(A94,""HIGH"")"),7.5)</f>
        <v>7.5</v>
      </c>
      <c r="E94" s="11">
        <f ca="1">IFERROR(__xludf.DUMMYFUNCTION("GOOGLEFINANCE(A94,""LOW"")"),7)</f>
        <v>7</v>
      </c>
      <c r="F94" s="12" t="str">
        <f t="shared" ca="1" si="7"/>
        <v/>
      </c>
      <c r="G94" s="13">
        <f ca="1">IFERROR(__xludf.DUMMYFUNCTION("GOOGLEFINANCE(A94,""CLOSEYEST"")"),7.25)</f>
        <v>7.25</v>
      </c>
      <c r="H94" s="14" t="str">
        <f t="shared" ca="1" si="13"/>
        <v/>
      </c>
      <c r="I94" s="15">
        <f t="shared" ca="1" si="8"/>
        <v>7.25</v>
      </c>
      <c r="J94" s="16">
        <f t="shared" ca="1" si="9"/>
        <v>7.5</v>
      </c>
      <c r="K94" s="16"/>
      <c r="L94" s="16">
        <f t="shared" ca="1" si="10"/>
        <v>7</v>
      </c>
      <c r="M94" s="16">
        <f t="shared" ca="1" si="11"/>
        <v>7.75</v>
      </c>
      <c r="N94" s="16">
        <f t="shared" ca="1" si="12"/>
        <v>6.75</v>
      </c>
    </row>
    <row r="95" spans="1:14" ht="24.75" customHeight="1" x14ac:dyDescent="0.8">
      <c r="A95" s="18" t="s">
        <v>54</v>
      </c>
      <c r="B95" s="10">
        <f ca="1">IFERROR(__xludf.DUMMYFUNCTION("GOOGLEFINANCE(A95,""PRICE"")"),1787)</f>
        <v>1787</v>
      </c>
      <c r="C95" s="11">
        <f ca="1">IFERROR(__xludf.DUMMYFUNCTION("GOOGLEFINANCE(A95,""PRICEOPEN"")"),1801.1)</f>
        <v>1801.1</v>
      </c>
      <c r="D95" s="11">
        <f ca="1">IFERROR(__xludf.DUMMYFUNCTION("GOOGLEFINANCE(A95,""HIGH"")"),1803.2)</f>
        <v>1803.2</v>
      </c>
      <c r="E95" s="11">
        <f ca="1">IFERROR(__xludf.DUMMYFUNCTION("GOOGLEFINANCE(A95,""LOW"")"),1766.2)</f>
        <v>1766.2</v>
      </c>
      <c r="F95" s="12" t="str">
        <f t="shared" ca="1" si="7"/>
        <v/>
      </c>
      <c r="G95" s="13">
        <f ca="1">IFERROR(__xludf.DUMMYFUNCTION("GOOGLEFINANCE(A95,""CLOSEYEST"")"),1801.1)</f>
        <v>1801.1</v>
      </c>
      <c r="H95" s="14" t="str">
        <f t="shared" ca="1" si="13"/>
        <v/>
      </c>
      <c r="I95" s="15">
        <f t="shared" ca="1" si="8"/>
        <v>1790.1666666666667</v>
      </c>
      <c r="J95" s="16">
        <f t="shared" ca="1" si="9"/>
        <v>1814.1333333333334</v>
      </c>
      <c r="K95" s="16"/>
      <c r="L95" s="16">
        <f t="shared" ca="1" si="10"/>
        <v>1777.1333333333334</v>
      </c>
      <c r="M95" s="16">
        <f t="shared" ca="1" si="11"/>
        <v>1827.1666666666667</v>
      </c>
      <c r="N95" s="16">
        <f t="shared" ca="1" si="12"/>
        <v>1753.1666666666667</v>
      </c>
    </row>
    <row r="96" spans="1:14" ht="24.75" customHeight="1" x14ac:dyDescent="0.8">
      <c r="A96" s="18" t="s">
        <v>75</v>
      </c>
      <c r="B96" s="10">
        <f ca="1">IFERROR(__xludf.DUMMYFUNCTION("GOOGLEFINANCE(A96,""PRICE"")"),471.5)</f>
        <v>471.5</v>
      </c>
      <c r="C96" s="11">
        <f ca="1">IFERROR(__xludf.DUMMYFUNCTION("GOOGLEFINANCE(A96,""PRICEOPEN"")"),464.85)</f>
        <v>464.85</v>
      </c>
      <c r="D96" s="11">
        <f ca="1">IFERROR(__xludf.DUMMYFUNCTION("GOOGLEFINANCE(A96,""HIGH"")"),479.9)</f>
        <v>479.9</v>
      </c>
      <c r="E96" s="11">
        <f ca="1">IFERROR(__xludf.DUMMYFUNCTION("GOOGLEFINANCE(A96,""LOW"")"),464.5)</f>
        <v>464.5</v>
      </c>
      <c r="F96" s="12" t="str">
        <f t="shared" ca="1" si="7"/>
        <v/>
      </c>
      <c r="G96" s="13">
        <f ca="1">IFERROR(__xludf.DUMMYFUNCTION("GOOGLEFINANCE(A96,""CLOSEYEST"")"),464.85)</f>
        <v>464.85</v>
      </c>
      <c r="H96" s="14" t="str">
        <f t="shared" ca="1" si="13"/>
        <v/>
      </c>
      <c r="I96" s="15">
        <f t="shared" ca="1" si="8"/>
        <v>469.75</v>
      </c>
      <c r="J96" s="16">
        <f t="shared" ca="1" si="9"/>
        <v>475</v>
      </c>
      <c r="K96" s="16"/>
      <c r="L96" s="16">
        <f t="shared" ca="1" si="10"/>
        <v>459.6</v>
      </c>
      <c r="M96" s="16">
        <f t="shared" ca="1" si="11"/>
        <v>485.15</v>
      </c>
      <c r="N96" s="16">
        <f t="shared" ca="1" si="12"/>
        <v>454.35</v>
      </c>
    </row>
    <row r="97" spans="1:14" ht="24.75" customHeight="1" x14ac:dyDescent="0.8">
      <c r="A97" s="18" t="s">
        <v>31</v>
      </c>
      <c r="B97" s="10">
        <f ca="1">IFERROR(__xludf.DUMMYFUNCTION("GOOGLEFINANCE(A97,""PRICE"")"),2799.3)</f>
        <v>2799.3</v>
      </c>
      <c r="C97" s="11">
        <f ca="1">IFERROR(__xludf.DUMMYFUNCTION("GOOGLEFINANCE(A97,""PRICEOPEN"")"),2800)</f>
        <v>2800</v>
      </c>
      <c r="D97" s="11">
        <f ca="1">IFERROR(__xludf.DUMMYFUNCTION("GOOGLEFINANCE(A97,""HIGH"")"),2806.8)</f>
        <v>2806.8</v>
      </c>
      <c r="E97" s="11">
        <f ca="1">IFERROR(__xludf.DUMMYFUNCTION("GOOGLEFINANCE(A97,""LOW"")"),2766)</f>
        <v>2766</v>
      </c>
      <c r="F97" s="12" t="str">
        <f t="shared" ca="1" si="7"/>
        <v/>
      </c>
      <c r="G97" s="13">
        <f ca="1">IFERROR(__xludf.DUMMYFUNCTION("GOOGLEFINANCE(A97,""CLOSEYEST"")"),2789.7)</f>
        <v>2789.7</v>
      </c>
      <c r="H97" s="14" t="str">
        <f t="shared" ca="1" si="13"/>
        <v/>
      </c>
      <c r="I97" s="15">
        <f t="shared" ca="1" si="8"/>
        <v>2787.5</v>
      </c>
      <c r="J97" s="16">
        <f t="shared" ca="1" si="9"/>
        <v>2809</v>
      </c>
      <c r="K97" s="16"/>
      <c r="L97" s="16">
        <f t="shared" ca="1" si="10"/>
        <v>2768.2</v>
      </c>
      <c r="M97" s="16">
        <f t="shared" ca="1" si="11"/>
        <v>2828.3</v>
      </c>
      <c r="N97" s="16">
        <f t="shared" ca="1" si="12"/>
        <v>2746.7</v>
      </c>
    </row>
    <row r="98" spans="1:14" ht="24.75" customHeight="1" x14ac:dyDescent="0.8">
      <c r="A98" s="18" t="s">
        <v>28</v>
      </c>
      <c r="B98" s="10">
        <f ca="1">IFERROR(__xludf.DUMMYFUNCTION("GOOGLEFINANCE(A98,""PRICE"")"),5851.5)</f>
        <v>5851.5</v>
      </c>
      <c r="C98" s="11">
        <f ca="1">IFERROR(__xludf.DUMMYFUNCTION("GOOGLEFINANCE(A98,""PRICEOPEN"")"),5759.5)</f>
        <v>5759.5</v>
      </c>
      <c r="D98" s="11">
        <f ca="1">IFERROR(__xludf.DUMMYFUNCTION("GOOGLEFINANCE(A98,""HIGH"")"),5932)</f>
        <v>5932</v>
      </c>
      <c r="E98" s="11">
        <f ca="1">IFERROR(__xludf.DUMMYFUNCTION("GOOGLEFINANCE(A98,""LOW"")"),5746)</f>
        <v>5746</v>
      </c>
      <c r="F98" s="12" t="str">
        <f t="shared" ca="1" si="7"/>
        <v/>
      </c>
      <c r="G98" s="13">
        <f ca="1">IFERROR(__xludf.DUMMYFUNCTION("GOOGLEFINANCE(A98,""CLOSEYEST"")"),5710)</f>
        <v>5710</v>
      </c>
      <c r="H98" s="14" t="str">
        <f t="shared" ca="1" si="13"/>
        <v/>
      </c>
      <c r="I98" s="15">
        <f t="shared" ca="1" si="8"/>
        <v>5796</v>
      </c>
      <c r="J98" s="16">
        <f t="shared" ca="1" si="9"/>
        <v>5846</v>
      </c>
      <c r="K98" s="16"/>
      <c r="L98" s="16">
        <f t="shared" ca="1" si="10"/>
        <v>5660</v>
      </c>
      <c r="M98" s="16">
        <f t="shared" ca="1" si="11"/>
        <v>5982</v>
      </c>
      <c r="N98" s="16">
        <f t="shared" ca="1" si="12"/>
        <v>5610</v>
      </c>
    </row>
    <row r="99" spans="1:14" ht="24.75" customHeight="1" x14ac:dyDescent="0.8">
      <c r="A99" s="18" t="s">
        <v>76</v>
      </c>
      <c r="B99" s="10">
        <f ca="1">IFERROR(__xludf.DUMMYFUNCTION("GOOGLEFINANCE(A99,""PRICE"")"),48.6)</f>
        <v>48.6</v>
      </c>
      <c r="C99" s="11">
        <f ca="1">IFERROR(__xludf.DUMMYFUNCTION("GOOGLEFINANCE(A99,""PRICEOPEN"")"),48.2)</f>
        <v>48.2</v>
      </c>
      <c r="D99" s="11">
        <f ca="1">IFERROR(__xludf.DUMMYFUNCTION("GOOGLEFINANCE(A99,""HIGH"")"),48.6)</f>
        <v>48.6</v>
      </c>
      <c r="E99" s="11">
        <f ca="1">IFERROR(__xludf.DUMMYFUNCTION("GOOGLEFINANCE(A99,""LOW"")"),48.2)</f>
        <v>48.2</v>
      </c>
      <c r="F99" s="12" t="str">
        <f t="shared" ca="1" si="7"/>
        <v>BUY</v>
      </c>
      <c r="G99" s="13">
        <f ca="1">IFERROR(__xludf.DUMMYFUNCTION("GOOGLEFINANCE(A99,""CLOSEYEST"")"),48.5)</f>
        <v>48.5</v>
      </c>
      <c r="H99" s="14" t="str">
        <f t="shared" ca="1" si="13"/>
        <v/>
      </c>
      <c r="I99" s="15">
        <f t="shared" ca="1" si="8"/>
        <v>48.433333333333337</v>
      </c>
      <c r="J99" s="16">
        <f t="shared" ca="1" si="9"/>
        <v>48.666666666666671</v>
      </c>
      <c r="K99" s="16"/>
      <c r="L99" s="16">
        <f t="shared" ca="1" si="10"/>
        <v>48.266666666666673</v>
      </c>
      <c r="M99" s="16">
        <f t="shared" ca="1" si="11"/>
        <v>48.833333333333336</v>
      </c>
      <c r="N99" s="16">
        <f t="shared" ca="1" si="12"/>
        <v>48.033333333333339</v>
      </c>
    </row>
    <row r="100" spans="1:14" ht="24.75" customHeight="1" x14ac:dyDescent="0.8">
      <c r="A100" s="18" t="s">
        <v>36</v>
      </c>
      <c r="B100" s="10">
        <f ca="1">IFERROR(__xludf.DUMMYFUNCTION("GOOGLEFINANCE(A100,""PRICE"")"),780)</f>
        <v>780</v>
      </c>
      <c r="C100" s="11">
        <f ca="1">IFERROR(__xludf.DUMMYFUNCTION("GOOGLEFINANCE(A100,""PRICEOPEN"")"),766)</f>
        <v>766</v>
      </c>
      <c r="D100" s="11">
        <f ca="1">IFERROR(__xludf.DUMMYFUNCTION("GOOGLEFINANCE(A100,""HIGH"")"),790.6)</f>
        <v>790.6</v>
      </c>
      <c r="E100" s="11">
        <f ca="1">IFERROR(__xludf.DUMMYFUNCTION("GOOGLEFINANCE(A100,""LOW"")"),764.1)</f>
        <v>764.1</v>
      </c>
      <c r="F100" s="12" t="str">
        <f t="shared" ca="1" si="7"/>
        <v/>
      </c>
      <c r="G100" s="13">
        <f ca="1">IFERROR(__xludf.DUMMYFUNCTION("GOOGLEFINANCE(A100,""CLOSEYEST"")"),765.95)</f>
        <v>765.95</v>
      </c>
      <c r="H100" s="14" t="str">
        <f t="shared" ca="1" si="13"/>
        <v/>
      </c>
      <c r="I100" s="15">
        <f t="shared" ca="1" si="8"/>
        <v>773.55000000000007</v>
      </c>
      <c r="J100" s="16">
        <f t="shared" ca="1" si="9"/>
        <v>783.00000000000011</v>
      </c>
      <c r="K100" s="16"/>
      <c r="L100" s="16">
        <f t="shared" ca="1" si="10"/>
        <v>756.50000000000011</v>
      </c>
      <c r="M100" s="16">
        <f t="shared" ca="1" si="11"/>
        <v>800.05000000000007</v>
      </c>
      <c r="N100" s="16">
        <f t="shared" ca="1" si="12"/>
        <v>747.05000000000007</v>
      </c>
    </row>
    <row r="101" spans="1:14" ht="24.75" customHeight="1" x14ac:dyDescent="0.8">
      <c r="A101" s="18" t="s">
        <v>47</v>
      </c>
      <c r="B101" s="10">
        <f ca="1">IFERROR(__xludf.DUMMYFUNCTION("GOOGLEFINANCE(A101,""PRICE"")"),3460)</f>
        <v>3460</v>
      </c>
      <c r="C101" s="11">
        <f ca="1">IFERROR(__xludf.DUMMYFUNCTION("GOOGLEFINANCE(A101,""PRICEOPEN"")"),3462.1)</f>
        <v>3462.1</v>
      </c>
      <c r="D101" s="11">
        <f ca="1">IFERROR(__xludf.DUMMYFUNCTION("GOOGLEFINANCE(A101,""HIGH"")"),3492.4)</f>
        <v>3492.4</v>
      </c>
      <c r="E101" s="11">
        <f ca="1">IFERROR(__xludf.DUMMYFUNCTION("GOOGLEFINANCE(A101,""LOW"")"),3404.2)</f>
        <v>3404.2</v>
      </c>
      <c r="F101" s="12" t="str">
        <f t="shared" ca="1" si="7"/>
        <v/>
      </c>
      <c r="G101" s="13">
        <f ca="1">IFERROR(__xludf.DUMMYFUNCTION("GOOGLEFINANCE(A101,""CLOSEYEST"")"),3463.4)</f>
        <v>3463.4</v>
      </c>
      <c r="H101" s="14" t="str">
        <f t="shared" ca="1" si="13"/>
        <v/>
      </c>
      <c r="I101" s="15">
        <f t="shared" ca="1" si="8"/>
        <v>3453.3333333333335</v>
      </c>
      <c r="J101" s="16">
        <f t="shared" ca="1" si="9"/>
        <v>3502.4666666666672</v>
      </c>
      <c r="K101" s="16"/>
      <c r="L101" s="16">
        <f t="shared" ca="1" si="10"/>
        <v>3414.2666666666669</v>
      </c>
      <c r="M101" s="16">
        <f t="shared" ca="1" si="11"/>
        <v>3541.5333333333338</v>
      </c>
      <c r="N101" s="16">
        <f t="shared" ca="1" si="12"/>
        <v>3365.1333333333332</v>
      </c>
    </row>
    <row r="102" spans="1:14" ht="24.75" customHeight="1" x14ac:dyDescent="0.8">
      <c r="A102" s="18" t="s">
        <v>77</v>
      </c>
      <c r="B102" s="10" t="str">
        <f ca="1">IFERROR(__xludf.DUMMYFUNCTION("GOOGLEFINANCE(A102,""PRICE"")"),"#N/A")</f>
        <v>#N/A</v>
      </c>
      <c r="C102" s="11" t="str">
        <f ca="1">IFERROR(__xludf.DUMMYFUNCTION("GOOGLEFINANCE(A102,""PRICEOPEN"")"),"#N/A")</f>
        <v>#N/A</v>
      </c>
      <c r="D102" s="11" t="str">
        <f ca="1">IFERROR(__xludf.DUMMYFUNCTION("GOOGLEFINANCE(A102,""HIGH"")"),"#N/A")</f>
        <v>#N/A</v>
      </c>
      <c r="E102" s="11" t="str">
        <f ca="1">IFERROR(__xludf.DUMMYFUNCTION("GOOGLEFINANCE(A102,""LOW"")"),"#N/A")</f>
        <v>#N/A</v>
      </c>
      <c r="F102" s="12" t="str">
        <f t="shared" ca="1" si="7"/>
        <v>SELL</v>
      </c>
      <c r="G102" s="13" t="str">
        <f ca="1">IFERROR(__xludf.DUMMYFUNCTION("GOOGLEFINANCE(A102,""CLOSEYEST"")"),"#N/A")</f>
        <v>#N/A</v>
      </c>
      <c r="H102" s="14" t="e">
        <f t="shared" ca="1" si="13"/>
        <v>#VALUE!</v>
      </c>
      <c r="I102" s="15" t="e">
        <f t="shared" ca="1" si="8"/>
        <v>#VALUE!</v>
      </c>
      <c r="J102" s="16" t="e">
        <f t="shared" ca="1" si="9"/>
        <v>#VALUE!</v>
      </c>
      <c r="K102" s="16"/>
      <c r="L102" s="16" t="e">
        <f t="shared" ca="1" si="10"/>
        <v>#VALUE!</v>
      </c>
      <c r="M102" s="16" t="e">
        <f t="shared" ca="1" si="11"/>
        <v>#VALUE!</v>
      </c>
      <c r="N102" s="16" t="e">
        <f t="shared" ca="1" si="12"/>
        <v>#VALUE!</v>
      </c>
    </row>
    <row r="103" spans="1:14" ht="24.75" customHeight="1" x14ac:dyDescent="0.8">
      <c r="A103" s="18" t="s">
        <v>78</v>
      </c>
      <c r="B103" s="10">
        <f ca="1">IFERROR(__xludf.DUMMYFUNCTION("GOOGLEFINANCE(A103,""PRICE"")"),496)</f>
        <v>496</v>
      </c>
      <c r="C103" s="11">
        <f ca="1">IFERROR(__xludf.DUMMYFUNCTION("GOOGLEFINANCE(A103,""PRICEOPEN"")"),495.05)</f>
        <v>495.05</v>
      </c>
      <c r="D103" s="11">
        <f ca="1">IFERROR(__xludf.DUMMYFUNCTION("GOOGLEFINANCE(A103,""HIGH"")"),497.8)</f>
        <v>497.8</v>
      </c>
      <c r="E103" s="11">
        <f ca="1">IFERROR(__xludf.DUMMYFUNCTION("GOOGLEFINANCE(A103,""LOW"")"),490.75)</f>
        <v>490.75</v>
      </c>
      <c r="F103" s="12" t="str">
        <f t="shared" ca="1" si="7"/>
        <v/>
      </c>
      <c r="G103" s="13">
        <f ca="1">IFERROR(__xludf.DUMMYFUNCTION("GOOGLEFINANCE(A103,""CLOSEYEST"")"),495.05)</f>
        <v>495.05</v>
      </c>
      <c r="H103" s="14" t="str">
        <f t="shared" ca="1" si="13"/>
        <v/>
      </c>
      <c r="I103" s="15">
        <f t="shared" ca="1" si="8"/>
        <v>494.5333333333333</v>
      </c>
      <c r="J103" s="16">
        <f t="shared" ca="1" si="9"/>
        <v>498.31666666666661</v>
      </c>
      <c r="K103" s="16"/>
      <c r="L103" s="16">
        <f t="shared" ca="1" si="10"/>
        <v>491.26666666666659</v>
      </c>
      <c r="M103" s="16">
        <f t="shared" ca="1" si="11"/>
        <v>501.58333333333331</v>
      </c>
      <c r="N103" s="16">
        <f t="shared" ca="1" si="12"/>
        <v>487.48333333333329</v>
      </c>
    </row>
    <row r="104" spans="1:14" ht="24.75" customHeight="1" x14ac:dyDescent="0.8">
      <c r="A104" s="18" t="s">
        <v>79</v>
      </c>
      <c r="B104" s="10">
        <f ca="1">IFERROR(__xludf.DUMMYFUNCTION("GOOGLEFINANCE(A104,""PRICE"")"),727.5)</f>
        <v>727.5</v>
      </c>
      <c r="C104" s="11">
        <f ca="1">IFERROR(__xludf.DUMMYFUNCTION("GOOGLEFINANCE(A104,""PRICEOPEN"")"),724.4)</f>
        <v>724.4</v>
      </c>
      <c r="D104" s="11">
        <f ca="1">IFERROR(__xludf.DUMMYFUNCTION("GOOGLEFINANCE(A104,""HIGH"")"),730.5)</f>
        <v>730.5</v>
      </c>
      <c r="E104" s="11">
        <f ca="1">IFERROR(__xludf.DUMMYFUNCTION("GOOGLEFINANCE(A104,""LOW"")"),719.2)</f>
        <v>719.2</v>
      </c>
      <c r="F104" s="12" t="str">
        <f t="shared" ca="1" si="7"/>
        <v/>
      </c>
      <c r="G104" s="13">
        <f ca="1">IFERROR(__xludf.DUMMYFUNCTION("GOOGLEFINANCE(A104,""CLOSEYEST"")"),722.3)</f>
        <v>722.3</v>
      </c>
      <c r="H104" s="14" t="str">
        <f t="shared" ca="1" si="13"/>
        <v/>
      </c>
      <c r="I104" s="15">
        <f t="shared" ca="1" si="8"/>
        <v>724</v>
      </c>
      <c r="J104" s="16">
        <f t="shared" ca="1" si="9"/>
        <v>728.8</v>
      </c>
      <c r="K104" s="16"/>
      <c r="L104" s="16">
        <f t="shared" ca="1" si="10"/>
        <v>717.5</v>
      </c>
      <c r="M104" s="16">
        <f t="shared" ca="1" si="11"/>
        <v>735.3</v>
      </c>
      <c r="N104" s="16">
        <f t="shared" ca="1" si="12"/>
        <v>712.7</v>
      </c>
    </row>
    <row r="105" spans="1:14" ht="24.75" customHeight="1" x14ac:dyDescent="0.8">
      <c r="A105" s="18" t="s">
        <v>20</v>
      </c>
      <c r="B105" s="10">
        <f ca="1">IFERROR(__xludf.DUMMYFUNCTION("GOOGLEFINANCE(A105,""PRICE"")"),8685)</f>
        <v>8685</v>
      </c>
      <c r="C105" s="11">
        <f ca="1">IFERROR(__xludf.DUMMYFUNCTION("GOOGLEFINANCE(A105,""PRICEOPEN"")"),8626.5)</f>
        <v>8626.5</v>
      </c>
      <c r="D105" s="11">
        <f ca="1">IFERROR(__xludf.DUMMYFUNCTION("GOOGLEFINANCE(A105,""HIGH"")"),8698.5)</f>
        <v>8698.5</v>
      </c>
      <c r="E105" s="11">
        <f ca="1">IFERROR(__xludf.DUMMYFUNCTION("GOOGLEFINANCE(A105,""LOW"")"),8491.5)</f>
        <v>8491.5</v>
      </c>
      <c r="F105" s="12" t="str">
        <f t="shared" ca="1" si="7"/>
        <v/>
      </c>
      <c r="G105" s="13">
        <f ca="1">IFERROR(__xludf.DUMMYFUNCTION("GOOGLEFINANCE(A105,""CLOSEYEST"")"),8626.5)</f>
        <v>8626.5</v>
      </c>
      <c r="H105" s="14" t="str">
        <f t="shared" ca="1" si="13"/>
        <v/>
      </c>
      <c r="I105" s="15">
        <f t="shared" ca="1" si="8"/>
        <v>8605.5</v>
      </c>
      <c r="J105" s="16">
        <f t="shared" ca="1" si="9"/>
        <v>8719.5</v>
      </c>
      <c r="K105" s="16"/>
      <c r="L105" s="16">
        <f t="shared" ca="1" si="10"/>
        <v>8512.5</v>
      </c>
      <c r="M105" s="16">
        <f t="shared" ca="1" si="11"/>
        <v>8812.5</v>
      </c>
      <c r="N105" s="16">
        <f t="shared" ca="1" si="12"/>
        <v>8398.5</v>
      </c>
    </row>
    <row r="106" spans="1:14" ht="24.75" customHeight="1" x14ac:dyDescent="0.8">
      <c r="A106" s="18" t="s">
        <v>27</v>
      </c>
      <c r="B106" s="10">
        <f ca="1">IFERROR(__xludf.DUMMYFUNCTION("GOOGLEFINANCE(A106,""PRICE"")"),383.9)</f>
        <v>383.9</v>
      </c>
      <c r="C106" s="11">
        <f ca="1">IFERROR(__xludf.DUMMYFUNCTION("GOOGLEFINANCE(A106,""PRICEOPEN"")"),388.5)</f>
        <v>388.5</v>
      </c>
      <c r="D106" s="11">
        <f ca="1">IFERROR(__xludf.DUMMYFUNCTION("GOOGLEFINANCE(A106,""HIGH"")"),389.1)</f>
        <v>389.1</v>
      </c>
      <c r="E106" s="11">
        <f ca="1">IFERROR(__xludf.DUMMYFUNCTION("GOOGLEFINANCE(A106,""LOW"")"),381.5)</f>
        <v>381.5</v>
      </c>
      <c r="F106" s="12" t="str">
        <f t="shared" ca="1" si="7"/>
        <v/>
      </c>
      <c r="G106" s="13">
        <f ca="1">IFERROR(__xludf.DUMMYFUNCTION("GOOGLEFINANCE(A106,""CLOSEYEST"")"),388.5)</f>
        <v>388.5</v>
      </c>
      <c r="H106" s="14" t="str">
        <f t="shared" ca="1" si="13"/>
        <v/>
      </c>
      <c r="I106" s="15">
        <f t="shared" ca="1" si="8"/>
        <v>386.36666666666662</v>
      </c>
      <c r="J106" s="16">
        <f t="shared" ca="1" si="9"/>
        <v>391.23333333333323</v>
      </c>
      <c r="K106" s="16"/>
      <c r="L106" s="16">
        <f t="shared" ca="1" si="10"/>
        <v>383.63333333333321</v>
      </c>
      <c r="M106" s="16">
        <f t="shared" ca="1" si="11"/>
        <v>393.96666666666664</v>
      </c>
      <c r="N106" s="16">
        <f t="shared" ca="1" si="12"/>
        <v>378.76666666666659</v>
      </c>
    </row>
    <row r="107" spans="1:14" ht="24.75" customHeight="1" x14ac:dyDescent="0.8">
      <c r="A107" s="18" t="s">
        <v>80</v>
      </c>
      <c r="B107" s="10">
        <f ca="1">IFERROR(__xludf.DUMMYFUNCTION("GOOGLEFINANCE(A107,""PRICE"")"),29165)</f>
        <v>29165</v>
      </c>
      <c r="C107" s="11">
        <f ca="1">IFERROR(__xludf.DUMMYFUNCTION("GOOGLEFINANCE(A107,""PRICEOPEN"")"),29300)</f>
        <v>29300</v>
      </c>
      <c r="D107" s="11">
        <f ca="1">IFERROR(__xludf.DUMMYFUNCTION("GOOGLEFINANCE(A107,""HIGH"")"),29375)</f>
        <v>29375</v>
      </c>
      <c r="E107" s="11">
        <f ca="1">IFERROR(__xludf.DUMMYFUNCTION("GOOGLEFINANCE(A107,""LOW"")"),28990)</f>
        <v>28990</v>
      </c>
      <c r="F107" s="12" t="str">
        <f t="shared" ca="1" si="7"/>
        <v/>
      </c>
      <c r="G107" s="13">
        <f ca="1">IFERROR(__xludf.DUMMYFUNCTION("GOOGLEFINANCE(A107,""CLOSEYEST"")"),29295)</f>
        <v>29295</v>
      </c>
      <c r="H107" s="14" t="str">
        <f t="shared" ca="1" si="13"/>
        <v/>
      </c>
      <c r="I107" s="15">
        <f t="shared" ca="1" si="8"/>
        <v>29220</v>
      </c>
      <c r="J107" s="16">
        <f t="shared" ca="1" si="9"/>
        <v>29450</v>
      </c>
      <c r="K107" s="16"/>
      <c r="L107" s="16">
        <f t="shared" ca="1" si="10"/>
        <v>29065</v>
      </c>
      <c r="M107" s="16">
        <f t="shared" ca="1" si="11"/>
        <v>29605</v>
      </c>
      <c r="N107" s="16">
        <f t="shared" ca="1" si="12"/>
        <v>28835</v>
      </c>
    </row>
    <row r="108" spans="1:14" ht="24.75" customHeight="1" x14ac:dyDescent="0.8">
      <c r="A108" s="18" t="s">
        <v>81</v>
      </c>
      <c r="B108" s="10">
        <f ca="1">IFERROR(__xludf.DUMMYFUNCTION("GOOGLEFINANCE(A108,""PRICE"")"),1148)</f>
        <v>1148</v>
      </c>
      <c r="C108" s="11">
        <f ca="1">IFERROR(__xludf.DUMMYFUNCTION("GOOGLEFINANCE(A108,""PRICEOPEN"")"),1148.6)</f>
        <v>1148.5999999999999</v>
      </c>
      <c r="D108" s="11">
        <f ca="1">IFERROR(__xludf.DUMMYFUNCTION("GOOGLEFINANCE(A108,""HIGH"")"),1152.4)</f>
        <v>1152.4000000000001</v>
      </c>
      <c r="E108" s="11">
        <f ca="1">IFERROR(__xludf.DUMMYFUNCTION("GOOGLEFINANCE(A108,""LOW"")"),1135)</f>
        <v>1135</v>
      </c>
      <c r="F108" s="12" t="str">
        <f t="shared" ca="1" si="7"/>
        <v/>
      </c>
      <c r="G108" s="13">
        <f ca="1">IFERROR(__xludf.DUMMYFUNCTION("GOOGLEFINANCE(A108,""CLOSEYEST"")"),1148.6)</f>
        <v>1148.5999999999999</v>
      </c>
      <c r="H108" s="14" t="str">
        <f t="shared" ca="1" si="13"/>
        <v/>
      </c>
      <c r="I108" s="15">
        <f t="shared" ca="1" si="8"/>
        <v>1145.3333333333333</v>
      </c>
      <c r="J108" s="16">
        <f t="shared" ca="1" si="9"/>
        <v>1155.6666666666665</v>
      </c>
      <c r="K108" s="16"/>
      <c r="L108" s="16">
        <f t="shared" ca="1" si="10"/>
        <v>1138.2666666666664</v>
      </c>
      <c r="M108" s="16">
        <f t="shared" ca="1" si="11"/>
        <v>1162.7333333333333</v>
      </c>
      <c r="N108" s="16">
        <f t="shared" ca="1" si="12"/>
        <v>1127.9333333333332</v>
      </c>
    </row>
    <row r="109" spans="1:14" ht="24.75" customHeight="1" x14ac:dyDescent="0.8">
      <c r="A109" s="18" t="s">
        <v>25</v>
      </c>
      <c r="B109" s="10">
        <f ca="1">IFERROR(__xludf.DUMMYFUNCTION("GOOGLEFINANCE(A109,""PRICE"")"),5985)</f>
        <v>5985</v>
      </c>
      <c r="C109" s="11">
        <f ca="1">IFERROR(__xludf.DUMMYFUNCTION("GOOGLEFINANCE(A109,""PRICEOPEN"")"),5965)</f>
        <v>5965</v>
      </c>
      <c r="D109" s="11">
        <f ca="1">IFERROR(__xludf.DUMMYFUNCTION("GOOGLEFINANCE(A109,""HIGH"")"),6014)</f>
        <v>6014</v>
      </c>
      <c r="E109" s="11">
        <f ca="1">IFERROR(__xludf.DUMMYFUNCTION("GOOGLEFINANCE(A109,""LOW"")"),5931.5)</f>
        <v>5931.5</v>
      </c>
      <c r="F109" s="12" t="str">
        <f t="shared" ca="1" si="7"/>
        <v/>
      </c>
      <c r="G109" s="13">
        <f ca="1">IFERROR(__xludf.DUMMYFUNCTION("GOOGLEFINANCE(A109,""CLOSEYEST"")"),5966.5)</f>
        <v>5966.5</v>
      </c>
      <c r="H109" s="14" t="str">
        <f t="shared" ca="1" si="13"/>
        <v/>
      </c>
      <c r="I109" s="15">
        <f t="shared" ca="1" si="8"/>
        <v>5970.666666666667</v>
      </c>
      <c r="J109" s="16">
        <f t="shared" ca="1" si="9"/>
        <v>6009.8333333333339</v>
      </c>
      <c r="K109" s="16"/>
      <c r="L109" s="16">
        <f t="shared" ca="1" si="10"/>
        <v>5927.3333333333339</v>
      </c>
      <c r="M109" s="16">
        <f t="shared" ca="1" si="11"/>
        <v>6053.166666666667</v>
      </c>
      <c r="N109" s="16">
        <f t="shared" ca="1" si="12"/>
        <v>5888.166666666667</v>
      </c>
    </row>
    <row r="110" spans="1:14" ht="24.75" customHeight="1" x14ac:dyDescent="0.8">
      <c r="A110" s="18" t="s">
        <v>23</v>
      </c>
      <c r="B110" s="10">
        <f ca="1">IFERROR(__xludf.DUMMYFUNCTION("GOOGLEFINANCE(A110,""PRICE"")"),342)</f>
        <v>342</v>
      </c>
      <c r="C110" s="11">
        <f ca="1">IFERROR(__xludf.DUMMYFUNCTION("GOOGLEFINANCE(A110,""PRICEOPEN"")"),344)</f>
        <v>344</v>
      </c>
      <c r="D110" s="11">
        <f ca="1">IFERROR(__xludf.DUMMYFUNCTION("GOOGLEFINANCE(A110,""HIGH"")"),344.9)</f>
        <v>344.9</v>
      </c>
      <c r="E110" s="11">
        <f ca="1">IFERROR(__xludf.DUMMYFUNCTION("GOOGLEFINANCE(A110,""LOW"")"),337.6)</f>
        <v>337.6</v>
      </c>
      <c r="F110" s="12" t="str">
        <f t="shared" ca="1" si="7"/>
        <v/>
      </c>
      <c r="G110" s="13">
        <f ca="1">IFERROR(__xludf.DUMMYFUNCTION("GOOGLEFINANCE(A110,""CLOSEYEST"")"),339.7)</f>
        <v>339.7</v>
      </c>
      <c r="H110" s="14" t="str">
        <f t="shared" ca="1" si="13"/>
        <v>GAP UP</v>
      </c>
      <c r="I110" s="15">
        <f t="shared" ca="1" si="8"/>
        <v>340.73333333333335</v>
      </c>
      <c r="J110" s="16">
        <f t="shared" ca="1" si="9"/>
        <v>343.86666666666667</v>
      </c>
      <c r="K110" s="16"/>
      <c r="L110" s="16">
        <f t="shared" ca="1" si="10"/>
        <v>336.56666666666672</v>
      </c>
      <c r="M110" s="16">
        <f t="shared" ca="1" si="11"/>
        <v>348.0333333333333</v>
      </c>
      <c r="N110" s="16">
        <f t="shared" ca="1" si="12"/>
        <v>333.43333333333339</v>
      </c>
    </row>
    <row r="111" spans="1:14" ht="24.75" customHeight="1" x14ac:dyDescent="0.8">
      <c r="A111" s="18" t="s">
        <v>82</v>
      </c>
      <c r="B111" s="10">
        <f ca="1">IFERROR(__xludf.DUMMYFUNCTION("GOOGLEFINANCE(A111,""PRICE"")"),899)</f>
        <v>899</v>
      </c>
      <c r="C111" s="11">
        <f ca="1">IFERROR(__xludf.DUMMYFUNCTION("GOOGLEFINANCE(A111,""PRICEOPEN"")"),875.7)</f>
        <v>875.7</v>
      </c>
      <c r="D111" s="11">
        <f ca="1">IFERROR(__xludf.DUMMYFUNCTION("GOOGLEFINANCE(A111,""HIGH"")"),899)</f>
        <v>899</v>
      </c>
      <c r="E111" s="11">
        <f ca="1">IFERROR(__xludf.DUMMYFUNCTION("GOOGLEFINANCE(A111,""LOW"")"),866.7)</f>
        <v>866.7</v>
      </c>
      <c r="F111" s="12" t="str">
        <f t="shared" ca="1" si="7"/>
        <v/>
      </c>
      <c r="G111" s="13">
        <f ca="1">IFERROR(__xludf.DUMMYFUNCTION("GOOGLEFINANCE(A111,""CLOSEYEST"")"),875.7)</f>
        <v>875.7</v>
      </c>
      <c r="H111" s="14" t="str">
        <f t="shared" ca="1" si="13"/>
        <v/>
      </c>
      <c r="I111" s="15">
        <f t="shared" ca="1" si="8"/>
        <v>880.4666666666667</v>
      </c>
      <c r="J111" s="16">
        <f t="shared" ca="1" si="9"/>
        <v>894.23333333333335</v>
      </c>
      <c r="K111" s="16"/>
      <c r="L111" s="16">
        <f t="shared" ca="1" si="10"/>
        <v>861.93333333333339</v>
      </c>
      <c r="M111" s="16">
        <f t="shared" ca="1" si="11"/>
        <v>912.76666666666665</v>
      </c>
      <c r="N111" s="16">
        <f t="shared" ca="1" si="12"/>
        <v>848.16666666666674</v>
      </c>
    </row>
    <row r="112" spans="1:14" ht="24.75" customHeight="1" x14ac:dyDescent="0.8">
      <c r="A112" s="18" t="s">
        <v>83</v>
      </c>
      <c r="B112" s="10">
        <f ca="1">IFERROR(__xludf.DUMMYFUNCTION("GOOGLEFINANCE(A112,""PRICE"")"),1490)</f>
        <v>1490</v>
      </c>
      <c r="C112" s="11">
        <f ca="1">IFERROR(__xludf.DUMMYFUNCTION("GOOGLEFINANCE(A112,""PRICEOPEN"")"),1480)</f>
        <v>1480</v>
      </c>
      <c r="D112" s="11">
        <f ca="1">IFERROR(__xludf.DUMMYFUNCTION("GOOGLEFINANCE(A112,""HIGH"")"),1491.4)</f>
        <v>1491.4</v>
      </c>
      <c r="E112" s="11">
        <f ca="1">IFERROR(__xludf.DUMMYFUNCTION("GOOGLEFINANCE(A112,""LOW"")"),1472)</f>
        <v>1472</v>
      </c>
      <c r="F112" s="12" t="str">
        <f t="shared" ca="1" si="7"/>
        <v/>
      </c>
      <c r="G112" s="13">
        <f ca="1">IFERROR(__xludf.DUMMYFUNCTION("GOOGLEFINANCE(A112,""CLOSEYEST"")"),1485.2)</f>
        <v>1485.2</v>
      </c>
      <c r="H112" s="14" t="str">
        <f t="shared" ca="1" si="13"/>
        <v/>
      </c>
      <c r="I112" s="15">
        <f t="shared" ca="1" si="8"/>
        <v>1482.8666666666668</v>
      </c>
      <c r="J112" s="16">
        <f t="shared" ca="1" si="9"/>
        <v>1493.7333333333336</v>
      </c>
      <c r="K112" s="16"/>
      <c r="L112" s="16">
        <f t="shared" ca="1" si="10"/>
        <v>1474.3333333333335</v>
      </c>
      <c r="M112" s="16">
        <f t="shared" ca="1" si="11"/>
        <v>1502.2666666666669</v>
      </c>
      <c r="N112" s="16">
        <f t="shared" ca="1" si="12"/>
        <v>1463.4666666666667</v>
      </c>
    </row>
    <row r="113" spans="1:14" ht="24.75" customHeight="1" x14ac:dyDescent="0.8">
      <c r="A113" s="18" t="s">
        <v>84</v>
      </c>
      <c r="B113" s="10">
        <f ca="1">IFERROR(__xludf.DUMMYFUNCTION("GOOGLEFINANCE(A113,""PRICE"")"),602)</f>
        <v>602</v>
      </c>
      <c r="C113" s="11">
        <f ca="1">IFERROR(__xludf.DUMMYFUNCTION("GOOGLEFINANCE(A113,""PRICEOPEN"")"),596.5)</f>
        <v>596.5</v>
      </c>
      <c r="D113" s="11">
        <f ca="1">IFERROR(__xludf.DUMMYFUNCTION("GOOGLEFINANCE(A113,""HIGH"")"),602.4)</f>
        <v>602.4</v>
      </c>
      <c r="E113" s="11">
        <f ca="1">IFERROR(__xludf.DUMMYFUNCTION("GOOGLEFINANCE(A113,""LOW"")"),594.95)</f>
        <v>594.95000000000005</v>
      </c>
      <c r="F113" s="12" t="str">
        <f t="shared" ca="1" si="7"/>
        <v/>
      </c>
      <c r="G113" s="13">
        <f ca="1">IFERROR(__xludf.DUMMYFUNCTION("GOOGLEFINANCE(A113,""CLOSEYEST"")"),596.6)</f>
        <v>596.6</v>
      </c>
      <c r="H113" s="14" t="str">
        <f t="shared" ca="1" si="13"/>
        <v/>
      </c>
      <c r="I113" s="15">
        <f t="shared" ca="1" si="8"/>
        <v>597.98333333333323</v>
      </c>
      <c r="J113" s="16">
        <f t="shared" ca="1" si="9"/>
        <v>601.01666666666642</v>
      </c>
      <c r="K113" s="16"/>
      <c r="L113" s="16">
        <f t="shared" ca="1" si="10"/>
        <v>593.56666666666649</v>
      </c>
      <c r="M113" s="16">
        <f t="shared" ca="1" si="11"/>
        <v>605.43333333333317</v>
      </c>
      <c r="N113" s="16">
        <f t="shared" ca="1" si="12"/>
        <v>590.5333333333333</v>
      </c>
    </row>
    <row r="114" spans="1:14" ht="24.75" customHeight="1" x14ac:dyDescent="0.8">
      <c r="A114" s="18" t="s">
        <v>85</v>
      </c>
      <c r="B114" s="10">
        <f ca="1">IFERROR(__xludf.DUMMYFUNCTION("GOOGLEFINANCE(A114,""PRICE"")"),3168)</f>
        <v>3168</v>
      </c>
      <c r="C114" s="11">
        <f ca="1">IFERROR(__xludf.DUMMYFUNCTION("GOOGLEFINANCE(A114,""PRICEOPEN"")"),3121.5)</f>
        <v>3121.5</v>
      </c>
      <c r="D114" s="11">
        <f ca="1">IFERROR(__xludf.DUMMYFUNCTION("GOOGLEFINANCE(A114,""HIGH"")"),3174.8)</f>
        <v>3174.8</v>
      </c>
      <c r="E114" s="11">
        <f ca="1">IFERROR(__xludf.DUMMYFUNCTION("GOOGLEFINANCE(A114,""LOW"")"),3107.3)</f>
        <v>3107.3</v>
      </c>
      <c r="F114" s="12" t="str">
        <f t="shared" ca="1" si="7"/>
        <v/>
      </c>
      <c r="G114" s="13">
        <f ca="1">IFERROR(__xludf.DUMMYFUNCTION("GOOGLEFINANCE(A114,""CLOSEYEST"")"),3121.5)</f>
        <v>3121.5</v>
      </c>
      <c r="H114" s="14" t="str">
        <f t="shared" ca="1" si="13"/>
        <v/>
      </c>
      <c r="I114" s="15">
        <f t="shared" ca="1" si="8"/>
        <v>3134.5333333333333</v>
      </c>
      <c r="J114" s="16">
        <f t="shared" ca="1" si="9"/>
        <v>3161.7666666666664</v>
      </c>
      <c r="K114" s="16"/>
      <c r="L114" s="16">
        <f t="shared" ca="1" si="10"/>
        <v>3094.2666666666664</v>
      </c>
      <c r="M114" s="16">
        <f t="shared" ca="1" si="11"/>
        <v>3202.0333333333333</v>
      </c>
      <c r="N114" s="16">
        <f t="shared" ca="1" si="12"/>
        <v>3067.0333333333333</v>
      </c>
    </row>
    <row r="115" spans="1:14" ht="24.75" customHeight="1" x14ac:dyDescent="0.8">
      <c r="A115" s="18" t="s">
        <v>86</v>
      </c>
      <c r="B115" s="10">
        <f ca="1">IFERROR(__xludf.DUMMYFUNCTION("GOOGLEFINANCE(A115,""PRICE"")"),5652)</f>
        <v>5652</v>
      </c>
      <c r="C115" s="11">
        <f ca="1">IFERROR(__xludf.DUMMYFUNCTION("GOOGLEFINANCE(A115,""PRICEOPEN"")"),5602)</f>
        <v>5602</v>
      </c>
      <c r="D115" s="11">
        <f ca="1">IFERROR(__xludf.DUMMYFUNCTION("GOOGLEFINANCE(A115,""HIGH"")"),5690)</f>
        <v>5690</v>
      </c>
      <c r="E115" s="11">
        <f ca="1">IFERROR(__xludf.DUMMYFUNCTION("GOOGLEFINANCE(A115,""LOW"")"),5602)</f>
        <v>5602</v>
      </c>
      <c r="F115" s="12" t="str">
        <f t="shared" ca="1" si="7"/>
        <v>BUY</v>
      </c>
      <c r="G115" s="13">
        <f ca="1">IFERROR(__xludf.DUMMYFUNCTION("GOOGLEFINANCE(A115,""CLOSEYEST"")"),5606)</f>
        <v>5606</v>
      </c>
      <c r="H115" s="14" t="str">
        <f t="shared" ca="1" si="13"/>
        <v/>
      </c>
      <c r="I115" s="15">
        <f t="shared" ca="1" si="8"/>
        <v>5632.666666666667</v>
      </c>
      <c r="J115" s="16">
        <f t="shared" ca="1" si="9"/>
        <v>5663.3333333333339</v>
      </c>
      <c r="K115" s="16"/>
      <c r="L115" s="16">
        <f t="shared" ca="1" si="10"/>
        <v>5575.3333333333339</v>
      </c>
      <c r="M115" s="16">
        <f t="shared" ca="1" si="11"/>
        <v>5720.666666666667</v>
      </c>
      <c r="N115" s="16">
        <f t="shared" ca="1" si="12"/>
        <v>5544.666666666667</v>
      </c>
    </row>
    <row r="116" spans="1:14" ht="24.75" customHeight="1" x14ac:dyDescent="0.8">
      <c r="A116" s="18" t="s">
        <v>87</v>
      </c>
      <c r="B116" s="10">
        <f ca="1">IFERROR(__xludf.DUMMYFUNCTION("GOOGLEFINANCE(A116,""PRICE"")"),575.6)</f>
        <v>575.6</v>
      </c>
      <c r="C116" s="11">
        <f ca="1">IFERROR(__xludf.DUMMYFUNCTION("GOOGLEFINANCE(A116,""PRICEOPEN"")"),573.9)</f>
        <v>573.9</v>
      </c>
      <c r="D116" s="11">
        <f ca="1">IFERROR(__xludf.DUMMYFUNCTION("GOOGLEFINANCE(A116,""HIGH"")"),579.95)</f>
        <v>579.95000000000005</v>
      </c>
      <c r="E116" s="11">
        <f ca="1">IFERROR(__xludf.DUMMYFUNCTION("GOOGLEFINANCE(A116,""LOW"")"),570.3)</f>
        <v>570.29999999999995</v>
      </c>
      <c r="F116" s="12" t="str">
        <f t="shared" ca="1" si="7"/>
        <v/>
      </c>
      <c r="G116" s="13">
        <f ca="1">IFERROR(__xludf.DUMMYFUNCTION("GOOGLEFINANCE(A116,""CLOSEYEST"")"),571.1)</f>
        <v>571.1</v>
      </c>
      <c r="H116" s="14" t="str">
        <f t="shared" ca="1" si="13"/>
        <v/>
      </c>
      <c r="I116" s="15">
        <f t="shared" ca="1" si="8"/>
        <v>573.7833333333333</v>
      </c>
      <c r="J116" s="16">
        <f t="shared" ca="1" si="9"/>
        <v>577.26666666666665</v>
      </c>
      <c r="K116" s="16"/>
      <c r="L116" s="16">
        <f t="shared" ca="1" si="10"/>
        <v>567.61666666666656</v>
      </c>
      <c r="M116" s="16">
        <f t="shared" ca="1" si="11"/>
        <v>583.43333333333339</v>
      </c>
      <c r="N116" s="16">
        <f t="shared" ca="1" si="12"/>
        <v>564.13333333333321</v>
      </c>
    </row>
    <row r="117" spans="1:14" ht="24.75" customHeight="1" x14ac:dyDescent="0.8">
      <c r="A117" s="18" t="s">
        <v>88</v>
      </c>
      <c r="B117" s="10" t="str">
        <f ca="1">IFERROR(__xludf.DUMMYFUNCTION("GOOGLEFINANCE(A117,""PRICE"")"),"#N/A")</f>
        <v>#N/A</v>
      </c>
      <c r="C117" s="11" t="str">
        <f ca="1">IFERROR(__xludf.DUMMYFUNCTION("GOOGLEFINANCE(A117,""PRICEOPEN"")"),"#N/A")</f>
        <v>#N/A</v>
      </c>
      <c r="D117" s="11" t="str">
        <f ca="1">IFERROR(__xludf.DUMMYFUNCTION("GOOGLEFINANCE(A117,""HIGH"")"),"#N/A")</f>
        <v>#N/A</v>
      </c>
      <c r="E117" s="11" t="str">
        <f ca="1">IFERROR(__xludf.DUMMYFUNCTION("GOOGLEFINANCE(A117,""LOW"")"),"#N/A")</f>
        <v>#N/A</v>
      </c>
      <c r="F117" s="12" t="str">
        <f t="shared" ca="1" si="7"/>
        <v>SELL</v>
      </c>
      <c r="G117" s="13" t="str">
        <f ca="1">IFERROR(__xludf.DUMMYFUNCTION("GOOGLEFINANCE(A117,""CLOSEYEST"")"),"#N/A")</f>
        <v>#N/A</v>
      </c>
      <c r="H117" s="14" t="e">
        <f t="shared" ca="1" si="13"/>
        <v>#VALUE!</v>
      </c>
      <c r="I117" s="15" t="e">
        <f t="shared" ca="1" si="8"/>
        <v>#VALUE!</v>
      </c>
      <c r="J117" s="16" t="e">
        <f t="shared" ca="1" si="9"/>
        <v>#VALUE!</v>
      </c>
      <c r="K117" s="16"/>
      <c r="L117" s="16" t="e">
        <f t="shared" ca="1" si="10"/>
        <v>#VALUE!</v>
      </c>
      <c r="M117" s="16" t="e">
        <f t="shared" ca="1" si="11"/>
        <v>#VALUE!</v>
      </c>
      <c r="N117" s="16" t="e">
        <f t="shared" ca="1" si="12"/>
        <v>#VALUE!</v>
      </c>
    </row>
    <row r="118" spans="1:14" ht="24.75" customHeight="1" x14ac:dyDescent="0.8">
      <c r="A118" s="18" t="s">
        <v>29</v>
      </c>
      <c r="B118" s="10">
        <f ca="1">IFERROR(__xludf.DUMMYFUNCTION("GOOGLEFINANCE(A118,""PRICE"")"),1247.8)</f>
        <v>1247.8</v>
      </c>
      <c r="C118" s="11">
        <f ca="1">IFERROR(__xludf.DUMMYFUNCTION("GOOGLEFINANCE(A118,""PRICEOPEN"")"),1243.9)</f>
        <v>1243.9000000000001</v>
      </c>
      <c r="D118" s="11">
        <f ca="1">IFERROR(__xludf.DUMMYFUNCTION("GOOGLEFINANCE(A118,""HIGH"")"),1265.4)</f>
        <v>1265.4000000000001</v>
      </c>
      <c r="E118" s="11">
        <f ca="1">IFERROR(__xludf.DUMMYFUNCTION("GOOGLEFINANCE(A118,""LOW"")"),1240)</f>
        <v>1240</v>
      </c>
      <c r="F118" s="12" t="str">
        <f t="shared" ca="1" si="7"/>
        <v/>
      </c>
      <c r="G118" s="13">
        <f ca="1">IFERROR(__xludf.DUMMYFUNCTION("GOOGLEFINANCE(A118,""CLOSEYEST"")"),1244.7)</f>
        <v>1244.7</v>
      </c>
      <c r="H118" s="14" t="str">
        <f t="shared" ca="1" si="13"/>
        <v/>
      </c>
      <c r="I118" s="15">
        <f t="shared" ca="1" si="8"/>
        <v>1250.0333333333335</v>
      </c>
      <c r="J118" s="16">
        <f t="shared" ca="1" si="9"/>
        <v>1260.0666666666671</v>
      </c>
      <c r="K118" s="16"/>
      <c r="L118" s="16">
        <f t="shared" ca="1" si="10"/>
        <v>1234.666666666667</v>
      </c>
      <c r="M118" s="16">
        <f t="shared" ca="1" si="11"/>
        <v>1275.4333333333336</v>
      </c>
      <c r="N118" s="16">
        <f t="shared" ca="1" si="12"/>
        <v>1224.6333333333334</v>
      </c>
    </row>
    <row r="119" spans="1:14" ht="24.75" customHeight="1" x14ac:dyDescent="0.8">
      <c r="A119" s="18" t="s">
        <v>30</v>
      </c>
      <c r="B119" s="10">
        <f ca="1">IFERROR(__xludf.DUMMYFUNCTION("GOOGLEFINANCE(A119,""PRICE"")"),6935)</f>
        <v>6935</v>
      </c>
      <c r="C119" s="11">
        <f ca="1">IFERROR(__xludf.DUMMYFUNCTION("GOOGLEFINANCE(A119,""PRICEOPEN"")"),7000)</f>
        <v>7000</v>
      </c>
      <c r="D119" s="11">
        <f ca="1">IFERROR(__xludf.DUMMYFUNCTION("GOOGLEFINANCE(A119,""HIGH"")"),7008.5)</f>
        <v>7008.5</v>
      </c>
      <c r="E119" s="11">
        <f ca="1">IFERROR(__xludf.DUMMYFUNCTION("GOOGLEFINANCE(A119,""LOW"")"),6850)</f>
        <v>6850</v>
      </c>
      <c r="F119" s="12" t="str">
        <f t="shared" ca="1" si="7"/>
        <v/>
      </c>
      <c r="G119" s="13">
        <f ca="1">IFERROR(__xludf.DUMMYFUNCTION("GOOGLEFINANCE(A119,""CLOSEYEST"")"),7021.5)</f>
        <v>7021.5</v>
      </c>
      <c r="H119" s="14" t="str">
        <f t="shared" ca="1" si="13"/>
        <v/>
      </c>
      <c r="I119" s="15">
        <f t="shared" ca="1" si="8"/>
        <v>6960</v>
      </c>
      <c r="J119" s="16">
        <f t="shared" ca="1" si="9"/>
        <v>7070</v>
      </c>
      <c r="K119" s="16"/>
      <c r="L119" s="16">
        <f t="shared" ca="1" si="10"/>
        <v>6911.5</v>
      </c>
      <c r="M119" s="16">
        <f t="shared" ca="1" si="11"/>
        <v>7118.5</v>
      </c>
      <c r="N119" s="16">
        <f t="shared" ca="1" si="12"/>
        <v>6801.5</v>
      </c>
    </row>
    <row r="120" spans="1:14" ht="24.75" customHeight="1" x14ac:dyDescent="0.8">
      <c r="A120" s="18" t="s">
        <v>89</v>
      </c>
      <c r="B120" s="10">
        <f ca="1">IFERROR(__xludf.DUMMYFUNCTION("GOOGLEFINANCE(A120,""PRICE"")"),543)</f>
        <v>543</v>
      </c>
      <c r="C120" s="11">
        <f ca="1">IFERROR(__xludf.DUMMYFUNCTION("GOOGLEFINANCE(A120,""PRICEOPEN"")"),528)</f>
        <v>528</v>
      </c>
      <c r="D120" s="11">
        <f ca="1">IFERROR(__xludf.DUMMYFUNCTION("GOOGLEFINANCE(A120,""HIGH"")"),543.45)</f>
        <v>543.45000000000005</v>
      </c>
      <c r="E120" s="11">
        <f ca="1">IFERROR(__xludf.DUMMYFUNCTION("GOOGLEFINANCE(A120,""LOW"")"),527)</f>
        <v>527</v>
      </c>
      <c r="F120" s="12" t="str">
        <f t="shared" ca="1" si="7"/>
        <v/>
      </c>
      <c r="G120" s="13">
        <f ca="1">IFERROR(__xludf.DUMMYFUNCTION("GOOGLEFINANCE(A120,""CLOSEYEST"")"),529.65)</f>
        <v>529.65</v>
      </c>
      <c r="H120" s="14" t="str">
        <f t="shared" ca="1" si="13"/>
        <v/>
      </c>
      <c r="I120" s="15">
        <f t="shared" ca="1" si="8"/>
        <v>533.36666666666667</v>
      </c>
      <c r="J120" s="16">
        <f t="shared" ca="1" si="9"/>
        <v>539.73333333333335</v>
      </c>
      <c r="K120" s="16"/>
      <c r="L120" s="16">
        <f t="shared" ca="1" si="10"/>
        <v>523.2833333333333</v>
      </c>
      <c r="M120" s="16">
        <f t="shared" ca="1" si="11"/>
        <v>549.81666666666672</v>
      </c>
      <c r="N120" s="16">
        <f t="shared" ca="1" si="12"/>
        <v>516.91666666666663</v>
      </c>
    </row>
    <row r="121" spans="1:14" ht="24.75" customHeight="1" x14ac:dyDescent="0.8">
      <c r="A121" s="18" t="s">
        <v>90</v>
      </c>
      <c r="B121" s="10" t="str">
        <f ca="1">IFERROR(__xludf.DUMMYFUNCTION("GOOGLEFINANCE(A121,""PRICE"")"),"#N/A")</f>
        <v>#N/A</v>
      </c>
      <c r="C121" s="11" t="str">
        <f ca="1">IFERROR(__xludf.DUMMYFUNCTION("GOOGLEFINANCE(A121,""PRICEOPEN"")"),"#N/A")</f>
        <v>#N/A</v>
      </c>
      <c r="D121" s="11" t="str">
        <f ca="1">IFERROR(__xludf.DUMMYFUNCTION("GOOGLEFINANCE(A121,""HIGH"")"),"#N/A")</f>
        <v>#N/A</v>
      </c>
      <c r="E121" s="11" t="str">
        <f ca="1">IFERROR(__xludf.DUMMYFUNCTION("GOOGLEFINANCE(A121,""LOW"")"),"#N/A")</f>
        <v>#N/A</v>
      </c>
      <c r="F121" s="12" t="str">
        <f t="shared" ca="1" si="7"/>
        <v>SELL</v>
      </c>
      <c r="G121" s="13" t="str">
        <f ca="1">IFERROR(__xludf.DUMMYFUNCTION("GOOGLEFINANCE(A121,""CLOSEYEST"")"),"#N/A")</f>
        <v>#N/A</v>
      </c>
      <c r="H121" s="14" t="e">
        <f t="shared" ca="1" si="13"/>
        <v>#VALUE!</v>
      </c>
      <c r="I121" s="15" t="e">
        <f t="shared" ca="1" si="8"/>
        <v>#VALUE!</v>
      </c>
      <c r="J121" s="16" t="e">
        <f t="shared" ca="1" si="9"/>
        <v>#VALUE!</v>
      </c>
      <c r="K121" s="16"/>
      <c r="L121" s="16" t="e">
        <f t="shared" ca="1" si="10"/>
        <v>#VALUE!</v>
      </c>
      <c r="M121" s="16" t="e">
        <f t="shared" ca="1" si="11"/>
        <v>#VALUE!</v>
      </c>
      <c r="N121" s="16" t="e">
        <f t="shared" ca="1" si="12"/>
        <v>#VALUE!</v>
      </c>
    </row>
    <row r="122" spans="1:14" ht="24.75" customHeight="1" x14ac:dyDescent="0.8">
      <c r="A122" s="18" t="s">
        <v>91</v>
      </c>
      <c r="B122" s="10">
        <f ca="1">IFERROR(__xludf.DUMMYFUNCTION("GOOGLEFINANCE(A122,""PRICE"")"),395)</f>
        <v>395</v>
      </c>
      <c r="C122" s="11">
        <f ca="1">IFERROR(__xludf.DUMMYFUNCTION("GOOGLEFINANCE(A122,""PRICEOPEN"")"),392)</f>
        <v>392</v>
      </c>
      <c r="D122" s="11">
        <f ca="1">IFERROR(__xludf.DUMMYFUNCTION("GOOGLEFINANCE(A122,""HIGH"")"),395.5)</f>
        <v>395.5</v>
      </c>
      <c r="E122" s="11">
        <f ca="1">IFERROR(__xludf.DUMMYFUNCTION("GOOGLEFINANCE(A122,""LOW"")"),390)</f>
        <v>390</v>
      </c>
      <c r="F122" s="12" t="str">
        <f t="shared" ca="1" si="7"/>
        <v/>
      </c>
      <c r="G122" s="13">
        <f ca="1">IFERROR(__xludf.DUMMYFUNCTION("GOOGLEFINANCE(A122,""CLOSEYEST"")"),391.15)</f>
        <v>391.15</v>
      </c>
      <c r="H122" s="14" t="str">
        <f t="shared" ca="1" si="13"/>
        <v/>
      </c>
      <c r="I122" s="15">
        <f t="shared" ca="1" si="8"/>
        <v>392.2166666666667</v>
      </c>
      <c r="J122" s="16">
        <f t="shared" ca="1" si="9"/>
        <v>394.43333333333339</v>
      </c>
      <c r="K122" s="16"/>
      <c r="L122" s="16">
        <f t="shared" ca="1" si="10"/>
        <v>388.93333333333339</v>
      </c>
      <c r="M122" s="16">
        <f t="shared" ca="1" si="11"/>
        <v>397.7166666666667</v>
      </c>
      <c r="N122" s="16">
        <f t="shared" ca="1" si="12"/>
        <v>386.7166666666667</v>
      </c>
    </row>
    <row r="123" spans="1:14" ht="24.75" customHeight="1" x14ac:dyDescent="0.8">
      <c r="A123" s="18" t="s">
        <v>92</v>
      </c>
      <c r="B123" s="10">
        <f ca="1">IFERROR(__xludf.DUMMYFUNCTION("GOOGLEFINANCE(A123,""PRICE"")"),2918)</f>
        <v>2918</v>
      </c>
      <c r="C123" s="11">
        <f ca="1">IFERROR(__xludf.DUMMYFUNCTION("GOOGLEFINANCE(A123,""PRICEOPEN"")"),2890.1)</f>
        <v>2890.1</v>
      </c>
      <c r="D123" s="11">
        <f ca="1">IFERROR(__xludf.DUMMYFUNCTION("GOOGLEFINANCE(A123,""HIGH"")"),2925.3)</f>
        <v>2925.3</v>
      </c>
      <c r="E123" s="11">
        <f ca="1">IFERROR(__xludf.DUMMYFUNCTION("GOOGLEFINANCE(A123,""LOW"")"),2885.3)</f>
        <v>2885.3</v>
      </c>
      <c r="F123" s="12" t="str">
        <f t="shared" ca="1" si="7"/>
        <v/>
      </c>
      <c r="G123" s="13">
        <f ca="1">IFERROR(__xludf.DUMMYFUNCTION("GOOGLEFINANCE(A123,""CLOSEYEST"")"),2907.1)</f>
        <v>2907.1</v>
      </c>
      <c r="H123" s="14" t="str">
        <f t="shared" ca="1" si="13"/>
        <v/>
      </c>
      <c r="I123" s="15">
        <f t="shared" ca="1" si="8"/>
        <v>2905.9</v>
      </c>
      <c r="J123" s="16">
        <f t="shared" ca="1" si="9"/>
        <v>2926.5</v>
      </c>
      <c r="K123" s="16"/>
      <c r="L123" s="16">
        <f t="shared" ca="1" si="10"/>
        <v>2886.5</v>
      </c>
      <c r="M123" s="16">
        <f t="shared" ca="1" si="11"/>
        <v>2945.9</v>
      </c>
      <c r="N123" s="16">
        <f t="shared" ca="1" si="12"/>
        <v>2865.9</v>
      </c>
    </row>
    <row r="124" spans="1:14" ht="24.75" customHeight="1" x14ac:dyDescent="0.8">
      <c r="A124" s="18" t="s">
        <v>26</v>
      </c>
      <c r="B124" s="10">
        <f ca="1">IFERROR(__xludf.DUMMYFUNCTION("GOOGLEFINANCE(A124,""PRICE"")"),1517.5)</f>
        <v>1517.5</v>
      </c>
      <c r="C124" s="11">
        <f ca="1">IFERROR(__xludf.DUMMYFUNCTION("GOOGLEFINANCE(A124,""PRICEOPEN"")"),1522)</f>
        <v>1522</v>
      </c>
      <c r="D124" s="11">
        <f ca="1">IFERROR(__xludf.DUMMYFUNCTION("GOOGLEFINANCE(A124,""HIGH"")"),1537.8)</f>
        <v>1537.8</v>
      </c>
      <c r="E124" s="11">
        <f ca="1">IFERROR(__xludf.DUMMYFUNCTION("GOOGLEFINANCE(A124,""LOW"")"),1509.5)</f>
        <v>1509.5</v>
      </c>
      <c r="F124" s="12" t="str">
        <f t="shared" ca="1" si="7"/>
        <v/>
      </c>
      <c r="G124" s="13">
        <f ca="1">IFERROR(__xludf.DUMMYFUNCTION("GOOGLEFINANCE(A124,""CLOSEYEST"")"),1513)</f>
        <v>1513</v>
      </c>
      <c r="H124" s="14" t="str">
        <f t="shared" ca="1" si="13"/>
        <v/>
      </c>
      <c r="I124" s="15">
        <f t="shared" ca="1" si="8"/>
        <v>1520.1000000000001</v>
      </c>
      <c r="J124" s="16">
        <f t="shared" ca="1" si="9"/>
        <v>1530.7000000000003</v>
      </c>
      <c r="K124" s="16"/>
      <c r="L124" s="16">
        <f t="shared" ca="1" si="10"/>
        <v>1502.4000000000003</v>
      </c>
      <c r="M124" s="16">
        <f t="shared" ca="1" si="11"/>
        <v>1548.4</v>
      </c>
      <c r="N124" s="16">
        <f t="shared" ca="1" si="12"/>
        <v>1491.8000000000002</v>
      </c>
    </row>
    <row r="125" spans="1:14" ht="24.75" customHeight="1" x14ac:dyDescent="0.8">
      <c r="A125" s="18" t="s">
        <v>93</v>
      </c>
      <c r="B125" s="10">
        <f ca="1">IFERROR(__xludf.DUMMYFUNCTION("GOOGLEFINANCE(A125,""PRICE"")"),354.6)</f>
        <v>354.6</v>
      </c>
      <c r="C125" s="11">
        <f ca="1">IFERROR(__xludf.DUMMYFUNCTION("GOOGLEFINANCE(A125,""PRICEOPEN"")"),350.1)</f>
        <v>350.1</v>
      </c>
      <c r="D125" s="11">
        <f ca="1">IFERROR(__xludf.DUMMYFUNCTION("GOOGLEFINANCE(A125,""HIGH"")"),355.4)</f>
        <v>355.4</v>
      </c>
      <c r="E125" s="11">
        <f ca="1">IFERROR(__xludf.DUMMYFUNCTION("GOOGLEFINANCE(A125,""LOW"")"),348.3)</f>
        <v>348.3</v>
      </c>
      <c r="F125" s="12" t="str">
        <f t="shared" ca="1" si="7"/>
        <v/>
      </c>
      <c r="G125" s="13">
        <f ca="1">IFERROR(__xludf.DUMMYFUNCTION("GOOGLEFINANCE(A125,""CLOSEYEST"")"),352.05)</f>
        <v>352.05</v>
      </c>
      <c r="H125" s="14" t="str">
        <f t="shared" ca="1" si="13"/>
        <v/>
      </c>
      <c r="I125" s="15">
        <f t="shared" ca="1" si="8"/>
        <v>351.91666666666669</v>
      </c>
      <c r="J125" s="16">
        <f t="shared" ca="1" si="9"/>
        <v>355.53333333333336</v>
      </c>
      <c r="K125" s="16"/>
      <c r="L125" s="16">
        <f t="shared" ca="1" si="10"/>
        <v>348.43333333333339</v>
      </c>
      <c r="M125" s="16">
        <f t="shared" ca="1" si="11"/>
        <v>359.01666666666665</v>
      </c>
      <c r="N125" s="16">
        <f t="shared" ca="1" si="12"/>
        <v>344.81666666666672</v>
      </c>
    </row>
    <row r="126" spans="1:14" ht="24.75" customHeight="1" x14ac:dyDescent="0.8">
      <c r="A126" s="18" t="s">
        <v>17</v>
      </c>
      <c r="B126" s="10">
        <f ca="1">IFERROR(__xludf.DUMMYFUNCTION("GOOGLEFINANCE(A126,""PRICE"")"),7450)</f>
        <v>7450</v>
      </c>
      <c r="C126" s="11">
        <f ca="1">IFERROR(__xludf.DUMMYFUNCTION("GOOGLEFINANCE(A126,""PRICEOPEN"")"),7441)</f>
        <v>7441</v>
      </c>
      <c r="D126" s="11">
        <f ca="1">IFERROR(__xludf.DUMMYFUNCTION("GOOGLEFINANCE(A126,""HIGH"")"),7484)</f>
        <v>7484</v>
      </c>
      <c r="E126" s="11">
        <f ca="1">IFERROR(__xludf.DUMMYFUNCTION("GOOGLEFINANCE(A126,""LOW"")"),7404)</f>
        <v>7404</v>
      </c>
      <c r="F126" s="12" t="str">
        <f t="shared" ca="1" si="7"/>
        <v/>
      </c>
      <c r="G126" s="13">
        <f ca="1">IFERROR(__xludf.DUMMYFUNCTION("GOOGLEFINANCE(A126,""CLOSEYEST"")"),7441)</f>
        <v>7441</v>
      </c>
      <c r="H126" s="14" t="str">
        <f t="shared" ca="1" si="13"/>
        <v/>
      </c>
      <c r="I126" s="15">
        <f t="shared" ca="1" si="8"/>
        <v>7443</v>
      </c>
      <c r="J126" s="16">
        <f t="shared" ca="1" si="9"/>
        <v>7482</v>
      </c>
      <c r="K126" s="16"/>
      <c r="L126" s="16">
        <f t="shared" ca="1" si="10"/>
        <v>7402</v>
      </c>
      <c r="M126" s="16">
        <f t="shared" ca="1" si="11"/>
        <v>7523</v>
      </c>
      <c r="N126" s="16">
        <f t="shared" ca="1" si="12"/>
        <v>7363</v>
      </c>
    </row>
    <row r="127" spans="1:14" ht="24.75" customHeight="1" x14ac:dyDescent="0.8">
      <c r="A127" s="18" t="s">
        <v>42</v>
      </c>
      <c r="B127" s="10">
        <f ca="1">IFERROR(__xludf.DUMMYFUNCTION("GOOGLEFINANCE(A127,""PRICE"")"),748)</f>
        <v>748</v>
      </c>
      <c r="C127" s="11">
        <f ca="1">IFERROR(__xludf.DUMMYFUNCTION("GOOGLEFINANCE(A127,""PRICEOPEN"")"),743.2)</f>
        <v>743.2</v>
      </c>
      <c r="D127" s="11">
        <f ca="1">IFERROR(__xludf.DUMMYFUNCTION("GOOGLEFINANCE(A127,""HIGH"")"),758.95)</f>
        <v>758.95</v>
      </c>
      <c r="E127" s="11">
        <f ca="1">IFERROR(__xludf.DUMMYFUNCTION("GOOGLEFINANCE(A127,""LOW"")"),741.75)</f>
        <v>741.75</v>
      </c>
      <c r="F127" s="12" t="str">
        <f t="shared" ca="1" si="7"/>
        <v/>
      </c>
      <c r="G127" s="13">
        <f ca="1">IFERROR(__xludf.DUMMYFUNCTION("GOOGLEFINANCE(A127,""CLOSEYEST"")"),743.15)</f>
        <v>743.15</v>
      </c>
      <c r="H127" s="14" t="str">
        <f t="shared" ca="1" si="13"/>
        <v/>
      </c>
      <c r="I127" s="15">
        <f t="shared" ca="1" si="8"/>
        <v>747.94999999999993</v>
      </c>
      <c r="J127" s="16">
        <f t="shared" ca="1" si="9"/>
        <v>754.14999999999986</v>
      </c>
      <c r="K127" s="16"/>
      <c r="L127" s="16">
        <f t="shared" ca="1" si="10"/>
        <v>736.94999999999982</v>
      </c>
      <c r="M127" s="16">
        <f t="shared" ca="1" si="11"/>
        <v>765.15</v>
      </c>
      <c r="N127" s="16">
        <f t="shared" ca="1" si="12"/>
        <v>730.74999999999989</v>
      </c>
    </row>
    <row r="128" spans="1:14" ht="24.75" customHeight="1" x14ac:dyDescent="0.8">
      <c r="A128" s="18" t="s">
        <v>94</v>
      </c>
      <c r="B128" s="10">
        <f ca="1">IFERROR(__xludf.DUMMYFUNCTION("GOOGLEFINANCE(A128,""PRICE"")"),1334)</f>
        <v>1334</v>
      </c>
      <c r="C128" s="11">
        <f ca="1">IFERROR(__xludf.DUMMYFUNCTION("GOOGLEFINANCE(A128,""PRICEOPEN"")"),1341)</f>
        <v>1341</v>
      </c>
      <c r="D128" s="11">
        <f ca="1">IFERROR(__xludf.DUMMYFUNCTION("GOOGLEFINANCE(A128,""HIGH"")"),1342.7)</f>
        <v>1342.7</v>
      </c>
      <c r="E128" s="11">
        <f ca="1">IFERROR(__xludf.DUMMYFUNCTION("GOOGLEFINANCE(A128,""LOW"")"),1320)</f>
        <v>1320</v>
      </c>
      <c r="F128" s="12" t="str">
        <f t="shared" ca="1" si="7"/>
        <v/>
      </c>
      <c r="G128" s="13">
        <f ca="1">IFERROR(__xludf.DUMMYFUNCTION("GOOGLEFINANCE(A128,""CLOSEYEST"")"),1338.6)</f>
        <v>1338.6</v>
      </c>
      <c r="H128" s="14" t="str">
        <f t="shared" ca="1" si="13"/>
        <v/>
      </c>
      <c r="I128" s="15">
        <f t="shared" ca="1" si="8"/>
        <v>1333.7666666666667</v>
      </c>
      <c r="J128" s="16">
        <f t="shared" ca="1" si="9"/>
        <v>1347.5333333333333</v>
      </c>
      <c r="K128" s="16"/>
      <c r="L128" s="16">
        <f t="shared" ca="1" si="10"/>
        <v>1324.8333333333333</v>
      </c>
      <c r="M128" s="16">
        <f t="shared" ca="1" si="11"/>
        <v>1356.4666666666667</v>
      </c>
      <c r="N128" s="16">
        <f t="shared" ca="1" si="12"/>
        <v>1311.0666666666666</v>
      </c>
    </row>
    <row r="129" spans="1:14" ht="24.75" customHeight="1" x14ac:dyDescent="0.8">
      <c r="A129" s="18" t="s">
        <v>95</v>
      </c>
      <c r="B129" s="10">
        <f ca="1">IFERROR(__xludf.DUMMYFUNCTION("GOOGLEFINANCE(A129,""PRICE"")"),1910.6)</f>
        <v>1910.6</v>
      </c>
      <c r="C129" s="11">
        <f ca="1">IFERROR(__xludf.DUMMYFUNCTION("GOOGLEFINANCE(A129,""PRICEOPEN"")"),1912.8)</f>
        <v>1912.8</v>
      </c>
      <c r="D129" s="11">
        <f ca="1">IFERROR(__xludf.DUMMYFUNCTION("GOOGLEFINANCE(A129,""HIGH"")"),1922)</f>
        <v>1922</v>
      </c>
      <c r="E129" s="11">
        <f ca="1">IFERROR(__xludf.DUMMYFUNCTION("GOOGLEFINANCE(A129,""LOW"")"),1892.2)</f>
        <v>1892.2</v>
      </c>
      <c r="F129" s="12" t="str">
        <f t="shared" ca="1" si="7"/>
        <v/>
      </c>
      <c r="G129" s="13">
        <f ca="1">IFERROR(__xludf.DUMMYFUNCTION("GOOGLEFINANCE(A129,""CLOSEYEST"")"),1903.6)</f>
        <v>1903.6</v>
      </c>
      <c r="H129" s="14" t="str">
        <f t="shared" ca="1" si="13"/>
        <v/>
      </c>
      <c r="I129" s="15">
        <f t="shared" ca="1" si="8"/>
        <v>1905.9333333333332</v>
      </c>
      <c r="J129" s="16">
        <f t="shared" ca="1" si="9"/>
        <v>1919.6666666666663</v>
      </c>
      <c r="K129" s="16"/>
      <c r="L129" s="16">
        <f t="shared" ca="1" si="10"/>
        <v>1889.8666666666663</v>
      </c>
      <c r="M129" s="16">
        <f t="shared" ca="1" si="11"/>
        <v>1935.7333333333331</v>
      </c>
      <c r="N129" s="16">
        <f t="shared" ca="1" si="12"/>
        <v>1876.1333333333332</v>
      </c>
    </row>
    <row r="130" spans="1:14" ht="24.75" customHeight="1" x14ac:dyDescent="0.8">
      <c r="A130" s="18" t="s">
        <v>96</v>
      </c>
      <c r="B130" s="10">
        <f ca="1">IFERROR(__xludf.DUMMYFUNCTION("GOOGLEFINANCE(A130,""PRICE"")"),708.4)</f>
        <v>708.4</v>
      </c>
      <c r="C130" s="11">
        <f ca="1">IFERROR(__xludf.DUMMYFUNCTION("GOOGLEFINANCE(A130,""PRICEOPEN"")"),706.15)</f>
        <v>706.15</v>
      </c>
      <c r="D130" s="11">
        <f ca="1">IFERROR(__xludf.DUMMYFUNCTION("GOOGLEFINANCE(A130,""HIGH"")"),710.5)</f>
        <v>710.5</v>
      </c>
      <c r="E130" s="11">
        <f ca="1">IFERROR(__xludf.DUMMYFUNCTION("GOOGLEFINANCE(A130,""LOW"")"),704.1)</f>
        <v>704.1</v>
      </c>
      <c r="F130" s="12" t="str">
        <f t="shared" ca="1" si="7"/>
        <v/>
      </c>
      <c r="G130" s="13">
        <f ca="1">IFERROR(__xludf.DUMMYFUNCTION("GOOGLEFINANCE(A130,""CLOSEYEST"")"),706.15)</f>
        <v>706.15</v>
      </c>
      <c r="H130" s="14" t="str">
        <f t="shared" ca="1" si="13"/>
        <v/>
      </c>
      <c r="I130" s="15">
        <f t="shared" ca="1" si="8"/>
        <v>706.91666666666663</v>
      </c>
      <c r="J130" s="16">
        <f t="shared" ca="1" si="9"/>
        <v>709.73333333333323</v>
      </c>
      <c r="K130" s="16"/>
      <c r="L130" s="16">
        <f t="shared" ca="1" si="10"/>
        <v>703.33333333333326</v>
      </c>
      <c r="M130" s="16">
        <f t="shared" ca="1" si="11"/>
        <v>713.31666666666661</v>
      </c>
      <c r="N130" s="16">
        <f t="shared" ca="1" si="12"/>
        <v>700.51666666666665</v>
      </c>
    </row>
    <row r="131" spans="1:14" ht="24.75" customHeight="1" x14ac:dyDescent="0.8">
      <c r="A131" s="18" t="s">
        <v>58</v>
      </c>
      <c r="B131" s="10">
        <f ca="1">IFERROR(__xludf.DUMMYFUNCTION("GOOGLEFINANCE(A131,""PRICE"")"),1138.5)</f>
        <v>1138.5</v>
      </c>
      <c r="C131" s="11">
        <f ca="1">IFERROR(__xludf.DUMMYFUNCTION("GOOGLEFINANCE(A131,""PRICEOPEN"")"),1146)</f>
        <v>1146</v>
      </c>
      <c r="D131" s="11">
        <f ca="1">IFERROR(__xludf.DUMMYFUNCTION("GOOGLEFINANCE(A131,""HIGH"")"),1150)</f>
        <v>1150</v>
      </c>
      <c r="E131" s="11">
        <f ca="1">IFERROR(__xludf.DUMMYFUNCTION("GOOGLEFINANCE(A131,""LOW"")"),1129.1)</f>
        <v>1129.0999999999999</v>
      </c>
      <c r="F131" s="12" t="str">
        <f t="shared" ca="1" si="7"/>
        <v/>
      </c>
      <c r="G131" s="13">
        <f ca="1">IFERROR(__xludf.DUMMYFUNCTION("GOOGLEFINANCE(A131,""CLOSEYEST"")"),1144.8)</f>
        <v>1144.8</v>
      </c>
      <c r="H131" s="14" t="str">
        <f t="shared" ca="1" si="13"/>
        <v/>
      </c>
      <c r="I131" s="15">
        <f t="shared" ca="1" si="8"/>
        <v>1141.3</v>
      </c>
      <c r="J131" s="16">
        <f t="shared" ca="1" si="9"/>
        <v>1153.5</v>
      </c>
      <c r="K131" s="16"/>
      <c r="L131" s="16">
        <f t="shared" ca="1" si="10"/>
        <v>1132.5999999999999</v>
      </c>
      <c r="M131" s="16">
        <f t="shared" ca="1" si="11"/>
        <v>1162.2</v>
      </c>
      <c r="N131" s="16">
        <f t="shared" ca="1" si="12"/>
        <v>1120.3999999999999</v>
      </c>
    </row>
    <row r="132" spans="1:14" ht="24.75" customHeight="1" x14ac:dyDescent="0.8">
      <c r="A132" s="18" t="s">
        <v>97</v>
      </c>
      <c r="B132" s="10" t="str">
        <f ca="1">IFERROR(__xludf.DUMMYFUNCTION("GOOGLEFINANCE(A132,""PRICE"")"),"#N/A")</f>
        <v>#N/A</v>
      </c>
      <c r="C132" s="11" t="str">
        <f ca="1">IFERROR(__xludf.DUMMYFUNCTION("GOOGLEFINANCE(A132,""PRICEOPEN"")"),"#N/A")</f>
        <v>#N/A</v>
      </c>
      <c r="D132" s="11" t="str">
        <f ca="1">IFERROR(__xludf.DUMMYFUNCTION("GOOGLEFINANCE(A132,""HIGH"")"),"#N/A")</f>
        <v>#N/A</v>
      </c>
      <c r="E132" s="11" t="str">
        <f ca="1">IFERROR(__xludf.DUMMYFUNCTION("GOOGLEFINANCE(A132,""LOW"")"),"#N/A")</f>
        <v>#N/A</v>
      </c>
      <c r="F132" s="12" t="str">
        <f t="shared" ca="1" si="7"/>
        <v>SELL</v>
      </c>
      <c r="G132" s="13" t="str">
        <f ca="1">IFERROR(__xludf.DUMMYFUNCTION("GOOGLEFINANCE(A132,""CLOSEYEST"")"),"#N/A")</f>
        <v>#N/A</v>
      </c>
      <c r="H132" s="14" t="e">
        <f t="shared" ca="1" si="13"/>
        <v>#VALUE!</v>
      </c>
      <c r="I132" s="15" t="e">
        <f t="shared" ca="1" si="8"/>
        <v>#VALUE!</v>
      </c>
      <c r="J132" s="16" t="e">
        <f t="shared" ca="1" si="9"/>
        <v>#VALUE!</v>
      </c>
      <c r="K132" s="16"/>
      <c r="L132" s="16" t="e">
        <f t="shared" ca="1" si="10"/>
        <v>#VALUE!</v>
      </c>
      <c r="M132" s="16" t="e">
        <f t="shared" ca="1" si="11"/>
        <v>#VALUE!</v>
      </c>
      <c r="N132" s="16" t="e">
        <f t="shared" ca="1" si="12"/>
        <v>#VALUE!</v>
      </c>
    </row>
    <row r="133" spans="1:14" ht="24.75" customHeight="1" x14ac:dyDescent="0.8">
      <c r="A133" s="18" t="s">
        <v>98</v>
      </c>
      <c r="B133" s="10">
        <f ca="1">IFERROR(__xludf.DUMMYFUNCTION("GOOGLEFINANCE(A133,""PRICE"")"),710)</f>
        <v>710</v>
      </c>
      <c r="C133" s="11">
        <f ca="1">IFERROR(__xludf.DUMMYFUNCTION("GOOGLEFINANCE(A133,""PRICEOPEN"")"),700)</f>
        <v>700</v>
      </c>
      <c r="D133" s="11">
        <f ca="1">IFERROR(__xludf.DUMMYFUNCTION("GOOGLEFINANCE(A133,""HIGH"")"),712.75)</f>
        <v>712.75</v>
      </c>
      <c r="E133" s="11">
        <f ca="1">IFERROR(__xludf.DUMMYFUNCTION("GOOGLEFINANCE(A133,""LOW"")"),697.6)</f>
        <v>697.6</v>
      </c>
      <c r="F133" s="12" t="str">
        <f t="shared" ca="1" si="7"/>
        <v/>
      </c>
      <c r="G133" s="13">
        <f ca="1">IFERROR(__xludf.DUMMYFUNCTION("GOOGLEFINANCE(A133,""CLOSEYEST"")"),701.75)</f>
        <v>701.75</v>
      </c>
      <c r="H133" s="14" t="str">
        <f t="shared" ca="1" si="13"/>
        <v/>
      </c>
      <c r="I133" s="15">
        <f t="shared" ca="1" si="8"/>
        <v>704.0333333333333</v>
      </c>
      <c r="J133" s="16">
        <f t="shared" ca="1" si="9"/>
        <v>710.46666666666658</v>
      </c>
      <c r="K133" s="16"/>
      <c r="L133" s="16">
        <f t="shared" ca="1" si="10"/>
        <v>695.31666666666661</v>
      </c>
      <c r="M133" s="16">
        <f t="shared" ca="1" si="11"/>
        <v>719.18333333333328</v>
      </c>
      <c r="N133" s="16">
        <f t="shared" ca="1" si="12"/>
        <v>688.88333333333333</v>
      </c>
    </row>
    <row r="134" spans="1:14" ht="24.75" customHeight="1" x14ac:dyDescent="0.8">
      <c r="A134" s="18" t="s">
        <v>99</v>
      </c>
      <c r="B134" s="10">
        <f ca="1">IFERROR(__xludf.DUMMYFUNCTION("GOOGLEFINANCE(A134,""PRICE"")"),177.6)</f>
        <v>177.6</v>
      </c>
      <c r="C134" s="11">
        <f ca="1">IFERROR(__xludf.DUMMYFUNCTION("GOOGLEFINANCE(A134,""PRICEOPEN"")"),174.72)</f>
        <v>174.72</v>
      </c>
      <c r="D134" s="11">
        <f ca="1">IFERROR(__xludf.DUMMYFUNCTION("GOOGLEFINANCE(A134,""HIGH"")"),177.75)</f>
        <v>177.75</v>
      </c>
      <c r="E134" s="11">
        <f ca="1">IFERROR(__xludf.DUMMYFUNCTION("GOOGLEFINANCE(A134,""LOW"")"),174.48)</f>
        <v>174.48</v>
      </c>
      <c r="F134" s="12" t="str">
        <f t="shared" ca="1" si="7"/>
        <v/>
      </c>
      <c r="G134" s="13">
        <f ca="1">IFERROR(__xludf.DUMMYFUNCTION("GOOGLEFINANCE(A134,""CLOSEYEST"")"),174.56)</f>
        <v>174.56</v>
      </c>
      <c r="H134" s="14" t="str">
        <f t="shared" ca="1" si="13"/>
        <v/>
      </c>
      <c r="I134" s="15">
        <f t="shared" ca="1" si="8"/>
        <v>175.59666666666666</v>
      </c>
      <c r="J134" s="16">
        <f t="shared" ca="1" si="9"/>
        <v>176.71333333333334</v>
      </c>
      <c r="K134" s="16"/>
      <c r="L134" s="16">
        <f t="shared" ca="1" si="10"/>
        <v>173.44333333333333</v>
      </c>
      <c r="M134" s="16">
        <f t="shared" ca="1" si="11"/>
        <v>178.86666666666667</v>
      </c>
      <c r="N134" s="16">
        <f t="shared" ca="1" si="12"/>
        <v>172.32666666666665</v>
      </c>
    </row>
    <row r="135" spans="1:14" ht="24.75" customHeight="1" x14ac:dyDescent="0.8">
      <c r="A135" s="18" t="s">
        <v>100</v>
      </c>
      <c r="B135" s="10">
        <f ca="1">IFERROR(__xludf.DUMMYFUNCTION("GOOGLEFINANCE(A135,""PRICE"")"),1133)</f>
        <v>1133</v>
      </c>
      <c r="C135" s="11">
        <f ca="1">IFERROR(__xludf.DUMMYFUNCTION("GOOGLEFINANCE(A135,""PRICEOPEN"")"),1129)</f>
        <v>1129</v>
      </c>
      <c r="D135" s="11">
        <f ca="1">IFERROR(__xludf.DUMMYFUNCTION("GOOGLEFINANCE(A135,""HIGH"")"),1189)</f>
        <v>1189</v>
      </c>
      <c r="E135" s="11">
        <f ca="1">IFERROR(__xludf.DUMMYFUNCTION("GOOGLEFINANCE(A135,""LOW"")"),1108.5)</f>
        <v>1108.5</v>
      </c>
      <c r="F135" s="12" t="str">
        <f t="shared" ca="1" si="7"/>
        <v/>
      </c>
      <c r="G135" s="13">
        <f ca="1">IFERROR(__xludf.DUMMYFUNCTION("GOOGLEFINANCE(A135,""CLOSEYEST"")"),1122.2)</f>
        <v>1122.2</v>
      </c>
      <c r="H135" s="14" t="str">
        <f t="shared" ca="1" si="13"/>
        <v/>
      </c>
      <c r="I135" s="15">
        <f t="shared" ca="1" si="8"/>
        <v>1139.8999999999999</v>
      </c>
      <c r="J135" s="16">
        <f t="shared" ca="1" si="9"/>
        <v>1171.2999999999997</v>
      </c>
      <c r="K135" s="16"/>
      <c r="L135" s="16">
        <f t="shared" ca="1" si="10"/>
        <v>1090.7999999999997</v>
      </c>
      <c r="M135" s="16">
        <f t="shared" ca="1" si="11"/>
        <v>1220.3999999999999</v>
      </c>
      <c r="N135" s="16">
        <f t="shared" ca="1" si="12"/>
        <v>1059.3999999999999</v>
      </c>
    </row>
    <row r="136" spans="1:14" ht="24.75" customHeight="1" x14ac:dyDescent="0.8">
      <c r="A136" s="18" t="s">
        <v>101</v>
      </c>
      <c r="B136" s="10">
        <f ca="1">IFERROR(__xludf.DUMMYFUNCTION("GOOGLEFINANCE(A136,""PRICE"")"),1.68)</f>
        <v>1.68</v>
      </c>
      <c r="C136" s="11">
        <f ca="1">IFERROR(__xludf.DUMMYFUNCTION("GOOGLEFINANCE(A136,""PRICEOPEN"")"),1.62)</f>
        <v>1.62</v>
      </c>
      <c r="D136" s="11">
        <f ca="1">IFERROR(__xludf.DUMMYFUNCTION("GOOGLEFINANCE(A136,""HIGH"")"),1.73)</f>
        <v>1.73</v>
      </c>
      <c r="E136" s="11">
        <f ca="1">IFERROR(__xludf.DUMMYFUNCTION("GOOGLEFINANCE(A136,""LOW"")"),1.6)</f>
        <v>1.6</v>
      </c>
      <c r="F136" s="12" t="str">
        <f t="shared" ca="1" si="7"/>
        <v/>
      </c>
      <c r="G136" s="13">
        <f ca="1">IFERROR(__xludf.DUMMYFUNCTION("GOOGLEFINANCE(A136,""CLOSEYEST"")"),1.68)</f>
        <v>1.68</v>
      </c>
      <c r="H136" s="14" t="str">
        <f t="shared" ca="1" si="13"/>
        <v>GAP DOWN</v>
      </c>
      <c r="I136" s="15">
        <f t="shared" ca="1" si="8"/>
        <v>1.67</v>
      </c>
      <c r="J136" s="16">
        <f t="shared" ca="1" si="9"/>
        <v>1.7399999999999998</v>
      </c>
      <c r="K136" s="16"/>
      <c r="L136" s="16">
        <f t="shared" ca="1" si="10"/>
        <v>1.6099999999999999</v>
      </c>
      <c r="M136" s="16">
        <f t="shared" ca="1" si="11"/>
        <v>1.7999999999999998</v>
      </c>
      <c r="N136" s="16">
        <f t="shared" ca="1" si="12"/>
        <v>1.54</v>
      </c>
    </row>
    <row r="137" spans="1:14" ht="24.75" customHeight="1" x14ac:dyDescent="0.8">
      <c r="A137" s="18" t="s">
        <v>102</v>
      </c>
      <c r="B137" s="10">
        <f ca="1">IFERROR(__xludf.DUMMYFUNCTION("GOOGLEFINANCE(A137,""PRICE"")"),3172.8)</f>
        <v>3172.8</v>
      </c>
      <c r="C137" s="11">
        <f ca="1">IFERROR(__xludf.DUMMYFUNCTION("GOOGLEFINANCE(A137,""PRICEOPEN"")"),3150)</f>
        <v>3150</v>
      </c>
      <c r="D137" s="11">
        <f ca="1">IFERROR(__xludf.DUMMYFUNCTION("GOOGLEFINANCE(A137,""HIGH"")"),3175.9)</f>
        <v>3175.9</v>
      </c>
      <c r="E137" s="11">
        <f ca="1">IFERROR(__xludf.DUMMYFUNCTION("GOOGLEFINANCE(A137,""LOW"")"),3106.1)</f>
        <v>3106.1</v>
      </c>
      <c r="F137" s="12" t="str">
        <f t="shared" ca="1" si="7"/>
        <v/>
      </c>
      <c r="G137" s="13">
        <f ca="1">IFERROR(__xludf.DUMMYFUNCTION("GOOGLEFINANCE(A137,""CLOSEYEST"")"),3144.5)</f>
        <v>3144.5</v>
      </c>
      <c r="H137" s="14" t="str">
        <f t="shared" ca="1" si="13"/>
        <v/>
      </c>
      <c r="I137" s="15">
        <f t="shared" ca="1" si="8"/>
        <v>3142.1666666666665</v>
      </c>
      <c r="J137" s="16">
        <f t="shared" ca="1" si="9"/>
        <v>3178.2333333333331</v>
      </c>
      <c r="K137" s="16"/>
      <c r="L137" s="16">
        <f t="shared" ca="1" si="10"/>
        <v>3108.4333333333329</v>
      </c>
      <c r="M137" s="16">
        <f t="shared" ca="1" si="11"/>
        <v>3211.9666666666667</v>
      </c>
      <c r="N137" s="16">
        <f t="shared" ca="1" si="12"/>
        <v>3072.3666666666663</v>
      </c>
    </row>
    <row r="138" spans="1:14" ht="24.75" customHeight="1" x14ac:dyDescent="0.8">
      <c r="A138" s="18" t="s">
        <v>103</v>
      </c>
      <c r="B138" s="10" t="str">
        <f ca="1">IFERROR(__xludf.DUMMYFUNCTION("GOOGLEFINANCE(A138,""PRICE"")"),"#N/A")</f>
        <v>#N/A</v>
      </c>
      <c r="C138" s="11" t="str">
        <f ca="1">IFERROR(__xludf.DUMMYFUNCTION("GOOGLEFINANCE(A138,""PRICEOPEN"")"),"#N/A")</f>
        <v>#N/A</v>
      </c>
      <c r="D138" s="11" t="str">
        <f ca="1">IFERROR(__xludf.DUMMYFUNCTION("GOOGLEFINANCE(A138,""HIGH"")"),"#N/A")</f>
        <v>#N/A</v>
      </c>
      <c r="E138" s="11" t="str">
        <f ca="1">IFERROR(__xludf.DUMMYFUNCTION("GOOGLEFINANCE(A138,""LOW"")"),"#N/A")</f>
        <v>#N/A</v>
      </c>
      <c r="F138" s="12" t="str">
        <f t="shared" ca="1" si="7"/>
        <v>SELL</v>
      </c>
      <c r="G138" s="13" t="str">
        <f ca="1">IFERROR(__xludf.DUMMYFUNCTION("GOOGLEFINANCE(A138,""CLOSEYEST"")"),"#N/A")</f>
        <v>#N/A</v>
      </c>
      <c r="H138" s="14" t="e">
        <f t="shared" ca="1" si="13"/>
        <v>#VALUE!</v>
      </c>
      <c r="I138" s="15" t="e">
        <f t="shared" ca="1" si="8"/>
        <v>#VALUE!</v>
      </c>
      <c r="J138" s="16" t="e">
        <f t="shared" ca="1" si="9"/>
        <v>#VALUE!</v>
      </c>
      <c r="K138" s="16"/>
      <c r="L138" s="16" t="e">
        <f t="shared" ca="1" si="10"/>
        <v>#VALUE!</v>
      </c>
      <c r="M138" s="16" t="e">
        <f t="shared" ca="1" si="11"/>
        <v>#VALUE!</v>
      </c>
      <c r="N138" s="16" t="e">
        <f t="shared" ca="1" si="12"/>
        <v>#VALUE!</v>
      </c>
    </row>
    <row r="139" spans="1:14" ht="24.75" customHeight="1" x14ac:dyDescent="0.8">
      <c r="A139" s="18" t="s">
        <v>104</v>
      </c>
      <c r="B139" s="10">
        <f ca="1">IFERROR(__xludf.DUMMYFUNCTION("GOOGLEFINANCE(A139,""PRICE"")"),1112.2)</f>
        <v>1112.2</v>
      </c>
      <c r="C139" s="11">
        <f ca="1">IFERROR(__xludf.DUMMYFUNCTION("GOOGLEFINANCE(A139,""PRICEOPEN"")"),1144.7)</f>
        <v>1144.7</v>
      </c>
      <c r="D139" s="11">
        <f ca="1">IFERROR(__xludf.DUMMYFUNCTION("GOOGLEFINANCE(A139,""HIGH"")"),1147)</f>
        <v>1147</v>
      </c>
      <c r="E139" s="11">
        <f ca="1">IFERROR(__xludf.DUMMYFUNCTION("GOOGLEFINANCE(A139,""LOW"")"),1108)</f>
        <v>1108</v>
      </c>
      <c r="F139" s="12" t="str">
        <f t="shared" ca="1" si="7"/>
        <v/>
      </c>
      <c r="G139" s="13">
        <f ca="1">IFERROR(__xludf.DUMMYFUNCTION("GOOGLEFINANCE(A139,""CLOSEYEST"")"),1139.8)</f>
        <v>1139.8</v>
      </c>
      <c r="H139" s="14" t="str">
        <f t="shared" ca="1" si="13"/>
        <v/>
      </c>
      <c r="I139" s="15">
        <f t="shared" ca="1" si="8"/>
        <v>1131.6000000000001</v>
      </c>
      <c r="J139" s="16">
        <f t="shared" ca="1" si="9"/>
        <v>1155.2000000000003</v>
      </c>
      <c r="K139" s="16"/>
      <c r="L139" s="16">
        <f t="shared" ca="1" si="10"/>
        <v>1116.2000000000003</v>
      </c>
      <c r="M139" s="16">
        <f t="shared" ca="1" si="11"/>
        <v>1170.6000000000001</v>
      </c>
      <c r="N139" s="16">
        <f t="shared" ca="1" si="12"/>
        <v>1092.6000000000001</v>
      </c>
    </row>
    <row r="140" spans="1:14" ht="24.75" customHeight="1" x14ac:dyDescent="0.8">
      <c r="A140" s="18" t="s">
        <v>105</v>
      </c>
      <c r="B140" s="10">
        <f ca="1">IFERROR(__xludf.DUMMYFUNCTION("GOOGLEFINANCE(A140,""PRICE"")"),2737)</f>
        <v>2737</v>
      </c>
      <c r="C140" s="11">
        <f ca="1">IFERROR(__xludf.DUMMYFUNCTION("GOOGLEFINANCE(A140,""PRICEOPEN"")"),2698.9)</f>
        <v>2698.9</v>
      </c>
      <c r="D140" s="11">
        <f ca="1">IFERROR(__xludf.DUMMYFUNCTION("GOOGLEFINANCE(A140,""HIGH"")"),2742.2)</f>
        <v>2742.2</v>
      </c>
      <c r="E140" s="11">
        <f ca="1">IFERROR(__xludf.DUMMYFUNCTION("GOOGLEFINANCE(A140,""LOW"")"),2680)</f>
        <v>2680</v>
      </c>
      <c r="F140" s="12" t="str">
        <f t="shared" ca="1" si="7"/>
        <v/>
      </c>
      <c r="G140" s="13">
        <f ca="1">IFERROR(__xludf.DUMMYFUNCTION("GOOGLEFINANCE(A140,""CLOSEYEST"")"),2691)</f>
        <v>2691</v>
      </c>
      <c r="H140" s="14" t="str">
        <f t="shared" ca="1" si="13"/>
        <v/>
      </c>
      <c r="I140" s="15">
        <f t="shared" ca="1" si="8"/>
        <v>2704.4</v>
      </c>
      <c r="J140" s="16">
        <f t="shared" ca="1" si="9"/>
        <v>2728.8</v>
      </c>
      <c r="K140" s="16"/>
      <c r="L140" s="16">
        <f t="shared" ca="1" si="10"/>
        <v>2666.6000000000004</v>
      </c>
      <c r="M140" s="16">
        <f t="shared" ca="1" si="11"/>
        <v>2766.6</v>
      </c>
      <c r="N140" s="16">
        <f t="shared" ca="1" si="12"/>
        <v>2642.2000000000003</v>
      </c>
    </row>
    <row r="141" spans="1:14" ht="24.75" customHeight="1" x14ac:dyDescent="0.8">
      <c r="A141" s="18" t="s">
        <v>106</v>
      </c>
      <c r="B141" s="10">
        <f ca="1">IFERROR(__xludf.DUMMYFUNCTION("GOOGLEFINANCE(A141,""PRICE"")"),4262)</f>
        <v>4262</v>
      </c>
      <c r="C141" s="11">
        <f ca="1">IFERROR(__xludf.DUMMYFUNCTION("GOOGLEFINANCE(A141,""PRICEOPEN"")"),4190)</f>
        <v>4190</v>
      </c>
      <c r="D141" s="11">
        <f ca="1">IFERROR(__xludf.DUMMYFUNCTION("GOOGLEFINANCE(A141,""HIGH"")"),4296.4)</f>
        <v>4296.3999999999996</v>
      </c>
      <c r="E141" s="11">
        <f ca="1">IFERROR(__xludf.DUMMYFUNCTION("GOOGLEFINANCE(A141,""LOW"")"),4166.8)</f>
        <v>4166.8</v>
      </c>
      <c r="F141" s="12" t="str">
        <f t="shared" ca="1" si="7"/>
        <v/>
      </c>
      <c r="G141" s="13">
        <f ca="1">IFERROR(__xludf.DUMMYFUNCTION("GOOGLEFINANCE(A141,""CLOSEYEST"")"),4186.7)</f>
        <v>4186.7</v>
      </c>
      <c r="H141" s="14" t="str">
        <f t="shared" ca="1" si="13"/>
        <v/>
      </c>
      <c r="I141" s="15">
        <f t="shared" ca="1" si="8"/>
        <v>4216.6333333333341</v>
      </c>
      <c r="J141" s="16">
        <f t="shared" ca="1" si="9"/>
        <v>4266.4666666666681</v>
      </c>
      <c r="K141" s="16"/>
      <c r="L141" s="16">
        <f t="shared" ca="1" si="10"/>
        <v>4136.8666666666686</v>
      </c>
      <c r="M141" s="16">
        <f t="shared" ca="1" si="11"/>
        <v>4346.2333333333336</v>
      </c>
      <c r="N141" s="16">
        <f t="shared" ca="1" si="12"/>
        <v>4087.0333333333347</v>
      </c>
    </row>
    <row r="142" spans="1:14" ht="24.75" customHeight="1" x14ac:dyDescent="0.8">
      <c r="A142" s="18" t="s">
        <v>107</v>
      </c>
      <c r="B142" s="10">
        <f ca="1">IFERROR(__xludf.DUMMYFUNCTION("GOOGLEFINANCE(A142,""PRICE"")"),11830)</f>
        <v>11830</v>
      </c>
      <c r="C142" s="11">
        <f ca="1">IFERROR(__xludf.DUMMYFUNCTION("GOOGLEFINANCE(A142,""PRICEOPEN"")"),12039)</f>
        <v>12039</v>
      </c>
      <c r="D142" s="11">
        <f ca="1">IFERROR(__xludf.DUMMYFUNCTION("GOOGLEFINANCE(A142,""HIGH"")"),12039)</f>
        <v>12039</v>
      </c>
      <c r="E142" s="11">
        <f ca="1">IFERROR(__xludf.DUMMYFUNCTION("GOOGLEFINANCE(A142,""LOW"")"),11780)</f>
        <v>11780</v>
      </c>
      <c r="F142" s="12" t="str">
        <f t="shared" ca="1" si="7"/>
        <v>SELL</v>
      </c>
      <c r="G142" s="13">
        <f ca="1">IFERROR(__xludf.DUMMYFUNCTION("GOOGLEFINANCE(A142,""CLOSEYEST"")"),11996)</f>
        <v>11996</v>
      </c>
      <c r="H142" s="14" t="str">
        <f t="shared" ca="1" si="13"/>
        <v/>
      </c>
      <c r="I142" s="15">
        <f t="shared" ca="1" si="8"/>
        <v>11938.333333333334</v>
      </c>
      <c r="J142" s="16">
        <f t="shared" ca="1" si="9"/>
        <v>12096.666666666668</v>
      </c>
      <c r="K142" s="16"/>
      <c r="L142" s="16">
        <f t="shared" ca="1" si="10"/>
        <v>11837.666666666668</v>
      </c>
      <c r="M142" s="16">
        <f t="shared" ca="1" si="11"/>
        <v>12197.333333333334</v>
      </c>
      <c r="N142" s="16">
        <f t="shared" ca="1" si="12"/>
        <v>11679.333333333334</v>
      </c>
    </row>
    <row r="143" spans="1:14" ht="24.75" customHeight="1" x14ac:dyDescent="0.8">
      <c r="A143" s="18" t="s">
        <v>108</v>
      </c>
      <c r="B143" s="10">
        <f ca="1">IFERROR(__xludf.DUMMYFUNCTION("GOOGLEFINANCE(A143,""PRICE"")"),92.6)</f>
        <v>92.6</v>
      </c>
      <c r="C143" s="11">
        <f ca="1">IFERROR(__xludf.DUMMYFUNCTION("GOOGLEFINANCE(A143,""PRICEOPEN"")"),92.4)</f>
        <v>92.4</v>
      </c>
      <c r="D143" s="11">
        <f ca="1">IFERROR(__xludf.DUMMYFUNCTION("GOOGLEFINANCE(A143,""HIGH"")"),93.54)</f>
        <v>93.54</v>
      </c>
      <c r="E143" s="11">
        <f ca="1">IFERROR(__xludf.DUMMYFUNCTION("GOOGLEFINANCE(A143,""LOW"")"),92.34)</f>
        <v>92.34</v>
      </c>
      <c r="F143" s="12" t="str">
        <f t="shared" ca="1" si="7"/>
        <v/>
      </c>
      <c r="G143" s="13">
        <f ca="1">IFERROR(__xludf.DUMMYFUNCTION("GOOGLEFINANCE(A143,""CLOSEYEST"")"),92.35)</f>
        <v>92.35</v>
      </c>
      <c r="H143" s="14" t="str">
        <f t="shared" ca="1" si="13"/>
        <v/>
      </c>
      <c r="I143" s="15">
        <f t="shared" ca="1" si="8"/>
        <v>92.743333333333339</v>
      </c>
      <c r="J143" s="16">
        <f t="shared" ca="1" si="9"/>
        <v>93.146666666666675</v>
      </c>
      <c r="K143" s="16"/>
      <c r="L143" s="16">
        <f t="shared" ca="1" si="10"/>
        <v>91.946666666666673</v>
      </c>
      <c r="M143" s="16">
        <f t="shared" ca="1" si="11"/>
        <v>93.943333333333342</v>
      </c>
      <c r="N143" s="16">
        <f t="shared" ca="1" si="12"/>
        <v>91.543333333333337</v>
      </c>
    </row>
    <row r="144" spans="1:14" ht="24.75" customHeight="1" x14ac:dyDescent="0.8">
      <c r="A144" s="18" t="s">
        <v>109</v>
      </c>
      <c r="B144" s="10">
        <f ca="1">IFERROR(__xludf.DUMMYFUNCTION("GOOGLEFINANCE(A144,""PRICE"")"),2036.9)</f>
        <v>2036.9</v>
      </c>
      <c r="C144" s="11">
        <f ca="1">IFERROR(__xludf.DUMMYFUNCTION("GOOGLEFINANCE(A144,""PRICEOPEN"")"),2040)</f>
        <v>2040</v>
      </c>
      <c r="D144" s="11">
        <f ca="1">IFERROR(__xludf.DUMMYFUNCTION("GOOGLEFINANCE(A144,""HIGH"")"),2048)</f>
        <v>2048</v>
      </c>
      <c r="E144" s="11">
        <f ca="1">IFERROR(__xludf.DUMMYFUNCTION("GOOGLEFINANCE(A144,""LOW"")"),2018.5)</f>
        <v>2018.5</v>
      </c>
      <c r="F144" s="12" t="str">
        <f t="shared" ca="1" si="7"/>
        <v/>
      </c>
      <c r="G144" s="13">
        <f ca="1">IFERROR(__xludf.DUMMYFUNCTION("GOOGLEFINANCE(A144,""CLOSEYEST"")"),2030.4)</f>
        <v>2030.4</v>
      </c>
      <c r="H144" s="14" t="str">
        <f t="shared" ca="1" si="13"/>
        <v/>
      </c>
      <c r="I144" s="15">
        <f t="shared" ca="1" si="8"/>
        <v>2032.3</v>
      </c>
      <c r="J144" s="16">
        <f t="shared" ca="1" si="9"/>
        <v>2046.1</v>
      </c>
      <c r="K144" s="16"/>
      <c r="L144" s="16">
        <f t="shared" ca="1" si="10"/>
        <v>2016.6</v>
      </c>
      <c r="M144" s="16">
        <f t="shared" ca="1" si="11"/>
        <v>2061.8000000000002</v>
      </c>
      <c r="N144" s="16">
        <f t="shared" ca="1" si="12"/>
        <v>2002.8</v>
      </c>
    </row>
    <row r="145" spans="1:14" ht="24.75" customHeight="1" x14ac:dyDescent="0.8">
      <c r="A145" s="18" t="s">
        <v>110</v>
      </c>
      <c r="B145" s="10">
        <f ca="1">IFERROR(__xludf.DUMMYFUNCTION("GOOGLEFINANCE(A145,""PRICE"")"),56.98)</f>
        <v>56.98</v>
      </c>
      <c r="C145" s="11">
        <f ca="1">IFERROR(__xludf.DUMMYFUNCTION("GOOGLEFINANCE(A145,""PRICEOPEN"")"),55.18)</f>
        <v>55.18</v>
      </c>
      <c r="D145" s="11">
        <f ca="1">IFERROR(__xludf.DUMMYFUNCTION("GOOGLEFINANCE(A145,""HIGH"")"),57)</f>
        <v>57</v>
      </c>
      <c r="E145" s="11">
        <f ca="1">IFERROR(__xludf.DUMMYFUNCTION("GOOGLEFINANCE(A145,""LOW"")"),55.12)</f>
        <v>55.12</v>
      </c>
      <c r="F145" s="12" t="str">
        <f t="shared" ca="1" si="7"/>
        <v/>
      </c>
      <c r="G145" s="13">
        <f ca="1">IFERROR(__xludf.DUMMYFUNCTION("GOOGLEFINANCE(A145,""CLOSEYEST"")"),55.14)</f>
        <v>55.14</v>
      </c>
      <c r="H145" s="14" t="str">
        <f t="shared" ca="1" si="13"/>
        <v/>
      </c>
      <c r="I145" s="15">
        <f t="shared" ca="1" si="8"/>
        <v>55.75333333333333</v>
      </c>
      <c r="J145" s="16">
        <f t="shared" ca="1" si="9"/>
        <v>56.386666666666663</v>
      </c>
      <c r="K145" s="16"/>
      <c r="L145" s="16">
        <f t="shared" ca="1" si="10"/>
        <v>54.506666666666661</v>
      </c>
      <c r="M145" s="16">
        <f t="shared" ca="1" si="11"/>
        <v>57.633333333333333</v>
      </c>
      <c r="N145" s="16">
        <f t="shared" ca="1" si="12"/>
        <v>53.873333333333328</v>
      </c>
    </row>
    <row r="146" spans="1:14" ht="24.75" customHeight="1" x14ac:dyDescent="0.8">
      <c r="A146" s="18" t="s">
        <v>111</v>
      </c>
      <c r="B146" s="10">
        <f ca="1">IFERROR(__xludf.DUMMYFUNCTION("GOOGLEFINANCE(A146,""PRICE"")"),5595)</f>
        <v>5595</v>
      </c>
      <c r="C146" s="11">
        <f ca="1">IFERROR(__xludf.DUMMYFUNCTION("GOOGLEFINANCE(A146,""PRICEOPEN"")"),5584)</f>
        <v>5584</v>
      </c>
      <c r="D146" s="11">
        <f ca="1">IFERROR(__xludf.DUMMYFUNCTION("GOOGLEFINANCE(A146,""HIGH"")"),5633.5)</f>
        <v>5633.5</v>
      </c>
      <c r="E146" s="11">
        <f ca="1">IFERROR(__xludf.DUMMYFUNCTION("GOOGLEFINANCE(A146,""LOW"")"),5555)</f>
        <v>5555</v>
      </c>
      <c r="F146" s="12" t="str">
        <f t="shared" ca="1" si="7"/>
        <v/>
      </c>
      <c r="G146" s="13">
        <f ca="1">IFERROR(__xludf.DUMMYFUNCTION("GOOGLEFINANCE(A146,""CLOSEYEST"")"),5555.5)</f>
        <v>5555.5</v>
      </c>
      <c r="H146" s="14" t="str">
        <f t="shared" ca="1" si="13"/>
        <v/>
      </c>
      <c r="I146" s="15">
        <f t="shared" ca="1" si="8"/>
        <v>5581.333333333333</v>
      </c>
      <c r="J146" s="16">
        <f t="shared" ca="1" si="9"/>
        <v>5607.6666666666661</v>
      </c>
      <c r="K146" s="16"/>
      <c r="L146" s="16">
        <f t="shared" ca="1" si="10"/>
        <v>5529.1666666666661</v>
      </c>
      <c r="M146" s="16">
        <f t="shared" ca="1" si="11"/>
        <v>5659.833333333333</v>
      </c>
      <c r="N146" s="16">
        <f t="shared" ca="1" si="12"/>
        <v>5502.833333333333</v>
      </c>
    </row>
    <row r="147" spans="1:14" ht="24.75" customHeight="1" x14ac:dyDescent="0.8">
      <c r="A147" s="18" t="s">
        <v>112</v>
      </c>
      <c r="B147" s="10">
        <f ca="1">IFERROR(__xludf.DUMMYFUNCTION("GOOGLEFINANCE(A147,""PRICE"")"),3513.9)</f>
        <v>3513.9</v>
      </c>
      <c r="C147" s="11">
        <f ca="1">IFERROR(__xludf.DUMMYFUNCTION("GOOGLEFINANCE(A147,""PRICEOPEN"")"),3552)</f>
        <v>3552</v>
      </c>
      <c r="D147" s="11">
        <f ca="1">IFERROR(__xludf.DUMMYFUNCTION("GOOGLEFINANCE(A147,""HIGH"")"),3566.9)</f>
        <v>3566.9</v>
      </c>
      <c r="E147" s="11">
        <f ca="1">IFERROR(__xludf.DUMMYFUNCTION("GOOGLEFINANCE(A147,""LOW"")"),3504)</f>
        <v>3504</v>
      </c>
      <c r="F147" s="12" t="str">
        <f t="shared" ca="1" si="7"/>
        <v/>
      </c>
      <c r="G147" s="13">
        <f ca="1">IFERROR(__xludf.DUMMYFUNCTION("GOOGLEFINANCE(A147,""CLOSEYEST"")"),3567.1)</f>
        <v>3567.1</v>
      </c>
      <c r="H147" s="14" t="str">
        <f t="shared" ca="1" si="13"/>
        <v/>
      </c>
      <c r="I147" s="15">
        <f t="shared" ca="1" si="8"/>
        <v>3546</v>
      </c>
      <c r="J147" s="16">
        <f t="shared" ca="1" si="9"/>
        <v>3588</v>
      </c>
      <c r="K147" s="16"/>
      <c r="L147" s="16">
        <f t="shared" ca="1" si="10"/>
        <v>3525.1</v>
      </c>
      <c r="M147" s="16">
        <f t="shared" ca="1" si="11"/>
        <v>3608.9</v>
      </c>
      <c r="N147" s="16">
        <f t="shared" ca="1" si="12"/>
        <v>3483.1</v>
      </c>
    </row>
    <row r="148" spans="1:14" ht="24.75" customHeight="1" x14ac:dyDescent="0.8">
      <c r="A148" s="18" t="s">
        <v>113</v>
      </c>
      <c r="B148" s="10">
        <f ca="1">IFERROR(__xludf.DUMMYFUNCTION("GOOGLEFINANCE(A148,""PRICE"")"),14300)</f>
        <v>14300</v>
      </c>
      <c r="C148" s="11">
        <f ca="1">IFERROR(__xludf.DUMMYFUNCTION("GOOGLEFINANCE(A148,""PRICEOPEN"")"),14064)</f>
        <v>14064</v>
      </c>
      <c r="D148" s="11">
        <f ca="1">IFERROR(__xludf.DUMMYFUNCTION("GOOGLEFINANCE(A148,""HIGH"")"),14378)</f>
        <v>14378</v>
      </c>
      <c r="E148" s="11">
        <f ca="1">IFERROR(__xludf.DUMMYFUNCTION("GOOGLEFINANCE(A148,""LOW"")"),13940)</f>
        <v>13940</v>
      </c>
      <c r="F148" s="12" t="str">
        <f t="shared" ca="1" si="7"/>
        <v/>
      </c>
      <c r="G148" s="13">
        <f ca="1">IFERROR(__xludf.DUMMYFUNCTION("GOOGLEFINANCE(A148,""CLOSEYEST"")"),14114)</f>
        <v>14114</v>
      </c>
      <c r="H148" s="14" t="str">
        <f t="shared" ca="1" si="13"/>
        <v/>
      </c>
      <c r="I148" s="15">
        <f t="shared" ca="1" si="8"/>
        <v>14144</v>
      </c>
      <c r="J148" s="16">
        <f t="shared" ca="1" si="9"/>
        <v>14348</v>
      </c>
      <c r="K148" s="16"/>
      <c r="L148" s="16">
        <f t="shared" ca="1" si="10"/>
        <v>13910</v>
      </c>
      <c r="M148" s="16">
        <f t="shared" ca="1" si="11"/>
        <v>14582</v>
      </c>
      <c r="N148" s="16">
        <f t="shared" ca="1" si="12"/>
        <v>13706</v>
      </c>
    </row>
    <row r="149" spans="1:14" ht="24.75" customHeight="1" x14ac:dyDescent="0.8">
      <c r="A149" s="18" t="s">
        <v>114</v>
      </c>
      <c r="B149" s="10">
        <f ca="1">IFERROR(__xludf.DUMMYFUNCTION("GOOGLEFINANCE(A149,""PRICE"")"),628.05)</f>
        <v>628.04999999999995</v>
      </c>
      <c r="C149" s="11">
        <f ca="1">IFERROR(__xludf.DUMMYFUNCTION("GOOGLEFINANCE(A149,""PRICEOPEN"")"),619.6)</f>
        <v>619.6</v>
      </c>
      <c r="D149" s="11">
        <f ca="1">IFERROR(__xludf.DUMMYFUNCTION("GOOGLEFINANCE(A149,""HIGH"")"),630)</f>
        <v>630</v>
      </c>
      <c r="E149" s="11">
        <f ca="1">IFERROR(__xludf.DUMMYFUNCTION("GOOGLEFINANCE(A149,""LOW"")"),619.4)</f>
        <v>619.4</v>
      </c>
      <c r="F149" s="12" t="str">
        <f t="shared" ca="1" si="7"/>
        <v/>
      </c>
      <c r="G149" s="13">
        <f ca="1">IFERROR(__xludf.DUMMYFUNCTION("GOOGLEFINANCE(A149,""CLOSEYEST"")"),619.4)</f>
        <v>619.4</v>
      </c>
      <c r="H149" s="14" t="str">
        <f t="shared" ca="1" si="13"/>
        <v/>
      </c>
      <c r="I149" s="15">
        <f t="shared" ca="1" si="8"/>
        <v>622.93333333333339</v>
      </c>
      <c r="J149" s="16">
        <f t="shared" ca="1" si="9"/>
        <v>626.46666666666681</v>
      </c>
      <c r="K149" s="16"/>
      <c r="L149" s="16">
        <f t="shared" ca="1" si="10"/>
        <v>615.86666666666679</v>
      </c>
      <c r="M149" s="16">
        <f t="shared" ca="1" si="11"/>
        <v>633.53333333333342</v>
      </c>
      <c r="N149" s="16">
        <f t="shared" ca="1" si="12"/>
        <v>612.33333333333337</v>
      </c>
    </row>
    <row r="150" spans="1:14" ht="24.75" customHeight="1" x14ac:dyDescent="0.8">
      <c r="A150" s="18" t="s">
        <v>35</v>
      </c>
      <c r="B150" s="10">
        <f ca="1">IFERROR(__xludf.DUMMYFUNCTION("GOOGLEFINANCE(A150,""PRICE"")"),5545.5)</f>
        <v>5545.5</v>
      </c>
      <c r="C150" s="11">
        <f ca="1">IFERROR(__xludf.DUMMYFUNCTION("GOOGLEFINANCE(A150,""PRICEOPEN"")"),5465)</f>
        <v>5465</v>
      </c>
      <c r="D150" s="11">
        <f ca="1">IFERROR(__xludf.DUMMYFUNCTION("GOOGLEFINANCE(A150,""HIGH"")"),5584)</f>
        <v>5584</v>
      </c>
      <c r="E150" s="11">
        <f ca="1">IFERROR(__xludf.DUMMYFUNCTION("GOOGLEFINANCE(A150,""LOW"")"),5370.5)</f>
        <v>5370.5</v>
      </c>
      <c r="F150" s="12" t="str">
        <f t="shared" ca="1" si="7"/>
        <v/>
      </c>
      <c r="G150" s="13">
        <f ca="1">IFERROR(__xludf.DUMMYFUNCTION("GOOGLEFINANCE(A150,""CLOSEYEST"")"),5432.5)</f>
        <v>5432.5</v>
      </c>
      <c r="H150" s="14" t="str">
        <f t="shared" ca="1" si="13"/>
        <v/>
      </c>
      <c r="I150" s="15">
        <f t="shared" ca="1" si="8"/>
        <v>5462.333333333333</v>
      </c>
      <c r="J150" s="16">
        <f t="shared" ca="1" si="9"/>
        <v>5554.1666666666661</v>
      </c>
      <c r="K150" s="16"/>
      <c r="L150" s="16">
        <f t="shared" ca="1" si="10"/>
        <v>5340.6666666666661</v>
      </c>
      <c r="M150" s="16">
        <f t="shared" ca="1" si="11"/>
        <v>5675.833333333333</v>
      </c>
      <c r="N150" s="16">
        <f t="shared" ca="1" si="12"/>
        <v>5248.833333333333</v>
      </c>
    </row>
    <row r="151" spans="1:14" ht="24.75" customHeight="1" x14ac:dyDescent="0.8">
      <c r="A151" s="18" t="s">
        <v>115</v>
      </c>
      <c r="B151" s="10">
        <f ca="1">IFERROR(__xludf.DUMMYFUNCTION("GOOGLEFINANCE(A151,""PRICE"")"),540.9)</f>
        <v>540.9</v>
      </c>
      <c r="C151" s="11">
        <f ca="1">IFERROR(__xludf.DUMMYFUNCTION("GOOGLEFINANCE(A151,""PRICEOPEN"")"),537)</f>
        <v>537</v>
      </c>
      <c r="D151" s="11">
        <f ca="1">IFERROR(__xludf.DUMMYFUNCTION("GOOGLEFINANCE(A151,""HIGH"")"),542.35)</f>
        <v>542.35</v>
      </c>
      <c r="E151" s="11">
        <f ca="1">IFERROR(__xludf.DUMMYFUNCTION("GOOGLEFINANCE(A151,""LOW"")"),532.05)</f>
        <v>532.04999999999995</v>
      </c>
      <c r="F151" s="12" t="str">
        <f t="shared" ca="1" si="7"/>
        <v/>
      </c>
      <c r="G151" s="13">
        <f ca="1">IFERROR(__xludf.DUMMYFUNCTION("GOOGLEFINANCE(A151,""CLOSEYEST"")"),536.45)</f>
        <v>536.45000000000005</v>
      </c>
      <c r="H151" s="14" t="str">
        <f t="shared" ca="1" si="13"/>
        <v/>
      </c>
      <c r="I151" s="15">
        <f t="shared" ca="1" si="8"/>
        <v>536.95000000000005</v>
      </c>
      <c r="J151" s="16">
        <f t="shared" ca="1" si="9"/>
        <v>541.85000000000014</v>
      </c>
      <c r="K151" s="16"/>
      <c r="L151" s="16">
        <f t="shared" ca="1" si="10"/>
        <v>531.55000000000007</v>
      </c>
      <c r="M151" s="16">
        <f t="shared" ca="1" si="11"/>
        <v>547.25000000000011</v>
      </c>
      <c r="N151" s="16">
        <f t="shared" ca="1" si="12"/>
        <v>526.65</v>
      </c>
    </row>
    <row r="152" spans="1:14" ht="24.75" customHeight="1" x14ac:dyDescent="0.8">
      <c r="A152" s="18" t="s">
        <v>116</v>
      </c>
      <c r="B152" s="10">
        <f ca="1">IFERROR(__xludf.DUMMYFUNCTION("GOOGLEFINANCE(A152,""PRICE"")"),38555)</f>
        <v>38555</v>
      </c>
      <c r="C152" s="11">
        <f ca="1">IFERROR(__xludf.DUMMYFUNCTION("GOOGLEFINANCE(A152,""PRICEOPEN"")"),38320)</f>
        <v>38320</v>
      </c>
      <c r="D152" s="11">
        <f ca="1">IFERROR(__xludf.DUMMYFUNCTION("GOOGLEFINANCE(A152,""HIGH"")"),38705)</f>
        <v>38705</v>
      </c>
      <c r="E152" s="11">
        <f ca="1">IFERROR(__xludf.DUMMYFUNCTION("GOOGLEFINANCE(A152,""LOW"")"),38010)</f>
        <v>38010</v>
      </c>
      <c r="F152" s="12" t="str">
        <f t="shared" ca="1" si="7"/>
        <v/>
      </c>
      <c r="G152" s="13">
        <f ca="1">IFERROR(__xludf.DUMMYFUNCTION("GOOGLEFINANCE(A152,""CLOSEYEST"")"),38320)</f>
        <v>38320</v>
      </c>
      <c r="H152" s="14" t="str">
        <f t="shared" ca="1" si="13"/>
        <v/>
      </c>
      <c r="I152" s="15">
        <f t="shared" ca="1" si="8"/>
        <v>38345</v>
      </c>
      <c r="J152" s="16">
        <f t="shared" ca="1" si="9"/>
        <v>38680</v>
      </c>
      <c r="K152" s="16"/>
      <c r="L152" s="16">
        <f t="shared" ca="1" si="10"/>
        <v>37985</v>
      </c>
      <c r="M152" s="16">
        <f t="shared" ca="1" si="11"/>
        <v>39040</v>
      </c>
      <c r="N152" s="16">
        <f t="shared" ca="1" si="12"/>
        <v>37650</v>
      </c>
    </row>
    <row r="153" spans="1:14" ht="24.75" customHeight="1" x14ac:dyDescent="0.8">
      <c r="A153" s="18" t="s">
        <v>117</v>
      </c>
      <c r="B153" s="10">
        <f ca="1">IFERROR(__xludf.DUMMYFUNCTION("GOOGLEFINANCE(A153,""PRICE"")"),0.02)</f>
        <v>0.02</v>
      </c>
      <c r="C153" s="11">
        <f ca="1">IFERROR(__xludf.DUMMYFUNCTION("GOOGLEFINANCE(A153,""PRICEOPEN"")"),0.02)</f>
        <v>0.02</v>
      </c>
      <c r="D153" s="11">
        <f ca="1">IFERROR(__xludf.DUMMYFUNCTION("GOOGLEFINANCE(A153,""HIGH"")"),0.02)</f>
        <v>0.02</v>
      </c>
      <c r="E153" s="11">
        <f ca="1">IFERROR(__xludf.DUMMYFUNCTION("GOOGLEFINANCE(A153,""LOW"")"),0.02)</f>
        <v>0.02</v>
      </c>
      <c r="F153" s="12" t="str">
        <f t="shared" ca="1" si="7"/>
        <v>SELL</v>
      </c>
      <c r="G153" s="13">
        <f ca="1">IFERROR(__xludf.DUMMYFUNCTION("GOOGLEFINANCE(A153,""CLOSEYEST"")"),0.02)</f>
        <v>0.02</v>
      </c>
      <c r="H153" s="14" t="str">
        <f t="shared" ca="1" si="13"/>
        <v/>
      </c>
      <c r="I153" s="15">
        <f t="shared" ca="1" si="8"/>
        <v>0.02</v>
      </c>
      <c r="J153" s="16">
        <f t="shared" ca="1" si="9"/>
        <v>0.02</v>
      </c>
      <c r="K153" s="16"/>
      <c r="L153" s="16">
        <f t="shared" ca="1" si="10"/>
        <v>0.02</v>
      </c>
      <c r="M153" s="16">
        <f t="shared" ca="1" si="11"/>
        <v>0.02</v>
      </c>
      <c r="N153" s="16">
        <f t="shared" ca="1" si="12"/>
        <v>0.02</v>
      </c>
    </row>
    <row r="154" spans="1:14" ht="24.75" customHeight="1" x14ac:dyDescent="0.8">
      <c r="A154" s="18" t="s">
        <v>118</v>
      </c>
      <c r="B154" s="10">
        <f ca="1">IFERROR(__xludf.DUMMYFUNCTION("GOOGLEFINANCE(A154,""PRICE"")"),1385.1)</f>
        <v>1385.1</v>
      </c>
      <c r="C154" s="11">
        <f ca="1">IFERROR(__xludf.DUMMYFUNCTION("GOOGLEFINANCE(A154,""PRICEOPEN"")"),1376.4)</f>
        <v>1376.4</v>
      </c>
      <c r="D154" s="11">
        <f ca="1">IFERROR(__xludf.DUMMYFUNCTION("GOOGLEFINANCE(A154,""HIGH"")"),1387.1)</f>
        <v>1387.1</v>
      </c>
      <c r="E154" s="11">
        <f ca="1">IFERROR(__xludf.DUMMYFUNCTION("GOOGLEFINANCE(A154,""LOW"")"),1360.8)</f>
        <v>1360.8</v>
      </c>
      <c r="F154" s="12" t="str">
        <f t="shared" ca="1" si="7"/>
        <v/>
      </c>
      <c r="G154" s="13">
        <f ca="1">IFERROR(__xludf.DUMMYFUNCTION("GOOGLEFINANCE(A154,""CLOSEYEST"")"),1376.4)</f>
        <v>1376.4</v>
      </c>
      <c r="H154" s="14" t="str">
        <f t="shared" ca="1" si="13"/>
        <v/>
      </c>
      <c r="I154" s="15">
        <f t="shared" ca="1" si="8"/>
        <v>1374.7666666666664</v>
      </c>
      <c r="J154" s="16">
        <f t="shared" ca="1" si="9"/>
        <v>1388.7333333333329</v>
      </c>
      <c r="K154" s="16"/>
      <c r="L154" s="16">
        <f t="shared" ca="1" si="10"/>
        <v>1362.4333333333329</v>
      </c>
      <c r="M154" s="16">
        <f t="shared" ca="1" si="11"/>
        <v>1401.0666666666664</v>
      </c>
      <c r="N154" s="16">
        <f t="shared" ca="1" si="12"/>
        <v>1348.4666666666665</v>
      </c>
    </row>
    <row r="155" spans="1:14" ht="24.75" customHeight="1" x14ac:dyDescent="0.8">
      <c r="A155" s="18" t="s">
        <v>119</v>
      </c>
      <c r="B155" s="10">
        <f ca="1">IFERROR(__xludf.DUMMYFUNCTION("GOOGLEFINANCE(A155,""PRICE"")"),5.87)</f>
        <v>5.87</v>
      </c>
      <c r="C155" s="11">
        <f ca="1">IFERROR(__xludf.DUMMYFUNCTION("GOOGLEFINANCE(A155,""PRICEOPEN"")"),5.8)</f>
        <v>5.8</v>
      </c>
      <c r="D155" s="11">
        <f ca="1">IFERROR(__xludf.DUMMYFUNCTION("GOOGLEFINANCE(A155,""HIGH"")"),5.87)</f>
        <v>5.87</v>
      </c>
      <c r="E155" s="11">
        <f ca="1">IFERROR(__xludf.DUMMYFUNCTION("GOOGLEFINANCE(A155,""LOW"")"),5.78)</f>
        <v>5.78</v>
      </c>
      <c r="F155" s="12" t="str">
        <f t="shared" ca="1" si="7"/>
        <v/>
      </c>
      <c r="G155" s="13">
        <f ca="1">IFERROR(__xludf.DUMMYFUNCTION("GOOGLEFINANCE(A155,""CLOSEYEST"")"),5.81)</f>
        <v>5.81</v>
      </c>
      <c r="H155" s="14" t="str">
        <f t="shared" ca="1" si="13"/>
        <v/>
      </c>
      <c r="I155" s="15">
        <f t="shared" ca="1" si="8"/>
        <v>5.82</v>
      </c>
      <c r="J155" s="16">
        <f t="shared" ca="1" si="9"/>
        <v>5.86</v>
      </c>
      <c r="K155" s="16"/>
      <c r="L155" s="16">
        <f t="shared" ca="1" si="10"/>
        <v>5.7700000000000005</v>
      </c>
      <c r="M155" s="16">
        <f t="shared" ca="1" si="11"/>
        <v>5.91</v>
      </c>
      <c r="N155" s="16">
        <f t="shared" ca="1" si="12"/>
        <v>5.73</v>
      </c>
    </row>
    <row r="156" spans="1:14" ht="24.75" customHeight="1" x14ac:dyDescent="0.8">
      <c r="A156" s="18" t="s">
        <v>120</v>
      </c>
      <c r="B156" s="10">
        <f ca="1">IFERROR(__xludf.DUMMYFUNCTION("GOOGLEFINANCE(A156,""PRICE"")"),435.6)</f>
        <v>435.6</v>
      </c>
      <c r="C156" s="11">
        <f ca="1">IFERROR(__xludf.DUMMYFUNCTION("GOOGLEFINANCE(A156,""PRICEOPEN"")"),435.1)</f>
        <v>435.1</v>
      </c>
      <c r="D156" s="11">
        <f ca="1">IFERROR(__xludf.DUMMYFUNCTION("GOOGLEFINANCE(A156,""HIGH"")"),437.8)</f>
        <v>437.8</v>
      </c>
      <c r="E156" s="11">
        <f ca="1">IFERROR(__xludf.DUMMYFUNCTION("GOOGLEFINANCE(A156,""LOW"")"),430.7)</f>
        <v>430.7</v>
      </c>
      <c r="F156" s="12" t="str">
        <f t="shared" ca="1" si="7"/>
        <v/>
      </c>
      <c r="G156" s="13">
        <f ca="1">IFERROR(__xludf.DUMMYFUNCTION("GOOGLEFINANCE(A156,""CLOSEYEST"")"),435.1)</f>
        <v>435.1</v>
      </c>
      <c r="H156" s="14" t="str">
        <f t="shared" ca="1" si="13"/>
        <v/>
      </c>
      <c r="I156" s="15">
        <f t="shared" ca="1" si="8"/>
        <v>434.5333333333333</v>
      </c>
      <c r="J156" s="16">
        <f t="shared" ca="1" si="9"/>
        <v>438.36666666666662</v>
      </c>
      <c r="K156" s="16"/>
      <c r="L156" s="16">
        <f t="shared" ca="1" si="10"/>
        <v>431.26666666666659</v>
      </c>
      <c r="M156" s="16">
        <f t="shared" ca="1" si="11"/>
        <v>441.63333333333333</v>
      </c>
      <c r="N156" s="16">
        <f t="shared" ca="1" si="12"/>
        <v>427.43333333333328</v>
      </c>
    </row>
    <row r="157" spans="1:14" ht="24.75" customHeight="1" x14ac:dyDescent="0.8">
      <c r="A157" s="18" t="s">
        <v>121</v>
      </c>
      <c r="B157" s="10">
        <f ca="1">IFERROR(__xludf.DUMMYFUNCTION("GOOGLEFINANCE(A157,""PRICE"")"),1572)</f>
        <v>1572</v>
      </c>
      <c r="C157" s="11">
        <f ca="1">IFERROR(__xludf.DUMMYFUNCTION("GOOGLEFINANCE(A157,""PRICEOPEN"")"),1607.8)</f>
        <v>1607.8</v>
      </c>
      <c r="D157" s="11">
        <f ca="1">IFERROR(__xludf.DUMMYFUNCTION("GOOGLEFINANCE(A157,""HIGH"")"),1607.8)</f>
        <v>1607.8</v>
      </c>
      <c r="E157" s="11">
        <f ca="1">IFERROR(__xludf.DUMMYFUNCTION("GOOGLEFINANCE(A157,""LOW"")"),1557.8)</f>
        <v>1557.8</v>
      </c>
      <c r="F157" s="12" t="str">
        <f t="shared" ca="1" si="7"/>
        <v>SELL</v>
      </c>
      <c r="G157" s="13">
        <f ca="1">IFERROR(__xludf.DUMMYFUNCTION("GOOGLEFINANCE(A157,""CLOSEYEST"")"),1605.3)</f>
        <v>1605.3</v>
      </c>
      <c r="H157" s="14" t="str">
        <f t="shared" ca="1" si="13"/>
        <v/>
      </c>
      <c r="I157" s="15">
        <f t="shared" ca="1" si="8"/>
        <v>1590.3</v>
      </c>
      <c r="J157" s="16">
        <f t="shared" ca="1" si="9"/>
        <v>1622.8</v>
      </c>
      <c r="K157" s="16"/>
      <c r="L157" s="16">
        <f t="shared" ca="1" si="10"/>
        <v>1572.8</v>
      </c>
      <c r="M157" s="16">
        <f t="shared" ca="1" si="11"/>
        <v>1640.3</v>
      </c>
      <c r="N157" s="16">
        <f t="shared" ca="1" si="12"/>
        <v>1540.3</v>
      </c>
    </row>
    <row r="158" spans="1:14" ht="24.75" customHeight="1" x14ac:dyDescent="0.8">
      <c r="A158" s="18" t="s">
        <v>122</v>
      </c>
      <c r="B158" s="10">
        <f ca="1">IFERROR(__xludf.DUMMYFUNCTION("GOOGLEFINANCE(A158,""PRICE"")"),42945)</f>
        <v>42945</v>
      </c>
      <c r="C158" s="11">
        <f ca="1">IFERROR(__xludf.DUMMYFUNCTION("GOOGLEFINANCE(A158,""PRICEOPEN"")"),42110)</f>
        <v>42110</v>
      </c>
      <c r="D158" s="11">
        <f ca="1">IFERROR(__xludf.DUMMYFUNCTION("GOOGLEFINANCE(A158,""HIGH"")"),43135)</f>
        <v>43135</v>
      </c>
      <c r="E158" s="11">
        <f ca="1">IFERROR(__xludf.DUMMYFUNCTION("GOOGLEFINANCE(A158,""LOW"")"),41645)</f>
        <v>41645</v>
      </c>
      <c r="F158" s="12" t="str">
        <f t="shared" ca="1" si="7"/>
        <v/>
      </c>
      <c r="G158" s="13">
        <f ca="1">IFERROR(__xludf.DUMMYFUNCTION("GOOGLEFINANCE(A158,""CLOSEYEST"")"),42110)</f>
        <v>42110</v>
      </c>
      <c r="H158" s="14" t="str">
        <f t="shared" ca="1" si="13"/>
        <v/>
      </c>
      <c r="I158" s="15">
        <f t="shared" ca="1" si="8"/>
        <v>42296.666666666664</v>
      </c>
      <c r="J158" s="16">
        <f t="shared" ca="1" si="9"/>
        <v>42948.333333333328</v>
      </c>
      <c r="K158" s="16"/>
      <c r="L158" s="16">
        <f t="shared" ca="1" si="10"/>
        <v>41458.333333333328</v>
      </c>
      <c r="M158" s="16">
        <f t="shared" ca="1" si="11"/>
        <v>43786.666666666664</v>
      </c>
      <c r="N158" s="16">
        <f t="shared" ca="1" si="12"/>
        <v>40806.666666666664</v>
      </c>
    </row>
    <row r="159" spans="1:14" ht="24.75" customHeight="1" x14ac:dyDescent="0.8">
      <c r="A159" s="18" t="s">
        <v>123</v>
      </c>
      <c r="B159" s="10">
        <f ca="1">IFERROR(__xludf.DUMMYFUNCTION("GOOGLEFINANCE(A159,""PRICE"")"),263.8)</f>
        <v>263.8</v>
      </c>
      <c r="C159" s="11">
        <f ca="1">IFERROR(__xludf.DUMMYFUNCTION("GOOGLEFINANCE(A159,""PRICEOPEN"")"),260.1)</f>
        <v>260.10000000000002</v>
      </c>
      <c r="D159" s="11">
        <f ca="1">IFERROR(__xludf.DUMMYFUNCTION("GOOGLEFINANCE(A159,""HIGH"")"),265.35)</f>
        <v>265.35000000000002</v>
      </c>
      <c r="E159" s="11">
        <f ca="1">IFERROR(__xludf.DUMMYFUNCTION("GOOGLEFINANCE(A159,""LOW"")"),257.8)</f>
        <v>257.8</v>
      </c>
      <c r="F159" s="12" t="str">
        <f t="shared" ca="1" si="7"/>
        <v/>
      </c>
      <c r="G159" s="13">
        <f ca="1">IFERROR(__xludf.DUMMYFUNCTION("GOOGLEFINANCE(A159,""CLOSEYEST"")"),259.6)</f>
        <v>259.60000000000002</v>
      </c>
      <c r="H159" s="14" t="str">
        <f t="shared" ca="1" si="13"/>
        <v/>
      </c>
      <c r="I159" s="15">
        <f t="shared" ca="1" si="8"/>
        <v>260.91666666666669</v>
      </c>
      <c r="J159" s="16">
        <f t="shared" ca="1" si="9"/>
        <v>264.03333333333336</v>
      </c>
      <c r="K159" s="16"/>
      <c r="L159" s="16">
        <f t="shared" ca="1" si="10"/>
        <v>256.48333333333335</v>
      </c>
      <c r="M159" s="16">
        <f t="shared" ca="1" si="11"/>
        <v>268.4666666666667</v>
      </c>
      <c r="N159" s="16">
        <f t="shared" ca="1" si="12"/>
        <v>253.36666666666667</v>
      </c>
    </row>
    <row r="160" spans="1:14" ht="24.75" customHeight="1" x14ac:dyDescent="0.8">
      <c r="A160" s="18" t="s">
        <v>124</v>
      </c>
      <c r="B160" s="10">
        <f ca="1">IFERROR(__xludf.DUMMYFUNCTION("GOOGLEFINANCE(A160,""PRICE"")"),2304.6)</f>
        <v>2304.6</v>
      </c>
      <c r="C160" s="11">
        <f ca="1">IFERROR(__xludf.DUMMYFUNCTION("GOOGLEFINANCE(A160,""PRICEOPEN"")"),2315)</f>
        <v>2315</v>
      </c>
      <c r="D160" s="11">
        <f ca="1">IFERROR(__xludf.DUMMYFUNCTION("GOOGLEFINANCE(A160,""HIGH"")"),2317)</f>
        <v>2317</v>
      </c>
      <c r="E160" s="11">
        <f ca="1">IFERROR(__xludf.DUMMYFUNCTION("GOOGLEFINANCE(A160,""LOW"")"),2295)</f>
        <v>2295</v>
      </c>
      <c r="F160" s="12" t="str">
        <f t="shared" ca="1" si="7"/>
        <v/>
      </c>
      <c r="G160" s="13">
        <f ca="1">IFERROR(__xludf.DUMMYFUNCTION("GOOGLEFINANCE(A160,""CLOSEYEST"")"),2305.6)</f>
        <v>2305.6</v>
      </c>
      <c r="H160" s="14" t="str">
        <f t="shared" ca="1" si="13"/>
        <v/>
      </c>
      <c r="I160" s="15">
        <f t="shared" ca="1" si="8"/>
        <v>2305.8666666666668</v>
      </c>
      <c r="J160" s="16">
        <f t="shared" ca="1" si="9"/>
        <v>2316.7333333333336</v>
      </c>
      <c r="K160" s="16"/>
      <c r="L160" s="16">
        <f t="shared" ca="1" si="10"/>
        <v>2294.7333333333336</v>
      </c>
      <c r="M160" s="16">
        <f t="shared" ca="1" si="11"/>
        <v>2327.8666666666668</v>
      </c>
      <c r="N160" s="16">
        <f t="shared" ca="1" si="12"/>
        <v>2283.8666666666668</v>
      </c>
    </row>
    <row r="161" spans="1:14" ht="24.75" customHeight="1" x14ac:dyDescent="0.8">
      <c r="A161" s="18" t="s">
        <v>125</v>
      </c>
      <c r="B161" s="10" t="str">
        <f ca="1">IFERROR(__xludf.DUMMYFUNCTION("GOOGLEFINANCE(A161,""PRICE"")"),"#N/A")</f>
        <v>#N/A</v>
      </c>
      <c r="C161" s="11" t="str">
        <f ca="1">IFERROR(__xludf.DUMMYFUNCTION("GOOGLEFINANCE(A161,""PRICEOPEN"")"),"#N/A")</f>
        <v>#N/A</v>
      </c>
      <c r="D161" s="11" t="str">
        <f ca="1">IFERROR(__xludf.DUMMYFUNCTION("GOOGLEFINANCE(A161,""HIGH"")"),"#N/A")</f>
        <v>#N/A</v>
      </c>
      <c r="E161" s="11" t="str">
        <f ca="1">IFERROR(__xludf.DUMMYFUNCTION("GOOGLEFINANCE(A161,""LOW"")"),"#N/A")</f>
        <v>#N/A</v>
      </c>
      <c r="F161" s="12" t="str">
        <f t="shared" ca="1" si="7"/>
        <v>SELL</v>
      </c>
      <c r="G161" s="13" t="str">
        <f ca="1">IFERROR(__xludf.DUMMYFUNCTION("GOOGLEFINANCE(A161,""CLOSEYEST"")"),"#N/A")</f>
        <v>#N/A</v>
      </c>
      <c r="H161" s="14" t="e">
        <f t="shared" ca="1" si="13"/>
        <v>#VALUE!</v>
      </c>
      <c r="I161" s="15" t="e">
        <f t="shared" ca="1" si="8"/>
        <v>#VALUE!</v>
      </c>
      <c r="J161" s="16" t="e">
        <f t="shared" ca="1" si="9"/>
        <v>#VALUE!</v>
      </c>
      <c r="K161" s="16"/>
      <c r="L161" s="16" t="e">
        <f t="shared" ca="1" si="10"/>
        <v>#VALUE!</v>
      </c>
      <c r="M161" s="16" t="e">
        <f t="shared" ca="1" si="11"/>
        <v>#VALUE!</v>
      </c>
      <c r="N161" s="16" t="e">
        <f t="shared" ca="1" si="12"/>
        <v>#VALUE!</v>
      </c>
    </row>
    <row r="162" spans="1:14" ht="24.75" customHeight="1" x14ac:dyDescent="0.8">
      <c r="A162" s="18" t="s">
        <v>126</v>
      </c>
      <c r="B162" s="10">
        <f ca="1">IFERROR(__xludf.DUMMYFUNCTION("GOOGLEFINANCE(A162,""PRICE"")"),165.8)</f>
        <v>165.8</v>
      </c>
      <c r="C162" s="11">
        <f ca="1">IFERROR(__xludf.DUMMYFUNCTION("GOOGLEFINANCE(A162,""PRICEOPEN"")"),163.54)</f>
        <v>163.54</v>
      </c>
      <c r="D162" s="11">
        <f ca="1">IFERROR(__xludf.DUMMYFUNCTION("GOOGLEFINANCE(A162,""HIGH"")"),166.41)</f>
        <v>166.41</v>
      </c>
      <c r="E162" s="11">
        <f ca="1">IFERROR(__xludf.DUMMYFUNCTION("GOOGLEFINANCE(A162,""LOW"")"),163)</f>
        <v>163</v>
      </c>
      <c r="F162" s="12" t="str">
        <f t="shared" ca="1" si="7"/>
        <v/>
      </c>
      <c r="G162" s="13">
        <f ca="1">IFERROR(__xludf.DUMMYFUNCTION("GOOGLEFINANCE(A162,""CLOSEYEST"")"),163.54)</f>
        <v>163.54</v>
      </c>
      <c r="H162" s="14" t="str">
        <f t="shared" ca="1" si="13"/>
        <v/>
      </c>
      <c r="I162" s="15">
        <f t="shared" ca="1" si="8"/>
        <v>164.31666666666663</v>
      </c>
      <c r="J162" s="16">
        <f t="shared" ca="1" si="9"/>
        <v>165.63333333333327</v>
      </c>
      <c r="K162" s="16"/>
      <c r="L162" s="16">
        <f t="shared" ca="1" si="10"/>
        <v>162.22333333333327</v>
      </c>
      <c r="M162" s="16">
        <f t="shared" ca="1" si="11"/>
        <v>167.72666666666663</v>
      </c>
      <c r="N162" s="16">
        <f t="shared" ca="1" si="12"/>
        <v>160.90666666666664</v>
      </c>
    </row>
    <row r="163" spans="1:14" ht="24.75" customHeight="1" x14ac:dyDescent="0.8">
      <c r="A163" s="18" t="s">
        <v>127</v>
      </c>
      <c r="B163" s="10">
        <f ca="1">IFERROR(__xludf.DUMMYFUNCTION("GOOGLEFINANCE(A163,""PRICE"")"),445.2)</f>
        <v>445.2</v>
      </c>
      <c r="C163" s="11">
        <f ca="1">IFERROR(__xludf.DUMMYFUNCTION("GOOGLEFINANCE(A163,""PRICEOPEN"")"),439)</f>
        <v>439</v>
      </c>
      <c r="D163" s="11">
        <f ca="1">IFERROR(__xludf.DUMMYFUNCTION("GOOGLEFINANCE(A163,""HIGH"")"),447)</f>
        <v>447</v>
      </c>
      <c r="E163" s="11">
        <f ca="1">IFERROR(__xludf.DUMMYFUNCTION("GOOGLEFINANCE(A163,""LOW"")"),431.8)</f>
        <v>431.8</v>
      </c>
      <c r="F163" s="12" t="str">
        <f t="shared" ca="1" si="7"/>
        <v/>
      </c>
      <c r="G163" s="13">
        <f ca="1">IFERROR(__xludf.DUMMYFUNCTION("GOOGLEFINANCE(A163,""CLOSEYEST"")"),434.4)</f>
        <v>434.4</v>
      </c>
      <c r="H163" s="14" t="str">
        <f t="shared" ca="1" si="13"/>
        <v>GAP UP</v>
      </c>
      <c r="I163" s="15">
        <f t="shared" ca="1" si="8"/>
        <v>437.73333333333329</v>
      </c>
      <c r="J163" s="16">
        <f t="shared" ca="1" si="9"/>
        <v>443.66666666666657</v>
      </c>
      <c r="K163" s="16"/>
      <c r="L163" s="16">
        <f t="shared" ca="1" si="10"/>
        <v>428.46666666666658</v>
      </c>
      <c r="M163" s="16">
        <f t="shared" ca="1" si="11"/>
        <v>452.93333333333328</v>
      </c>
      <c r="N163" s="16">
        <f t="shared" ca="1" si="12"/>
        <v>422.5333333333333</v>
      </c>
    </row>
    <row r="164" spans="1:14" ht="24.75" customHeight="1" x14ac:dyDescent="0.8">
      <c r="A164" s="18" t="s">
        <v>128</v>
      </c>
      <c r="B164" s="10">
        <f ca="1">IFERROR(__xludf.DUMMYFUNCTION("GOOGLEFINANCE(A164,""PRICE"")"),147.48)</f>
        <v>147.47999999999999</v>
      </c>
      <c r="C164" s="11">
        <f ca="1">IFERROR(__xludf.DUMMYFUNCTION("GOOGLEFINANCE(A164,""PRICEOPEN"")"),152.9)</f>
        <v>152.9</v>
      </c>
      <c r="D164" s="11">
        <f ca="1">IFERROR(__xludf.DUMMYFUNCTION("GOOGLEFINANCE(A164,""HIGH"")"),153)</f>
        <v>153</v>
      </c>
      <c r="E164" s="11">
        <f ca="1">IFERROR(__xludf.DUMMYFUNCTION("GOOGLEFINANCE(A164,""LOW"")"),143.15)</f>
        <v>143.15</v>
      </c>
      <c r="F164" s="12" t="str">
        <f t="shared" ca="1" si="7"/>
        <v/>
      </c>
      <c r="G164" s="13">
        <f ca="1">IFERROR(__xludf.DUMMYFUNCTION("GOOGLEFINANCE(A164,""CLOSEYEST"")"),152.51)</f>
        <v>152.51</v>
      </c>
      <c r="H164" s="14" t="str">
        <f t="shared" ca="1" si="13"/>
        <v/>
      </c>
      <c r="I164" s="15">
        <f t="shared" ca="1" si="8"/>
        <v>149.55333333333331</v>
      </c>
      <c r="J164" s="16">
        <f t="shared" ca="1" si="9"/>
        <v>155.95666666666662</v>
      </c>
      <c r="K164" s="16"/>
      <c r="L164" s="16">
        <f t="shared" ca="1" si="10"/>
        <v>146.10666666666663</v>
      </c>
      <c r="M164" s="16">
        <f t="shared" ca="1" si="11"/>
        <v>159.40333333333331</v>
      </c>
      <c r="N164" s="16">
        <f t="shared" ca="1" si="12"/>
        <v>139.70333333333332</v>
      </c>
    </row>
    <row r="165" spans="1:14" ht="24.75" customHeight="1" x14ac:dyDescent="0.8">
      <c r="A165" s="18" t="s">
        <v>129</v>
      </c>
      <c r="B165" s="10">
        <f ca="1">IFERROR(__xludf.DUMMYFUNCTION("GOOGLEFINANCE(A165,""PRICE"")"),114.3)</f>
        <v>114.3</v>
      </c>
      <c r="C165" s="11">
        <f ca="1">IFERROR(__xludf.DUMMYFUNCTION("GOOGLEFINANCE(A165,""PRICEOPEN"")"),112.65)</f>
        <v>112.65</v>
      </c>
      <c r="D165" s="11">
        <f ca="1">IFERROR(__xludf.DUMMYFUNCTION("GOOGLEFINANCE(A165,""HIGH"")"),114.85)</f>
        <v>114.85</v>
      </c>
      <c r="E165" s="11">
        <f ca="1">IFERROR(__xludf.DUMMYFUNCTION("GOOGLEFINANCE(A165,""LOW"")"),112.44)</f>
        <v>112.44</v>
      </c>
      <c r="F165" s="12" t="str">
        <f t="shared" ca="1" si="7"/>
        <v/>
      </c>
      <c r="G165" s="13">
        <f ca="1">IFERROR(__xludf.DUMMYFUNCTION("GOOGLEFINANCE(A165,""CLOSEYEST"")"),112.55)</f>
        <v>112.55</v>
      </c>
      <c r="H165" s="14" t="str">
        <f t="shared" ca="1" si="13"/>
        <v/>
      </c>
      <c r="I165" s="15">
        <f t="shared" ca="1" si="8"/>
        <v>113.27999999999999</v>
      </c>
      <c r="J165" s="16">
        <f t="shared" ca="1" si="9"/>
        <v>114.11999999999998</v>
      </c>
      <c r="K165" s="16"/>
      <c r="L165" s="16">
        <f t="shared" ca="1" si="10"/>
        <v>111.70999999999998</v>
      </c>
      <c r="M165" s="16">
        <f t="shared" ca="1" si="11"/>
        <v>115.68999999999998</v>
      </c>
      <c r="N165" s="16">
        <f t="shared" ca="1" si="12"/>
        <v>110.86999999999999</v>
      </c>
    </row>
    <row r="166" spans="1:14" ht="24.75" customHeight="1" x14ac:dyDescent="0.8">
      <c r="A166" s="18" t="s">
        <v>130</v>
      </c>
      <c r="B166" s="10">
        <f ca="1">IFERROR(__xludf.DUMMYFUNCTION("GOOGLEFINANCE(A166,""PRICE"")"),5425)</f>
        <v>5425</v>
      </c>
      <c r="C166" s="11">
        <f ca="1">IFERROR(__xludf.DUMMYFUNCTION("GOOGLEFINANCE(A166,""PRICEOPEN"")"),5519)</f>
        <v>5519</v>
      </c>
      <c r="D166" s="11">
        <f ca="1">IFERROR(__xludf.DUMMYFUNCTION("GOOGLEFINANCE(A166,""HIGH"")"),5519)</f>
        <v>5519</v>
      </c>
      <c r="E166" s="11">
        <f ca="1">IFERROR(__xludf.DUMMYFUNCTION("GOOGLEFINANCE(A166,""LOW"")"),5425)</f>
        <v>5425</v>
      </c>
      <c r="F166" s="12" t="str">
        <f t="shared" ca="1" si="7"/>
        <v>SELL</v>
      </c>
      <c r="G166" s="13">
        <f ca="1">IFERROR(__xludf.DUMMYFUNCTION("GOOGLEFINANCE(A166,""CLOSEYEST"")"),5459.5)</f>
        <v>5459.5</v>
      </c>
      <c r="H166" s="14" t="str">
        <f t="shared" ca="1" si="13"/>
        <v>GAP UP</v>
      </c>
      <c r="I166" s="15">
        <f t="shared" ca="1" si="8"/>
        <v>5467.833333333333</v>
      </c>
      <c r="J166" s="16">
        <f t="shared" ca="1" si="9"/>
        <v>5510.6666666666661</v>
      </c>
      <c r="K166" s="16"/>
      <c r="L166" s="16">
        <f t="shared" ca="1" si="10"/>
        <v>5416.6666666666661</v>
      </c>
      <c r="M166" s="16">
        <f t="shared" ca="1" si="11"/>
        <v>5561.833333333333</v>
      </c>
      <c r="N166" s="16">
        <f t="shared" ca="1" si="12"/>
        <v>5373.833333333333</v>
      </c>
    </row>
    <row r="167" spans="1:14" ht="24.75" customHeight="1" x14ac:dyDescent="0.8">
      <c r="A167" s="18" t="s">
        <v>131</v>
      </c>
      <c r="B167" s="10">
        <f ca="1">IFERROR(__xludf.DUMMYFUNCTION("GOOGLEFINANCE(A167,""PRICE"")"),24.31)</f>
        <v>24.31</v>
      </c>
      <c r="C167" s="11">
        <f ca="1">IFERROR(__xludf.DUMMYFUNCTION("GOOGLEFINANCE(A167,""PRICEOPEN"")"),24.72)</f>
        <v>24.72</v>
      </c>
      <c r="D167" s="11">
        <f ca="1">IFERROR(__xludf.DUMMYFUNCTION("GOOGLEFINANCE(A167,""HIGH"")"),24.79)</f>
        <v>24.79</v>
      </c>
      <c r="E167" s="11">
        <f ca="1">IFERROR(__xludf.DUMMYFUNCTION("GOOGLEFINANCE(A167,""LOW"")"),24.26)</f>
        <v>24.26</v>
      </c>
      <c r="F167" s="12" t="str">
        <f t="shared" ca="1" si="7"/>
        <v/>
      </c>
      <c r="G167" s="13">
        <f ca="1">IFERROR(__xludf.DUMMYFUNCTION("GOOGLEFINANCE(A167,""CLOSEYEST"")"),24.4)</f>
        <v>24.4</v>
      </c>
      <c r="H167" s="14" t="str">
        <f t="shared" ca="1" si="13"/>
        <v>GAP UP</v>
      </c>
      <c r="I167" s="15">
        <f t="shared" ca="1" si="8"/>
        <v>24.483333333333331</v>
      </c>
      <c r="J167" s="16">
        <f t="shared" ca="1" si="9"/>
        <v>24.70666666666666</v>
      </c>
      <c r="K167" s="16"/>
      <c r="L167" s="16">
        <f t="shared" ca="1" si="10"/>
        <v>24.176666666666662</v>
      </c>
      <c r="M167" s="16">
        <f t="shared" ca="1" si="11"/>
        <v>25.013333333333328</v>
      </c>
      <c r="N167" s="16">
        <f t="shared" ca="1" si="12"/>
        <v>23.953333333333333</v>
      </c>
    </row>
    <row r="168" spans="1:14" ht="24.75" customHeight="1" x14ac:dyDescent="0.8">
      <c r="A168" s="18" t="s">
        <v>132</v>
      </c>
      <c r="B168" s="10">
        <f ca="1">IFERROR(__xludf.DUMMYFUNCTION("GOOGLEFINANCE(A168,""PRICE"")"),3621.1)</f>
        <v>3621.1</v>
      </c>
      <c r="C168" s="11">
        <f ca="1">IFERROR(__xludf.DUMMYFUNCTION("GOOGLEFINANCE(A168,""PRICEOPEN"")"),3570)</f>
        <v>3570</v>
      </c>
      <c r="D168" s="11">
        <f ca="1">IFERROR(__xludf.DUMMYFUNCTION("GOOGLEFINANCE(A168,""HIGH"")"),3628.6)</f>
        <v>3628.6</v>
      </c>
      <c r="E168" s="11">
        <f ca="1">IFERROR(__xludf.DUMMYFUNCTION("GOOGLEFINANCE(A168,""LOW"")"),3562.2)</f>
        <v>3562.2</v>
      </c>
      <c r="F168" s="12" t="str">
        <f t="shared" ca="1" si="7"/>
        <v/>
      </c>
      <c r="G168" s="13">
        <f ca="1">IFERROR(__xludf.DUMMYFUNCTION("GOOGLEFINANCE(A168,""CLOSEYEST"")"),3584.1)</f>
        <v>3584.1</v>
      </c>
      <c r="H168" s="14" t="str">
        <f t="shared" ca="1" si="13"/>
        <v/>
      </c>
      <c r="I168" s="15">
        <f t="shared" ca="1" si="8"/>
        <v>3591.6333333333332</v>
      </c>
      <c r="J168" s="16">
        <f t="shared" ca="1" si="9"/>
        <v>3621.0666666666666</v>
      </c>
      <c r="K168" s="16"/>
      <c r="L168" s="16">
        <f t="shared" ca="1" si="10"/>
        <v>3554.6666666666665</v>
      </c>
      <c r="M168" s="16">
        <f t="shared" ca="1" si="11"/>
        <v>3658.0333333333333</v>
      </c>
      <c r="N168" s="16">
        <f t="shared" ca="1" si="12"/>
        <v>3525.2333333333331</v>
      </c>
    </row>
    <row r="169" spans="1:14" ht="24.75" customHeight="1" x14ac:dyDescent="0.8">
      <c r="A169" s="18" t="s">
        <v>133</v>
      </c>
      <c r="B169" s="10">
        <f ca="1">IFERROR(__xludf.DUMMYFUNCTION("GOOGLEFINANCE(A169,""PRICE"")"),421.4)</f>
        <v>421.4</v>
      </c>
      <c r="C169" s="11">
        <f ca="1">IFERROR(__xludf.DUMMYFUNCTION("GOOGLEFINANCE(A169,""PRICEOPEN"")"),413.75)</f>
        <v>413.75</v>
      </c>
      <c r="D169" s="11">
        <f ca="1">IFERROR(__xludf.DUMMYFUNCTION("GOOGLEFINANCE(A169,""HIGH"")"),421.4)</f>
        <v>421.4</v>
      </c>
      <c r="E169" s="11">
        <f ca="1">IFERROR(__xludf.DUMMYFUNCTION("GOOGLEFINANCE(A169,""LOW"")"),410.25)</f>
        <v>410.25</v>
      </c>
      <c r="F169" s="12" t="str">
        <f t="shared" ca="1" si="7"/>
        <v/>
      </c>
      <c r="G169" s="13">
        <f ca="1">IFERROR(__xludf.DUMMYFUNCTION("GOOGLEFINANCE(A169,""CLOSEYEST"")"),413.75)</f>
        <v>413.75</v>
      </c>
      <c r="H169" s="14" t="str">
        <f t="shared" ca="1" si="13"/>
        <v/>
      </c>
      <c r="I169" s="15">
        <f t="shared" ca="1" si="8"/>
        <v>415.13333333333338</v>
      </c>
      <c r="J169" s="16">
        <f t="shared" ca="1" si="9"/>
        <v>420.01666666666677</v>
      </c>
      <c r="K169" s="16"/>
      <c r="L169" s="16">
        <f t="shared" ca="1" si="10"/>
        <v>408.86666666666679</v>
      </c>
      <c r="M169" s="16">
        <f t="shared" ca="1" si="11"/>
        <v>426.28333333333336</v>
      </c>
      <c r="N169" s="16">
        <f t="shared" ca="1" si="12"/>
        <v>403.98333333333341</v>
      </c>
    </row>
    <row r="170" spans="1:14" ht="24.75" customHeight="1" x14ac:dyDescent="0.8">
      <c r="A170" s="18" t="s">
        <v>134</v>
      </c>
      <c r="B170" s="10" t="str">
        <f ca="1">IFERROR(__xludf.DUMMYFUNCTION("GOOGLEFINANCE(A170,""PRICE"")"),"#N/A")</f>
        <v>#N/A</v>
      </c>
      <c r="C170" s="11" t="str">
        <f ca="1">IFERROR(__xludf.DUMMYFUNCTION("GOOGLEFINANCE(A170,""PRICEOPEN"")"),"#N/A")</f>
        <v>#N/A</v>
      </c>
      <c r="D170" s="11" t="str">
        <f ca="1">IFERROR(__xludf.DUMMYFUNCTION("GOOGLEFINANCE(A170,""HIGH"")"),"#N/A")</f>
        <v>#N/A</v>
      </c>
      <c r="E170" s="11" t="str">
        <f ca="1">IFERROR(__xludf.DUMMYFUNCTION("GOOGLEFINANCE(A170,""LOW"")"),"#N/A")</f>
        <v>#N/A</v>
      </c>
      <c r="F170" s="12" t="str">
        <f t="shared" ca="1" si="7"/>
        <v>SELL</v>
      </c>
      <c r="G170" s="13" t="str">
        <f ca="1">IFERROR(__xludf.DUMMYFUNCTION("GOOGLEFINANCE(A170,""CLOSEYEST"")"),"#N/A")</f>
        <v>#N/A</v>
      </c>
      <c r="H170" s="14" t="e">
        <f t="shared" ca="1" si="13"/>
        <v>#VALUE!</v>
      </c>
      <c r="I170" s="15" t="e">
        <f t="shared" ca="1" si="8"/>
        <v>#VALUE!</v>
      </c>
      <c r="J170" s="16" t="e">
        <f t="shared" ca="1" si="9"/>
        <v>#VALUE!</v>
      </c>
      <c r="K170" s="16"/>
      <c r="L170" s="16" t="e">
        <f t="shared" ca="1" si="10"/>
        <v>#VALUE!</v>
      </c>
      <c r="M170" s="16" t="e">
        <f t="shared" ca="1" si="11"/>
        <v>#VALUE!</v>
      </c>
      <c r="N170" s="16" t="e">
        <f t="shared" ca="1" si="12"/>
        <v>#VALUE!</v>
      </c>
    </row>
    <row r="171" spans="1:14" ht="24.75" customHeight="1" x14ac:dyDescent="0.8">
      <c r="A171" s="18" t="s">
        <v>135</v>
      </c>
      <c r="B171" s="10">
        <f ca="1">IFERROR(__xludf.DUMMYFUNCTION("GOOGLEFINANCE(A171,""PRICE"")"),351.6)</f>
        <v>351.6</v>
      </c>
      <c r="C171" s="11">
        <f ca="1">IFERROR(__xludf.DUMMYFUNCTION("GOOGLEFINANCE(A171,""PRICEOPEN"")"),347.6)</f>
        <v>347.6</v>
      </c>
      <c r="D171" s="11">
        <f ca="1">IFERROR(__xludf.DUMMYFUNCTION("GOOGLEFINANCE(A171,""HIGH"")"),352.95)</f>
        <v>352.95</v>
      </c>
      <c r="E171" s="11">
        <f ca="1">IFERROR(__xludf.DUMMYFUNCTION("GOOGLEFINANCE(A171,""LOW"")"),346.75)</f>
        <v>346.75</v>
      </c>
      <c r="F171" s="12" t="str">
        <f t="shared" ca="1" si="7"/>
        <v/>
      </c>
      <c r="G171" s="13">
        <f ca="1">IFERROR(__xludf.DUMMYFUNCTION("GOOGLEFINANCE(A171,""CLOSEYEST"")"),346.45)</f>
        <v>346.45</v>
      </c>
      <c r="H171" s="14" t="str">
        <f t="shared" ca="1" si="13"/>
        <v/>
      </c>
      <c r="I171" s="15">
        <f t="shared" ca="1" si="8"/>
        <v>348.7166666666667</v>
      </c>
      <c r="J171" s="16">
        <f t="shared" ca="1" si="9"/>
        <v>350.68333333333339</v>
      </c>
      <c r="K171" s="16"/>
      <c r="L171" s="16">
        <f t="shared" ca="1" si="10"/>
        <v>344.48333333333341</v>
      </c>
      <c r="M171" s="16">
        <f t="shared" ca="1" si="11"/>
        <v>354.91666666666669</v>
      </c>
      <c r="N171" s="16">
        <f t="shared" ca="1" si="12"/>
        <v>342.51666666666671</v>
      </c>
    </row>
    <row r="172" spans="1:14" ht="24.75" customHeight="1" x14ac:dyDescent="0.8">
      <c r="A172" s="18" t="s">
        <v>136</v>
      </c>
      <c r="B172" s="10">
        <f ca="1">IFERROR(__xludf.DUMMYFUNCTION("GOOGLEFINANCE(A172,""PRICE"")"),23.52)</f>
        <v>23.52</v>
      </c>
      <c r="C172" s="11">
        <f ca="1">IFERROR(__xludf.DUMMYFUNCTION("GOOGLEFINANCE(A172,""PRICEOPEN"")"),23.37)</f>
        <v>23.37</v>
      </c>
      <c r="D172" s="11">
        <f ca="1">IFERROR(__xludf.DUMMYFUNCTION("GOOGLEFINANCE(A172,""HIGH"")"),23.87)</f>
        <v>23.87</v>
      </c>
      <c r="E172" s="11">
        <f ca="1">IFERROR(__xludf.DUMMYFUNCTION("GOOGLEFINANCE(A172,""LOW"")"),23.19)</f>
        <v>23.19</v>
      </c>
      <c r="F172" s="12" t="str">
        <f t="shared" ca="1" si="7"/>
        <v/>
      </c>
      <c r="G172" s="13">
        <f ca="1">IFERROR(__xludf.DUMMYFUNCTION("GOOGLEFINANCE(A172,""CLOSEYEST"")"),23.36)</f>
        <v>23.36</v>
      </c>
      <c r="H172" s="14" t="str">
        <f t="shared" ca="1" si="13"/>
        <v/>
      </c>
      <c r="I172" s="15">
        <f t="shared" ca="1" si="8"/>
        <v>23.473333333333333</v>
      </c>
      <c r="J172" s="16">
        <f t="shared" ca="1" si="9"/>
        <v>23.756666666666664</v>
      </c>
      <c r="K172" s="16"/>
      <c r="L172" s="16">
        <f t="shared" ca="1" si="10"/>
        <v>23.076666666666664</v>
      </c>
      <c r="M172" s="16">
        <f t="shared" ca="1" si="11"/>
        <v>24.153333333333332</v>
      </c>
      <c r="N172" s="16">
        <f t="shared" ca="1" si="12"/>
        <v>22.793333333333333</v>
      </c>
    </row>
    <row r="173" spans="1:14" ht="24.75" customHeight="1" x14ac:dyDescent="0.8">
      <c r="A173" s="18" t="s">
        <v>137</v>
      </c>
      <c r="B173" s="10">
        <f ca="1">IFERROR(__xludf.DUMMYFUNCTION("GOOGLEFINANCE(A173,""PRICE"")"),1095)</f>
        <v>1095</v>
      </c>
      <c r="C173" s="11">
        <f ca="1">IFERROR(__xludf.DUMMYFUNCTION("GOOGLEFINANCE(A173,""PRICEOPEN"")"),1095)</f>
        <v>1095</v>
      </c>
      <c r="D173" s="11">
        <f ca="1">IFERROR(__xludf.DUMMYFUNCTION("GOOGLEFINANCE(A173,""HIGH"")"),1102.6)</f>
        <v>1102.5999999999999</v>
      </c>
      <c r="E173" s="11">
        <f ca="1">IFERROR(__xludf.DUMMYFUNCTION("GOOGLEFINANCE(A173,""LOW"")"),1086.8)</f>
        <v>1086.8</v>
      </c>
      <c r="F173" s="12" t="str">
        <f t="shared" ca="1" si="7"/>
        <v/>
      </c>
      <c r="G173" s="13">
        <f ca="1">IFERROR(__xludf.DUMMYFUNCTION("GOOGLEFINANCE(A173,""CLOSEYEST"")"),1086)</f>
        <v>1086</v>
      </c>
      <c r="H173" s="14" t="str">
        <f t="shared" ca="1" si="13"/>
        <v/>
      </c>
      <c r="I173" s="15">
        <f t="shared" ca="1" si="8"/>
        <v>1091.8</v>
      </c>
      <c r="J173" s="16">
        <f t="shared" ca="1" si="9"/>
        <v>1096.8</v>
      </c>
      <c r="K173" s="16"/>
      <c r="L173" s="16">
        <f t="shared" ca="1" si="10"/>
        <v>1081</v>
      </c>
      <c r="M173" s="16">
        <f t="shared" ca="1" si="11"/>
        <v>1107.5999999999999</v>
      </c>
      <c r="N173" s="16">
        <f t="shared" ca="1" si="12"/>
        <v>1076</v>
      </c>
    </row>
    <row r="174" spans="1:14" ht="24.75" customHeight="1" x14ac:dyDescent="0.8">
      <c r="A174" s="18" t="s">
        <v>138</v>
      </c>
      <c r="B174" s="10">
        <f ca="1">IFERROR(__xludf.DUMMYFUNCTION("GOOGLEFINANCE(A174,""PRICE"")"),1975)</f>
        <v>1975</v>
      </c>
      <c r="C174" s="11">
        <f ca="1">IFERROR(__xludf.DUMMYFUNCTION("GOOGLEFINANCE(A174,""PRICEOPEN"")"),1984.4)</f>
        <v>1984.4</v>
      </c>
      <c r="D174" s="11">
        <f ca="1">IFERROR(__xludf.DUMMYFUNCTION("GOOGLEFINANCE(A174,""HIGH"")"),2006.1)</f>
        <v>2006.1</v>
      </c>
      <c r="E174" s="11">
        <f ca="1">IFERROR(__xludf.DUMMYFUNCTION("GOOGLEFINANCE(A174,""LOW"")"),1969.1)</f>
        <v>1969.1</v>
      </c>
      <c r="F174" s="12" t="str">
        <f t="shared" ca="1" si="7"/>
        <v/>
      </c>
      <c r="G174" s="13">
        <f ca="1">IFERROR(__xludf.DUMMYFUNCTION("GOOGLEFINANCE(A174,""CLOSEYEST"")"),1981.3)</f>
        <v>1981.3</v>
      </c>
      <c r="H174" s="14" t="str">
        <f t="shared" ca="1" si="13"/>
        <v/>
      </c>
      <c r="I174" s="15">
        <f t="shared" ca="1" si="8"/>
        <v>1985.5</v>
      </c>
      <c r="J174" s="16">
        <f t="shared" ca="1" si="9"/>
        <v>2001.9</v>
      </c>
      <c r="K174" s="16"/>
      <c r="L174" s="16">
        <f t="shared" ca="1" si="10"/>
        <v>1964.9</v>
      </c>
      <c r="M174" s="16">
        <f t="shared" ca="1" si="11"/>
        <v>2022.5</v>
      </c>
      <c r="N174" s="16">
        <f t="shared" ca="1" si="12"/>
        <v>1948.5</v>
      </c>
    </row>
    <row r="175" spans="1:14" ht="24.75" customHeight="1" x14ac:dyDescent="0.8">
      <c r="A175" s="18" t="s">
        <v>139</v>
      </c>
      <c r="B175" s="10">
        <f ca="1">IFERROR(__xludf.DUMMYFUNCTION("GOOGLEFINANCE(A175,""PRICE"")"),1799)</f>
        <v>1799</v>
      </c>
      <c r="C175" s="11">
        <f ca="1">IFERROR(__xludf.DUMMYFUNCTION("GOOGLEFINANCE(A175,""PRICEOPEN"")"),1810)</f>
        <v>1810</v>
      </c>
      <c r="D175" s="11">
        <f ca="1">IFERROR(__xludf.DUMMYFUNCTION("GOOGLEFINANCE(A175,""HIGH"")"),1824.5)</f>
        <v>1824.5</v>
      </c>
      <c r="E175" s="11">
        <f ca="1">IFERROR(__xludf.DUMMYFUNCTION("GOOGLEFINANCE(A175,""LOW"")"),1795.3)</f>
        <v>1795.3</v>
      </c>
      <c r="F175" s="12" t="str">
        <f t="shared" ca="1" si="7"/>
        <v/>
      </c>
      <c r="G175" s="13">
        <f ca="1">IFERROR(__xludf.DUMMYFUNCTION("GOOGLEFINANCE(A175,""CLOSEYEST"")"),1798.8)</f>
        <v>1798.8</v>
      </c>
      <c r="H175" s="14" t="str">
        <f t="shared" ca="1" si="13"/>
        <v/>
      </c>
      <c r="I175" s="15">
        <f t="shared" ca="1" si="8"/>
        <v>1806.2</v>
      </c>
      <c r="J175" s="16">
        <f t="shared" ca="1" si="9"/>
        <v>1817.1000000000001</v>
      </c>
      <c r="K175" s="16"/>
      <c r="L175" s="16">
        <f t="shared" ca="1" si="10"/>
        <v>1787.9</v>
      </c>
      <c r="M175" s="16">
        <f t="shared" ca="1" si="11"/>
        <v>1835.4</v>
      </c>
      <c r="N175" s="16">
        <f t="shared" ca="1" si="12"/>
        <v>1777</v>
      </c>
    </row>
    <row r="176" spans="1:14" ht="24.75" customHeight="1" x14ac:dyDescent="0.8">
      <c r="A176" s="18" t="s">
        <v>140</v>
      </c>
      <c r="B176" s="10">
        <f ca="1">IFERROR(__xludf.DUMMYFUNCTION("GOOGLEFINANCE(A176,""PRICE"")"),1616)</f>
        <v>1616</v>
      </c>
      <c r="C176" s="11">
        <f ca="1">IFERROR(__xludf.DUMMYFUNCTION("GOOGLEFINANCE(A176,""PRICEOPEN"")"),1613.2)</f>
        <v>1613.2</v>
      </c>
      <c r="D176" s="11">
        <f ca="1">IFERROR(__xludf.DUMMYFUNCTION("GOOGLEFINANCE(A176,""HIGH"")"),1622.6)</f>
        <v>1622.6</v>
      </c>
      <c r="E176" s="11">
        <f ca="1">IFERROR(__xludf.DUMMYFUNCTION("GOOGLEFINANCE(A176,""LOW"")"),1599.2)</f>
        <v>1599.2</v>
      </c>
      <c r="F176" s="12" t="str">
        <f t="shared" ca="1" si="7"/>
        <v/>
      </c>
      <c r="G176" s="13">
        <f ca="1">IFERROR(__xludf.DUMMYFUNCTION("GOOGLEFINANCE(A176,""CLOSEYEST"")"),1613.2)</f>
        <v>1613.2</v>
      </c>
      <c r="H176" s="14" t="str">
        <f t="shared" ca="1" si="13"/>
        <v/>
      </c>
      <c r="I176" s="15">
        <f t="shared" ca="1" si="8"/>
        <v>1611.6666666666667</v>
      </c>
      <c r="J176" s="16">
        <f t="shared" ca="1" si="9"/>
        <v>1624.1333333333334</v>
      </c>
      <c r="K176" s="16"/>
      <c r="L176" s="16">
        <f t="shared" ca="1" si="10"/>
        <v>1600.7333333333336</v>
      </c>
      <c r="M176" s="16">
        <f t="shared" ca="1" si="11"/>
        <v>1635.0666666666666</v>
      </c>
      <c r="N176" s="16">
        <f t="shared" ca="1" si="12"/>
        <v>1588.2666666666669</v>
      </c>
    </row>
    <row r="177" spans="1:14" ht="24.75" customHeight="1" x14ac:dyDescent="0.8">
      <c r="A177" s="18" t="s">
        <v>141</v>
      </c>
      <c r="B177" s="10">
        <f ca="1">IFERROR(__xludf.DUMMYFUNCTION("GOOGLEFINANCE(A177,""PRICE"")"),1360)</f>
        <v>1360</v>
      </c>
      <c r="C177" s="11">
        <f ca="1">IFERROR(__xludf.DUMMYFUNCTION("GOOGLEFINANCE(A177,""PRICEOPEN"")"),1350)</f>
        <v>1350</v>
      </c>
      <c r="D177" s="11">
        <f ca="1">IFERROR(__xludf.DUMMYFUNCTION("GOOGLEFINANCE(A177,""HIGH"")"),1366.1)</f>
        <v>1366.1</v>
      </c>
      <c r="E177" s="11">
        <f ca="1">IFERROR(__xludf.DUMMYFUNCTION("GOOGLEFINANCE(A177,""LOW"")"),1346.1)</f>
        <v>1346.1</v>
      </c>
      <c r="F177" s="12" t="str">
        <f t="shared" ca="1" si="7"/>
        <v/>
      </c>
      <c r="G177" s="13">
        <f ca="1">IFERROR(__xludf.DUMMYFUNCTION("GOOGLEFINANCE(A177,""CLOSEYEST"")"),1353.5)</f>
        <v>1353.5</v>
      </c>
      <c r="H177" s="14" t="str">
        <f t="shared" ca="1" si="13"/>
        <v/>
      </c>
      <c r="I177" s="15">
        <f t="shared" ca="1" si="8"/>
        <v>1355.2333333333333</v>
      </c>
      <c r="J177" s="16">
        <f t="shared" ca="1" si="9"/>
        <v>1364.3666666666668</v>
      </c>
      <c r="K177" s="16"/>
      <c r="L177" s="16">
        <f t="shared" ca="1" si="10"/>
        <v>1344.3666666666668</v>
      </c>
      <c r="M177" s="16">
        <f t="shared" ca="1" si="11"/>
        <v>1375.2333333333333</v>
      </c>
      <c r="N177" s="16">
        <f t="shared" ca="1" si="12"/>
        <v>1335.2333333333333</v>
      </c>
    </row>
    <row r="178" spans="1:14" ht="24.75" customHeight="1" x14ac:dyDescent="0.8">
      <c r="A178" s="18" t="s">
        <v>142</v>
      </c>
      <c r="B178" s="10">
        <f ca="1">IFERROR(__xludf.DUMMYFUNCTION("GOOGLEFINANCE(A178,""PRICE"")"),77.17)</f>
        <v>77.17</v>
      </c>
      <c r="C178" s="11">
        <f ca="1">IFERROR(__xludf.DUMMYFUNCTION("GOOGLEFINANCE(A178,""PRICEOPEN"")"),76.61)</f>
        <v>76.61</v>
      </c>
      <c r="D178" s="11">
        <f ca="1">IFERROR(__xludf.DUMMYFUNCTION("GOOGLEFINANCE(A178,""HIGH"")"),77.98)</f>
        <v>77.98</v>
      </c>
      <c r="E178" s="11">
        <f ca="1">IFERROR(__xludf.DUMMYFUNCTION("GOOGLEFINANCE(A178,""LOW"")"),76.09)</f>
        <v>76.09</v>
      </c>
      <c r="F178" s="12" t="str">
        <f t="shared" ca="1" si="7"/>
        <v/>
      </c>
      <c r="G178" s="13">
        <f ca="1">IFERROR(__xludf.DUMMYFUNCTION("GOOGLEFINANCE(A178,""CLOSEYEST"")"),76.16)</f>
        <v>76.16</v>
      </c>
      <c r="H178" s="14" t="str">
        <f t="shared" ca="1" si="13"/>
        <v/>
      </c>
      <c r="I178" s="15">
        <f t="shared" ca="1" si="8"/>
        <v>76.743333333333325</v>
      </c>
      <c r="J178" s="16">
        <f t="shared" ca="1" si="9"/>
        <v>77.396666666666647</v>
      </c>
      <c r="K178" s="16"/>
      <c r="L178" s="16">
        <f t="shared" ca="1" si="10"/>
        <v>75.506666666666646</v>
      </c>
      <c r="M178" s="16">
        <f t="shared" ca="1" si="11"/>
        <v>78.633333333333326</v>
      </c>
      <c r="N178" s="16">
        <f t="shared" ca="1" si="12"/>
        <v>74.853333333333325</v>
      </c>
    </row>
    <row r="179" spans="1:14" ht="24.75" customHeight="1" x14ac:dyDescent="0.8">
      <c r="A179" s="18" t="s">
        <v>143</v>
      </c>
      <c r="B179" s="10">
        <f ca="1">IFERROR(__xludf.DUMMYFUNCTION("GOOGLEFINANCE(A179,""PRICE"")"),740.5)</f>
        <v>740.5</v>
      </c>
      <c r="C179" s="11">
        <f ca="1">IFERROR(__xludf.DUMMYFUNCTION("GOOGLEFINANCE(A179,""PRICEOPEN"")"),722.05)</f>
        <v>722.05</v>
      </c>
      <c r="D179" s="11">
        <f ca="1">IFERROR(__xludf.DUMMYFUNCTION("GOOGLEFINANCE(A179,""HIGH"")"),743.7)</f>
        <v>743.7</v>
      </c>
      <c r="E179" s="11">
        <f ca="1">IFERROR(__xludf.DUMMYFUNCTION("GOOGLEFINANCE(A179,""LOW"")"),720.7)</f>
        <v>720.7</v>
      </c>
      <c r="F179" s="12" t="str">
        <f t="shared" ca="1" si="7"/>
        <v/>
      </c>
      <c r="G179" s="13">
        <f ca="1">IFERROR(__xludf.DUMMYFUNCTION("GOOGLEFINANCE(A179,""CLOSEYEST"")"),724.55)</f>
        <v>724.55</v>
      </c>
      <c r="H179" s="14" t="str">
        <f t="shared" ca="1" si="13"/>
        <v/>
      </c>
      <c r="I179" s="15">
        <f t="shared" ca="1" si="8"/>
        <v>729.65</v>
      </c>
      <c r="J179" s="16">
        <f t="shared" ca="1" si="9"/>
        <v>738.59999999999991</v>
      </c>
      <c r="K179" s="16"/>
      <c r="L179" s="16">
        <f t="shared" ca="1" si="10"/>
        <v>715.59999999999991</v>
      </c>
      <c r="M179" s="16">
        <f t="shared" ca="1" si="11"/>
        <v>752.65</v>
      </c>
      <c r="N179" s="16">
        <f t="shared" ca="1" si="12"/>
        <v>706.65</v>
      </c>
    </row>
    <row r="180" spans="1:14" ht="24.75" customHeight="1" x14ac:dyDescent="0.8">
      <c r="A180" s="18" t="s">
        <v>144</v>
      </c>
      <c r="B180" s="10">
        <f ca="1">IFERROR(__xludf.DUMMYFUNCTION("GOOGLEFINANCE(A180,""PRICE"")"),125.98)</f>
        <v>125.98</v>
      </c>
      <c r="C180" s="11">
        <f ca="1">IFERROR(__xludf.DUMMYFUNCTION("GOOGLEFINANCE(A180,""PRICEOPEN"")"),123.77)</f>
        <v>123.77</v>
      </c>
      <c r="D180" s="11">
        <f ca="1">IFERROR(__xludf.DUMMYFUNCTION("GOOGLEFINANCE(A180,""HIGH"")"),126.42)</f>
        <v>126.42</v>
      </c>
      <c r="E180" s="11">
        <f ca="1">IFERROR(__xludf.DUMMYFUNCTION("GOOGLEFINANCE(A180,""LOW"")"),123.32)</f>
        <v>123.32</v>
      </c>
      <c r="F180" s="12" t="str">
        <f t="shared" ca="1" si="7"/>
        <v/>
      </c>
      <c r="G180" s="13">
        <f ca="1">IFERROR(__xludf.DUMMYFUNCTION("GOOGLEFINANCE(A180,""CLOSEYEST"")"),123.76)</f>
        <v>123.76</v>
      </c>
      <c r="H180" s="14" t="str">
        <f t="shared" ca="1" si="13"/>
        <v/>
      </c>
      <c r="I180" s="15">
        <f t="shared" ca="1" si="8"/>
        <v>124.5</v>
      </c>
      <c r="J180" s="16">
        <f t="shared" ca="1" si="9"/>
        <v>125.68</v>
      </c>
      <c r="K180" s="16"/>
      <c r="L180" s="16">
        <f t="shared" ca="1" si="10"/>
        <v>122.58</v>
      </c>
      <c r="M180" s="16">
        <f t="shared" ca="1" si="11"/>
        <v>127.60000000000001</v>
      </c>
      <c r="N180" s="16">
        <f t="shared" ca="1" si="12"/>
        <v>121.39999999999999</v>
      </c>
    </row>
    <row r="181" spans="1:14" ht="24.75" customHeight="1" x14ac:dyDescent="0.8">
      <c r="A181" s="18" t="s">
        <v>145</v>
      </c>
      <c r="B181" s="10">
        <f ca="1">IFERROR(__xludf.DUMMYFUNCTION("GOOGLEFINANCE(A181,""PRICE"")"),4817.8)</f>
        <v>4817.8</v>
      </c>
      <c r="C181" s="11">
        <f ca="1">IFERROR(__xludf.DUMMYFUNCTION("GOOGLEFINANCE(A181,""PRICEOPEN"")"),4804)</f>
        <v>4804</v>
      </c>
      <c r="D181" s="11">
        <f ca="1">IFERROR(__xludf.DUMMYFUNCTION("GOOGLEFINANCE(A181,""HIGH"")"),4836.5)</f>
        <v>4836.5</v>
      </c>
      <c r="E181" s="11">
        <f ca="1">IFERROR(__xludf.DUMMYFUNCTION("GOOGLEFINANCE(A181,""LOW"")"),4738)</f>
        <v>4738</v>
      </c>
      <c r="F181" s="12" t="str">
        <f t="shared" ca="1" si="7"/>
        <v/>
      </c>
      <c r="G181" s="13">
        <f ca="1">IFERROR(__xludf.DUMMYFUNCTION("GOOGLEFINANCE(A181,""CLOSEYEST"")"),4832)</f>
        <v>4832</v>
      </c>
      <c r="H181" s="14" t="str">
        <f t="shared" ca="1" si="13"/>
        <v/>
      </c>
      <c r="I181" s="15">
        <f t="shared" ca="1" si="8"/>
        <v>4802.166666666667</v>
      </c>
      <c r="J181" s="16">
        <f t="shared" ca="1" si="9"/>
        <v>4866.3333333333339</v>
      </c>
      <c r="K181" s="16"/>
      <c r="L181" s="16">
        <f t="shared" ca="1" si="10"/>
        <v>4767.8333333333339</v>
      </c>
      <c r="M181" s="16">
        <f t="shared" ca="1" si="11"/>
        <v>4900.666666666667</v>
      </c>
      <c r="N181" s="16">
        <f t="shared" ca="1" si="12"/>
        <v>4703.666666666667</v>
      </c>
    </row>
    <row r="182" spans="1:14" ht="24.75" customHeight="1" x14ac:dyDescent="0.8">
      <c r="A182" s="18" t="s">
        <v>146</v>
      </c>
      <c r="B182" s="10">
        <f ca="1">IFERROR(__xludf.DUMMYFUNCTION("GOOGLEFINANCE(A182,""PRICE"")"),10.5)</f>
        <v>10.5</v>
      </c>
      <c r="C182" s="11">
        <f ca="1">IFERROR(__xludf.DUMMYFUNCTION("GOOGLEFINANCE(A182,""PRICEOPEN"")"),10.5)</f>
        <v>10.5</v>
      </c>
      <c r="D182" s="11">
        <f ca="1">IFERROR(__xludf.DUMMYFUNCTION("GOOGLEFINANCE(A182,""HIGH"")"),10.5)</f>
        <v>10.5</v>
      </c>
      <c r="E182" s="11">
        <f ca="1">IFERROR(__xludf.DUMMYFUNCTION("GOOGLEFINANCE(A182,""LOW"")"),10.5)</f>
        <v>10.5</v>
      </c>
      <c r="F182" s="12" t="str">
        <f t="shared" ca="1" si="7"/>
        <v>SELL</v>
      </c>
      <c r="G182" s="13">
        <f ca="1">IFERROR(__xludf.DUMMYFUNCTION("GOOGLEFINANCE(A182,""CLOSEYEST"")"),10.42)</f>
        <v>10.42</v>
      </c>
      <c r="H182" s="14" t="str">
        <f t="shared" ca="1" si="13"/>
        <v/>
      </c>
      <c r="I182" s="15">
        <f t="shared" ca="1" si="8"/>
        <v>10.473333333333334</v>
      </c>
      <c r="J182" s="16">
        <f t="shared" ca="1" si="9"/>
        <v>10.446666666666669</v>
      </c>
      <c r="K182" s="16"/>
      <c r="L182" s="16">
        <f t="shared" ca="1" si="10"/>
        <v>10.446666666666669</v>
      </c>
      <c r="M182" s="16">
        <f t="shared" ca="1" si="11"/>
        <v>10.473333333333334</v>
      </c>
      <c r="N182" s="16">
        <f t="shared" ca="1" si="12"/>
        <v>10.473333333333334</v>
      </c>
    </row>
    <row r="183" spans="1:14" ht="24.75" customHeight="1" x14ac:dyDescent="0.8">
      <c r="A183" s="18" t="s">
        <v>147</v>
      </c>
      <c r="B183" s="10">
        <f ca="1">IFERROR(__xludf.DUMMYFUNCTION("GOOGLEFINANCE(A183,""PRICE"")"),534.15)</f>
        <v>534.15</v>
      </c>
      <c r="C183" s="11">
        <f ca="1">IFERROR(__xludf.DUMMYFUNCTION("GOOGLEFINANCE(A183,""PRICEOPEN"")"),526.55)</f>
        <v>526.54999999999995</v>
      </c>
      <c r="D183" s="11">
        <f ca="1">IFERROR(__xludf.DUMMYFUNCTION("GOOGLEFINANCE(A183,""HIGH"")"),534.25)</f>
        <v>534.25</v>
      </c>
      <c r="E183" s="11">
        <f ca="1">IFERROR(__xludf.DUMMYFUNCTION("GOOGLEFINANCE(A183,""LOW"")"),525.5)</f>
        <v>525.5</v>
      </c>
      <c r="F183" s="12" t="str">
        <f t="shared" ca="1" si="7"/>
        <v/>
      </c>
      <c r="G183" s="13">
        <f ca="1">IFERROR(__xludf.DUMMYFUNCTION("GOOGLEFINANCE(A183,""CLOSEYEST"")"),526.55)</f>
        <v>526.54999999999995</v>
      </c>
      <c r="H183" s="14" t="str">
        <f t="shared" ca="1" si="13"/>
        <v/>
      </c>
      <c r="I183" s="15">
        <f t="shared" ca="1" si="8"/>
        <v>528.76666666666665</v>
      </c>
      <c r="J183" s="16">
        <f t="shared" ca="1" si="9"/>
        <v>532.0333333333333</v>
      </c>
      <c r="K183" s="16"/>
      <c r="L183" s="16">
        <f t="shared" ca="1" si="10"/>
        <v>523.2833333333333</v>
      </c>
      <c r="M183" s="16">
        <f t="shared" ca="1" si="11"/>
        <v>537.51666666666665</v>
      </c>
      <c r="N183" s="16">
        <f t="shared" ca="1" si="12"/>
        <v>520.01666666666665</v>
      </c>
    </row>
    <row r="184" spans="1:14" ht="24.75" customHeight="1" x14ac:dyDescent="0.8">
      <c r="A184" s="18" t="s">
        <v>148</v>
      </c>
      <c r="B184" s="10">
        <f ca="1">IFERROR(__xludf.DUMMYFUNCTION("GOOGLEFINANCE(A184,""PRICE"")"),139.74)</f>
        <v>139.74</v>
      </c>
      <c r="C184" s="11">
        <f ca="1">IFERROR(__xludf.DUMMYFUNCTION("GOOGLEFINANCE(A184,""PRICEOPEN"")"),141.42)</f>
        <v>141.41999999999999</v>
      </c>
      <c r="D184" s="11">
        <f ca="1">IFERROR(__xludf.DUMMYFUNCTION("GOOGLEFINANCE(A184,""HIGH"")"),142.95)</f>
        <v>142.94999999999999</v>
      </c>
      <c r="E184" s="11">
        <f ca="1">IFERROR(__xludf.DUMMYFUNCTION("GOOGLEFINANCE(A184,""LOW"")"),138.16)</f>
        <v>138.16</v>
      </c>
      <c r="F184" s="12" t="str">
        <f t="shared" ca="1" si="7"/>
        <v/>
      </c>
      <c r="G184" s="13">
        <f ca="1">IFERROR(__xludf.DUMMYFUNCTION("GOOGLEFINANCE(A184,""CLOSEYEST"")"),141.23)</f>
        <v>141.22999999999999</v>
      </c>
      <c r="H184" s="14" t="str">
        <f t="shared" ca="1" si="13"/>
        <v/>
      </c>
      <c r="I184" s="15">
        <f t="shared" ca="1" si="8"/>
        <v>140.78</v>
      </c>
      <c r="J184" s="16">
        <f t="shared" ca="1" si="9"/>
        <v>143.4</v>
      </c>
      <c r="K184" s="16"/>
      <c r="L184" s="16">
        <f t="shared" ca="1" si="10"/>
        <v>138.61000000000001</v>
      </c>
      <c r="M184" s="16">
        <f t="shared" ca="1" si="11"/>
        <v>145.57</v>
      </c>
      <c r="N184" s="16">
        <f t="shared" ca="1" si="12"/>
        <v>135.99</v>
      </c>
    </row>
    <row r="185" spans="1:14" ht="24.75" customHeight="1" x14ac:dyDescent="0.8">
      <c r="A185" s="18" t="s">
        <v>149</v>
      </c>
      <c r="B185" s="10">
        <f ca="1">IFERROR(__xludf.DUMMYFUNCTION("GOOGLEFINANCE(A185,""PRICE"")"),381.05)</f>
        <v>381.05</v>
      </c>
      <c r="C185" s="11">
        <f ca="1">IFERROR(__xludf.DUMMYFUNCTION("GOOGLEFINANCE(A185,""PRICEOPEN"")"),379.6)</f>
        <v>379.6</v>
      </c>
      <c r="D185" s="11">
        <f ca="1">IFERROR(__xludf.DUMMYFUNCTION("GOOGLEFINANCE(A185,""HIGH"")"),382.8)</f>
        <v>382.8</v>
      </c>
      <c r="E185" s="11">
        <f ca="1">IFERROR(__xludf.DUMMYFUNCTION("GOOGLEFINANCE(A185,""LOW"")"),379)</f>
        <v>379</v>
      </c>
      <c r="F185" s="12" t="str">
        <f t="shared" ca="1" si="7"/>
        <v/>
      </c>
      <c r="G185" s="13">
        <f ca="1">IFERROR(__xludf.DUMMYFUNCTION("GOOGLEFINANCE(A185,""CLOSEYEST"")"),379.6)</f>
        <v>379.6</v>
      </c>
      <c r="H185" s="14" t="str">
        <f t="shared" ca="1" si="13"/>
        <v/>
      </c>
      <c r="I185" s="15">
        <f t="shared" ca="1" si="8"/>
        <v>380.4666666666667</v>
      </c>
      <c r="J185" s="16">
        <f t="shared" ca="1" si="9"/>
        <v>381.93333333333339</v>
      </c>
      <c r="K185" s="16"/>
      <c r="L185" s="16">
        <f t="shared" ca="1" si="10"/>
        <v>378.13333333333338</v>
      </c>
      <c r="M185" s="16">
        <f t="shared" ca="1" si="11"/>
        <v>384.26666666666671</v>
      </c>
      <c r="N185" s="16">
        <f t="shared" ca="1" si="12"/>
        <v>376.66666666666669</v>
      </c>
    </row>
    <row r="186" spans="1:14" ht="24.75" customHeight="1" x14ac:dyDescent="0.8">
      <c r="A186" s="18" t="s">
        <v>150</v>
      </c>
      <c r="B186" s="10">
        <f ca="1">IFERROR(__xludf.DUMMYFUNCTION("GOOGLEFINANCE(A186,""PRICE"")"),1077)</f>
        <v>1077</v>
      </c>
      <c r="C186" s="11">
        <f ca="1">IFERROR(__xludf.DUMMYFUNCTION("GOOGLEFINANCE(A186,""PRICEOPEN"")"),1063)</f>
        <v>1063</v>
      </c>
      <c r="D186" s="11">
        <f ca="1">IFERROR(__xludf.DUMMYFUNCTION("GOOGLEFINANCE(A186,""HIGH"")"),1087.6)</f>
        <v>1087.5999999999999</v>
      </c>
      <c r="E186" s="11">
        <f ca="1">IFERROR(__xludf.DUMMYFUNCTION("GOOGLEFINANCE(A186,""LOW"")"),1049.3)</f>
        <v>1049.3</v>
      </c>
      <c r="F186" s="12" t="str">
        <f t="shared" ca="1" si="7"/>
        <v/>
      </c>
      <c r="G186" s="13">
        <f ca="1">IFERROR(__xludf.DUMMYFUNCTION("GOOGLEFINANCE(A186,""CLOSEYEST"")"),1065)</f>
        <v>1065</v>
      </c>
      <c r="H186" s="14" t="str">
        <f t="shared" ca="1" si="13"/>
        <v/>
      </c>
      <c r="I186" s="15">
        <f t="shared" ca="1" si="8"/>
        <v>1067.3</v>
      </c>
      <c r="J186" s="16">
        <f t="shared" ca="1" si="9"/>
        <v>1085.3</v>
      </c>
      <c r="K186" s="16"/>
      <c r="L186" s="16">
        <f t="shared" ca="1" si="10"/>
        <v>1047</v>
      </c>
      <c r="M186" s="16">
        <f t="shared" ca="1" si="11"/>
        <v>1105.5999999999999</v>
      </c>
      <c r="N186" s="16">
        <f t="shared" ca="1" si="12"/>
        <v>1029</v>
      </c>
    </row>
    <row r="187" spans="1:14" ht="24.75" customHeight="1" x14ac:dyDescent="0.8">
      <c r="A187" s="18" t="s">
        <v>151</v>
      </c>
      <c r="B187" s="10">
        <f ca="1">IFERROR(__xludf.DUMMYFUNCTION("GOOGLEFINANCE(A187,""PRICE"")"),2214.5)</f>
        <v>2214.5</v>
      </c>
      <c r="C187" s="11">
        <f ca="1">IFERROR(__xludf.DUMMYFUNCTION("GOOGLEFINANCE(A187,""PRICEOPEN"")"),2228.8)</f>
        <v>2228.8000000000002</v>
      </c>
      <c r="D187" s="11">
        <f ca="1">IFERROR(__xludf.DUMMYFUNCTION("GOOGLEFINANCE(A187,""HIGH"")"),2229)</f>
        <v>2229</v>
      </c>
      <c r="E187" s="11">
        <f ca="1">IFERROR(__xludf.DUMMYFUNCTION("GOOGLEFINANCE(A187,""LOW"")"),2191.6)</f>
        <v>2191.6</v>
      </c>
      <c r="F187" s="12" t="str">
        <f t="shared" ca="1" si="7"/>
        <v/>
      </c>
      <c r="G187" s="13">
        <f ca="1">IFERROR(__xludf.DUMMYFUNCTION("GOOGLEFINANCE(A187,""CLOSEYEST"")"),2224.9)</f>
        <v>2224.9</v>
      </c>
      <c r="H187" s="14" t="str">
        <f t="shared" ca="1" si="13"/>
        <v/>
      </c>
      <c r="I187" s="15">
        <f t="shared" ca="1" si="8"/>
        <v>2215.1666666666665</v>
      </c>
      <c r="J187" s="16">
        <f t="shared" ca="1" si="9"/>
        <v>2238.7333333333331</v>
      </c>
      <c r="K187" s="16"/>
      <c r="L187" s="16">
        <f t="shared" ca="1" si="10"/>
        <v>2201.333333333333</v>
      </c>
      <c r="M187" s="16">
        <f t="shared" ca="1" si="11"/>
        <v>2252.5666666666666</v>
      </c>
      <c r="N187" s="16">
        <f t="shared" ca="1" si="12"/>
        <v>2177.7666666666664</v>
      </c>
    </row>
    <row r="188" spans="1:14" ht="24.75" customHeight="1" x14ac:dyDescent="0.8">
      <c r="A188" s="18" t="s">
        <v>152</v>
      </c>
      <c r="B188" s="10">
        <f ca="1">IFERROR(__xludf.DUMMYFUNCTION("GOOGLEFINANCE(A188,""PRICE"")"),443.45)</f>
        <v>443.45</v>
      </c>
      <c r="C188" s="11">
        <f ca="1">IFERROR(__xludf.DUMMYFUNCTION("GOOGLEFINANCE(A188,""PRICEOPEN"")"),442.95)</f>
        <v>442.95</v>
      </c>
      <c r="D188" s="11">
        <f ca="1">IFERROR(__xludf.DUMMYFUNCTION("GOOGLEFINANCE(A188,""HIGH"")"),445.2)</f>
        <v>445.2</v>
      </c>
      <c r="E188" s="11">
        <f ca="1">IFERROR(__xludf.DUMMYFUNCTION("GOOGLEFINANCE(A188,""LOW"")"),437.55)</f>
        <v>437.55</v>
      </c>
      <c r="F188" s="12" t="str">
        <f t="shared" ca="1" si="7"/>
        <v/>
      </c>
      <c r="G188" s="13">
        <f ca="1">IFERROR(__xludf.DUMMYFUNCTION("GOOGLEFINANCE(A188,""CLOSEYEST"")"),442.95)</f>
        <v>442.95</v>
      </c>
      <c r="H188" s="14" t="str">
        <f t="shared" ca="1" si="13"/>
        <v/>
      </c>
      <c r="I188" s="15">
        <f t="shared" ca="1" si="8"/>
        <v>441.90000000000003</v>
      </c>
      <c r="J188" s="16">
        <f t="shared" ca="1" si="9"/>
        <v>446.25000000000006</v>
      </c>
      <c r="K188" s="16"/>
      <c r="L188" s="16">
        <f t="shared" ca="1" si="10"/>
        <v>438.60000000000008</v>
      </c>
      <c r="M188" s="16">
        <f t="shared" ca="1" si="11"/>
        <v>449.55</v>
      </c>
      <c r="N188" s="16">
        <f t="shared" ca="1" si="12"/>
        <v>434.25000000000006</v>
      </c>
    </row>
    <row r="189" spans="1:14" ht="24.75" customHeight="1" x14ac:dyDescent="0.8">
      <c r="A189" s="18" t="s">
        <v>153</v>
      </c>
      <c r="B189" s="10">
        <f ca="1">IFERROR(__xludf.DUMMYFUNCTION("GOOGLEFINANCE(A189,""PRICE"")"),1070)</f>
        <v>1070</v>
      </c>
      <c r="C189" s="11">
        <f ca="1">IFERROR(__xludf.DUMMYFUNCTION("GOOGLEFINANCE(A189,""PRICEOPEN"")"),1098)</f>
        <v>1098</v>
      </c>
      <c r="D189" s="11">
        <f ca="1">IFERROR(__xludf.DUMMYFUNCTION("GOOGLEFINANCE(A189,""HIGH"")"),1110.3)</f>
        <v>1110.3</v>
      </c>
      <c r="E189" s="11">
        <f ca="1">IFERROR(__xludf.DUMMYFUNCTION("GOOGLEFINANCE(A189,""LOW"")"),1060)</f>
        <v>1060</v>
      </c>
      <c r="F189" s="12" t="str">
        <f t="shared" ca="1" si="7"/>
        <v/>
      </c>
      <c r="G189" s="13">
        <f ca="1">IFERROR(__xludf.DUMMYFUNCTION("GOOGLEFINANCE(A189,""CLOSEYEST"")"),1113.2)</f>
        <v>1113.2</v>
      </c>
      <c r="H189" s="14" t="str">
        <f t="shared" ca="1" si="13"/>
        <v>GAP DOWN</v>
      </c>
      <c r="I189" s="15">
        <f t="shared" ca="1" si="8"/>
        <v>1094.5</v>
      </c>
      <c r="J189" s="16">
        <f t="shared" ca="1" si="9"/>
        <v>1129</v>
      </c>
      <c r="K189" s="16"/>
      <c r="L189" s="16">
        <f t="shared" ca="1" si="10"/>
        <v>1078.7</v>
      </c>
      <c r="M189" s="16">
        <f t="shared" ca="1" si="11"/>
        <v>1144.8</v>
      </c>
      <c r="N189" s="16">
        <f t="shared" ca="1" si="12"/>
        <v>1044.2</v>
      </c>
    </row>
    <row r="190" spans="1:14" ht="24.75" customHeight="1" x14ac:dyDescent="0.8">
      <c r="A190" s="18" t="s">
        <v>154</v>
      </c>
      <c r="B190" s="10">
        <f ca="1">IFERROR(__xludf.DUMMYFUNCTION("GOOGLEFINANCE(A190,""PRICE"")"),35690)</f>
        <v>35690</v>
      </c>
      <c r="C190" s="11">
        <f ca="1">IFERROR(__xludf.DUMMYFUNCTION("GOOGLEFINANCE(A190,""PRICEOPEN"")"),36400)</f>
        <v>36400</v>
      </c>
      <c r="D190" s="11">
        <f ca="1">IFERROR(__xludf.DUMMYFUNCTION("GOOGLEFINANCE(A190,""HIGH"")"),36400)</f>
        <v>36400</v>
      </c>
      <c r="E190" s="11">
        <f ca="1">IFERROR(__xludf.DUMMYFUNCTION("GOOGLEFINANCE(A190,""LOW"")"),35520)</f>
        <v>35520</v>
      </c>
      <c r="F190" s="12" t="str">
        <f t="shared" ca="1" si="7"/>
        <v>SELL</v>
      </c>
      <c r="G190" s="13">
        <f ca="1">IFERROR(__xludf.DUMMYFUNCTION("GOOGLEFINANCE(A190,""CLOSEYEST"")"),35970)</f>
        <v>35970</v>
      </c>
      <c r="H190" s="14" t="str">
        <f t="shared" ca="1" si="13"/>
        <v>GAP UP</v>
      </c>
      <c r="I190" s="15">
        <f t="shared" ca="1" si="8"/>
        <v>35963.333333333336</v>
      </c>
      <c r="J190" s="16">
        <f t="shared" ca="1" si="9"/>
        <v>36406.666666666672</v>
      </c>
      <c r="K190" s="16"/>
      <c r="L190" s="16">
        <f t="shared" ca="1" si="10"/>
        <v>35526.666666666672</v>
      </c>
      <c r="M190" s="16">
        <f t="shared" ca="1" si="11"/>
        <v>36843.333333333336</v>
      </c>
      <c r="N190" s="16">
        <f t="shared" ca="1" si="12"/>
        <v>35083.333333333336</v>
      </c>
    </row>
    <row r="191" spans="1:14" ht="24.75" customHeight="1" x14ac:dyDescent="0.8">
      <c r="A191" s="18" t="s">
        <v>155</v>
      </c>
      <c r="B191" s="10">
        <f ca="1">IFERROR(__xludf.DUMMYFUNCTION("GOOGLEFINANCE(A191,""PRICE"")"),29900)</f>
        <v>29900</v>
      </c>
      <c r="C191" s="11">
        <f ca="1">IFERROR(__xludf.DUMMYFUNCTION("GOOGLEFINANCE(A191,""PRICEOPEN"")"),30080)</f>
        <v>30080</v>
      </c>
      <c r="D191" s="11">
        <f ca="1">IFERROR(__xludf.DUMMYFUNCTION("GOOGLEFINANCE(A191,""HIGH"")"),30400)</f>
        <v>30400</v>
      </c>
      <c r="E191" s="11">
        <f ca="1">IFERROR(__xludf.DUMMYFUNCTION("GOOGLEFINANCE(A191,""LOW"")"),29830)</f>
        <v>29830</v>
      </c>
      <c r="F191" s="12" t="str">
        <f t="shared" ca="1" si="7"/>
        <v/>
      </c>
      <c r="G191" s="13">
        <f ca="1">IFERROR(__xludf.DUMMYFUNCTION("GOOGLEFINANCE(A191,""CLOSEYEST"")"),29890)</f>
        <v>29890</v>
      </c>
      <c r="H191" s="14" t="str">
        <f t="shared" ca="1" si="13"/>
        <v/>
      </c>
      <c r="I191" s="15">
        <f t="shared" ca="1" si="8"/>
        <v>30040</v>
      </c>
      <c r="J191" s="16">
        <f t="shared" ca="1" si="9"/>
        <v>30250</v>
      </c>
      <c r="K191" s="16"/>
      <c r="L191" s="16">
        <f t="shared" ca="1" si="10"/>
        <v>29680</v>
      </c>
      <c r="M191" s="16">
        <f t="shared" ca="1" si="11"/>
        <v>30610</v>
      </c>
      <c r="N191" s="16">
        <f t="shared" ca="1" si="12"/>
        <v>29470</v>
      </c>
    </row>
    <row r="192" spans="1:14" ht="24.75" customHeight="1" x14ac:dyDescent="0.8">
      <c r="A192" s="18" t="s">
        <v>156</v>
      </c>
      <c r="B192" s="10">
        <f ca="1">IFERROR(__xludf.DUMMYFUNCTION("GOOGLEFINANCE(A192,""PRICE"")"),2250)</f>
        <v>2250</v>
      </c>
      <c r="C192" s="11">
        <f ca="1">IFERROR(__xludf.DUMMYFUNCTION("GOOGLEFINANCE(A192,""PRICEOPEN"")"),2231.8)</f>
        <v>2231.8000000000002</v>
      </c>
      <c r="D192" s="11">
        <f ca="1">IFERROR(__xludf.DUMMYFUNCTION("GOOGLEFINANCE(A192,""HIGH"")"),2264.9)</f>
        <v>2264.9</v>
      </c>
      <c r="E192" s="11">
        <f ca="1">IFERROR(__xludf.DUMMYFUNCTION("GOOGLEFINANCE(A192,""LOW"")"),2231.8)</f>
        <v>2231.8000000000002</v>
      </c>
      <c r="F192" s="12" t="str">
        <f t="shared" ca="1" si="7"/>
        <v>BUY</v>
      </c>
      <c r="G192" s="13">
        <f ca="1">IFERROR(__xludf.DUMMYFUNCTION("GOOGLEFINANCE(A192,""CLOSEYEST"")"),2229.4)</f>
        <v>2229.4</v>
      </c>
      <c r="H192" s="14" t="str">
        <f t="shared" ca="1" si="13"/>
        <v/>
      </c>
      <c r="I192" s="15">
        <f t="shared" ca="1" si="8"/>
        <v>2242.0333333333333</v>
      </c>
      <c r="J192" s="16">
        <f t="shared" ca="1" si="9"/>
        <v>2252.2666666666664</v>
      </c>
      <c r="K192" s="16"/>
      <c r="L192" s="16">
        <f t="shared" ca="1" si="10"/>
        <v>2219.1666666666665</v>
      </c>
      <c r="M192" s="16">
        <f t="shared" ca="1" si="11"/>
        <v>2275.1333333333332</v>
      </c>
      <c r="N192" s="16">
        <f t="shared" ca="1" si="12"/>
        <v>2208.9333333333334</v>
      </c>
    </row>
    <row r="193" spans="1:14" ht="24.75" customHeight="1" x14ac:dyDescent="0.8">
      <c r="A193" s="18" t="s">
        <v>157</v>
      </c>
      <c r="B193" s="10">
        <f ca="1">IFERROR(__xludf.DUMMYFUNCTION("GOOGLEFINANCE(A193,""PRICE"")"),7385)</f>
        <v>7385</v>
      </c>
      <c r="C193" s="11">
        <f ca="1">IFERROR(__xludf.DUMMYFUNCTION("GOOGLEFINANCE(A193,""PRICEOPEN"")"),7390)</f>
        <v>7390</v>
      </c>
      <c r="D193" s="11">
        <f ca="1">IFERROR(__xludf.DUMMYFUNCTION("GOOGLEFINANCE(A193,""HIGH"")"),7415)</f>
        <v>7415</v>
      </c>
      <c r="E193" s="11">
        <f ca="1">IFERROR(__xludf.DUMMYFUNCTION("GOOGLEFINANCE(A193,""LOW"")"),7309.5)</f>
        <v>7309.5</v>
      </c>
      <c r="F193" s="12" t="str">
        <f t="shared" ca="1" si="7"/>
        <v/>
      </c>
      <c r="G193" s="13">
        <f ca="1">IFERROR(__xludf.DUMMYFUNCTION("GOOGLEFINANCE(A193,""CLOSEYEST"")"),7351)</f>
        <v>7351</v>
      </c>
      <c r="H193" s="14" t="str">
        <f t="shared" ca="1" si="13"/>
        <v/>
      </c>
      <c r="I193" s="15">
        <f t="shared" ca="1" si="8"/>
        <v>7358.5</v>
      </c>
      <c r="J193" s="16">
        <f t="shared" ca="1" si="9"/>
        <v>7407.5</v>
      </c>
      <c r="K193" s="16"/>
      <c r="L193" s="16">
        <f t="shared" ca="1" si="10"/>
        <v>7302</v>
      </c>
      <c r="M193" s="16">
        <f t="shared" ca="1" si="11"/>
        <v>7464</v>
      </c>
      <c r="N193" s="16">
        <f t="shared" ca="1" si="12"/>
        <v>7253</v>
      </c>
    </row>
    <row r="194" spans="1:14" ht="24.75" customHeight="1" x14ac:dyDescent="0.8">
      <c r="A194" s="18" t="s">
        <v>158</v>
      </c>
      <c r="B194" s="10">
        <f ca="1">IFERROR(__xludf.DUMMYFUNCTION("GOOGLEFINANCE(A194,""PRICE"")"),5350)</f>
        <v>5350</v>
      </c>
      <c r="C194" s="11">
        <f ca="1">IFERROR(__xludf.DUMMYFUNCTION("GOOGLEFINANCE(A194,""PRICEOPEN"")"),5222.5)</f>
        <v>5222.5</v>
      </c>
      <c r="D194" s="11">
        <f ca="1">IFERROR(__xludf.DUMMYFUNCTION("GOOGLEFINANCE(A194,""HIGH"")"),5369)</f>
        <v>5369</v>
      </c>
      <c r="E194" s="11">
        <f ca="1">IFERROR(__xludf.DUMMYFUNCTION("GOOGLEFINANCE(A194,""LOW"")"),5190)</f>
        <v>5190</v>
      </c>
      <c r="F194" s="12" t="str">
        <f t="shared" ca="1" si="7"/>
        <v/>
      </c>
      <c r="G194" s="13">
        <f ca="1">IFERROR(__xludf.DUMMYFUNCTION("GOOGLEFINANCE(A194,""CLOSEYEST"")"),5226)</f>
        <v>5226</v>
      </c>
      <c r="H194" s="14" t="str">
        <f t="shared" ca="1" si="13"/>
        <v/>
      </c>
      <c r="I194" s="15">
        <f t="shared" ca="1" si="8"/>
        <v>5261.666666666667</v>
      </c>
      <c r="J194" s="16">
        <f t="shared" ca="1" si="9"/>
        <v>5333.3333333333339</v>
      </c>
      <c r="K194" s="16"/>
      <c r="L194" s="16">
        <f t="shared" ca="1" si="10"/>
        <v>5154.3333333333339</v>
      </c>
      <c r="M194" s="16">
        <f t="shared" ca="1" si="11"/>
        <v>5440.666666666667</v>
      </c>
      <c r="N194" s="16">
        <f t="shared" ca="1" si="12"/>
        <v>5082.666666666667</v>
      </c>
    </row>
    <row r="195" spans="1:14" ht="24.75" customHeight="1" x14ac:dyDescent="0.8">
      <c r="A195" s="18" t="s">
        <v>159</v>
      </c>
      <c r="B195" s="10">
        <f ca="1">IFERROR(__xludf.DUMMYFUNCTION("GOOGLEFINANCE(A195,""PRICE"")"),8941)</f>
        <v>8941</v>
      </c>
      <c r="C195" s="11">
        <f ca="1">IFERROR(__xludf.DUMMYFUNCTION("GOOGLEFINANCE(A195,""PRICEOPEN"")"),8724)</f>
        <v>8724</v>
      </c>
      <c r="D195" s="11">
        <f ca="1">IFERROR(__xludf.DUMMYFUNCTION("GOOGLEFINANCE(A195,""HIGH"")"),8984)</f>
        <v>8984</v>
      </c>
      <c r="E195" s="11">
        <f ca="1">IFERROR(__xludf.DUMMYFUNCTION("GOOGLEFINANCE(A195,""LOW"")"),8641)</f>
        <v>8641</v>
      </c>
      <c r="F195" s="12" t="str">
        <f t="shared" ca="1" si="7"/>
        <v/>
      </c>
      <c r="G195" s="13">
        <f ca="1">IFERROR(__xludf.DUMMYFUNCTION("GOOGLEFINANCE(A195,""CLOSEYEST"")"),8724)</f>
        <v>8724</v>
      </c>
      <c r="H195" s="14" t="str">
        <f t="shared" ca="1" si="13"/>
        <v/>
      </c>
      <c r="I195" s="15">
        <f t="shared" ca="1" si="8"/>
        <v>8783</v>
      </c>
      <c r="J195" s="16">
        <f t="shared" ca="1" si="9"/>
        <v>8925</v>
      </c>
      <c r="K195" s="16"/>
      <c r="L195" s="16">
        <f t="shared" ca="1" si="10"/>
        <v>8582</v>
      </c>
      <c r="M195" s="16">
        <f t="shared" ca="1" si="11"/>
        <v>9126</v>
      </c>
      <c r="N195" s="16">
        <f t="shared" ca="1" si="12"/>
        <v>8440</v>
      </c>
    </row>
    <row r="196" spans="1:14" ht="24.75" customHeight="1" x14ac:dyDescent="0.8">
      <c r="A196" s="18" t="s">
        <v>160</v>
      </c>
      <c r="B196" s="10">
        <f ca="1">IFERROR(__xludf.DUMMYFUNCTION("GOOGLEFINANCE(A196,""PRICE"")"),1604.5)</f>
        <v>1604.5</v>
      </c>
      <c r="C196" s="11">
        <f ca="1">IFERROR(__xludf.DUMMYFUNCTION("GOOGLEFINANCE(A196,""PRICEOPEN"")"),1622)</f>
        <v>1622</v>
      </c>
      <c r="D196" s="11">
        <f ca="1">IFERROR(__xludf.DUMMYFUNCTION("GOOGLEFINANCE(A196,""HIGH"")"),1647.9)</f>
        <v>1647.9</v>
      </c>
      <c r="E196" s="11">
        <f ca="1">IFERROR(__xludf.DUMMYFUNCTION("GOOGLEFINANCE(A196,""LOW"")"),1599.9)</f>
        <v>1599.9</v>
      </c>
      <c r="F196" s="12" t="str">
        <f t="shared" ca="1" si="7"/>
        <v/>
      </c>
      <c r="G196" s="13">
        <f ca="1">IFERROR(__xludf.DUMMYFUNCTION("GOOGLEFINANCE(A196,""CLOSEYEST"")"),1621.9)</f>
        <v>1621.9</v>
      </c>
      <c r="H196" s="14" t="str">
        <f t="shared" ca="1" si="13"/>
        <v/>
      </c>
      <c r="I196" s="15">
        <f t="shared" ca="1" si="8"/>
        <v>1623.2333333333336</v>
      </c>
      <c r="J196" s="16">
        <f t="shared" ca="1" si="9"/>
        <v>1646.5666666666671</v>
      </c>
      <c r="K196" s="16"/>
      <c r="L196" s="16">
        <f t="shared" ca="1" si="10"/>
        <v>1598.5666666666671</v>
      </c>
      <c r="M196" s="16">
        <f t="shared" ca="1" si="11"/>
        <v>1671.2333333333336</v>
      </c>
      <c r="N196" s="16">
        <f t="shared" ca="1" si="12"/>
        <v>1575.2333333333336</v>
      </c>
    </row>
    <row r="197" spans="1:14" ht="24.75" customHeight="1" x14ac:dyDescent="0.8">
      <c r="A197" s="18" t="s">
        <v>161</v>
      </c>
      <c r="B197" s="10">
        <f ca="1">IFERROR(__xludf.DUMMYFUNCTION("GOOGLEFINANCE(A197,""PRICE"")"),0.03)</f>
        <v>0.03</v>
      </c>
      <c r="C197" s="11">
        <f ca="1">IFERROR(__xludf.DUMMYFUNCTION("GOOGLEFINANCE(A197,""PRICEOPEN"")"),0.02)</f>
        <v>0.02</v>
      </c>
      <c r="D197" s="11">
        <f ca="1">IFERROR(__xludf.DUMMYFUNCTION("GOOGLEFINANCE(A197,""HIGH"")"),0.03)</f>
        <v>0.03</v>
      </c>
      <c r="E197" s="11">
        <f ca="1">IFERROR(__xludf.DUMMYFUNCTION("GOOGLEFINANCE(A197,""LOW"")"),0.02)</f>
        <v>0.02</v>
      </c>
      <c r="F197" s="12" t="str">
        <f t="shared" ca="1" si="7"/>
        <v>BUY</v>
      </c>
      <c r="G197" s="13">
        <f ca="1">IFERROR(__xludf.DUMMYFUNCTION("GOOGLEFINANCE(A197,""CLOSEYEST"")"),0.02)</f>
        <v>0.02</v>
      </c>
      <c r="H197" s="14" t="str">
        <f t="shared" ca="1" si="13"/>
        <v/>
      </c>
      <c r="I197" s="15">
        <f t="shared" ca="1" si="8"/>
        <v>2.3333333333333334E-2</v>
      </c>
      <c r="J197" s="16">
        <f t="shared" ca="1" si="9"/>
        <v>2.6666666666666668E-2</v>
      </c>
      <c r="K197" s="16"/>
      <c r="L197" s="16">
        <f t="shared" ca="1" si="10"/>
        <v>1.666666666666667E-2</v>
      </c>
      <c r="M197" s="16">
        <f t="shared" ca="1" si="11"/>
        <v>3.3333333333333333E-2</v>
      </c>
      <c r="N197" s="16">
        <f t="shared" ca="1" si="12"/>
        <v>1.3333333333333336E-2</v>
      </c>
    </row>
    <row r="198" spans="1:14" ht="24.75" customHeight="1" x14ac:dyDescent="0.8">
      <c r="A198" s="18" t="s">
        <v>162</v>
      </c>
      <c r="B198" s="10">
        <f ca="1">IFERROR(__xludf.DUMMYFUNCTION("GOOGLEFINANCE(A198,""PRICE"")"),1849)</f>
        <v>1849</v>
      </c>
      <c r="C198" s="11">
        <f ca="1">IFERROR(__xludf.DUMMYFUNCTION("GOOGLEFINANCE(A198,""PRICEOPEN"")"),1841.5)</f>
        <v>1841.5</v>
      </c>
      <c r="D198" s="11">
        <f ca="1">IFERROR(__xludf.DUMMYFUNCTION("GOOGLEFINANCE(A198,""HIGH"")"),1858)</f>
        <v>1858</v>
      </c>
      <c r="E198" s="11">
        <f ca="1">IFERROR(__xludf.DUMMYFUNCTION("GOOGLEFINANCE(A198,""LOW"")"),1841.5)</f>
        <v>1841.5</v>
      </c>
      <c r="F198" s="12" t="str">
        <f t="shared" ca="1" si="7"/>
        <v>BUY</v>
      </c>
      <c r="G198" s="13">
        <f ca="1">IFERROR(__xludf.DUMMYFUNCTION("GOOGLEFINANCE(A198,""CLOSEYEST"")"),1841.5)</f>
        <v>1841.5</v>
      </c>
      <c r="H198" s="14" t="str">
        <f t="shared" ca="1" si="13"/>
        <v/>
      </c>
      <c r="I198" s="15">
        <f t="shared" ca="1" si="8"/>
        <v>1847</v>
      </c>
      <c r="J198" s="16">
        <f t="shared" ca="1" si="9"/>
        <v>1852.5</v>
      </c>
      <c r="K198" s="16"/>
      <c r="L198" s="16">
        <f t="shared" ca="1" si="10"/>
        <v>1836</v>
      </c>
      <c r="M198" s="16">
        <f t="shared" ca="1" si="11"/>
        <v>1863.5</v>
      </c>
      <c r="N198" s="16">
        <f t="shared" ca="1" si="12"/>
        <v>1830.5</v>
      </c>
    </row>
    <row r="199" spans="1:14" ht="24.75" customHeight="1" x14ac:dyDescent="0.8">
      <c r="A199" s="18" t="s">
        <v>163</v>
      </c>
      <c r="B199" s="10">
        <f ca="1">IFERROR(__xludf.DUMMYFUNCTION("GOOGLEFINANCE(A199,""PRICE"")"),1614.9)</f>
        <v>1614.9</v>
      </c>
      <c r="C199" s="11">
        <f ca="1">IFERROR(__xludf.DUMMYFUNCTION("GOOGLEFINANCE(A199,""PRICEOPEN"")"),1595)</f>
        <v>1595</v>
      </c>
      <c r="D199" s="11">
        <f ca="1">IFERROR(__xludf.DUMMYFUNCTION("GOOGLEFINANCE(A199,""HIGH"")"),1619.8)</f>
        <v>1619.8</v>
      </c>
      <c r="E199" s="11">
        <f ca="1">IFERROR(__xludf.DUMMYFUNCTION("GOOGLEFINANCE(A199,""LOW"")"),1588.5)</f>
        <v>1588.5</v>
      </c>
      <c r="F199" s="12" t="str">
        <f t="shared" ca="1" si="7"/>
        <v/>
      </c>
      <c r="G199" s="13">
        <f ca="1">IFERROR(__xludf.DUMMYFUNCTION("GOOGLEFINANCE(A199,""CLOSEYEST"")"),1600.8)</f>
        <v>1600.8</v>
      </c>
      <c r="H199" s="14" t="str">
        <f t="shared" ca="1" si="13"/>
        <v/>
      </c>
      <c r="I199" s="15">
        <f t="shared" ca="1" si="8"/>
        <v>1603.0333333333335</v>
      </c>
      <c r="J199" s="16">
        <f t="shared" ca="1" si="9"/>
        <v>1617.5666666666671</v>
      </c>
      <c r="K199" s="16"/>
      <c r="L199" s="16">
        <f t="shared" ca="1" si="10"/>
        <v>1586.2666666666671</v>
      </c>
      <c r="M199" s="16">
        <f t="shared" ca="1" si="11"/>
        <v>1634.3333333333335</v>
      </c>
      <c r="N199" s="16">
        <f t="shared" ca="1" si="12"/>
        <v>1571.7333333333336</v>
      </c>
    </row>
    <row r="200" spans="1:14" ht="24.75" customHeight="1" x14ac:dyDescent="0.8">
      <c r="A200" s="18" t="s">
        <v>164</v>
      </c>
      <c r="B200" s="10">
        <f ca="1">IFERROR(__xludf.DUMMYFUNCTION("GOOGLEFINANCE(A200,""PRICE"")"),1222)</f>
        <v>1222</v>
      </c>
      <c r="C200" s="11">
        <f ca="1">IFERROR(__xludf.DUMMYFUNCTION("GOOGLEFINANCE(A200,""PRICEOPEN"")"),1219.6)</f>
        <v>1219.5999999999999</v>
      </c>
      <c r="D200" s="11">
        <f ca="1">IFERROR(__xludf.DUMMYFUNCTION("GOOGLEFINANCE(A200,""HIGH"")"),1230)</f>
        <v>1230</v>
      </c>
      <c r="E200" s="11">
        <f ca="1">IFERROR(__xludf.DUMMYFUNCTION("GOOGLEFINANCE(A200,""LOW"")"),1210.2)</f>
        <v>1210.2</v>
      </c>
      <c r="F200" s="12" t="str">
        <f t="shared" ca="1" si="7"/>
        <v/>
      </c>
      <c r="G200" s="13">
        <f ca="1">IFERROR(__xludf.DUMMYFUNCTION("GOOGLEFINANCE(A200,""CLOSEYEST"")"),1219.6)</f>
        <v>1219.5999999999999</v>
      </c>
      <c r="H200" s="14" t="str">
        <f t="shared" ca="1" si="13"/>
        <v/>
      </c>
      <c r="I200" s="15">
        <f t="shared" ca="1" si="8"/>
        <v>1219.9333333333332</v>
      </c>
      <c r="J200" s="16">
        <f t="shared" ca="1" si="9"/>
        <v>1229.6666666666663</v>
      </c>
      <c r="K200" s="16"/>
      <c r="L200" s="16">
        <f t="shared" ca="1" si="10"/>
        <v>1209.8666666666663</v>
      </c>
      <c r="M200" s="16">
        <f t="shared" ca="1" si="11"/>
        <v>1239.7333333333331</v>
      </c>
      <c r="N200" s="16">
        <f t="shared" ca="1" si="12"/>
        <v>1200.1333333333332</v>
      </c>
    </row>
    <row r="201" spans="1:14" ht="24.75" customHeight="1" x14ac:dyDescent="0.8">
      <c r="A201" s="18" t="s">
        <v>165</v>
      </c>
      <c r="B201" s="10">
        <f ca="1">IFERROR(__xludf.DUMMYFUNCTION("GOOGLEFINANCE(A201,""PRICE"")"),1606)</f>
        <v>1606</v>
      </c>
      <c r="C201" s="11">
        <f ca="1">IFERROR(__xludf.DUMMYFUNCTION("GOOGLEFINANCE(A201,""PRICEOPEN"")"),1609.8)</f>
        <v>1609.8</v>
      </c>
      <c r="D201" s="11">
        <f ca="1">IFERROR(__xludf.DUMMYFUNCTION("GOOGLEFINANCE(A201,""HIGH"")"),1613.3)</f>
        <v>1613.3</v>
      </c>
      <c r="E201" s="11">
        <f ca="1">IFERROR(__xludf.DUMMYFUNCTION("GOOGLEFINANCE(A201,""LOW"")"),1583.7)</f>
        <v>1583.7</v>
      </c>
      <c r="F201" s="12" t="str">
        <f t="shared" ca="1" si="7"/>
        <v/>
      </c>
      <c r="G201" s="13">
        <f ca="1">IFERROR(__xludf.DUMMYFUNCTION("GOOGLEFINANCE(A201,""CLOSEYEST"")"),1595.6)</f>
        <v>1595.6</v>
      </c>
      <c r="H201" s="14" t="str">
        <f t="shared" ca="1" si="13"/>
        <v/>
      </c>
      <c r="I201" s="15">
        <f t="shared" ca="1" si="8"/>
        <v>1597.5333333333335</v>
      </c>
      <c r="J201" s="16">
        <f t="shared" ca="1" si="9"/>
        <v>1611.366666666667</v>
      </c>
      <c r="K201" s="16"/>
      <c r="L201" s="16">
        <f t="shared" ca="1" si="10"/>
        <v>1581.7666666666671</v>
      </c>
      <c r="M201" s="16">
        <f t="shared" ca="1" si="11"/>
        <v>1627.1333333333334</v>
      </c>
      <c r="N201" s="16">
        <f t="shared" ca="1" si="12"/>
        <v>1567.9333333333336</v>
      </c>
    </row>
    <row r="202" spans="1:14" ht="24.75" customHeight="1" x14ac:dyDescent="0.8">
      <c r="A202" s="18" t="s">
        <v>166</v>
      </c>
      <c r="B202" s="10">
        <f ca="1">IFERROR(__xludf.DUMMYFUNCTION("GOOGLEFINANCE(A202,""PRICE"")"),21.84)</f>
        <v>21.84</v>
      </c>
      <c r="C202" s="11">
        <f ca="1">IFERROR(__xludf.DUMMYFUNCTION("GOOGLEFINANCE(A202,""PRICEOPEN"")"),21.76)</f>
        <v>21.76</v>
      </c>
      <c r="D202" s="11">
        <f ca="1">IFERROR(__xludf.DUMMYFUNCTION("GOOGLEFINANCE(A202,""HIGH"")"),21.97)</f>
        <v>21.97</v>
      </c>
      <c r="E202" s="11">
        <f ca="1">IFERROR(__xludf.DUMMYFUNCTION("GOOGLEFINANCE(A202,""LOW"")"),21.68)</f>
        <v>21.68</v>
      </c>
      <c r="F202" s="12" t="str">
        <f t="shared" ca="1" si="7"/>
        <v/>
      </c>
      <c r="G202" s="13">
        <f ca="1">IFERROR(__xludf.DUMMYFUNCTION("GOOGLEFINANCE(A202,""CLOSEYEST"")"),21.76)</f>
        <v>21.76</v>
      </c>
      <c r="H202" s="14" t="str">
        <f t="shared" ca="1" si="13"/>
        <v/>
      </c>
      <c r="I202" s="15">
        <f t="shared" ca="1" si="8"/>
        <v>21.803333333333331</v>
      </c>
      <c r="J202" s="16">
        <f t="shared" ca="1" si="9"/>
        <v>21.926666666666662</v>
      </c>
      <c r="K202" s="16"/>
      <c r="L202" s="16">
        <f t="shared" ca="1" si="10"/>
        <v>21.636666666666663</v>
      </c>
      <c r="M202" s="16">
        <f t="shared" ca="1" si="11"/>
        <v>22.09333333333333</v>
      </c>
      <c r="N202" s="16">
        <f t="shared" ca="1" si="12"/>
        <v>21.513333333333332</v>
      </c>
    </row>
    <row r="203" spans="1:14" ht="24.75" customHeight="1" x14ac:dyDescent="0.8">
      <c r="A203" s="18" t="s">
        <v>167</v>
      </c>
      <c r="B203" s="10">
        <f ca="1">IFERROR(__xludf.DUMMYFUNCTION("GOOGLEFINANCE(A203,""PRICE"")"),5072)</f>
        <v>5072</v>
      </c>
      <c r="C203" s="11">
        <f ca="1">IFERROR(__xludf.DUMMYFUNCTION("GOOGLEFINANCE(A203,""PRICEOPEN"")"),4975)</f>
        <v>4975</v>
      </c>
      <c r="D203" s="11">
        <f ca="1">IFERROR(__xludf.DUMMYFUNCTION("GOOGLEFINANCE(A203,""HIGH"")"),5077.1)</f>
        <v>5077.1000000000004</v>
      </c>
      <c r="E203" s="11">
        <f ca="1">IFERROR(__xludf.DUMMYFUNCTION("GOOGLEFINANCE(A203,""LOW"")"),4953.7)</f>
        <v>4953.7</v>
      </c>
      <c r="F203" s="12" t="str">
        <f t="shared" ca="1" si="7"/>
        <v/>
      </c>
      <c r="G203" s="13">
        <f ca="1">IFERROR(__xludf.DUMMYFUNCTION("GOOGLEFINANCE(A203,""CLOSEYEST"")"),4955.4)</f>
        <v>4955.3999999999996</v>
      </c>
      <c r="H203" s="14" t="str">
        <f t="shared" ca="1" si="13"/>
        <v/>
      </c>
      <c r="I203" s="15">
        <f t="shared" ca="1" si="8"/>
        <v>4995.3999999999996</v>
      </c>
      <c r="J203" s="16">
        <f t="shared" ca="1" si="9"/>
        <v>5037.0999999999995</v>
      </c>
      <c r="K203" s="16"/>
      <c r="L203" s="16">
        <f t="shared" ca="1" si="10"/>
        <v>4913.6999999999989</v>
      </c>
      <c r="M203" s="16">
        <f t="shared" ca="1" si="11"/>
        <v>5118.8</v>
      </c>
      <c r="N203" s="16">
        <f t="shared" ca="1" si="12"/>
        <v>4871.9999999999991</v>
      </c>
    </row>
    <row r="204" spans="1:14" ht="24.75" customHeight="1" x14ac:dyDescent="0.8">
      <c r="A204" s="18" t="s">
        <v>168</v>
      </c>
      <c r="B204" s="10">
        <f ca="1">IFERROR(__xludf.DUMMYFUNCTION("GOOGLEFINANCE(A204,""PRICE"")"),3130)</f>
        <v>3130</v>
      </c>
      <c r="C204" s="11">
        <f ca="1">IFERROR(__xludf.DUMMYFUNCTION("GOOGLEFINANCE(A204,""PRICEOPEN"")"),3090)</f>
        <v>3090</v>
      </c>
      <c r="D204" s="11">
        <f ca="1">IFERROR(__xludf.DUMMYFUNCTION("GOOGLEFINANCE(A204,""HIGH"")"),3150)</f>
        <v>3150</v>
      </c>
      <c r="E204" s="11">
        <f ca="1">IFERROR(__xludf.DUMMYFUNCTION("GOOGLEFINANCE(A204,""LOW"")"),3082.2)</f>
        <v>3082.2</v>
      </c>
      <c r="F204" s="12" t="str">
        <f t="shared" ca="1" si="7"/>
        <v/>
      </c>
      <c r="G204" s="13">
        <f ca="1">IFERROR(__xludf.DUMMYFUNCTION("GOOGLEFINANCE(A204,""CLOSEYEST"")"),3084.1)</f>
        <v>3084.1</v>
      </c>
      <c r="H204" s="14" t="str">
        <f t="shared" ca="1" si="13"/>
        <v/>
      </c>
      <c r="I204" s="15">
        <f t="shared" ca="1" si="8"/>
        <v>3105.4333333333329</v>
      </c>
      <c r="J204" s="16">
        <f t="shared" ca="1" si="9"/>
        <v>3128.6666666666661</v>
      </c>
      <c r="K204" s="16"/>
      <c r="L204" s="16">
        <f t="shared" ca="1" si="10"/>
        <v>3060.8666666666659</v>
      </c>
      <c r="M204" s="16">
        <f t="shared" ca="1" si="11"/>
        <v>3173.2333333333331</v>
      </c>
      <c r="N204" s="16">
        <f t="shared" ca="1" si="12"/>
        <v>3037.6333333333328</v>
      </c>
    </row>
    <row r="205" spans="1:14" ht="24.75" customHeight="1" x14ac:dyDescent="0.8">
      <c r="A205" s="18" t="s">
        <v>169</v>
      </c>
      <c r="B205" s="10" t="str">
        <f ca="1">IFERROR(__xludf.DUMMYFUNCTION("GOOGLEFINANCE(A205,""PRICE"")"),"#N/A")</f>
        <v>#N/A</v>
      </c>
      <c r="C205" s="11" t="str">
        <f ca="1">IFERROR(__xludf.DUMMYFUNCTION("GOOGLEFINANCE(A205,""PRICEOPEN"")"),"#N/A")</f>
        <v>#N/A</v>
      </c>
      <c r="D205" s="11" t="str">
        <f ca="1">IFERROR(__xludf.DUMMYFUNCTION("GOOGLEFINANCE(A205,""HIGH"")"),"#N/A")</f>
        <v>#N/A</v>
      </c>
      <c r="E205" s="11" t="str">
        <f ca="1">IFERROR(__xludf.DUMMYFUNCTION("GOOGLEFINANCE(A205,""LOW"")"),"#N/A")</f>
        <v>#N/A</v>
      </c>
      <c r="F205" s="12" t="str">
        <f t="shared" ca="1" si="7"/>
        <v>SELL</v>
      </c>
      <c r="G205" s="13" t="str">
        <f ca="1">IFERROR(__xludf.DUMMYFUNCTION("GOOGLEFINANCE(A205,""CLOSEYEST"")"),"#N/A")</f>
        <v>#N/A</v>
      </c>
      <c r="H205" s="14" t="e">
        <f t="shared" ca="1" si="13"/>
        <v>#VALUE!</v>
      </c>
      <c r="I205" s="15" t="e">
        <f t="shared" ca="1" si="8"/>
        <v>#VALUE!</v>
      </c>
      <c r="J205" s="16" t="e">
        <f t="shared" ca="1" si="9"/>
        <v>#VALUE!</v>
      </c>
      <c r="K205" s="16"/>
      <c r="L205" s="16" t="e">
        <f t="shared" ca="1" si="10"/>
        <v>#VALUE!</v>
      </c>
      <c r="M205" s="16" t="e">
        <f t="shared" ca="1" si="11"/>
        <v>#VALUE!</v>
      </c>
      <c r="N205" s="16" t="e">
        <f t="shared" ca="1" si="12"/>
        <v>#VALUE!</v>
      </c>
    </row>
    <row r="206" spans="1:14" ht="24.75" customHeight="1" x14ac:dyDescent="0.8">
      <c r="A206" s="18" t="s">
        <v>170</v>
      </c>
      <c r="B206" s="10">
        <f ca="1">IFERROR(__xludf.DUMMYFUNCTION("GOOGLEFINANCE(A206,""PRICE"")"),277.85)</f>
        <v>277.85000000000002</v>
      </c>
      <c r="C206" s="11">
        <f ca="1">IFERROR(__xludf.DUMMYFUNCTION("GOOGLEFINANCE(A206,""PRICEOPEN"")"),274.5)</f>
        <v>274.5</v>
      </c>
      <c r="D206" s="11">
        <f ca="1">IFERROR(__xludf.DUMMYFUNCTION("GOOGLEFINANCE(A206,""HIGH"")"),279.95)</f>
        <v>279.95</v>
      </c>
      <c r="E206" s="11">
        <f ca="1">IFERROR(__xludf.DUMMYFUNCTION("GOOGLEFINANCE(A206,""LOW"")"),273.75)</f>
        <v>273.75</v>
      </c>
      <c r="F206" s="12" t="str">
        <f t="shared" ca="1" si="7"/>
        <v/>
      </c>
      <c r="G206" s="13">
        <f ca="1">IFERROR(__xludf.DUMMYFUNCTION("GOOGLEFINANCE(A206,""CLOSEYEST"")"),274.5)</f>
        <v>274.5</v>
      </c>
      <c r="H206" s="14" t="str">
        <f t="shared" ca="1" si="13"/>
        <v/>
      </c>
      <c r="I206" s="15">
        <f t="shared" ca="1" si="8"/>
        <v>276.06666666666666</v>
      </c>
      <c r="J206" s="16">
        <f t="shared" ca="1" si="9"/>
        <v>278.38333333333333</v>
      </c>
      <c r="K206" s="16"/>
      <c r="L206" s="16">
        <f t="shared" ca="1" si="10"/>
        <v>272.18333333333334</v>
      </c>
      <c r="M206" s="16">
        <f t="shared" ca="1" si="11"/>
        <v>282.26666666666665</v>
      </c>
      <c r="N206" s="16">
        <f t="shared" ca="1" si="12"/>
        <v>269.86666666666667</v>
      </c>
    </row>
    <row r="207" spans="1:14" ht="24.75" customHeight="1" x14ac:dyDescent="0.8">
      <c r="A207" s="18" t="s">
        <v>171</v>
      </c>
      <c r="B207" s="10">
        <f ca="1">IFERROR(__xludf.DUMMYFUNCTION("GOOGLEFINANCE(A207,""PRICE"")"),252.59)</f>
        <v>252.59</v>
      </c>
      <c r="C207" s="11">
        <f ca="1">IFERROR(__xludf.DUMMYFUNCTION("GOOGLEFINANCE(A207,""PRICEOPEN"")"),248.5)</f>
        <v>248.5</v>
      </c>
      <c r="D207" s="11">
        <f ca="1">IFERROR(__xludf.DUMMYFUNCTION("GOOGLEFINANCE(A207,""HIGH"")"),254.95)</f>
        <v>254.95</v>
      </c>
      <c r="E207" s="11">
        <f ca="1">IFERROR(__xludf.DUMMYFUNCTION("GOOGLEFINANCE(A207,""LOW"")"),247.9)</f>
        <v>247.9</v>
      </c>
      <c r="F207" s="12" t="str">
        <f t="shared" ca="1" si="7"/>
        <v/>
      </c>
      <c r="G207" s="13">
        <f ca="1">IFERROR(__xludf.DUMMYFUNCTION("GOOGLEFINANCE(A207,""CLOSEYEST"")"),249.22)</f>
        <v>249.22</v>
      </c>
      <c r="H207" s="14" t="str">
        <f t="shared" ca="1" si="13"/>
        <v/>
      </c>
      <c r="I207" s="15">
        <f t="shared" ca="1" si="8"/>
        <v>250.69000000000003</v>
      </c>
      <c r="J207" s="16">
        <f t="shared" ca="1" si="9"/>
        <v>253.48000000000005</v>
      </c>
      <c r="K207" s="16"/>
      <c r="L207" s="16">
        <f t="shared" ca="1" si="10"/>
        <v>246.43000000000006</v>
      </c>
      <c r="M207" s="16">
        <f t="shared" ca="1" si="11"/>
        <v>257.74</v>
      </c>
      <c r="N207" s="16">
        <f t="shared" ca="1" si="12"/>
        <v>243.64000000000004</v>
      </c>
    </row>
    <row r="208" spans="1:14" ht="24.75" customHeight="1" x14ac:dyDescent="0.8">
      <c r="A208" s="18" t="s">
        <v>172</v>
      </c>
      <c r="B208" s="10">
        <f ca="1">IFERROR(__xludf.DUMMYFUNCTION("GOOGLEFINANCE(A208,""PRICE"")"),442.5)</f>
        <v>442.5</v>
      </c>
      <c r="C208" s="11">
        <f ca="1">IFERROR(__xludf.DUMMYFUNCTION("GOOGLEFINANCE(A208,""PRICEOPEN"")"),445.6)</f>
        <v>445.6</v>
      </c>
      <c r="D208" s="11">
        <f ca="1">IFERROR(__xludf.DUMMYFUNCTION("GOOGLEFINANCE(A208,""HIGH"")"),447.7)</f>
        <v>447.7</v>
      </c>
      <c r="E208" s="11">
        <f ca="1">IFERROR(__xludf.DUMMYFUNCTION("GOOGLEFINANCE(A208,""LOW"")"),440)</f>
        <v>440</v>
      </c>
      <c r="F208" s="12" t="str">
        <f t="shared" ca="1" si="7"/>
        <v/>
      </c>
      <c r="G208" s="13">
        <f ca="1">IFERROR(__xludf.DUMMYFUNCTION("GOOGLEFINANCE(A208,""CLOSEYEST"")"),445.6)</f>
        <v>445.6</v>
      </c>
      <c r="H208" s="14" t="str">
        <f t="shared" ca="1" si="13"/>
        <v/>
      </c>
      <c r="I208" s="15">
        <f t="shared" ca="1" si="8"/>
        <v>444.43333333333339</v>
      </c>
      <c r="J208" s="16">
        <f t="shared" ca="1" si="9"/>
        <v>448.86666666666679</v>
      </c>
      <c r="K208" s="16"/>
      <c r="L208" s="16">
        <f t="shared" ca="1" si="10"/>
        <v>441.1666666666668</v>
      </c>
      <c r="M208" s="16">
        <f t="shared" ca="1" si="11"/>
        <v>452.13333333333338</v>
      </c>
      <c r="N208" s="16">
        <f t="shared" ca="1" si="12"/>
        <v>436.73333333333341</v>
      </c>
    </row>
    <row r="209" spans="1:14" ht="24.75" customHeight="1" x14ac:dyDescent="0.8">
      <c r="A209" s="18" t="s">
        <v>173</v>
      </c>
      <c r="B209" s="10" t="str">
        <f ca="1">IFERROR(__xludf.DUMMYFUNCTION("GOOGLEFINANCE(A209,""PRICE"")"),"#N/A")</f>
        <v>#N/A</v>
      </c>
      <c r="C209" s="11" t="str">
        <f ca="1">IFERROR(__xludf.DUMMYFUNCTION("GOOGLEFINANCE(A209,""PRICEOPEN"")"),"#N/A")</f>
        <v>#N/A</v>
      </c>
      <c r="D209" s="11" t="str">
        <f ca="1">IFERROR(__xludf.DUMMYFUNCTION("GOOGLEFINANCE(A209,""HIGH"")"),"#N/A")</f>
        <v>#N/A</v>
      </c>
      <c r="E209" s="11" t="str">
        <f ca="1">IFERROR(__xludf.DUMMYFUNCTION("GOOGLEFINANCE(A209,""LOW"")"),"#N/A")</f>
        <v>#N/A</v>
      </c>
      <c r="F209" s="12" t="str">
        <f t="shared" ca="1" si="7"/>
        <v>SELL</v>
      </c>
      <c r="G209" s="13" t="str">
        <f ca="1">IFERROR(__xludf.DUMMYFUNCTION("GOOGLEFINANCE(A209,""CLOSEYEST"")"),"#N/A")</f>
        <v>#N/A</v>
      </c>
      <c r="H209" s="14" t="e">
        <f t="shared" ca="1" si="13"/>
        <v>#VALUE!</v>
      </c>
      <c r="I209" s="15" t="e">
        <f t="shared" ca="1" si="8"/>
        <v>#VALUE!</v>
      </c>
      <c r="J209" s="16" t="e">
        <f t="shared" ca="1" si="9"/>
        <v>#VALUE!</v>
      </c>
      <c r="K209" s="16"/>
      <c r="L209" s="16" t="e">
        <f t="shared" ca="1" si="10"/>
        <v>#VALUE!</v>
      </c>
      <c r="M209" s="16" t="e">
        <f t="shared" ca="1" si="11"/>
        <v>#VALUE!</v>
      </c>
      <c r="N209" s="16" t="e">
        <f t="shared" ca="1" si="12"/>
        <v>#VALUE!</v>
      </c>
    </row>
    <row r="210" spans="1:14" ht="24.75" customHeight="1" x14ac:dyDescent="0.8">
      <c r="A210" s="18" t="s">
        <v>174</v>
      </c>
      <c r="B210" s="10">
        <f ca="1">IFERROR(__xludf.DUMMYFUNCTION("GOOGLEFINANCE(A210,""PRICE"")"),4)</f>
        <v>4</v>
      </c>
      <c r="C210" s="11" t="str">
        <f ca="1">IFERROR(__xludf.DUMMYFUNCTION("GOOGLEFINANCE(A210,""PRICEOPEN"")"),"#N/A")</f>
        <v>#N/A</v>
      </c>
      <c r="D210" s="11" t="str">
        <f ca="1">IFERROR(__xludf.DUMMYFUNCTION("GOOGLEFINANCE(A210,""HIGH"")"),"#N/A")</f>
        <v>#N/A</v>
      </c>
      <c r="E210" s="11" t="str">
        <f ca="1">IFERROR(__xludf.DUMMYFUNCTION("GOOGLEFINANCE(A210,""LOW"")"),"#N/A")</f>
        <v>#N/A</v>
      </c>
      <c r="F210" s="12" t="str">
        <f t="shared" ca="1" si="7"/>
        <v>SELL</v>
      </c>
      <c r="G210" s="13">
        <f ca="1">IFERROR(__xludf.DUMMYFUNCTION("GOOGLEFINANCE(A210,""CLOSEYEST"")"),4)</f>
        <v>4</v>
      </c>
      <c r="H210" s="14" t="str">
        <f t="shared" ca="1" si="13"/>
        <v>GAP UP</v>
      </c>
      <c r="I210" s="15" t="e">
        <f t="shared" ca="1" si="8"/>
        <v>#VALUE!</v>
      </c>
      <c r="J210" s="16" t="e">
        <f t="shared" ca="1" si="9"/>
        <v>#VALUE!</v>
      </c>
      <c r="K210" s="16"/>
      <c r="L210" s="16" t="e">
        <f t="shared" ca="1" si="10"/>
        <v>#VALUE!</v>
      </c>
      <c r="M210" s="16" t="e">
        <f t="shared" ca="1" si="11"/>
        <v>#VALUE!</v>
      </c>
      <c r="N210" s="16" t="e">
        <f t="shared" ca="1" si="12"/>
        <v>#VALUE!</v>
      </c>
    </row>
    <row r="211" spans="1:14" ht="24.75" customHeight="1" x14ac:dyDescent="0.8">
      <c r="A211" s="18" t="s">
        <v>175</v>
      </c>
      <c r="B211" s="10">
        <f ca="1">IFERROR(__xludf.DUMMYFUNCTION("GOOGLEFINANCE(A211,""PRICE"")"),2.84)</f>
        <v>2.84</v>
      </c>
      <c r="C211" s="11">
        <f ca="1">IFERROR(__xludf.DUMMYFUNCTION("GOOGLEFINANCE(A211,""PRICEOPEN"")"),2.8)</f>
        <v>2.8</v>
      </c>
      <c r="D211" s="11">
        <f ca="1">IFERROR(__xludf.DUMMYFUNCTION("GOOGLEFINANCE(A211,""HIGH"")"),2.84)</f>
        <v>2.84</v>
      </c>
      <c r="E211" s="11">
        <f ca="1">IFERROR(__xludf.DUMMYFUNCTION("GOOGLEFINANCE(A211,""LOW"")"),2.79)</f>
        <v>2.79</v>
      </c>
      <c r="F211" s="12" t="str">
        <f t="shared" ca="1" si="7"/>
        <v/>
      </c>
      <c r="G211" s="13">
        <f ca="1">IFERROR(__xludf.DUMMYFUNCTION("GOOGLEFINANCE(A211,""CLOSEYEST"")"),2.8)</f>
        <v>2.8</v>
      </c>
      <c r="H211" s="14" t="str">
        <f t="shared" ca="1" si="13"/>
        <v/>
      </c>
      <c r="I211" s="15">
        <f t="shared" ca="1" si="8"/>
        <v>2.81</v>
      </c>
      <c r="J211" s="16">
        <f t="shared" ca="1" si="9"/>
        <v>2.83</v>
      </c>
      <c r="K211" s="16"/>
      <c r="L211" s="16">
        <f t="shared" ca="1" si="10"/>
        <v>2.7800000000000002</v>
      </c>
      <c r="M211" s="16">
        <f t="shared" ca="1" si="11"/>
        <v>2.86</v>
      </c>
      <c r="N211" s="16">
        <f t="shared" ca="1" si="12"/>
        <v>2.7600000000000002</v>
      </c>
    </row>
    <row r="212" spans="1:14" ht="24.75" customHeight="1" x14ac:dyDescent="0.8">
      <c r="A212" s="18" t="s">
        <v>176</v>
      </c>
      <c r="B212" s="10">
        <f ca="1">IFERROR(__xludf.DUMMYFUNCTION("GOOGLEFINANCE(A212,""PRICE"")"),304.5)</f>
        <v>304.5</v>
      </c>
      <c r="C212" s="11">
        <f ca="1">IFERROR(__xludf.DUMMYFUNCTION("GOOGLEFINANCE(A212,""PRICEOPEN"")"),300.6)</f>
        <v>300.60000000000002</v>
      </c>
      <c r="D212" s="11">
        <f ca="1">IFERROR(__xludf.DUMMYFUNCTION("GOOGLEFINANCE(A212,""HIGH"")"),304.95)</f>
        <v>304.95</v>
      </c>
      <c r="E212" s="11">
        <f ca="1">IFERROR(__xludf.DUMMYFUNCTION("GOOGLEFINANCE(A212,""LOW"")"),297.6)</f>
        <v>297.60000000000002</v>
      </c>
      <c r="F212" s="12" t="str">
        <f t="shared" ca="1" si="7"/>
        <v/>
      </c>
      <c r="G212" s="13">
        <f ca="1">IFERROR(__xludf.DUMMYFUNCTION("GOOGLEFINANCE(A212,""CLOSEYEST"")"),299.85)</f>
        <v>299.85000000000002</v>
      </c>
      <c r="H212" s="14" t="str">
        <f t="shared" ca="1" si="13"/>
        <v/>
      </c>
      <c r="I212" s="15">
        <f t="shared" ca="1" si="8"/>
        <v>300.8</v>
      </c>
      <c r="J212" s="16">
        <f t="shared" ca="1" si="9"/>
        <v>304</v>
      </c>
      <c r="K212" s="16"/>
      <c r="L212" s="16">
        <f t="shared" ca="1" si="10"/>
        <v>296.65000000000003</v>
      </c>
      <c r="M212" s="16">
        <f t="shared" ca="1" si="11"/>
        <v>308.14999999999998</v>
      </c>
      <c r="N212" s="16">
        <f t="shared" ca="1" si="12"/>
        <v>293.45000000000005</v>
      </c>
    </row>
    <row r="213" spans="1:14" ht="24.75" customHeight="1" x14ac:dyDescent="0.8">
      <c r="A213" s="18" t="s">
        <v>64</v>
      </c>
      <c r="B213" s="10">
        <f ca="1">IFERROR(__xludf.DUMMYFUNCTION("GOOGLEFINANCE(A213,""PRICE"")"),114.15)</f>
        <v>114.15</v>
      </c>
      <c r="C213" s="11">
        <f ca="1">IFERROR(__xludf.DUMMYFUNCTION("GOOGLEFINANCE(A213,""PRICEOPEN"")"),114.49)</f>
        <v>114.49</v>
      </c>
      <c r="D213" s="11">
        <f ca="1">IFERROR(__xludf.DUMMYFUNCTION("GOOGLEFINANCE(A213,""HIGH"")"),115.07)</f>
        <v>115.07</v>
      </c>
      <c r="E213" s="11">
        <f ca="1">IFERROR(__xludf.DUMMYFUNCTION("GOOGLEFINANCE(A213,""LOW"")"),112.63)</f>
        <v>112.63</v>
      </c>
      <c r="F213" s="12" t="str">
        <f t="shared" ca="1" si="7"/>
        <v/>
      </c>
      <c r="G213" s="13">
        <f ca="1">IFERROR(__xludf.DUMMYFUNCTION("GOOGLEFINANCE(A213,""CLOSEYEST"")"),114.21)</f>
        <v>114.21</v>
      </c>
      <c r="H213" s="14" t="str">
        <f t="shared" ca="1" si="13"/>
        <v/>
      </c>
      <c r="I213" s="15">
        <f t="shared" ca="1" si="8"/>
        <v>113.96999999999998</v>
      </c>
      <c r="J213" s="16">
        <f t="shared" ca="1" si="9"/>
        <v>115.30999999999997</v>
      </c>
      <c r="K213" s="16"/>
      <c r="L213" s="16">
        <f t="shared" ca="1" si="10"/>
        <v>112.86999999999998</v>
      </c>
      <c r="M213" s="16">
        <f t="shared" ca="1" si="11"/>
        <v>116.40999999999998</v>
      </c>
      <c r="N213" s="16">
        <f t="shared" ca="1" si="12"/>
        <v>111.52999999999999</v>
      </c>
    </row>
    <row r="214" spans="1:14" ht="24.75" customHeight="1" x14ac:dyDescent="0.8">
      <c r="A214" s="18" t="s">
        <v>177</v>
      </c>
      <c r="B214" s="10">
        <f ca="1">IFERROR(__xludf.DUMMYFUNCTION("GOOGLEFINANCE(A214,""PRICE"")"),114)</f>
        <v>114</v>
      </c>
      <c r="C214" s="11">
        <f ca="1">IFERROR(__xludf.DUMMYFUNCTION("GOOGLEFINANCE(A214,""PRICEOPEN"")"),112)</f>
        <v>112</v>
      </c>
      <c r="D214" s="11">
        <f ca="1">IFERROR(__xludf.DUMMYFUNCTION("GOOGLEFINANCE(A214,""HIGH"")"),114)</f>
        <v>114</v>
      </c>
      <c r="E214" s="11">
        <f ca="1">IFERROR(__xludf.DUMMYFUNCTION("GOOGLEFINANCE(A214,""LOW"")"),110)</f>
        <v>110</v>
      </c>
      <c r="F214" s="12" t="str">
        <f t="shared" ca="1" si="7"/>
        <v/>
      </c>
      <c r="G214" s="13">
        <f ca="1">IFERROR(__xludf.DUMMYFUNCTION("GOOGLEFINANCE(A214,""CLOSEYEST"")"),114)</f>
        <v>114</v>
      </c>
      <c r="H214" s="14" t="str">
        <f t="shared" ca="1" si="13"/>
        <v>GAP DOWN</v>
      </c>
      <c r="I214" s="15">
        <f t="shared" ca="1" si="8"/>
        <v>112.66666666666667</v>
      </c>
      <c r="J214" s="16">
        <f t="shared" ca="1" si="9"/>
        <v>115.33333333333334</v>
      </c>
      <c r="K214" s="16"/>
      <c r="L214" s="16">
        <f t="shared" ca="1" si="10"/>
        <v>111.33333333333334</v>
      </c>
      <c r="M214" s="16">
        <f t="shared" ca="1" si="11"/>
        <v>116.66666666666667</v>
      </c>
      <c r="N214" s="16">
        <f t="shared" ca="1" si="12"/>
        <v>108.66666666666667</v>
      </c>
    </row>
    <row r="215" spans="1:14" ht="24.75" customHeight="1" x14ac:dyDescent="0.8">
      <c r="A215" s="18" t="s">
        <v>178</v>
      </c>
      <c r="B215" s="10">
        <f ca="1">IFERROR(__xludf.DUMMYFUNCTION("GOOGLEFINANCE(A215,""PRICE"")"),16597)</f>
        <v>16597</v>
      </c>
      <c r="C215" s="11">
        <f ca="1">IFERROR(__xludf.DUMMYFUNCTION("GOOGLEFINANCE(A215,""PRICEOPEN"")"),16500)</f>
        <v>16500</v>
      </c>
      <c r="D215" s="11">
        <f ca="1">IFERROR(__xludf.DUMMYFUNCTION("GOOGLEFINANCE(A215,""HIGH"")"),16649)</f>
        <v>16649</v>
      </c>
      <c r="E215" s="11">
        <f ca="1">IFERROR(__xludf.DUMMYFUNCTION("GOOGLEFINANCE(A215,""LOW"")"),16393)</f>
        <v>16393</v>
      </c>
      <c r="F215" s="12" t="str">
        <f t="shared" ca="1" si="7"/>
        <v/>
      </c>
      <c r="G215" s="13">
        <f ca="1">IFERROR(__xludf.DUMMYFUNCTION("GOOGLEFINANCE(A215,""CLOSEYEST"")"),16453)</f>
        <v>16453</v>
      </c>
      <c r="H215" s="14" t="str">
        <f t="shared" ca="1" si="13"/>
        <v/>
      </c>
      <c r="I215" s="15">
        <f t="shared" ca="1" si="8"/>
        <v>16498.333333333332</v>
      </c>
      <c r="J215" s="16">
        <f t="shared" ca="1" si="9"/>
        <v>16603.666666666664</v>
      </c>
      <c r="K215" s="16"/>
      <c r="L215" s="16">
        <f t="shared" ca="1" si="10"/>
        <v>16347.666666666664</v>
      </c>
      <c r="M215" s="16">
        <f t="shared" ca="1" si="11"/>
        <v>16754.333333333332</v>
      </c>
      <c r="N215" s="16">
        <f t="shared" ca="1" si="12"/>
        <v>16242.333333333332</v>
      </c>
    </row>
    <row r="216" spans="1:14" ht="24.75" customHeight="1" x14ac:dyDescent="0.8">
      <c r="A216" s="18" t="s">
        <v>179</v>
      </c>
      <c r="B216" s="10">
        <f ca="1">IFERROR(__xludf.DUMMYFUNCTION("GOOGLEFINANCE(A216,""PRICE"")"),87)</f>
        <v>87</v>
      </c>
      <c r="C216" s="11">
        <f ca="1">IFERROR(__xludf.DUMMYFUNCTION("GOOGLEFINANCE(A216,""PRICEOPEN"")"),86.5)</f>
        <v>86.5</v>
      </c>
      <c r="D216" s="11">
        <f ca="1">IFERROR(__xludf.DUMMYFUNCTION("GOOGLEFINANCE(A216,""HIGH"")"),87.15)</f>
        <v>87.15</v>
      </c>
      <c r="E216" s="11">
        <f ca="1">IFERROR(__xludf.DUMMYFUNCTION("GOOGLEFINANCE(A216,""LOW"")"),85.6)</f>
        <v>85.6</v>
      </c>
      <c r="F216" s="12" t="str">
        <f t="shared" ca="1" si="7"/>
        <v/>
      </c>
      <c r="G216" s="13">
        <f ca="1">IFERROR(__xludf.DUMMYFUNCTION("GOOGLEFINANCE(A216,""CLOSEYEST"")"),86.37)</f>
        <v>86.37</v>
      </c>
      <c r="H216" s="14" t="str">
        <f t="shared" ca="1" si="13"/>
        <v/>
      </c>
      <c r="I216" s="15">
        <f t="shared" ca="1" si="8"/>
        <v>86.373333333333335</v>
      </c>
      <c r="J216" s="16">
        <f t="shared" ca="1" si="9"/>
        <v>87.146666666666675</v>
      </c>
      <c r="K216" s="16"/>
      <c r="L216" s="16">
        <f t="shared" ca="1" si="10"/>
        <v>85.596666666666664</v>
      </c>
      <c r="M216" s="16">
        <f t="shared" ca="1" si="11"/>
        <v>87.923333333333346</v>
      </c>
      <c r="N216" s="16">
        <f t="shared" ca="1" si="12"/>
        <v>84.823333333333323</v>
      </c>
    </row>
    <row r="217" spans="1:14" ht="24.75" customHeight="1" x14ac:dyDescent="0.8">
      <c r="A217" s="18" t="s">
        <v>180</v>
      </c>
      <c r="B217" s="10">
        <f ca="1">IFERROR(__xludf.DUMMYFUNCTION("GOOGLEFINANCE(A217,""PRICE"")"),137.7)</f>
        <v>137.69999999999999</v>
      </c>
      <c r="C217" s="11">
        <f ca="1">IFERROR(__xludf.DUMMYFUNCTION("GOOGLEFINANCE(A217,""PRICEOPEN"")"),138.78)</f>
        <v>138.78</v>
      </c>
      <c r="D217" s="11">
        <f ca="1">IFERROR(__xludf.DUMMYFUNCTION("GOOGLEFINANCE(A217,""HIGH"")"),140.45)</f>
        <v>140.44999999999999</v>
      </c>
      <c r="E217" s="11">
        <f ca="1">IFERROR(__xludf.DUMMYFUNCTION("GOOGLEFINANCE(A217,""LOW"")"),135.29)</f>
        <v>135.29</v>
      </c>
      <c r="F217" s="12" t="str">
        <f t="shared" ca="1" si="7"/>
        <v/>
      </c>
      <c r="G217" s="13">
        <f ca="1">IFERROR(__xludf.DUMMYFUNCTION("GOOGLEFINANCE(A217,""CLOSEYEST"")"),138.75)</f>
        <v>138.75</v>
      </c>
      <c r="H217" s="14" t="str">
        <f t="shared" ca="1" si="13"/>
        <v/>
      </c>
      <c r="I217" s="15">
        <f t="shared" ca="1" si="8"/>
        <v>138.16333333333333</v>
      </c>
      <c r="J217" s="16">
        <f t="shared" ca="1" si="9"/>
        <v>141.03666666666666</v>
      </c>
      <c r="K217" s="16"/>
      <c r="L217" s="16">
        <f t="shared" ca="1" si="10"/>
        <v>135.87666666666667</v>
      </c>
      <c r="M217" s="16">
        <f t="shared" ca="1" si="11"/>
        <v>143.32333333333332</v>
      </c>
      <c r="N217" s="16">
        <f t="shared" ca="1" si="12"/>
        <v>133.00333333333333</v>
      </c>
    </row>
    <row r="218" spans="1:14" ht="24.75" customHeight="1" x14ac:dyDescent="0.8">
      <c r="A218" s="18" t="s">
        <v>181</v>
      </c>
      <c r="B218" s="10">
        <f ca="1">IFERROR(__xludf.DUMMYFUNCTION("GOOGLEFINANCE(A218,""PRICE"")"),3125)</f>
        <v>3125</v>
      </c>
      <c r="C218" s="11">
        <f ca="1">IFERROR(__xludf.DUMMYFUNCTION("GOOGLEFINANCE(A218,""PRICEOPEN"")"),3151)</f>
        <v>3151</v>
      </c>
      <c r="D218" s="11">
        <f ca="1">IFERROR(__xludf.DUMMYFUNCTION("GOOGLEFINANCE(A218,""HIGH"")"),3168.7)</f>
        <v>3168.7</v>
      </c>
      <c r="E218" s="11">
        <f ca="1">IFERROR(__xludf.DUMMYFUNCTION("GOOGLEFINANCE(A218,""LOW"")"),3117)</f>
        <v>3117</v>
      </c>
      <c r="F218" s="12" t="str">
        <f t="shared" ca="1" si="7"/>
        <v/>
      </c>
      <c r="G218" s="13">
        <f ca="1">IFERROR(__xludf.DUMMYFUNCTION("GOOGLEFINANCE(A218,""CLOSEYEST"")"),3168.7)</f>
        <v>3168.7</v>
      </c>
      <c r="H218" s="14" t="str">
        <f t="shared" ca="1" si="13"/>
        <v/>
      </c>
      <c r="I218" s="15">
        <f t="shared" ca="1" si="8"/>
        <v>3151.4666666666667</v>
      </c>
      <c r="J218" s="16">
        <f t="shared" ca="1" si="9"/>
        <v>3185.9333333333334</v>
      </c>
      <c r="K218" s="16"/>
      <c r="L218" s="16">
        <f t="shared" ca="1" si="10"/>
        <v>3134.2333333333336</v>
      </c>
      <c r="M218" s="16">
        <f t="shared" ca="1" si="11"/>
        <v>3203.1666666666665</v>
      </c>
      <c r="N218" s="16">
        <f t="shared" ca="1" si="12"/>
        <v>3099.7666666666669</v>
      </c>
    </row>
    <row r="219" spans="1:14" ht="24.75" customHeight="1" x14ac:dyDescent="0.8">
      <c r="A219" s="18" t="s">
        <v>182</v>
      </c>
      <c r="B219" s="10">
        <f ca="1">IFERROR(__xludf.DUMMYFUNCTION("GOOGLEFINANCE(A219,""PRICE"")"),69.15)</f>
        <v>69.150000000000006</v>
      </c>
      <c r="C219" s="11">
        <f ca="1">IFERROR(__xludf.DUMMYFUNCTION("GOOGLEFINANCE(A219,""PRICEOPEN"")"),68.99)</f>
        <v>68.989999999999995</v>
      </c>
      <c r="D219" s="11">
        <f ca="1">IFERROR(__xludf.DUMMYFUNCTION("GOOGLEFINANCE(A219,""HIGH"")"),69.77)</f>
        <v>69.77</v>
      </c>
      <c r="E219" s="11">
        <f ca="1">IFERROR(__xludf.DUMMYFUNCTION("GOOGLEFINANCE(A219,""LOW"")"),68.77)</f>
        <v>68.77</v>
      </c>
      <c r="F219" s="12" t="str">
        <f t="shared" ca="1" si="7"/>
        <v/>
      </c>
      <c r="G219" s="13">
        <f ca="1">IFERROR(__xludf.DUMMYFUNCTION("GOOGLEFINANCE(A219,""CLOSEYEST"")"),69.02)</f>
        <v>69.02</v>
      </c>
      <c r="H219" s="14" t="str">
        <f t="shared" ca="1" si="13"/>
        <v/>
      </c>
      <c r="I219" s="15">
        <f t="shared" ca="1" si="8"/>
        <v>69.186666666666667</v>
      </c>
      <c r="J219" s="16">
        <f t="shared" ca="1" si="9"/>
        <v>69.603333333333339</v>
      </c>
      <c r="K219" s="16"/>
      <c r="L219" s="16">
        <f t="shared" ca="1" si="10"/>
        <v>68.603333333333339</v>
      </c>
      <c r="M219" s="16">
        <f t="shared" ca="1" si="11"/>
        <v>70.186666666666667</v>
      </c>
      <c r="N219" s="16">
        <f t="shared" ca="1" si="12"/>
        <v>68.186666666666667</v>
      </c>
    </row>
    <row r="220" spans="1:14" ht="24.75" customHeight="1" x14ac:dyDescent="0.8">
      <c r="A220" s="18" t="s">
        <v>183</v>
      </c>
      <c r="B220" s="10">
        <f ca="1">IFERROR(__xludf.DUMMYFUNCTION("GOOGLEFINANCE(A220,""PRICE"")"),3447.6)</f>
        <v>3447.6</v>
      </c>
      <c r="C220" s="11">
        <f ca="1">IFERROR(__xludf.DUMMYFUNCTION("GOOGLEFINANCE(A220,""PRICEOPEN"")"),3460)</f>
        <v>3460</v>
      </c>
      <c r="D220" s="11">
        <f ca="1">IFERROR(__xludf.DUMMYFUNCTION("GOOGLEFINANCE(A220,""HIGH"")"),3465)</f>
        <v>3465</v>
      </c>
      <c r="E220" s="11">
        <f ca="1">IFERROR(__xludf.DUMMYFUNCTION("GOOGLEFINANCE(A220,""LOW"")"),3367.2)</f>
        <v>3367.2</v>
      </c>
      <c r="F220" s="12" t="str">
        <f t="shared" ca="1" si="7"/>
        <v/>
      </c>
      <c r="G220" s="13">
        <f ca="1">IFERROR(__xludf.DUMMYFUNCTION("GOOGLEFINANCE(A220,""CLOSEYEST"")"),3457.8)</f>
        <v>3457.8</v>
      </c>
      <c r="H220" s="14" t="str">
        <f t="shared" ca="1" si="13"/>
        <v/>
      </c>
      <c r="I220" s="15">
        <f t="shared" ca="1" si="8"/>
        <v>3430</v>
      </c>
      <c r="J220" s="16">
        <f t="shared" ca="1" si="9"/>
        <v>3492.8</v>
      </c>
      <c r="K220" s="16"/>
      <c r="L220" s="16">
        <f t="shared" ca="1" si="10"/>
        <v>3395</v>
      </c>
      <c r="M220" s="16">
        <f t="shared" ca="1" si="11"/>
        <v>3527.8</v>
      </c>
      <c r="N220" s="16">
        <f t="shared" ca="1" si="12"/>
        <v>3332.2</v>
      </c>
    </row>
    <row r="221" spans="1:14" ht="24.75" customHeight="1" x14ac:dyDescent="0.8">
      <c r="A221" s="18" t="s">
        <v>184</v>
      </c>
      <c r="B221" s="10">
        <f ca="1">IFERROR(__xludf.DUMMYFUNCTION("GOOGLEFINANCE(A221,""PRICE"")"),3700)</f>
        <v>3700</v>
      </c>
      <c r="C221" s="11">
        <f ca="1">IFERROR(__xludf.DUMMYFUNCTION("GOOGLEFINANCE(A221,""PRICEOPEN"")"),3714)</f>
        <v>3714</v>
      </c>
      <c r="D221" s="11">
        <f ca="1">IFERROR(__xludf.DUMMYFUNCTION("GOOGLEFINANCE(A221,""HIGH"")"),3755)</f>
        <v>3755</v>
      </c>
      <c r="E221" s="11">
        <f ca="1">IFERROR(__xludf.DUMMYFUNCTION("GOOGLEFINANCE(A221,""LOW"")"),3695)</f>
        <v>3695</v>
      </c>
      <c r="F221" s="12" t="str">
        <f t="shared" ca="1" si="7"/>
        <v/>
      </c>
      <c r="G221" s="13">
        <f ca="1">IFERROR(__xludf.DUMMYFUNCTION("GOOGLEFINANCE(A221,""CLOSEYEST"")"),3714)</f>
        <v>3714</v>
      </c>
      <c r="H221" s="14" t="str">
        <f t="shared" ca="1" si="13"/>
        <v/>
      </c>
      <c r="I221" s="15">
        <f t="shared" ca="1" si="8"/>
        <v>3721.3333333333335</v>
      </c>
      <c r="J221" s="16">
        <f t="shared" ca="1" si="9"/>
        <v>3747.666666666667</v>
      </c>
      <c r="K221" s="16"/>
      <c r="L221" s="16">
        <f t="shared" ca="1" si="10"/>
        <v>3687.666666666667</v>
      </c>
      <c r="M221" s="16">
        <f t="shared" ca="1" si="11"/>
        <v>3781.3333333333335</v>
      </c>
      <c r="N221" s="16">
        <f t="shared" ca="1" si="12"/>
        <v>3661.3333333333335</v>
      </c>
    </row>
    <row r="222" spans="1:14" ht="24.75" customHeight="1" x14ac:dyDescent="0.8">
      <c r="A222" s="18" t="s">
        <v>185</v>
      </c>
      <c r="B222" s="10">
        <f ca="1">IFERROR(__xludf.DUMMYFUNCTION("GOOGLEFINANCE(A222,""PRICE"")"),126)</f>
        <v>126</v>
      </c>
      <c r="C222" s="11">
        <f ca="1">IFERROR(__xludf.DUMMYFUNCTION("GOOGLEFINANCE(A222,""PRICEOPEN"")"),125.54)</f>
        <v>125.54</v>
      </c>
      <c r="D222" s="11">
        <f ca="1">IFERROR(__xludf.DUMMYFUNCTION("GOOGLEFINANCE(A222,""HIGH"")"),127.18)</f>
        <v>127.18</v>
      </c>
      <c r="E222" s="11">
        <f ca="1">IFERROR(__xludf.DUMMYFUNCTION("GOOGLEFINANCE(A222,""LOW"")"),125.01)</f>
        <v>125.01</v>
      </c>
      <c r="F222" s="12" t="str">
        <f t="shared" ca="1" si="7"/>
        <v/>
      </c>
      <c r="G222" s="13">
        <f ca="1">IFERROR(__xludf.DUMMYFUNCTION("GOOGLEFINANCE(A222,""CLOSEYEST"")"),125.54)</f>
        <v>125.54</v>
      </c>
      <c r="H222" s="14" t="str">
        <f t="shared" ca="1" si="13"/>
        <v/>
      </c>
      <c r="I222" s="15">
        <f t="shared" ca="1" si="8"/>
        <v>125.91000000000001</v>
      </c>
      <c r="J222" s="16">
        <f t="shared" ca="1" si="9"/>
        <v>126.81000000000002</v>
      </c>
      <c r="K222" s="16"/>
      <c r="L222" s="16">
        <f t="shared" ca="1" si="10"/>
        <v>124.64000000000001</v>
      </c>
      <c r="M222" s="16">
        <f t="shared" ca="1" si="11"/>
        <v>128.08000000000001</v>
      </c>
      <c r="N222" s="16">
        <f t="shared" ca="1" si="12"/>
        <v>123.74000000000001</v>
      </c>
    </row>
    <row r="223" spans="1:14" ht="24.75" customHeight="1" x14ac:dyDescent="0.8">
      <c r="A223" s="18" t="s">
        <v>186</v>
      </c>
      <c r="B223" s="10">
        <f ca="1">IFERROR(__xludf.DUMMYFUNCTION("GOOGLEFINANCE(A223,""PRICE"")"),28.69)</f>
        <v>28.69</v>
      </c>
      <c r="C223" s="11">
        <f ca="1">IFERROR(__xludf.DUMMYFUNCTION("GOOGLEFINANCE(A223,""PRICEOPEN"")"),28.31)</f>
        <v>28.31</v>
      </c>
      <c r="D223" s="11">
        <f ca="1">IFERROR(__xludf.DUMMYFUNCTION("GOOGLEFINANCE(A223,""HIGH"")"),28.69)</f>
        <v>28.69</v>
      </c>
      <c r="E223" s="11">
        <f ca="1">IFERROR(__xludf.DUMMYFUNCTION("GOOGLEFINANCE(A223,""LOW"")"),28.25)</f>
        <v>28.25</v>
      </c>
      <c r="F223" s="12" t="str">
        <f t="shared" ca="1" si="7"/>
        <v/>
      </c>
      <c r="G223" s="13">
        <f ca="1">IFERROR(__xludf.DUMMYFUNCTION("GOOGLEFINANCE(A223,""CLOSEYEST"")"),28.31)</f>
        <v>28.31</v>
      </c>
      <c r="H223" s="14" t="str">
        <f t="shared" ca="1" si="13"/>
        <v/>
      </c>
      <c r="I223" s="15">
        <f t="shared" ca="1" si="8"/>
        <v>28.416666666666668</v>
      </c>
      <c r="J223" s="16">
        <f t="shared" ca="1" si="9"/>
        <v>28.583333333333336</v>
      </c>
      <c r="K223" s="16"/>
      <c r="L223" s="16">
        <f t="shared" ca="1" si="10"/>
        <v>28.143333333333334</v>
      </c>
      <c r="M223" s="16">
        <f t="shared" ca="1" si="11"/>
        <v>28.856666666666669</v>
      </c>
      <c r="N223" s="16">
        <f t="shared" ca="1" si="12"/>
        <v>27.976666666666667</v>
      </c>
    </row>
    <row r="224" spans="1:14" ht="24.75" customHeight="1" x14ac:dyDescent="0.8">
      <c r="A224" s="18" t="s">
        <v>187</v>
      </c>
      <c r="B224" s="10">
        <f ca="1">IFERROR(__xludf.DUMMYFUNCTION("GOOGLEFINANCE(A224,""PRICE"")"),2741)</f>
        <v>2741</v>
      </c>
      <c r="C224" s="11">
        <f ca="1">IFERROR(__xludf.DUMMYFUNCTION("GOOGLEFINANCE(A224,""PRICEOPEN"")"),2693)</f>
        <v>2693</v>
      </c>
      <c r="D224" s="11">
        <f ca="1">IFERROR(__xludf.DUMMYFUNCTION("GOOGLEFINANCE(A224,""HIGH"")"),2759.9)</f>
        <v>2759.9</v>
      </c>
      <c r="E224" s="11">
        <f ca="1">IFERROR(__xludf.DUMMYFUNCTION("GOOGLEFINANCE(A224,""LOW"")"),2686)</f>
        <v>2686</v>
      </c>
      <c r="F224" s="12" t="str">
        <f t="shared" ca="1" si="7"/>
        <v/>
      </c>
      <c r="G224" s="13">
        <f ca="1">IFERROR(__xludf.DUMMYFUNCTION("GOOGLEFINANCE(A224,""CLOSEYEST"")"),2697.2)</f>
        <v>2697.2</v>
      </c>
      <c r="H224" s="14" t="str">
        <f t="shared" ca="1" si="13"/>
        <v/>
      </c>
      <c r="I224" s="15">
        <f t="shared" ca="1" si="8"/>
        <v>2714.3666666666663</v>
      </c>
      <c r="J224" s="16">
        <f t="shared" ca="1" si="9"/>
        <v>2742.7333333333327</v>
      </c>
      <c r="K224" s="16"/>
      <c r="L224" s="16">
        <f t="shared" ca="1" si="10"/>
        <v>2668.8333333333326</v>
      </c>
      <c r="M224" s="16">
        <f t="shared" ca="1" si="11"/>
        <v>2788.2666666666664</v>
      </c>
      <c r="N224" s="16">
        <f t="shared" ca="1" si="12"/>
        <v>2640.4666666666662</v>
      </c>
    </row>
    <row r="225" spans="1:14" ht="24.75" customHeight="1" x14ac:dyDescent="0.8">
      <c r="A225" s="18" t="s">
        <v>188</v>
      </c>
      <c r="B225" s="10">
        <f ca="1">IFERROR(__xludf.DUMMYFUNCTION("GOOGLEFINANCE(A225,""PRICE"")"),4244.4)</f>
        <v>4244.3999999999996</v>
      </c>
      <c r="C225" s="11">
        <f ca="1">IFERROR(__xludf.DUMMYFUNCTION("GOOGLEFINANCE(A225,""PRICEOPEN"")"),4142.2)</f>
        <v>4142.2</v>
      </c>
      <c r="D225" s="11">
        <f ca="1">IFERROR(__xludf.DUMMYFUNCTION("GOOGLEFINANCE(A225,""HIGH"")"),4302)</f>
        <v>4302</v>
      </c>
      <c r="E225" s="11">
        <f ca="1">IFERROR(__xludf.DUMMYFUNCTION("GOOGLEFINANCE(A225,""LOW"")"),4142.2)</f>
        <v>4142.2</v>
      </c>
      <c r="F225" s="12" t="str">
        <f t="shared" ca="1" si="7"/>
        <v>BUY</v>
      </c>
      <c r="G225" s="13">
        <f ca="1">IFERROR(__xludf.DUMMYFUNCTION("GOOGLEFINANCE(A225,""CLOSEYEST"")"),4182.5)</f>
        <v>4182.5</v>
      </c>
      <c r="H225" s="14" t="str">
        <f t="shared" ca="1" si="13"/>
        <v/>
      </c>
      <c r="I225" s="15">
        <f t="shared" ca="1" si="8"/>
        <v>4208.9000000000005</v>
      </c>
      <c r="J225" s="16">
        <f t="shared" ca="1" si="9"/>
        <v>4275.6000000000013</v>
      </c>
      <c r="K225" s="16"/>
      <c r="L225" s="16">
        <f t="shared" ca="1" si="10"/>
        <v>4115.8000000000011</v>
      </c>
      <c r="M225" s="16">
        <f t="shared" ca="1" si="11"/>
        <v>4368.7000000000007</v>
      </c>
      <c r="N225" s="16">
        <f t="shared" ca="1" si="12"/>
        <v>4049.1000000000004</v>
      </c>
    </row>
    <row r="226" spans="1:14" ht="24.75" customHeight="1" x14ac:dyDescent="0.8">
      <c r="A226" s="18" t="s">
        <v>189</v>
      </c>
      <c r="B226" s="10">
        <f ca="1">IFERROR(__xludf.DUMMYFUNCTION("GOOGLEFINANCE(A226,""PRICE"")"),87.4)</f>
        <v>87.4</v>
      </c>
      <c r="C226" s="11">
        <f ca="1">IFERROR(__xludf.DUMMYFUNCTION("GOOGLEFINANCE(A226,""PRICEOPEN"")"),86.69)</f>
        <v>86.69</v>
      </c>
      <c r="D226" s="11">
        <f ca="1">IFERROR(__xludf.DUMMYFUNCTION("GOOGLEFINANCE(A226,""HIGH"")"),88.99)</f>
        <v>88.99</v>
      </c>
      <c r="E226" s="11">
        <f ca="1">IFERROR(__xludf.DUMMYFUNCTION("GOOGLEFINANCE(A226,""LOW"")"),86.4)</f>
        <v>86.4</v>
      </c>
      <c r="F226" s="12" t="str">
        <f t="shared" ca="1" si="7"/>
        <v/>
      </c>
      <c r="G226" s="13">
        <f ca="1">IFERROR(__xludf.DUMMYFUNCTION("GOOGLEFINANCE(A226,""CLOSEYEST"")"),86.39)</f>
        <v>86.39</v>
      </c>
      <c r="H226" s="14" t="str">
        <f t="shared" ca="1" si="13"/>
        <v/>
      </c>
      <c r="I226" s="15">
        <f t="shared" ca="1" si="8"/>
        <v>87.259999999999991</v>
      </c>
      <c r="J226" s="16">
        <f t="shared" ca="1" si="9"/>
        <v>88.119999999999976</v>
      </c>
      <c r="K226" s="16"/>
      <c r="L226" s="16">
        <f t="shared" ca="1" si="10"/>
        <v>85.529999999999987</v>
      </c>
      <c r="M226" s="16">
        <f t="shared" ca="1" si="11"/>
        <v>89.84999999999998</v>
      </c>
      <c r="N226" s="16">
        <f t="shared" ca="1" si="12"/>
        <v>84.67</v>
      </c>
    </row>
    <row r="227" spans="1:14" ht="24.75" customHeight="1" x14ac:dyDescent="0.8">
      <c r="A227" s="18" t="s">
        <v>190</v>
      </c>
      <c r="B227" s="10">
        <f ca="1">IFERROR(__xludf.DUMMYFUNCTION("GOOGLEFINANCE(A227,""PRICE"")"),4200)</f>
        <v>4200</v>
      </c>
      <c r="C227" s="11">
        <f ca="1">IFERROR(__xludf.DUMMYFUNCTION("GOOGLEFINANCE(A227,""PRICEOPEN"")"),4190)</f>
        <v>4190</v>
      </c>
      <c r="D227" s="11">
        <f ca="1">IFERROR(__xludf.DUMMYFUNCTION("GOOGLEFINANCE(A227,""HIGH"")"),4223)</f>
        <v>4223</v>
      </c>
      <c r="E227" s="11">
        <f ca="1">IFERROR(__xludf.DUMMYFUNCTION("GOOGLEFINANCE(A227,""LOW"")"),4141.8)</f>
        <v>4141.8</v>
      </c>
      <c r="F227" s="12" t="str">
        <f t="shared" ca="1" si="7"/>
        <v/>
      </c>
      <c r="G227" s="13">
        <f ca="1">IFERROR(__xludf.DUMMYFUNCTION("GOOGLEFINANCE(A227,""CLOSEYEST"")"),4190.2)</f>
        <v>4190.2</v>
      </c>
      <c r="H227" s="14" t="str">
        <f t="shared" ca="1" si="13"/>
        <v/>
      </c>
      <c r="I227" s="15">
        <f t="shared" ca="1" si="8"/>
        <v>4185</v>
      </c>
      <c r="J227" s="16">
        <f t="shared" ca="1" si="9"/>
        <v>4228.2</v>
      </c>
      <c r="K227" s="16"/>
      <c r="L227" s="16">
        <f t="shared" ca="1" si="10"/>
        <v>4147</v>
      </c>
      <c r="M227" s="16">
        <f t="shared" ca="1" si="11"/>
        <v>4266.2</v>
      </c>
      <c r="N227" s="16">
        <f t="shared" ca="1" si="12"/>
        <v>4103.8</v>
      </c>
    </row>
    <row r="228" spans="1:14" ht="24.75" customHeight="1" x14ac:dyDescent="0.8">
      <c r="A228" s="18" t="s">
        <v>191</v>
      </c>
      <c r="B228" s="10">
        <f ca="1">IFERROR(__xludf.DUMMYFUNCTION("GOOGLEFINANCE(A228,""PRICE"")"),6106)</f>
        <v>6106</v>
      </c>
      <c r="C228" s="11">
        <f ca="1">IFERROR(__xludf.DUMMYFUNCTION("GOOGLEFINANCE(A228,""PRICEOPEN"")"),6185)</f>
        <v>6185</v>
      </c>
      <c r="D228" s="11">
        <f ca="1">IFERROR(__xludf.DUMMYFUNCTION("GOOGLEFINANCE(A228,""HIGH"")"),6185)</f>
        <v>6185</v>
      </c>
      <c r="E228" s="11">
        <f ca="1">IFERROR(__xludf.DUMMYFUNCTION("GOOGLEFINANCE(A228,""LOW"")"),6086)</f>
        <v>6086</v>
      </c>
      <c r="F228" s="12" t="str">
        <f t="shared" ca="1" si="7"/>
        <v>SELL</v>
      </c>
      <c r="G228" s="13">
        <f ca="1">IFERROR(__xludf.DUMMYFUNCTION("GOOGLEFINANCE(A228,""CLOSEYEST"")"),6186.5)</f>
        <v>6186.5</v>
      </c>
      <c r="H228" s="14" t="str">
        <f t="shared" ca="1" si="13"/>
        <v/>
      </c>
      <c r="I228" s="15">
        <f t="shared" ca="1" si="8"/>
        <v>6152.5</v>
      </c>
      <c r="J228" s="16">
        <f t="shared" ca="1" si="9"/>
        <v>6219</v>
      </c>
      <c r="K228" s="16"/>
      <c r="L228" s="16">
        <f t="shared" ca="1" si="10"/>
        <v>6120</v>
      </c>
      <c r="M228" s="16">
        <f t="shared" ca="1" si="11"/>
        <v>6251.5</v>
      </c>
      <c r="N228" s="16">
        <f t="shared" ca="1" si="12"/>
        <v>6053.5</v>
      </c>
    </row>
    <row r="229" spans="1:14" ht="24.75" customHeight="1" x14ac:dyDescent="0.8">
      <c r="A229" s="18" t="s">
        <v>192</v>
      </c>
      <c r="B229" s="10">
        <f ca="1">IFERROR(__xludf.DUMMYFUNCTION("GOOGLEFINANCE(A229,""PRICE"")"),29130)</f>
        <v>29130</v>
      </c>
      <c r="C229" s="11">
        <f ca="1">IFERROR(__xludf.DUMMYFUNCTION("GOOGLEFINANCE(A229,""PRICEOPEN"")"),29400)</f>
        <v>29400</v>
      </c>
      <c r="D229" s="11">
        <f ca="1">IFERROR(__xludf.DUMMYFUNCTION("GOOGLEFINANCE(A229,""HIGH"")"),29400)</f>
        <v>29400</v>
      </c>
      <c r="E229" s="11">
        <f ca="1">IFERROR(__xludf.DUMMYFUNCTION("GOOGLEFINANCE(A229,""LOW"")"),28855)</f>
        <v>28855</v>
      </c>
      <c r="F229" s="12" t="str">
        <f t="shared" ca="1" si="7"/>
        <v>SELL</v>
      </c>
      <c r="G229" s="13">
        <f ca="1">IFERROR(__xludf.DUMMYFUNCTION("GOOGLEFINANCE(A229,""CLOSEYEST"")"),29135)</f>
        <v>29135</v>
      </c>
      <c r="H229" s="14" t="str">
        <f t="shared" ca="1" si="13"/>
        <v/>
      </c>
      <c r="I229" s="15">
        <f t="shared" ca="1" si="8"/>
        <v>29130</v>
      </c>
      <c r="J229" s="16">
        <f t="shared" ca="1" si="9"/>
        <v>29405</v>
      </c>
      <c r="K229" s="16"/>
      <c r="L229" s="16">
        <f t="shared" ca="1" si="10"/>
        <v>28860</v>
      </c>
      <c r="M229" s="16">
        <f t="shared" ca="1" si="11"/>
        <v>29675</v>
      </c>
      <c r="N229" s="16">
        <f t="shared" ca="1" si="12"/>
        <v>28585</v>
      </c>
    </row>
    <row r="230" spans="1:14" ht="24.75" customHeight="1" x14ac:dyDescent="0.8">
      <c r="A230" s="18" t="s">
        <v>193</v>
      </c>
      <c r="B230" s="10">
        <f ca="1">IFERROR(__xludf.DUMMYFUNCTION("GOOGLEFINANCE(A230,""PRICE"")"),295)</f>
        <v>295</v>
      </c>
      <c r="C230" s="11">
        <f ca="1">IFERROR(__xludf.DUMMYFUNCTION("GOOGLEFINANCE(A230,""PRICEOPEN"")"),295)</f>
        <v>295</v>
      </c>
      <c r="D230" s="11">
        <f ca="1">IFERROR(__xludf.DUMMYFUNCTION("GOOGLEFINANCE(A230,""HIGH"")"),296.05)</f>
        <v>296.05</v>
      </c>
      <c r="E230" s="11">
        <f ca="1">IFERROR(__xludf.DUMMYFUNCTION("GOOGLEFINANCE(A230,""LOW"")"),292.35)</f>
        <v>292.35000000000002</v>
      </c>
      <c r="F230" s="12" t="str">
        <f t="shared" ca="1" si="7"/>
        <v/>
      </c>
      <c r="G230" s="13">
        <f ca="1">IFERROR(__xludf.DUMMYFUNCTION("GOOGLEFINANCE(A230,""CLOSEYEST"")"),293.1)</f>
        <v>293.10000000000002</v>
      </c>
      <c r="H230" s="14" t="str">
        <f t="shared" ca="1" si="13"/>
        <v/>
      </c>
      <c r="I230" s="15">
        <f t="shared" ca="1" si="8"/>
        <v>293.83333333333337</v>
      </c>
      <c r="J230" s="16">
        <f t="shared" ca="1" si="9"/>
        <v>295.31666666666672</v>
      </c>
      <c r="K230" s="16"/>
      <c r="L230" s="16">
        <f t="shared" ca="1" si="10"/>
        <v>291.61666666666673</v>
      </c>
      <c r="M230" s="16">
        <f t="shared" ca="1" si="11"/>
        <v>297.53333333333336</v>
      </c>
      <c r="N230" s="16">
        <f t="shared" ca="1" si="12"/>
        <v>290.13333333333338</v>
      </c>
    </row>
    <row r="231" spans="1:14" ht="24.75" customHeight="1" x14ac:dyDescent="0.8">
      <c r="A231" s="18" t="s">
        <v>194</v>
      </c>
      <c r="B231" s="10">
        <f ca="1">IFERROR(__xludf.DUMMYFUNCTION("GOOGLEFINANCE(A231,""PRICE"")"),869.9)</f>
        <v>869.9</v>
      </c>
      <c r="C231" s="11">
        <f ca="1">IFERROR(__xludf.DUMMYFUNCTION("GOOGLEFINANCE(A231,""PRICEOPEN"")"),872)</f>
        <v>872</v>
      </c>
      <c r="D231" s="11">
        <f ca="1">IFERROR(__xludf.DUMMYFUNCTION("GOOGLEFINANCE(A231,""HIGH"")"),881.3)</f>
        <v>881.3</v>
      </c>
      <c r="E231" s="11">
        <f ca="1">IFERROR(__xludf.DUMMYFUNCTION("GOOGLEFINANCE(A231,""LOW"")"),862.3)</f>
        <v>862.3</v>
      </c>
      <c r="F231" s="12" t="str">
        <f t="shared" ca="1" si="7"/>
        <v/>
      </c>
      <c r="G231" s="13">
        <f ca="1">IFERROR(__xludf.DUMMYFUNCTION("GOOGLEFINANCE(A231,""CLOSEYEST"")"),872)</f>
        <v>872</v>
      </c>
      <c r="H231" s="14" t="str">
        <f t="shared" ca="1" si="13"/>
        <v/>
      </c>
      <c r="I231" s="15">
        <f t="shared" ca="1" si="8"/>
        <v>871.86666666666667</v>
      </c>
      <c r="J231" s="16">
        <f t="shared" ca="1" si="9"/>
        <v>881.43333333333339</v>
      </c>
      <c r="K231" s="16"/>
      <c r="L231" s="16">
        <f t="shared" ca="1" si="10"/>
        <v>862.43333333333339</v>
      </c>
      <c r="M231" s="16">
        <f t="shared" ca="1" si="11"/>
        <v>890.86666666666667</v>
      </c>
      <c r="N231" s="16">
        <f t="shared" ca="1" si="12"/>
        <v>852.86666666666667</v>
      </c>
    </row>
    <row r="232" spans="1:14" ht="24.75" customHeight="1" x14ac:dyDescent="0.8">
      <c r="A232" s="18" t="s">
        <v>195</v>
      </c>
      <c r="B232" s="10">
        <f ca="1">IFERROR(__xludf.DUMMYFUNCTION("GOOGLEFINANCE(A232,""PRICE"")"),1219)</f>
        <v>1219</v>
      </c>
      <c r="C232" s="11">
        <f ca="1">IFERROR(__xludf.DUMMYFUNCTION("GOOGLEFINANCE(A232,""PRICEOPEN"")"),1216)</f>
        <v>1216</v>
      </c>
      <c r="D232" s="11">
        <f ca="1">IFERROR(__xludf.DUMMYFUNCTION("GOOGLEFINANCE(A232,""HIGH"")"),1227)</f>
        <v>1227</v>
      </c>
      <c r="E232" s="11">
        <f ca="1">IFERROR(__xludf.DUMMYFUNCTION("GOOGLEFINANCE(A232,""LOW"")"),1210.1)</f>
        <v>1210.0999999999999</v>
      </c>
      <c r="F232" s="12" t="str">
        <f t="shared" ca="1" si="7"/>
        <v/>
      </c>
      <c r="G232" s="13">
        <f ca="1">IFERROR(__xludf.DUMMYFUNCTION("GOOGLEFINANCE(A232,""CLOSEYEST"")"),1216)</f>
        <v>1216</v>
      </c>
      <c r="H232" s="14" t="str">
        <f t="shared" ca="1" si="13"/>
        <v/>
      </c>
      <c r="I232" s="15">
        <f t="shared" ca="1" si="8"/>
        <v>1217.7</v>
      </c>
      <c r="J232" s="16">
        <f t="shared" ca="1" si="9"/>
        <v>1225.3000000000002</v>
      </c>
      <c r="K232" s="16"/>
      <c r="L232" s="16">
        <f t="shared" ca="1" si="10"/>
        <v>1208.4000000000001</v>
      </c>
      <c r="M232" s="16">
        <f t="shared" ca="1" si="11"/>
        <v>1234.6000000000001</v>
      </c>
      <c r="N232" s="16">
        <f t="shared" ca="1" si="12"/>
        <v>1200.8</v>
      </c>
    </row>
    <row r="233" spans="1:14" ht="24.75" customHeight="1" x14ac:dyDescent="0.8">
      <c r="A233" s="18" t="s">
        <v>196</v>
      </c>
      <c r="B233" s="10">
        <f ca="1">IFERROR(__xludf.DUMMYFUNCTION("GOOGLEFINANCE(A233,""PRICE"")"),2235.35)</f>
        <v>2235.35</v>
      </c>
      <c r="C233" s="11">
        <f ca="1">IFERROR(__xludf.DUMMYFUNCTION("GOOGLEFINANCE(A233,""PRICEOPEN"")"),2231.57)</f>
        <v>2231.5700000000002</v>
      </c>
      <c r="D233" s="11">
        <f ca="1">IFERROR(__xludf.DUMMYFUNCTION("GOOGLEFINANCE(A233,""HIGH"")"),2243.15)</f>
        <v>2243.15</v>
      </c>
      <c r="E233" s="11">
        <f ca="1">IFERROR(__xludf.DUMMYFUNCTION("GOOGLEFINANCE(A233,""LOW"")"),2220.1)</f>
        <v>2220.1</v>
      </c>
      <c r="F233" s="12" t="str">
        <f t="shared" ca="1" si="7"/>
        <v/>
      </c>
      <c r="G233" s="13">
        <f ca="1">IFERROR(__xludf.DUMMYFUNCTION("GOOGLEFINANCE(A233,""CLOSEYEST"")"),2231.41)</f>
        <v>2231.41</v>
      </c>
      <c r="H233" s="14" t="str">
        <f t="shared" ca="1" si="13"/>
        <v/>
      </c>
      <c r="I233" s="15">
        <f t="shared" ca="1" si="8"/>
        <v>2231.5533333333333</v>
      </c>
      <c r="J233" s="16">
        <f t="shared" ca="1" si="9"/>
        <v>2243.0066666666667</v>
      </c>
      <c r="K233" s="16"/>
      <c r="L233" s="16">
        <f t="shared" ca="1" si="10"/>
        <v>2219.9566666666665</v>
      </c>
      <c r="M233" s="16">
        <f t="shared" ca="1" si="11"/>
        <v>2254.6033333333335</v>
      </c>
      <c r="N233" s="16">
        <f t="shared" ca="1" si="12"/>
        <v>2208.5033333333331</v>
      </c>
    </row>
    <row r="234" spans="1:14" ht="24.75" customHeight="1" x14ac:dyDescent="0.8">
      <c r="A234" s="18" t="s">
        <v>197</v>
      </c>
      <c r="B234" s="10">
        <f ca="1">IFERROR(__xludf.DUMMYFUNCTION("GOOGLEFINANCE(A234,""PRICE"")"),380.5)</f>
        <v>380.5</v>
      </c>
      <c r="C234" s="11">
        <f ca="1">IFERROR(__xludf.DUMMYFUNCTION("GOOGLEFINANCE(A234,""PRICEOPEN"")"),378.3)</f>
        <v>378.3</v>
      </c>
      <c r="D234" s="11">
        <f ca="1">IFERROR(__xludf.DUMMYFUNCTION("GOOGLEFINANCE(A234,""HIGH"")"),381.2)</f>
        <v>381.2</v>
      </c>
      <c r="E234" s="11">
        <f ca="1">IFERROR(__xludf.DUMMYFUNCTION("GOOGLEFINANCE(A234,""LOW"")"),375.05)</f>
        <v>375.05</v>
      </c>
      <c r="F234" s="12" t="str">
        <f t="shared" ca="1" si="7"/>
        <v/>
      </c>
      <c r="G234" s="13">
        <f ca="1">IFERROR(__xludf.DUMMYFUNCTION("GOOGLEFINANCE(A234,""CLOSEYEST"")"),377.55)</f>
        <v>377.55</v>
      </c>
      <c r="H234" s="14" t="str">
        <f t="shared" ca="1" si="13"/>
        <v/>
      </c>
      <c r="I234" s="15">
        <f t="shared" ca="1" si="8"/>
        <v>377.93333333333334</v>
      </c>
      <c r="J234" s="16">
        <f t="shared" ca="1" si="9"/>
        <v>380.81666666666666</v>
      </c>
      <c r="K234" s="16"/>
      <c r="L234" s="16">
        <f t="shared" ca="1" si="10"/>
        <v>374.66666666666669</v>
      </c>
      <c r="M234" s="16">
        <f t="shared" ca="1" si="11"/>
        <v>384.08333333333331</v>
      </c>
      <c r="N234" s="16">
        <f t="shared" ca="1" si="12"/>
        <v>371.78333333333336</v>
      </c>
    </row>
    <row r="235" spans="1:14" ht="24.75" customHeight="1" x14ac:dyDescent="0.8">
      <c r="A235" s="18" t="s">
        <v>198</v>
      </c>
      <c r="B235" s="10">
        <f ca="1">IFERROR(__xludf.DUMMYFUNCTION("GOOGLEFINANCE(A235,""PRICE"")"),1311.2)</f>
        <v>1311.2</v>
      </c>
      <c r="C235" s="11">
        <f ca="1">IFERROR(__xludf.DUMMYFUNCTION("GOOGLEFINANCE(A235,""PRICEOPEN"")"),1337)</f>
        <v>1337</v>
      </c>
      <c r="D235" s="11">
        <f ca="1">IFERROR(__xludf.DUMMYFUNCTION("GOOGLEFINANCE(A235,""HIGH"")"),1339)</f>
        <v>1339</v>
      </c>
      <c r="E235" s="11">
        <f ca="1">IFERROR(__xludf.DUMMYFUNCTION("GOOGLEFINANCE(A235,""LOW"")"),1307.3)</f>
        <v>1307.3</v>
      </c>
      <c r="F235" s="12" t="str">
        <f t="shared" ca="1" si="7"/>
        <v/>
      </c>
      <c r="G235" s="13">
        <f ca="1">IFERROR(__xludf.DUMMYFUNCTION("GOOGLEFINANCE(A235,""CLOSEYEST"")"),1327.3)</f>
        <v>1327.3</v>
      </c>
      <c r="H235" s="14" t="str">
        <f t="shared" ca="1" si="13"/>
        <v/>
      </c>
      <c r="I235" s="15">
        <f t="shared" ca="1" si="8"/>
        <v>1324.5333333333335</v>
      </c>
      <c r="J235" s="16">
        <f t="shared" ca="1" si="9"/>
        <v>1341.7666666666671</v>
      </c>
      <c r="K235" s="16"/>
      <c r="L235" s="16">
        <f t="shared" ca="1" si="10"/>
        <v>1310.0666666666671</v>
      </c>
      <c r="M235" s="16">
        <f t="shared" ca="1" si="11"/>
        <v>1356.2333333333336</v>
      </c>
      <c r="N235" s="16">
        <f t="shared" ca="1" si="12"/>
        <v>1292.8333333333335</v>
      </c>
    </row>
    <row r="236" spans="1:14" ht="24.75" customHeight="1" x14ac:dyDescent="0.8">
      <c r="A236" s="18" t="s">
        <v>199</v>
      </c>
      <c r="B236" s="10">
        <f ca="1">IFERROR(__xludf.DUMMYFUNCTION("GOOGLEFINANCE(A236,""PRICE"")"),725)</f>
        <v>725</v>
      </c>
      <c r="C236" s="11">
        <f ca="1">IFERROR(__xludf.DUMMYFUNCTION("GOOGLEFINANCE(A236,""PRICEOPEN"")"),725.05)</f>
        <v>725.05</v>
      </c>
      <c r="D236" s="11">
        <f ca="1">IFERROR(__xludf.DUMMYFUNCTION("GOOGLEFINANCE(A236,""HIGH"")"),727.3)</f>
        <v>727.3</v>
      </c>
      <c r="E236" s="11">
        <f ca="1">IFERROR(__xludf.DUMMYFUNCTION("GOOGLEFINANCE(A236,""LOW"")"),720.2)</f>
        <v>720.2</v>
      </c>
      <c r="F236" s="12" t="str">
        <f t="shared" ca="1" si="7"/>
        <v/>
      </c>
      <c r="G236" s="13">
        <f ca="1">IFERROR(__xludf.DUMMYFUNCTION("GOOGLEFINANCE(A236,""CLOSEYEST"")"),723.25)</f>
        <v>723.25</v>
      </c>
      <c r="H236" s="14" t="str">
        <f t="shared" ca="1" si="13"/>
        <v/>
      </c>
      <c r="I236" s="15">
        <f t="shared" ca="1" si="8"/>
        <v>723.58333333333337</v>
      </c>
      <c r="J236" s="16">
        <f t="shared" ca="1" si="9"/>
        <v>726.9666666666667</v>
      </c>
      <c r="K236" s="16"/>
      <c r="L236" s="16">
        <f t="shared" ca="1" si="10"/>
        <v>719.86666666666679</v>
      </c>
      <c r="M236" s="16">
        <f t="shared" ca="1" si="11"/>
        <v>730.68333333333328</v>
      </c>
      <c r="N236" s="16">
        <f t="shared" ca="1" si="12"/>
        <v>716.48333333333346</v>
      </c>
    </row>
    <row r="237" spans="1:14" ht="24.75" customHeight="1" x14ac:dyDescent="0.8">
      <c r="A237" s="18" t="s">
        <v>200</v>
      </c>
      <c r="B237" s="10" t="str">
        <f ca="1">IFERROR(__xludf.DUMMYFUNCTION("GOOGLEFINANCE(A237,""PRICE"")"),"#N/A")</f>
        <v>#N/A</v>
      </c>
      <c r="C237" s="11" t="str">
        <f ca="1">IFERROR(__xludf.DUMMYFUNCTION("GOOGLEFINANCE(A237,""PRICEOPEN"")"),"#N/A")</f>
        <v>#N/A</v>
      </c>
      <c r="D237" s="11" t="str">
        <f ca="1">IFERROR(__xludf.DUMMYFUNCTION("GOOGLEFINANCE(A237,""HIGH"")"),"#N/A")</f>
        <v>#N/A</v>
      </c>
      <c r="E237" s="11" t="str">
        <f ca="1">IFERROR(__xludf.DUMMYFUNCTION("GOOGLEFINANCE(A237,""LOW"")"),"#N/A")</f>
        <v>#N/A</v>
      </c>
      <c r="F237" s="12" t="str">
        <f t="shared" ca="1" si="7"/>
        <v>SELL</v>
      </c>
      <c r="G237" s="13" t="str">
        <f ca="1">IFERROR(__xludf.DUMMYFUNCTION("GOOGLEFINANCE(A237,""CLOSEYEST"")"),"#N/A")</f>
        <v>#N/A</v>
      </c>
      <c r="H237" s="14" t="e">
        <f t="shared" ca="1" si="13"/>
        <v>#VALUE!</v>
      </c>
      <c r="I237" s="15" t="e">
        <f t="shared" ca="1" si="8"/>
        <v>#VALUE!</v>
      </c>
      <c r="J237" s="16" t="e">
        <f t="shared" ca="1" si="9"/>
        <v>#VALUE!</v>
      </c>
      <c r="K237" s="16"/>
      <c r="L237" s="16" t="e">
        <f t="shared" ca="1" si="10"/>
        <v>#VALUE!</v>
      </c>
      <c r="M237" s="16" t="e">
        <f t="shared" ca="1" si="11"/>
        <v>#VALUE!</v>
      </c>
      <c r="N237" s="16" t="e">
        <f t="shared" ca="1" si="12"/>
        <v>#VALUE!</v>
      </c>
    </row>
    <row r="238" spans="1:14" ht="24.75" customHeight="1" x14ac:dyDescent="0.8">
      <c r="A238" s="18" t="s">
        <v>201</v>
      </c>
      <c r="B238" s="10">
        <f ca="1">IFERROR(__xludf.DUMMYFUNCTION("GOOGLEFINANCE(A238,""PRICE"")"),3929)</f>
        <v>3929</v>
      </c>
      <c r="C238" s="11">
        <f ca="1">IFERROR(__xludf.DUMMYFUNCTION("GOOGLEFINANCE(A238,""PRICEOPEN"")"),3849.4)</f>
        <v>3849.4</v>
      </c>
      <c r="D238" s="11">
        <f ca="1">IFERROR(__xludf.DUMMYFUNCTION("GOOGLEFINANCE(A238,""HIGH"")"),3950.7)</f>
        <v>3950.7</v>
      </c>
      <c r="E238" s="11">
        <f ca="1">IFERROR(__xludf.DUMMYFUNCTION("GOOGLEFINANCE(A238,""LOW"")"),3833)</f>
        <v>3833</v>
      </c>
      <c r="F238" s="12" t="str">
        <f t="shared" ca="1" si="7"/>
        <v/>
      </c>
      <c r="G238" s="13">
        <f ca="1">IFERROR(__xludf.DUMMYFUNCTION("GOOGLEFINANCE(A238,""CLOSEYEST"")"),3849)</f>
        <v>3849</v>
      </c>
      <c r="H238" s="14" t="str">
        <f t="shared" ca="1" si="13"/>
        <v/>
      </c>
      <c r="I238" s="15">
        <f t="shared" ca="1" si="8"/>
        <v>3877.5666666666671</v>
      </c>
      <c r="J238" s="16">
        <f t="shared" ca="1" si="9"/>
        <v>3922.1333333333341</v>
      </c>
      <c r="K238" s="16"/>
      <c r="L238" s="16">
        <f t="shared" ca="1" si="10"/>
        <v>3804.4333333333343</v>
      </c>
      <c r="M238" s="16">
        <f t="shared" ca="1" si="11"/>
        <v>3995.2666666666669</v>
      </c>
      <c r="N238" s="16">
        <f t="shared" ca="1" si="12"/>
        <v>3759.8666666666672</v>
      </c>
    </row>
    <row r="239" spans="1:14" ht="24.75" customHeight="1" x14ac:dyDescent="0.8">
      <c r="A239" s="18" t="s">
        <v>202</v>
      </c>
      <c r="B239" s="10">
        <f ca="1">IFERROR(__xludf.DUMMYFUNCTION("GOOGLEFINANCE(A239,""PRICE"")"),6325)</f>
        <v>6325</v>
      </c>
      <c r="C239" s="11">
        <f ca="1">IFERROR(__xludf.DUMMYFUNCTION("GOOGLEFINANCE(A239,""PRICEOPEN"")"),6300)</f>
        <v>6300</v>
      </c>
      <c r="D239" s="11">
        <f ca="1">IFERROR(__xludf.DUMMYFUNCTION("GOOGLEFINANCE(A239,""HIGH"")"),6391)</f>
        <v>6391</v>
      </c>
      <c r="E239" s="11">
        <f ca="1">IFERROR(__xludf.DUMMYFUNCTION("GOOGLEFINANCE(A239,""LOW"")"),6255)</f>
        <v>6255</v>
      </c>
      <c r="F239" s="12" t="str">
        <f t="shared" ca="1" si="7"/>
        <v/>
      </c>
      <c r="G239" s="13">
        <f ca="1">IFERROR(__xludf.DUMMYFUNCTION("GOOGLEFINANCE(A239,""CLOSEYEST"")"),6305)</f>
        <v>6305</v>
      </c>
      <c r="H239" s="14" t="str">
        <f t="shared" ca="1" si="13"/>
        <v/>
      </c>
      <c r="I239" s="15">
        <f t="shared" ca="1" si="8"/>
        <v>6317</v>
      </c>
      <c r="J239" s="16">
        <f t="shared" ca="1" si="9"/>
        <v>6379</v>
      </c>
      <c r="K239" s="16"/>
      <c r="L239" s="16">
        <f t="shared" ca="1" si="10"/>
        <v>6243</v>
      </c>
      <c r="M239" s="16">
        <f t="shared" ca="1" si="11"/>
        <v>6453</v>
      </c>
      <c r="N239" s="16">
        <f t="shared" ca="1" si="12"/>
        <v>6181</v>
      </c>
    </row>
    <row r="240" spans="1:14" ht="24.75" customHeight="1" x14ac:dyDescent="0.8">
      <c r="A240" s="18" t="s">
        <v>203</v>
      </c>
      <c r="B240" s="10">
        <f ca="1">IFERROR(__xludf.DUMMYFUNCTION("GOOGLEFINANCE(A240,""PRICE"")"),919)</f>
        <v>919</v>
      </c>
      <c r="C240" s="11">
        <f ca="1">IFERROR(__xludf.DUMMYFUNCTION("GOOGLEFINANCE(A240,""PRICEOPEN"")"),927.7)</f>
        <v>927.7</v>
      </c>
      <c r="D240" s="11">
        <f ca="1">IFERROR(__xludf.DUMMYFUNCTION("GOOGLEFINANCE(A240,""HIGH"")"),930)</f>
        <v>930</v>
      </c>
      <c r="E240" s="11">
        <f ca="1">IFERROR(__xludf.DUMMYFUNCTION("GOOGLEFINANCE(A240,""LOW"")"),912.8)</f>
        <v>912.8</v>
      </c>
      <c r="F240" s="12" t="str">
        <f t="shared" ca="1" si="7"/>
        <v/>
      </c>
      <c r="G240" s="13">
        <f ca="1">IFERROR(__xludf.DUMMYFUNCTION("GOOGLEFINANCE(A240,""CLOSEYEST"")"),912.95)</f>
        <v>912.95</v>
      </c>
      <c r="H240" s="14" t="str">
        <f t="shared" ca="1" si="13"/>
        <v>GAP UP</v>
      </c>
      <c r="I240" s="15">
        <f t="shared" ca="1" si="8"/>
        <v>918.58333333333337</v>
      </c>
      <c r="J240" s="16">
        <f t="shared" ca="1" si="9"/>
        <v>924.36666666666679</v>
      </c>
      <c r="K240" s="16"/>
      <c r="L240" s="16">
        <f t="shared" ca="1" si="10"/>
        <v>907.16666666666674</v>
      </c>
      <c r="M240" s="16">
        <f t="shared" ca="1" si="11"/>
        <v>935.78333333333342</v>
      </c>
      <c r="N240" s="16">
        <f t="shared" ca="1" si="12"/>
        <v>901.38333333333333</v>
      </c>
    </row>
    <row r="241" spans="1:14" ht="24.75" customHeight="1" x14ac:dyDescent="0.8">
      <c r="A241" s="18" t="s">
        <v>204</v>
      </c>
      <c r="B241" s="10">
        <f ca="1">IFERROR(__xludf.DUMMYFUNCTION("GOOGLEFINANCE(A241,""PRICE"")"),4419)</f>
        <v>4419</v>
      </c>
      <c r="C241" s="11">
        <f ca="1">IFERROR(__xludf.DUMMYFUNCTION("GOOGLEFINANCE(A241,""PRICEOPEN"")"),4424.1)</f>
        <v>4424.1000000000004</v>
      </c>
      <c r="D241" s="11">
        <f ca="1">IFERROR(__xludf.DUMMYFUNCTION("GOOGLEFINANCE(A241,""HIGH"")"),4469.9)</f>
        <v>4469.8999999999996</v>
      </c>
      <c r="E241" s="11">
        <f ca="1">IFERROR(__xludf.DUMMYFUNCTION("GOOGLEFINANCE(A241,""LOW"")"),4360.7)</f>
        <v>4360.7</v>
      </c>
      <c r="F241" s="12" t="str">
        <f t="shared" ca="1" si="7"/>
        <v/>
      </c>
      <c r="G241" s="13">
        <f ca="1">IFERROR(__xludf.DUMMYFUNCTION("GOOGLEFINANCE(A241,""CLOSEYEST"")"),4385.2)</f>
        <v>4385.2</v>
      </c>
      <c r="H241" s="14" t="str">
        <f t="shared" ca="1" si="13"/>
        <v/>
      </c>
      <c r="I241" s="15">
        <f t="shared" ca="1" si="8"/>
        <v>4405.2666666666664</v>
      </c>
      <c r="J241" s="16">
        <f t="shared" ca="1" si="9"/>
        <v>4449.833333333333</v>
      </c>
      <c r="K241" s="16"/>
      <c r="L241" s="16">
        <f t="shared" ca="1" si="10"/>
        <v>4340.6333333333332</v>
      </c>
      <c r="M241" s="16">
        <f t="shared" ca="1" si="11"/>
        <v>4514.4666666666662</v>
      </c>
      <c r="N241" s="16">
        <f t="shared" ca="1" si="12"/>
        <v>4296.0666666666666</v>
      </c>
    </row>
    <row r="242" spans="1:14" ht="24.75" customHeight="1" x14ac:dyDescent="0.8">
      <c r="A242" s="18" t="s">
        <v>205</v>
      </c>
      <c r="B242" s="10">
        <f ca="1">IFERROR(__xludf.DUMMYFUNCTION("GOOGLEFINANCE(A242,""PRICE"")"),1071.6)</f>
        <v>1071.5999999999999</v>
      </c>
      <c r="C242" s="11">
        <f ca="1">IFERROR(__xludf.DUMMYFUNCTION("GOOGLEFINANCE(A242,""PRICEOPEN"")"),1053.1)</f>
        <v>1053.0999999999999</v>
      </c>
      <c r="D242" s="11">
        <f ca="1">IFERROR(__xludf.DUMMYFUNCTION("GOOGLEFINANCE(A242,""HIGH"")"),1075.8)</f>
        <v>1075.8</v>
      </c>
      <c r="E242" s="11">
        <f ca="1">IFERROR(__xludf.DUMMYFUNCTION("GOOGLEFINANCE(A242,""LOW"")"),1044.8)</f>
        <v>1044.8</v>
      </c>
      <c r="F242" s="12" t="str">
        <f t="shared" ca="1" si="7"/>
        <v/>
      </c>
      <c r="G242" s="13">
        <f ca="1">IFERROR(__xludf.DUMMYFUNCTION("GOOGLEFINANCE(A242,""CLOSEYEST"")"),1053.2)</f>
        <v>1053.2</v>
      </c>
      <c r="H242" s="14" t="str">
        <f t="shared" ca="1" si="13"/>
        <v/>
      </c>
      <c r="I242" s="15">
        <f t="shared" ca="1" si="8"/>
        <v>1057.9333333333334</v>
      </c>
      <c r="J242" s="16">
        <f t="shared" ca="1" si="9"/>
        <v>1071.0666666666668</v>
      </c>
      <c r="K242" s="16"/>
      <c r="L242" s="16">
        <f t="shared" ca="1" si="10"/>
        <v>1040.0666666666668</v>
      </c>
      <c r="M242" s="16">
        <f t="shared" ca="1" si="11"/>
        <v>1088.9333333333334</v>
      </c>
      <c r="N242" s="16">
        <f t="shared" ca="1" si="12"/>
        <v>1026.9333333333334</v>
      </c>
    </row>
    <row r="243" spans="1:14" ht="24.75" customHeight="1" x14ac:dyDescent="0.8">
      <c r="A243" s="18" t="s">
        <v>206</v>
      </c>
      <c r="B243" s="10" t="str">
        <f ca="1">IFERROR(__xludf.DUMMYFUNCTION("GOOGLEFINANCE(A243,""PRICE"")"),"#N/A")</f>
        <v>#N/A</v>
      </c>
      <c r="C243" s="11" t="str">
        <f ca="1">IFERROR(__xludf.DUMMYFUNCTION("GOOGLEFINANCE(A243,""PRICEOPEN"")"),"#N/A")</f>
        <v>#N/A</v>
      </c>
      <c r="D243" s="11" t="str">
        <f ca="1">IFERROR(__xludf.DUMMYFUNCTION("GOOGLEFINANCE(A243,""HIGH"")"),"#N/A")</f>
        <v>#N/A</v>
      </c>
      <c r="E243" s="11" t="str">
        <f ca="1">IFERROR(__xludf.DUMMYFUNCTION("GOOGLEFINANCE(A243,""LOW"")"),"#N/A")</f>
        <v>#N/A</v>
      </c>
      <c r="F243" s="12" t="str">
        <f t="shared" ca="1" si="7"/>
        <v>SELL</v>
      </c>
      <c r="G243" s="13" t="str">
        <f ca="1">IFERROR(__xludf.DUMMYFUNCTION("GOOGLEFINANCE(A243,""CLOSEYEST"")"),"#N/A")</f>
        <v>#N/A</v>
      </c>
      <c r="H243" s="14" t="e">
        <f t="shared" ca="1" si="13"/>
        <v>#VALUE!</v>
      </c>
      <c r="I243" s="15" t="e">
        <f t="shared" ca="1" si="8"/>
        <v>#VALUE!</v>
      </c>
      <c r="J243" s="16" t="e">
        <f t="shared" ca="1" si="9"/>
        <v>#VALUE!</v>
      </c>
      <c r="K243" s="16"/>
      <c r="L243" s="16" t="e">
        <f t="shared" ca="1" si="10"/>
        <v>#VALUE!</v>
      </c>
      <c r="M243" s="16" t="e">
        <f t="shared" ca="1" si="11"/>
        <v>#VALUE!</v>
      </c>
      <c r="N243" s="16" t="e">
        <f t="shared" ca="1" si="12"/>
        <v>#VALUE!</v>
      </c>
    </row>
    <row r="244" spans="1:14" ht="24.75" customHeight="1" x14ac:dyDescent="0.8">
      <c r="A244" s="18" t="s">
        <v>207</v>
      </c>
      <c r="B244" s="10">
        <f ca="1">IFERROR(__xludf.DUMMYFUNCTION("GOOGLEFINANCE(A244,""PRICE"")"),748.35)</f>
        <v>748.35</v>
      </c>
      <c r="C244" s="11">
        <f ca="1">IFERROR(__xludf.DUMMYFUNCTION("GOOGLEFINANCE(A244,""PRICEOPEN"")"),745)</f>
        <v>745</v>
      </c>
      <c r="D244" s="11">
        <f ca="1">IFERROR(__xludf.DUMMYFUNCTION("GOOGLEFINANCE(A244,""HIGH"")"),751.7)</f>
        <v>751.7</v>
      </c>
      <c r="E244" s="11">
        <f ca="1">IFERROR(__xludf.DUMMYFUNCTION("GOOGLEFINANCE(A244,""LOW"")"),737.3)</f>
        <v>737.3</v>
      </c>
      <c r="F244" s="12" t="str">
        <f t="shared" ca="1" si="7"/>
        <v/>
      </c>
      <c r="G244" s="13">
        <f ca="1">IFERROR(__xludf.DUMMYFUNCTION("GOOGLEFINANCE(A244,""CLOSEYEST"")"),739.8)</f>
        <v>739.8</v>
      </c>
      <c r="H244" s="14" t="str">
        <f t="shared" ca="1" si="13"/>
        <v/>
      </c>
      <c r="I244" s="15">
        <f t="shared" ca="1" si="8"/>
        <v>742.93333333333339</v>
      </c>
      <c r="J244" s="16">
        <f t="shared" ca="1" si="9"/>
        <v>748.56666666666683</v>
      </c>
      <c r="K244" s="16"/>
      <c r="L244" s="16">
        <f t="shared" ca="1" si="10"/>
        <v>734.16666666666674</v>
      </c>
      <c r="M244" s="16">
        <f t="shared" ca="1" si="11"/>
        <v>757.33333333333348</v>
      </c>
      <c r="N244" s="16">
        <f t="shared" ca="1" si="12"/>
        <v>728.5333333333333</v>
      </c>
    </row>
    <row r="245" spans="1:14" ht="24.75" customHeight="1" x14ac:dyDescent="0.8">
      <c r="A245" s="18" t="s">
        <v>208</v>
      </c>
      <c r="B245" s="10">
        <f ca="1">IFERROR(__xludf.DUMMYFUNCTION("GOOGLEFINANCE(A245,""PRICE"")"),100.83)</f>
        <v>100.83</v>
      </c>
      <c r="C245" s="11">
        <f ca="1">IFERROR(__xludf.DUMMYFUNCTION("GOOGLEFINANCE(A245,""PRICEOPEN"")"),100.82)</f>
        <v>100.82</v>
      </c>
      <c r="D245" s="11">
        <f ca="1">IFERROR(__xludf.DUMMYFUNCTION("GOOGLEFINANCE(A245,""HIGH"")"),100.83)</f>
        <v>100.83</v>
      </c>
      <c r="E245" s="11">
        <f ca="1">IFERROR(__xludf.DUMMYFUNCTION("GOOGLEFINANCE(A245,""LOW"")"),100.79)</f>
        <v>100.79</v>
      </c>
      <c r="F245" s="12" t="str">
        <f t="shared" ca="1" si="7"/>
        <v/>
      </c>
      <c r="G245" s="13">
        <f ca="1">IFERROR(__xludf.DUMMYFUNCTION("GOOGLEFINANCE(A245,""CLOSEYEST"")"),100.83)</f>
        <v>100.83</v>
      </c>
      <c r="H245" s="14" t="str">
        <f t="shared" ca="1" si="13"/>
        <v/>
      </c>
      <c r="I245" s="15">
        <f t="shared" ca="1" si="8"/>
        <v>100.81666666666666</v>
      </c>
      <c r="J245" s="16">
        <f t="shared" ca="1" si="9"/>
        <v>100.84333333333332</v>
      </c>
      <c r="K245" s="16"/>
      <c r="L245" s="16">
        <f t="shared" ca="1" si="10"/>
        <v>100.80333333333333</v>
      </c>
      <c r="M245" s="16">
        <f t="shared" ca="1" si="11"/>
        <v>100.85666666666665</v>
      </c>
      <c r="N245" s="16">
        <f t="shared" ca="1" si="12"/>
        <v>100.77666666666667</v>
      </c>
    </row>
    <row r="246" spans="1:14" ht="24.75" customHeight="1" x14ac:dyDescent="0.8">
      <c r="A246" s="18" t="s">
        <v>209</v>
      </c>
      <c r="B246" s="10">
        <f ca="1">IFERROR(__xludf.DUMMYFUNCTION("GOOGLEFINANCE(A246,""PRICE"")"),724)</f>
        <v>724</v>
      </c>
      <c r="C246" s="11">
        <f ca="1">IFERROR(__xludf.DUMMYFUNCTION("GOOGLEFINANCE(A246,""PRICEOPEN"")"),688)</f>
        <v>688</v>
      </c>
      <c r="D246" s="11">
        <f ca="1">IFERROR(__xludf.DUMMYFUNCTION("GOOGLEFINANCE(A246,""HIGH"")"),729)</f>
        <v>729</v>
      </c>
      <c r="E246" s="11">
        <f ca="1">IFERROR(__xludf.DUMMYFUNCTION("GOOGLEFINANCE(A246,""LOW"")"),683.65)</f>
        <v>683.65</v>
      </c>
      <c r="F246" s="12" t="str">
        <f t="shared" ca="1" si="7"/>
        <v/>
      </c>
      <c r="G246" s="13">
        <f ca="1">IFERROR(__xludf.DUMMYFUNCTION("GOOGLEFINANCE(A246,""CLOSEYEST"")"),690.4)</f>
        <v>690.4</v>
      </c>
      <c r="H246" s="14" t="str">
        <f t="shared" ca="1" si="13"/>
        <v/>
      </c>
      <c r="I246" s="15">
        <f t="shared" ca="1" si="8"/>
        <v>701.01666666666677</v>
      </c>
      <c r="J246" s="16">
        <f t="shared" ca="1" si="9"/>
        <v>718.38333333333355</v>
      </c>
      <c r="K246" s="16"/>
      <c r="L246" s="16">
        <f t="shared" ca="1" si="10"/>
        <v>673.03333333333353</v>
      </c>
      <c r="M246" s="16">
        <f t="shared" ca="1" si="11"/>
        <v>746.36666666666679</v>
      </c>
      <c r="N246" s="16">
        <f t="shared" ca="1" si="12"/>
        <v>655.66666666666674</v>
      </c>
    </row>
    <row r="247" spans="1:14" ht="24.75" customHeight="1" x14ac:dyDescent="0.8">
      <c r="A247" s="18" t="s">
        <v>210</v>
      </c>
      <c r="B247" s="10">
        <f ca="1">IFERROR(__xludf.DUMMYFUNCTION("GOOGLEFINANCE(A247,""PRICE"")"),1211)</f>
        <v>1211</v>
      </c>
      <c r="C247" s="11">
        <f ca="1">IFERROR(__xludf.DUMMYFUNCTION("GOOGLEFINANCE(A247,""PRICEOPEN"")"),1188.3)</f>
        <v>1188.3</v>
      </c>
      <c r="D247" s="11">
        <f ca="1">IFERROR(__xludf.DUMMYFUNCTION("GOOGLEFINANCE(A247,""HIGH"")"),1235.2)</f>
        <v>1235.2</v>
      </c>
      <c r="E247" s="11">
        <f ca="1">IFERROR(__xludf.DUMMYFUNCTION("GOOGLEFINANCE(A247,""LOW"")"),1188.3)</f>
        <v>1188.3</v>
      </c>
      <c r="F247" s="12" t="str">
        <f t="shared" ca="1" si="7"/>
        <v>BUY</v>
      </c>
      <c r="G247" s="13">
        <f ca="1">IFERROR(__xludf.DUMMYFUNCTION("GOOGLEFINANCE(A247,""CLOSEYEST"")"),1188.1)</f>
        <v>1188.0999999999999</v>
      </c>
      <c r="H247" s="14" t="str">
        <f t="shared" ca="1" si="13"/>
        <v/>
      </c>
      <c r="I247" s="15">
        <f t="shared" ca="1" si="8"/>
        <v>1203.8666666666666</v>
      </c>
      <c r="J247" s="16">
        <f t="shared" ca="1" si="9"/>
        <v>1219.4333333333332</v>
      </c>
      <c r="K247" s="16"/>
      <c r="L247" s="16">
        <f t="shared" ca="1" si="10"/>
        <v>1172.5333333333331</v>
      </c>
      <c r="M247" s="16">
        <f t="shared" ca="1" si="11"/>
        <v>1250.7666666666667</v>
      </c>
      <c r="N247" s="16">
        <f t="shared" ca="1" si="12"/>
        <v>1156.9666666666665</v>
      </c>
    </row>
    <row r="248" spans="1:14" ht="24.75" customHeight="1" x14ac:dyDescent="0.8">
      <c r="A248" s="18" t="s">
        <v>211</v>
      </c>
      <c r="B248" s="10">
        <f ca="1">IFERROR(__xludf.DUMMYFUNCTION("GOOGLEFINANCE(A248,""PRICE"")"),633.45)</f>
        <v>633.45000000000005</v>
      </c>
      <c r="C248" s="11">
        <f ca="1">IFERROR(__xludf.DUMMYFUNCTION("GOOGLEFINANCE(A248,""PRICEOPEN"")"),631)</f>
        <v>631</v>
      </c>
      <c r="D248" s="11">
        <f ca="1">IFERROR(__xludf.DUMMYFUNCTION("GOOGLEFINANCE(A248,""HIGH"")"),640.6)</f>
        <v>640.6</v>
      </c>
      <c r="E248" s="11">
        <f ca="1">IFERROR(__xludf.DUMMYFUNCTION("GOOGLEFINANCE(A248,""LOW"")"),627.5)</f>
        <v>627.5</v>
      </c>
      <c r="F248" s="12" t="str">
        <f t="shared" ca="1" si="7"/>
        <v/>
      </c>
      <c r="G248" s="13">
        <f ca="1">IFERROR(__xludf.DUMMYFUNCTION("GOOGLEFINANCE(A248,""CLOSEYEST"")"),631.6)</f>
        <v>631.6</v>
      </c>
      <c r="H248" s="14" t="str">
        <f t="shared" ca="1" si="13"/>
        <v/>
      </c>
      <c r="I248" s="15">
        <f t="shared" ca="1" si="8"/>
        <v>633.23333333333323</v>
      </c>
      <c r="J248" s="16">
        <f t="shared" ca="1" si="9"/>
        <v>638.96666666666647</v>
      </c>
      <c r="K248" s="16"/>
      <c r="L248" s="16">
        <f t="shared" ca="1" si="10"/>
        <v>625.86666666666645</v>
      </c>
      <c r="M248" s="16">
        <f t="shared" ca="1" si="11"/>
        <v>646.33333333333326</v>
      </c>
      <c r="N248" s="16">
        <f t="shared" ca="1" si="12"/>
        <v>620.13333333333321</v>
      </c>
    </row>
    <row r="249" spans="1:14" ht="24.75" customHeight="1" x14ac:dyDescent="0.8">
      <c r="A249" s="18" t="s">
        <v>212</v>
      </c>
      <c r="B249" s="10">
        <f ca="1">IFERROR(__xludf.DUMMYFUNCTION("GOOGLEFINANCE(A249,""PRICE"")"),3580)</f>
        <v>3580</v>
      </c>
      <c r="C249" s="11">
        <f ca="1">IFERROR(__xludf.DUMMYFUNCTION("GOOGLEFINANCE(A249,""PRICEOPEN"")"),3670)</f>
        <v>3670</v>
      </c>
      <c r="D249" s="11">
        <f ca="1">IFERROR(__xludf.DUMMYFUNCTION("GOOGLEFINANCE(A249,""HIGH"")"),3671.9)</f>
        <v>3671.9</v>
      </c>
      <c r="E249" s="11">
        <f ca="1">IFERROR(__xludf.DUMMYFUNCTION("GOOGLEFINANCE(A249,""LOW"")"),3557.4)</f>
        <v>3557.4</v>
      </c>
      <c r="F249" s="12" t="str">
        <f t="shared" ca="1" si="7"/>
        <v/>
      </c>
      <c r="G249" s="13">
        <f ca="1">IFERROR(__xludf.DUMMYFUNCTION("GOOGLEFINANCE(A249,""CLOSEYEST"")"),3637.7)</f>
        <v>3637.7</v>
      </c>
      <c r="H249" s="14" t="str">
        <f t="shared" ca="1" si="13"/>
        <v/>
      </c>
      <c r="I249" s="15">
        <f t="shared" ca="1" si="8"/>
        <v>3622.3333333333335</v>
      </c>
      <c r="J249" s="16">
        <f t="shared" ca="1" si="9"/>
        <v>3687.2666666666669</v>
      </c>
      <c r="K249" s="16"/>
      <c r="L249" s="16">
        <f t="shared" ca="1" si="10"/>
        <v>3572.7666666666669</v>
      </c>
      <c r="M249" s="16">
        <f t="shared" ca="1" si="11"/>
        <v>3736.8333333333335</v>
      </c>
      <c r="N249" s="16">
        <f t="shared" ca="1" si="12"/>
        <v>3507.8333333333335</v>
      </c>
    </row>
    <row r="250" spans="1:14" ht="24.75" customHeight="1" x14ac:dyDescent="0.8">
      <c r="A250" s="18" t="s">
        <v>213</v>
      </c>
      <c r="B250" s="10">
        <f ca="1">IFERROR(__xludf.DUMMYFUNCTION("GOOGLEFINANCE(A250,""PRICE"")"),926.1)</f>
        <v>926.1</v>
      </c>
      <c r="C250" s="11">
        <f ca="1">IFERROR(__xludf.DUMMYFUNCTION("GOOGLEFINANCE(A250,""PRICEOPEN"")"),921.5)</f>
        <v>921.5</v>
      </c>
      <c r="D250" s="11">
        <f ca="1">IFERROR(__xludf.DUMMYFUNCTION("GOOGLEFINANCE(A250,""HIGH"")"),928.35)</f>
        <v>928.35</v>
      </c>
      <c r="E250" s="11">
        <f ca="1">IFERROR(__xludf.DUMMYFUNCTION("GOOGLEFINANCE(A250,""LOW"")"),910.3)</f>
        <v>910.3</v>
      </c>
      <c r="F250" s="12" t="str">
        <f t="shared" ca="1" si="7"/>
        <v/>
      </c>
      <c r="G250" s="13">
        <f ca="1">IFERROR(__xludf.DUMMYFUNCTION("GOOGLEFINANCE(A250,""CLOSEYEST"")"),917.55)</f>
        <v>917.55</v>
      </c>
      <c r="H250" s="14" t="str">
        <f t="shared" ca="1" si="13"/>
        <v/>
      </c>
      <c r="I250" s="15">
        <f t="shared" ca="1" si="8"/>
        <v>918.73333333333323</v>
      </c>
      <c r="J250" s="16">
        <f t="shared" ca="1" si="9"/>
        <v>927.16666666666652</v>
      </c>
      <c r="K250" s="16"/>
      <c r="L250" s="16">
        <f t="shared" ca="1" si="10"/>
        <v>909.11666666666645</v>
      </c>
      <c r="M250" s="16">
        <f t="shared" ca="1" si="11"/>
        <v>936.7833333333333</v>
      </c>
      <c r="N250" s="16">
        <f t="shared" ca="1" si="12"/>
        <v>900.68333333333317</v>
      </c>
    </row>
    <row r="251" spans="1:14" ht="24.75" customHeight="1" x14ac:dyDescent="0.8">
      <c r="A251" s="18" t="s">
        <v>214</v>
      </c>
      <c r="B251" s="10">
        <f ca="1">IFERROR(__xludf.DUMMYFUNCTION("GOOGLEFINANCE(A251,""PRICE"")"),367.2)</f>
        <v>367.2</v>
      </c>
      <c r="C251" s="11">
        <f ca="1">IFERROR(__xludf.DUMMYFUNCTION("GOOGLEFINANCE(A251,""PRICEOPEN"")"),367.5)</f>
        <v>367.5</v>
      </c>
      <c r="D251" s="11">
        <f ca="1">IFERROR(__xludf.DUMMYFUNCTION("GOOGLEFINANCE(A251,""HIGH"")"),368.55)</f>
        <v>368.55</v>
      </c>
      <c r="E251" s="11">
        <f ca="1">IFERROR(__xludf.DUMMYFUNCTION("GOOGLEFINANCE(A251,""LOW"")"),363.6)</f>
        <v>363.6</v>
      </c>
      <c r="F251" s="12" t="str">
        <f t="shared" ca="1" si="7"/>
        <v/>
      </c>
      <c r="G251" s="13">
        <f ca="1">IFERROR(__xludf.DUMMYFUNCTION("GOOGLEFINANCE(A251,""CLOSEYEST"")"),366.3)</f>
        <v>366.3</v>
      </c>
      <c r="H251" s="14" t="str">
        <f t="shared" ca="1" si="13"/>
        <v/>
      </c>
      <c r="I251" s="15">
        <f t="shared" ca="1" si="8"/>
        <v>366.15000000000003</v>
      </c>
      <c r="J251" s="16">
        <f t="shared" ca="1" si="9"/>
        <v>368.70000000000005</v>
      </c>
      <c r="K251" s="16"/>
      <c r="L251" s="16">
        <f t="shared" ca="1" si="10"/>
        <v>363.75000000000006</v>
      </c>
      <c r="M251" s="16">
        <f t="shared" ca="1" si="11"/>
        <v>371.1</v>
      </c>
      <c r="N251" s="16">
        <f t="shared" ca="1" si="12"/>
        <v>361.20000000000005</v>
      </c>
    </row>
    <row r="252" spans="1:14" ht="24.75" customHeight="1" x14ac:dyDescent="0.8">
      <c r="A252" s="18" t="s">
        <v>215</v>
      </c>
      <c r="B252" s="10">
        <f ca="1">IFERROR(__xludf.DUMMYFUNCTION("GOOGLEFINANCE(A252,""PRICE"")"),185.26)</f>
        <v>185.26</v>
      </c>
      <c r="C252" s="11">
        <f ca="1">IFERROR(__xludf.DUMMYFUNCTION("GOOGLEFINANCE(A252,""PRICEOPEN"")"),184.8)</f>
        <v>184.8</v>
      </c>
      <c r="D252" s="11">
        <f ca="1">IFERROR(__xludf.DUMMYFUNCTION("GOOGLEFINANCE(A252,""HIGH"")"),185.9)</f>
        <v>185.9</v>
      </c>
      <c r="E252" s="11">
        <f ca="1">IFERROR(__xludf.DUMMYFUNCTION("GOOGLEFINANCE(A252,""LOW"")"),181.85)</f>
        <v>181.85</v>
      </c>
      <c r="F252" s="12" t="str">
        <f t="shared" ca="1" si="7"/>
        <v/>
      </c>
      <c r="G252" s="13">
        <f ca="1">IFERROR(__xludf.DUMMYFUNCTION("GOOGLEFINANCE(A252,""CLOSEYEST"")"),183.48)</f>
        <v>183.48</v>
      </c>
      <c r="H252" s="14" t="str">
        <f t="shared" ca="1" si="13"/>
        <v/>
      </c>
      <c r="I252" s="15">
        <f t="shared" ca="1" si="8"/>
        <v>183.74333333333334</v>
      </c>
      <c r="J252" s="16">
        <f t="shared" ca="1" si="9"/>
        <v>185.63666666666668</v>
      </c>
      <c r="K252" s="16"/>
      <c r="L252" s="16">
        <f t="shared" ca="1" si="10"/>
        <v>181.58666666666667</v>
      </c>
      <c r="M252" s="16">
        <f t="shared" ca="1" si="11"/>
        <v>187.79333333333335</v>
      </c>
      <c r="N252" s="16">
        <f t="shared" ca="1" si="12"/>
        <v>179.69333333333333</v>
      </c>
    </row>
    <row r="253" spans="1:14" ht="24.75" customHeight="1" x14ac:dyDescent="0.8">
      <c r="A253" s="18" t="s">
        <v>216</v>
      </c>
      <c r="B253" s="10">
        <f ca="1">IFERROR(__xludf.DUMMYFUNCTION("GOOGLEFINANCE(A253,""PRICE"")"),989.4)</f>
        <v>989.4</v>
      </c>
      <c r="C253" s="11">
        <f ca="1">IFERROR(__xludf.DUMMYFUNCTION("GOOGLEFINANCE(A253,""PRICEOPEN"")"),993)</f>
        <v>993</v>
      </c>
      <c r="D253" s="11">
        <f ca="1">IFERROR(__xludf.DUMMYFUNCTION("GOOGLEFINANCE(A253,""HIGH"")"),1004.8)</f>
        <v>1004.8</v>
      </c>
      <c r="E253" s="11">
        <f ca="1">IFERROR(__xludf.DUMMYFUNCTION("GOOGLEFINANCE(A253,""LOW"")"),977.35)</f>
        <v>977.35</v>
      </c>
      <c r="F253" s="12" t="str">
        <f t="shared" ca="1" si="7"/>
        <v/>
      </c>
      <c r="G253" s="13">
        <f ca="1">IFERROR(__xludf.DUMMYFUNCTION("GOOGLEFINANCE(A253,""CLOSEYEST"")"),992.7)</f>
        <v>992.7</v>
      </c>
      <c r="H253" s="14" t="str">
        <f t="shared" ca="1" si="13"/>
        <v/>
      </c>
      <c r="I253" s="15">
        <f t="shared" ca="1" si="8"/>
        <v>991.61666666666679</v>
      </c>
      <c r="J253" s="16">
        <f t="shared" ca="1" si="9"/>
        <v>1005.8833333333336</v>
      </c>
      <c r="K253" s="16"/>
      <c r="L253" s="16">
        <f t="shared" ca="1" si="10"/>
        <v>978.43333333333362</v>
      </c>
      <c r="M253" s="16">
        <f t="shared" ca="1" si="11"/>
        <v>1019.0666666666667</v>
      </c>
      <c r="N253" s="16">
        <f t="shared" ca="1" si="12"/>
        <v>964.16666666666686</v>
      </c>
    </row>
    <row r="254" spans="1:14" ht="24.75" customHeight="1" x14ac:dyDescent="0.8">
      <c r="A254" s="18" t="s">
        <v>217</v>
      </c>
      <c r="B254" s="10">
        <f ca="1">IFERROR(__xludf.DUMMYFUNCTION("GOOGLEFINANCE(A254,""PRICE"")"),4.9)</f>
        <v>4.9000000000000004</v>
      </c>
      <c r="C254" s="11" t="str">
        <f ca="1">IFERROR(__xludf.DUMMYFUNCTION("GOOGLEFINANCE(A254,""PRICEOPEN"")"),"#N/A")</f>
        <v>#N/A</v>
      </c>
      <c r="D254" s="11" t="str">
        <f ca="1">IFERROR(__xludf.DUMMYFUNCTION("GOOGLEFINANCE(A254,""HIGH"")"),"#N/A")</f>
        <v>#N/A</v>
      </c>
      <c r="E254" s="11" t="str">
        <f ca="1">IFERROR(__xludf.DUMMYFUNCTION("GOOGLEFINANCE(A254,""LOW"")"),"#N/A")</f>
        <v>#N/A</v>
      </c>
      <c r="F254" s="12" t="str">
        <f t="shared" ca="1" si="7"/>
        <v>SELL</v>
      </c>
      <c r="G254" s="13">
        <f ca="1">IFERROR(__xludf.DUMMYFUNCTION("GOOGLEFINANCE(A254,""CLOSEYEST"")"),4.9)</f>
        <v>4.9000000000000004</v>
      </c>
      <c r="H254" s="14" t="str">
        <f t="shared" ca="1" si="13"/>
        <v>GAP UP</v>
      </c>
      <c r="I254" s="15" t="e">
        <f t="shared" ca="1" si="8"/>
        <v>#VALUE!</v>
      </c>
      <c r="J254" s="16" t="e">
        <f t="shared" ca="1" si="9"/>
        <v>#VALUE!</v>
      </c>
      <c r="K254" s="16"/>
      <c r="L254" s="16" t="e">
        <f t="shared" ca="1" si="10"/>
        <v>#VALUE!</v>
      </c>
      <c r="M254" s="16" t="e">
        <f t="shared" ca="1" si="11"/>
        <v>#VALUE!</v>
      </c>
      <c r="N254" s="16" t="e">
        <f t="shared" ca="1" si="12"/>
        <v>#VALUE!</v>
      </c>
    </row>
    <row r="255" spans="1:14" ht="24.75" customHeight="1" x14ac:dyDescent="0.8">
      <c r="A255" s="18" t="s">
        <v>218</v>
      </c>
      <c r="B255" s="10">
        <f ca="1">IFERROR(__xludf.DUMMYFUNCTION("GOOGLEFINANCE(A255,""PRICE"")"),2889)</f>
        <v>2889</v>
      </c>
      <c r="C255" s="11">
        <f ca="1">IFERROR(__xludf.DUMMYFUNCTION("GOOGLEFINANCE(A255,""PRICEOPEN"")"),2821)</f>
        <v>2821</v>
      </c>
      <c r="D255" s="11">
        <f ca="1">IFERROR(__xludf.DUMMYFUNCTION("GOOGLEFINANCE(A255,""HIGH"")"),2903.5)</f>
        <v>2903.5</v>
      </c>
      <c r="E255" s="11">
        <f ca="1">IFERROR(__xludf.DUMMYFUNCTION("GOOGLEFINANCE(A255,""LOW"")"),2758)</f>
        <v>2758</v>
      </c>
      <c r="F255" s="12" t="str">
        <f t="shared" ca="1" si="7"/>
        <v/>
      </c>
      <c r="G255" s="13">
        <f ca="1">IFERROR(__xludf.DUMMYFUNCTION("GOOGLEFINANCE(A255,""CLOSEYEST"")"),2812.6)</f>
        <v>2812.6</v>
      </c>
      <c r="H255" s="14" t="str">
        <f t="shared" ca="1" si="13"/>
        <v/>
      </c>
      <c r="I255" s="15">
        <f t="shared" ca="1" si="8"/>
        <v>2824.7000000000003</v>
      </c>
      <c r="J255" s="16">
        <f t="shared" ca="1" si="9"/>
        <v>2891.4000000000005</v>
      </c>
      <c r="K255" s="16"/>
      <c r="L255" s="16">
        <f t="shared" ca="1" si="10"/>
        <v>2745.9000000000005</v>
      </c>
      <c r="M255" s="16">
        <f t="shared" ca="1" si="11"/>
        <v>2970.2000000000003</v>
      </c>
      <c r="N255" s="16">
        <f t="shared" ca="1" si="12"/>
        <v>2679.2000000000003</v>
      </c>
    </row>
    <row r="256" spans="1:14" ht="24.75" customHeight="1" x14ac:dyDescent="0.8">
      <c r="A256" s="18" t="s">
        <v>219</v>
      </c>
      <c r="B256" s="10">
        <f ca="1">IFERROR(__xludf.DUMMYFUNCTION("GOOGLEFINANCE(A256,""PRICE"")"),1180)</f>
        <v>1180</v>
      </c>
      <c r="C256" s="11">
        <f ca="1">IFERROR(__xludf.DUMMYFUNCTION("GOOGLEFINANCE(A256,""PRICEOPEN"")"),1170.2)</f>
        <v>1170.2</v>
      </c>
      <c r="D256" s="11">
        <f ca="1">IFERROR(__xludf.DUMMYFUNCTION("GOOGLEFINANCE(A256,""HIGH"")"),1185.8)</f>
        <v>1185.8</v>
      </c>
      <c r="E256" s="11">
        <f ca="1">IFERROR(__xludf.DUMMYFUNCTION("GOOGLEFINANCE(A256,""LOW"")"),1165.2)</f>
        <v>1165.2</v>
      </c>
      <c r="F256" s="12" t="str">
        <f t="shared" ca="1" si="7"/>
        <v/>
      </c>
      <c r="G256" s="13">
        <f ca="1">IFERROR(__xludf.DUMMYFUNCTION("GOOGLEFINANCE(A256,""CLOSEYEST"")"),1172.4)</f>
        <v>1172.4000000000001</v>
      </c>
      <c r="H256" s="14" t="str">
        <f t="shared" ca="1" si="13"/>
        <v/>
      </c>
      <c r="I256" s="15">
        <f t="shared" ca="1" si="8"/>
        <v>1174.4666666666667</v>
      </c>
      <c r="J256" s="16">
        <f t="shared" ca="1" si="9"/>
        <v>1183.7333333333333</v>
      </c>
      <c r="K256" s="16"/>
      <c r="L256" s="16">
        <f t="shared" ca="1" si="10"/>
        <v>1163.1333333333334</v>
      </c>
      <c r="M256" s="16">
        <f t="shared" ca="1" si="11"/>
        <v>1195.0666666666666</v>
      </c>
      <c r="N256" s="16">
        <f t="shared" ca="1" si="12"/>
        <v>1153.8666666666668</v>
      </c>
    </row>
    <row r="257" spans="1:14" ht="24.75" customHeight="1" x14ac:dyDescent="0.8">
      <c r="A257" s="18" t="s">
        <v>220</v>
      </c>
      <c r="B257" s="10">
        <f ca="1">IFERROR(__xludf.DUMMYFUNCTION("GOOGLEFINANCE(A257,""PRICE"")"),3182)</f>
        <v>3182</v>
      </c>
      <c r="C257" s="11">
        <f ca="1">IFERROR(__xludf.DUMMYFUNCTION("GOOGLEFINANCE(A257,""PRICEOPEN"")"),3160)</f>
        <v>3160</v>
      </c>
      <c r="D257" s="11">
        <f ca="1">IFERROR(__xludf.DUMMYFUNCTION("GOOGLEFINANCE(A257,""HIGH"")"),3192)</f>
        <v>3192</v>
      </c>
      <c r="E257" s="11">
        <f ca="1">IFERROR(__xludf.DUMMYFUNCTION("GOOGLEFINANCE(A257,""LOW"")"),3141)</f>
        <v>3141</v>
      </c>
      <c r="F257" s="12" t="str">
        <f t="shared" ca="1" si="7"/>
        <v/>
      </c>
      <c r="G257" s="13">
        <f ca="1">IFERROR(__xludf.DUMMYFUNCTION("GOOGLEFINANCE(A257,""CLOSEYEST"")"),3165.2)</f>
        <v>3165.2</v>
      </c>
      <c r="H257" s="14" t="str">
        <f t="shared" ca="1" si="13"/>
        <v/>
      </c>
      <c r="I257" s="15">
        <f t="shared" ca="1" si="8"/>
        <v>3166.0666666666671</v>
      </c>
      <c r="J257" s="16">
        <f t="shared" ca="1" si="9"/>
        <v>3191.1333333333341</v>
      </c>
      <c r="K257" s="16"/>
      <c r="L257" s="16">
        <f t="shared" ca="1" si="10"/>
        <v>3140.1333333333341</v>
      </c>
      <c r="M257" s="16">
        <f t="shared" ca="1" si="11"/>
        <v>3217.0666666666671</v>
      </c>
      <c r="N257" s="16">
        <f t="shared" ca="1" si="12"/>
        <v>3115.0666666666671</v>
      </c>
    </row>
    <row r="258" spans="1:14" ht="24.75" customHeight="1" x14ac:dyDescent="0.8">
      <c r="A258" s="18" t="s">
        <v>221</v>
      </c>
      <c r="B258" s="10">
        <f ca="1">IFERROR(__xludf.DUMMYFUNCTION("GOOGLEFINANCE(A258,""PRICE"")"),190.7)</f>
        <v>190.7</v>
      </c>
      <c r="C258" s="11">
        <f ca="1">IFERROR(__xludf.DUMMYFUNCTION("GOOGLEFINANCE(A258,""PRICEOPEN"")"),192)</f>
        <v>192</v>
      </c>
      <c r="D258" s="11">
        <f ca="1">IFERROR(__xludf.DUMMYFUNCTION("GOOGLEFINANCE(A258,""HIGH"")"),192)</f>
        <v>192</v>
      </c>
      <c r="E258" s="11">
        <f ca="1">IFERROR(__xludf.DUMMYFUNCTION("GOOGLEFINANCE(A258,""LOW"")"),189.55)</f>
        <v>189.55</v>
      </c>
      <c r="F258" s="12" t="str">
        <f t="shared" ca="1" si="7"/>
        <v>SELL</v>
      </c>
      <c r="G258" s="13">
        <f ca="1">IFERROR(__xludf.DUMMYFUNCTION("GOOGLEFINANCE(A258,""CLOSEYEST"")"),190.49)</f>
        <v>190.49</v>
      </c>
      <c r="H258" s="14" t="str">
        <f t="shared" ca="1" si="13"/>
        <v/>
      </c>
      <c r="I258" s="15">
        <f t="shared" ca="1" si="8"/>
        <v>190.67999999999998</v>
      </c>
      <c r="J258" s="16">
        <f t="shared" ca="1" si="9"/>
        <v>191.80999999999995</v>
      </c>
      <c r="K258" s="16"/>
      <c r="L258" s="16">
        <f t="shared" ca="1" si="10"/>
        <v>189.35999999999996</v>
      </c>
      <c r="M258" s="16">
        <f t="shared" ca="1" si="11"/>
        <v>193.12999999999997</v>
      </c>
      <c r="N258" s="16">
        <f t="shared" ca="1" si="12"/>
        <v>188.23</v>
      </c>
    </row>
    <row r="259" spans="1:14" ht="24.75" customHeight="1" x14ac:dyDescent="0.8">
      <c r="A259" s="18" t="s">
        <v>222</v>
      </c>
      <c r="B259" s="10">
        <f ca="1">IFERROR(__xludf.DUMMYFUNCTION("GOOGLEFINANCE(A259,""PRICE"")"),167)</f>
        <v>167</v>
      </c>
      <c r="C259" s="11">
        <f ca="1">IFERROR(__xludf.DUMMYFUNCTION("GOOGLEFINANCE(A259,""PRICEOPEN"")"),166.73)</f>
        <v>166.73</v>
      </c>
      <c r="D259" s="11">
        <f ca="1">IFERROR(__xludf.DUMMYFUNCTION("GOOGLEFINANCE(A259,""HIGH"")"),168.29)</f>
        <v>168.29</v>
      </c>
      <c r="E259" s="11">
        <f ca="1">IFERROR(__xludf.DUMMYFUNCTION("GOOGLEFINANCE(A259,""LOW"")"),165.69)</f>
        <v>165.69</v>
      </c>
      <c r="F259" s="12" t="str">
        <f t="shared" ca="1" si="7"/>
        <v/>
      </c>
      <c r="G259" s="13">
        <f ca="1">IFERROR(__xludf.DUMMYFUNCTION("GOOGLEFINANCE(A259,""CLOSEYEST"")"),165.18)</f>
        <v>165.18</v>
      </c>
      <c r="H259" s="14" t="str">
        <f t="shared" ca="1" si="13"/>
        <v/>
      </c>
      <c r="I259" s="15">
        <f t="shared" ca="1" si="8"/>
        <v>166.38666666666668</v>
      </c>
      <c r="J259" s="16">
        <f t="shared" ca="1" si="9"/>
        <v>167.08333333333337</v>
      </c>
      <c r="K259" s="16"/>
      <c r="L259" s="16">
        <f t="shared" ca="1" si="10"/>
        <v>164.48333333333338</v>
      </c>
      <c r="M259" s="16">
        <f t="shared" ca="1" si="11"/>
        <v>168.98666666666668</v>
      </c>
      <c r="N259" s="16">
        <f t="shared" ca="1" si="12"/>
        <v>163.78666666666669</v>
      </c>
    </row>
    <row r="260" spans="1:14" ht="24.75" customHeight="1" x14ac:dyDescent="0.8">
      <c r="A260" s="18" t="s">
        <v>223</v>
      </c>
      <c r="B260" s="10">
        <f ca="1">IFERROR(__xludf.DUMMYFUNCTION("GOOGLEFINANCE(A260,""PRICE"")"),1735)</f>
        <v>1735</v>
      </c>
      <c r="C260" s="11">
        <f ca="1">IFERROR(__xludf.DUMMYFUNCTION("GOOGLEFINANCE(A260,""PRICEOPEN"")"),1740)</f>
        <v>1740</v>
      </c>
      <c r="D260" s="11">
        <f ca="1">IFERROR(__xludf.DUMMYFUNCTION("GOOGLEFINANCE(A260,""HIGH"")"),1752.5)</f>
        <v>1752.5</v>
      </c>
      <c r="E260" s="11">
        <f ca="1">IFERROR(__xludf.DUMMYFUNCTION("GOOGLEFINANCE(A260,""LOW"")"),1723.8)</f>
        <v>1723.8</v>
      </c>
      <c r="F260" s="12" t="str">
        <f t="shared" ca="1" si="7"/>
        <v/>
      </c>
      <c r="G260" s="13">
        <f ca="1">IFERROR(__xludf.DUMMYFUNCTION("GOOGLEFINANCE(A260,""CLOSEYEST"")"),1731.1)</f>
        <v>1731.1</v>
      </c>
      <c r="H260" s="14" t="str">
        <f t="shared" ca="1" si="13"/>
        <v/>
      </c>
      <c r="I260" s="15">
        <f t="shared" ca="1" si="8"/>
        <v>1735.8</v>
      </c>
      <c r="J260" s="16">
        <f t="shared" ca="1" si="9"/>
        <v>1747.8</v>
      </c>
      <c r="K260" s="16"/>
      <c r="L260" s="16">
        <f t="shared" ca="1" si="10"/>
        <v>1719.1</v>
      </c>
      <c r="M260" s="16">
        <f t="shared" ca="1" si="11"/>
        <v>1764.5</v>
      </c>
      <c r="N260" s="16">
        <f t="shared" ca="1" si="12"/>
        <v>1707.1</v>
      </c>
    </row>
    <row r="261" spans="1:14" ht="24.75" customHeight="1" x14ac:dyDescent="0.8">
      <c r="A261" s="18" t="s">
        <v>224</v>
      </c>
      <c r="B261" s="10">
        <f ca="1">IFERROR(__xludf.DUMMYFUNCTION("GOOGLEFINANCE(A261,""PRICE"")"),167.46)</f>
        <v>167.46</v>
      </c>
      <c r="C261" s="11">
        <f ca="1">IFERROR(__xludf.DUMMYFUNCTION("GOOGLEFINANCE(A261,""PRICEOPEN"")"),172.4)</f>
        <v>172.4</v>
      </c>
      <c r="D261" s="11">
        <f ca="1">IFERROR(__xludf.DUMMYFUNCTION("GOOGLEFINANCE(A261,""HIGH"")"),172.4)</f>
        <v>172.4</v>
      </c>
      <c r="E261" s="11">
        <f ca="1">IFERROR(__xludf.DUMMYFUNCTION("GOOGLEFINANCE(A261,""LOW"")"),167.05)</f>
        <v>167.05</v>
      </c>
      <c r="F261" s="12" t="str">
        <f t="shared" ca="1" si="7"/>
        <v>SELL</v>
      </c>
      <c r="G261" s="13">
        <f ca="1">IFERROR(__xludf.DUMMYFUNCTION("GOOGLEFINANCE(A261,""CLOSEYEST"")"),171.74)</f>
        <v>171.74</v>
      </c>
      <c r="H261" s="14" t="str">
        <f t="shared" ca="1" si="13"/>
        <v/>
      </c>
      <c r="I261" s="15">
        <f t="shared" ca="1" si="8"/>
        <v>170.39666666666668</v>
      </c>
      <c r="J261" s="16">
        <f t="shared" ca="1" si="9"/>
        <v>173.74333333333334</v>
      </c>
      <c r="K261" s="16"/>
      <c r="L261" s="16">
        <f t="shared" ca="1" si="10"/>
        <v>168.39333333333335</v>
      </c>
      <c r="M261" s="16">
        <f t="shared" ca="1" si="11"/>
        <v>175.74666666666667</v>
      </c>
      <c r="N261" s="16">
        <f t="shared" ca="1" si="12"/>
        <v>165.04666666666668</v>
      </c>
    </row>
    <row r="262" spans="1:14" ht="24.75" customHeight="1" x14ac:dyDescent="0.8">
      <c r="A262" s="18" t="s">
        <v>225</v>
      </c>
      <c r="B262" s="10">
        <f ca="1">IFERROR(__xludf.DUMMYFUNCTION("GOOGLEFINANCE(A262,""PRICE"")"),895)</f>
        <v>895</v>
      </c>
      <c r="C262" s="11">
        <f ca="1">IFERROR(__xludf.DUMMYFUNCTION("GOOGLEFINANCE(A262,""PRICEOPEN"")"),878)</f>
        <v>878</v>
      </c>
      <c r="D262" s="11">
        <f ca="1">IFERROR(__xludf.DUMMYFUNCTION("GOOGLEFINANCE(A262,""HIGH"")"),897.9)</f>
        <v>897.9</v>
      </c>
      <c r="E262" s="11">
        <f ca="1">IFERROR(__xludf.DUMMYFUNCTION("GOOGLEFINANCE(A262,""LOW"")"),871)</f>
        <v>871</v>
      </c>
      <c r="F262" s="12" t="str">
        <f t="shared" ca="1" si="7"/>
        <v/>
      </c>
      <c r="G262" s="13">
        <f ca="1">IFERROR(__xludf.DUMMYFUNCTION("GOOGLEFINANCE(A262,""CLOSEYEST"")"),876.1)</f>
        <v>876.1</v>
      </c>
      <c r="H262" s="14" t="str">
        <f t="shared" ca="1" si="13"/>
        <v/>
      </c>
      <c r="I262" s="15">
        <f t="shared" ca="1" si="8"/>
        <v>881.66666666666663</v>
      </c>
      <c r="J262" s="16">
        <f t="shared" ca="1" si="9"/>
        <v>892.33333333333326</v>
      </c>
      <c r="K262" s="16"/>
      <c r="L262" s="16">
        <f t="shared" ca="1" si="10"/>
        <v>865.43333333333328</v>
      </c>
      <c r="M262" s="16">
        <f t="shared" ca="1" si="11"/>
        <v>908.56666666666661</v>
      </c>
      <c r="N262" s="16">
        <f t="shared" ca="1" si="12"/>
        <v>854.76666666666665</v>
      </c>
    </row>
    <row r="263" spans="1:14" ht="24.75" customHeight="1" x14ac:dyDescent="0.8">
      <c r="A263" s="18" t="s">
        <v>226</v>
      </c>
      <c r="B263" s="10">
        <f ca="1">IFERROR(__xludf.DUMMYFUNCTION("GOOGLEFINANCE(A263,""PRICE"")"),1666)</f>
        <v>1666</v>
      </c>
      <c r="C263" s="11">
        <f ca="1">IFERROR(__xludf.DUMMYFUNCTION("GOOGLEFINANCE(A263,""PRICEOPEN"")"),1637.8)</f>
        <v>1637.8</v>
      </c>
      <c r="D263" s="11">
        <f ca="1">IFERROR(__xludf.DUMMYFUNCTION("GOOGLEFINANCE(A263,""HIGH"")"),1670)</f>
        <v>1670</v>
      </c>
      <c r="E263" s="11">
        <f ca="1">IFERROR(__xludf.DUMMYFUNCTION("GOOGLEFINANCE(A263,""LOW"")"),1636.9)</f>
        <v>1636.9</v>
      </c>
      <c r="F263" s="12" t="str">
        <f t="shared" ca="1" si="7"/>
        <v/>
      </c>
      <c r="G263" s="13">
        <f ca="1">IFERROR(__xludf.DUMMYFUNCTION("GOOGLEFINANCE(A263,""CLOSEYEST"")"),1637.8)</f>
        <v>1637.8</v>
      </c>
      <c r="H263" s="14" t="str">
        <f t="shared" ca="1" si="13"/>
        <v/>
      </c>
      <c r="I263" s="15">
        <f t="shared" ca="1" si="8"/>
        <v>1648.2333333333333</v>
      </c>
      <c r="J263" s="16">
        <f t="shared" ca="1" si="9"/>
        <v>1659.5666666666666</v>
      </c>
      <c r="K263" s="16"/>
      <c r="L263" s="16">
        <f t="shared" ca="1" si="10"/>
        <v>1626.4666666666667</v>
      </c>
      <c r="M263" s="16">
        <f t="shared" ca="1" si="11"/>
        <v>1681.3333333333333</v>
      </c>
      <c r="N263" s="16">
        <f t="shared" ca="1" si="12"/>
        <v>1615.1333333333334</v>
      </c>
    </row>
    <row r="264" spans="1:14" ht="24.75" customHeight="1" x14ac:dyDescent="0.8">
      <c r="A264" s="18" t="s">
        <v>227</v>
      </c>
      <c r="B264" s="10">
        <f ca="1">IFERROR(__xludf.DUMMYFUNCTION("GOOGLEFINANCE(A264,""PRICE"")"),2302)</f>
        <v>2302</v>
      </c>
      <c r="C264" s="11">
        <f ca="1">IFERROR(__xludf.DUMMYFUNCTION("GOOGLEFINANCE(A264,""PRICEOPEN"")"),2254)</f>
        <v>2254</v>
      </c>
      <c r="D264" s="11">
        <f ca="1">IFERROR(__xludf.DUMMYFUNCTION("GOOGLEFINANCE(A264,""HIGH"")"),2315)</f>
        <v>2315</v>
      </c>
      <c r="E264" s="11">
        <f ca="1">IFERROR(__xludf.DUMMYFUNCTION("GOOGLEFINANCE(A264,""LOW"")"),2242)</f>
        <v>2242</v>
      </c>
      <c r="F264" s="12" t="str">
        <f t="shared" ca="1" si="7"/>
        <v/>
      </c>
      <c r="G264" s="13">
        <f ca="1">IFERROR(__xludf.DUMMYFUNCTION("GOOGLEFINANCE(A264,""CLOSEYEST"")"),2251)</f>
        <v>2251</v>
      </c>
      <c r="H264" s="14" t="str">
        <f t="shared" ca="1" si="13"/>
        <v/>
      </c>
      <c r="I264" s="15">
        <f t="shared" ca="1" si="8"/>
        <v>2269.3333333333335</v>
      </c>
      <c r="J264" s="16">
        <f t="shared" ca="1" si="9"/>
        <v>2296.666666666667</v>
      </c>
      <c r="K264" s="16"/>
      <c r="L264" s="16">
        <f t="shared" ca="1" si="10"/>
        <v>2223.666666666667</v>
      </c>
      <c r="M264" s="16">
        <f t="shared" ca="1" si="11"/>
        <v>2342.3333333333335</v>
      </c>
      <c r="N264" s="16">
        <f t="shared" ca="1" si="12"/>
        <v>2196.3333333333335</v>
      </c>
    </row>
    <row r="265" spans="1:14" ht="24.75" customHeight="1" x14ac:dyDescent="0.8">
      <c r="A265" s="18" t="s">
        <v>228</v>
      </c>
      <c r="B265" s="10">
        <f ca="1">IFERROR(__xludf.DUMMYFUNCTION("GOOGLEFINANCE(A265,""PRICE"")"),5075)</f>
        <v>5075</v>
      </c>
      <c r="C265" s="11">
        <f ca="1">IFERROR(__xludf.DUMMYFUNCTION("GOOGLEFINANCE(A265,""PRICEOPEN"")"),4922)</f>
        <v>4922</v>
      </c>
      <c r="D265" s="11">
        <f ca="1">IFERROR(__xludf.DUMMYFUNCTION("GOOGLEFINANCE(A265,""HIGH"")"),5082)</f>
        <v>5082</v>
      </c>
      <c r="E265" s="11">
        <f ca="1">IFERROR(__xludf.DUMMYFUNCTION("GOOGLEFINANCE(A265,""LOW"")"),4902.8)</f>
        <v>4902.8</v>
      </c>
      <c r="F265" s="12" t="str">
        <f t="shared" ca="1" si="7"/>
        <v/>
      </c>
      <c r="G265" s="13">
        <f ca="1">IFERROR(__xludf.DUMMYFUNCTION("GOOGLEFINANCE(A265,""CLOSEYEST"")"),4912.9)</f>
        <v>4912.8999999999996</v>
      </c>
      <c r="H265" s="14" t="str">
        <f t="shared" ca="1" si="13"/>
        <v/>
      </c>
      <c r="I265" s="15">
        <f t="shared" ca="1" si="8"/>
        <v>4965.8999999999996</v>
      </c>
      <c r="J265" s="16">
        <f t="shared" ca="1" si="9"/>
        <v>5028.9999999999991</v>
      </c>
      <c r="K265" s="16"/>
      <c r="L265" s="16">
        <f t="shared" ca="1" si="10"/>
        <v>4849.7999999999993</v>
      </c>
      <c r="M265" s="16">
        <f t="shared" ca="1" si="11"/>
        <v>5145.0999999999995</v>
      </c>
      <c r="N265" s="16">
        <f t="shared" ca="1" si="12"/>
        <v>4786.7</v>
      </c>
    </row>
    <row r="266" spans="1:14" ht="24.75" customHeight="1" x14ac:dyDescent="0.8">
      <c r="A266" s="18" t="s">
        <v>229</v>
      </c>
      <c r="B266" s="10">
        <f ca="1">IFERROR(__xludf.DUMMYFUNCTION("GOOGLEFINANCE(A266,""PRICE"")"),549)</f>
        <v>549</v>
      </c>
      <c r="C266" s="11">
        <f ca="1">IFERROR(__xludf.DUMMYFUNCTION("GOOGLEFINANCE(A266,""PRICEOPEN"")"),546.8)</f>
        <v>546.79999999999995</v>
      </c>
      <c r="D266" s="11">
        <f ca="1">IFERROR(__xludf.DUMMYFUNCTION("GOOGLEFINANCE(A266,""HIGH"")"),553.75)</f>
        <v>553.75</v>
      </c>
      <c r="E266" s="11">
        <f ca="1">IFERROR(__xludf.DUMMYFUNCTION("GOOGLEFINANCE(A266,""LOW"")"),542.25)</f>
        <v>542.25</v>
      </c>
      <c r="F266" s="12" t="str">
        <f t="shared" ca="1" si="7"/>
        <v/>
      </c>
      <c r="G266" s="13">
        <f ca="1">IFERROR(__xludf.DUMMYFUNCTION("GOOGLEFINANCE(A266,""CLOSEYEST"")"),542.05)</f>
        <v>542.04999999999995</v>
      </c>
      <c r="H266" s="14" t="str">
        <f t="shared" ca="1" si="13"/>
        <v/>
      </c>
      <c r="I266" s="15">
        <f t="shared" ca="1" si="8"/>
        <v>546.01666666666665</v>
      </c>
      <c r="J266" s="16">
        <f t="shared" ca="1" si="9"/>
        <v>549.7833333333333</v>
      </c>
      <c r="K266" s="16"/>
      <c r="L266" s="16">
        <f t="shared" ca="1" si="10"/>
        <v>538.2833333333333</v>
      </c>
      <c r="M266" s="16">
        <f t="shared" ca="1" si="11"/>
        <v>557.51666666666665</v>
      </c>
      <c r="N266" s="16">
        <f t="shared" ca="1" si="12"/>
        <v>534.51666666666665</v>
      </c>
    </row>
    <row r="267" spans="1:14" ht="24.75" customHeight="1" x14ac:dyDescent="0.8">
      <c r="A267" s="18" t="s">
        <v>230</v>
      </c>
      <c r="B267" s="10">
        <f ca="1">IFERROR(__xludf.DUMMYFUNCTION("GOOGLEFINANCE(A267,""PRICE"")"),125.41)</f>
        <v>125.41</v>
      </c>
      <c r="C267" s="11">
        <f ca="1">IFERROR(__xludf.DUMMYFUNCTION("GOOGLEFINANCE(A267,""PRICEOPEN"")"),124.65)</f>
        <v>124.65</v>
      </c>
      <c r="D267" s="11">
        <f ca="1">IFERROR(__xludf.DUMMYFUNCTION("GOOGLEFINANCE(A267,""HIGH"")"),125.95)</f>
        <v>125.95</v>
      </c>
      <c r="E267" s="11">
        <f ca="1">IFERROR(__xludf.DUMMYFUNCTION("GOOGLEFINANCE(A267,""LOW"")"),123.65)</f>
        <v>123.65</v>
      </c>
      <c r="F267" s="12" t="str">
        <f t="shared" ca="1" si="7"/>
        <v/>
      </c>
      <c r="G267" s="13">
        <f ca="1">IFERROR(__xludf.DUMMYFUNCTION("GOOGLEFINANCE(A267,""CLOSEYEST"")"),124.63)</f>
        <v>124.63</v>
      </c>
      <c r="H267" s="14" t="str">
        <f t="shared" ca="1" si="13"/>
        <v/>
      </c>
      <c r="I267" s="15">
        <f t="shared" ca="1" si="8"/>
        <v>124.74333333333334</v>
      </c>
      <c r="J267" s="16">
        <f t="shared" ca="1" si="9"/>
        <v>125.83666666666667</v>
      </c>
      <c r="K267" s="16"/>
      <c r="L267" s="16">
        <f t="shared" ca="1" si="10"/>
        <v>123.53666666666668</v>
      </c>
      <c r="M267" s="16">
        <f t="shared" ca="1" si="11"/>
        <v>127.04333333333334</v>
      </c>
      <c r="N267" s="16">
        <f t="shared" ca="1" si="12"/>
        <v>122.44333333333334</v>
      </c>
    </row>
    <row r="268" spans="1:14" ht="24.75" customHeight="1" x14ac:dyDescent="0.8">
      <c r="A268" s="18" t="s">
        <v>231</v>
      </c>
      <c r="B268" s="10">
        <f ca="1">IFERROR(__xludf.DUMMYFUNCTION("GOOGLEFINANCE(A268,""PRICE"")"),5220.5)</f>
        <v>5220.5</v>
      </c>
      <c r="C268" s="11">
        <f ca="1">IFERROR(__xludf.DUMMYFUNCTION("GOOGLEFINANCE(A268,""PRICEOPEN"")"),5192)</f>
        <v>5192</v>
      </c>
      <c r="D268" s="11">
        <f ca="1">IFERROR(__xludf.DUMMYFUNCTION("GOOGLEFINANCE(A268,""HIGH"")"),5252)</f>
        <v>5252</v>
      </c>
      <c r="E268" s="11">
        <f ca="1">IFERROR(__xludf.DUMMYFUNCTION("GOOGLEFINANCE(A268,""LOW"")"),5162)</f>
        <v>5162</v>
      </c>
      <c r="F268" s="12" t="str">
        <f t="shared" ca="1" si="7"/>
        <v/>
      </c>
      <c r="G268" s="13">
        <f ca="1">IFERROR(__xludf.DUMMYFUNCTION("GOOGLEFINANCE(A268,""CLOSEYEST"")"),5151)</f>
        <v>5151</v>
      </c>
      <c r="H268" s="14" t="str">
        <f t="shared" ca="1" si="13"/>
        <v/>
      </c>
      <c r="I268" s="15">
        <f t="shared" ca="1" si="8"/>
        <v>5188.333333333333</v>
      </c>
      <c r="J268" s="16">
        <f t="shared" ca="1" si="9"/>
        <v>5214.6666666666661</v>
      </c>
      <c r="K268" s="16"/>
      <c r="L268" s="16">
        <f t="shared" ca="1" si="10"/>
        <v>5124.6666666666661</v>
      </c>
      <c r="M268" s="16">
        <f t="shared" ca="1" si="11"/>
        <v>5278.333333333333</v>
      </c>
      <c r="N268" s="16">
        <f t="shared" ca="1" si="12"/>
        <v>5098.333333333333</v>
      </c>
    </row>
    <row r="269" spans="1:14" ht="24.75" customHeight="1" x14ac:dyDescent="0.8">
      <c r="A269" s="18" t="s">
        <v>232</v>
      </c>
      <c r="B269" s="10">
        <f ca="1">IFERROR(__xludf.DUMMYFUNCTION("GOOGLEFINANCE(A269,""PRICE"")"),6233)</f>
        <v>6233</v>
      </c>
      <c r="C269" s="11">
        <f ca="1">IFERROR(__xludf.DUMMYFUNCTION("GOOGLEFINANCE(A269,""PRICEOPEN"")"),6222)</f>
        <v>6222</v>
      </c>
      <c r="D269" s="11">
        <f ca="1">IFERROR(__xludf.DUMMYFUNCTION("GOOGLEFINANCE(A269,""HIGH"")"),6299)</f>
        <v>6299</v>
      </c>
      <c r="E269" s="11">
        <f ca="1">IFERROR(__xludf.DUMMYFUNCTION("GOOGLEFINANCE(A269,""LOW"")"),6201)</f>
        <v>6201</v>
      </c>
      <c r="F269" s="12" t="str">
        <f t="shared" ca="1" si="7"/>
        <v/>
      </c>
      <c r="G269" s="13">
        <f ca="1">IFERROR(__xludf.DUMMYFUNCTION("GOOGLEFINANCE(A269,""CLOSEYEST"")"),6266.5)</f>
        <v>6266.5</v>
      </c>
      <c r="H269" s="14" t="str">
        <f t="shared" ca="1" si="13"/>
        <v/>
      </c>
      <c r="I269" s="15">
        <f t="shared" ca="1" si="8"/>
        <v>6255.5</v>
      </c>
      <c r="J269" s="16">
        <f t="shared" ca="1" si="9"/>
        <v>6310</v>
      </c>
      <c r="K269" s="16"/>
      <c r="L269" s="16">
        <f t="shared" ca="1" si="10"/>
        <v>6212</v>
      </c>
      <c r="M269" s="16">
        <f t="shared" ca="1" si="11"/>
        <v>6353.5</v>
      </c>
      <c r="N269" s="16">
        <f t="shared" ca="1" si="12"/>
        <v>6157.5</v>
      </c>
    </row>
    <row r="270" spans="1:14" ht="24.75" customHeight="1" x14ac:dyDescent="0.8">
      <c r="A270" s="18" t="s">
        <v>233</v>
      </c>
      <c r="B270" s="10">
        <f ca="1">IFERROR(__xludf.DUMMYFUNCTION("GOOGLEFINANCE(A270,""PRICE"")"),980)</f>
        <v>980</v>
      </c>
      <c r="C270" s="11">
        <f ca="1">IFERROR(__xludf.DUMMYFUNCTION("GOOGLEFINANCE(A270,""PRICEOPEN"")"),996.1)</f>
        <v>996.1</v>
      </c>
      <c r="D270" s="11">
        <f ca="1">IFERROR(__xludf.DUMMYFUNCTION("GOOGLEFINANCE(A270,""HIGH"")"),1004.7)</f>
        <v>1004.7</v>
      </c>
      <c r="E270" s="11">
        <f ca="1">IFERROR(__xludf.DUMMYFUNCTION("GOOGLEFINANCE(A270,""LOW"")"),970.85)</f>
        <v>970.85</v>
      </c>
      <c r="F270" s="12" t="str">
        <f t="shared" ca="1" si="7"/>
        <v/>
      </c>
      <c r="G270" s="13">
        <f ca="1">IFERROR(__xludf.DUMMYFUNCTION("GOOGLEFINANCE(A270,""CLOSEYEST"")"),989.65)</f>
        <v>989.65</v>
      </c>
      <c r="H270" s="14" t="str">
        <f t="shared" ca="1" si="13"/>
        <v/>
      </c>
      <c r="I270" s="15">
        <f t="shared" ca="1" si="8"/>
        <v>988.40000000000009</v>
      </c>
      <c r="J270" s="16">
        <f t="shared" ca="1" si="9"/>
        <v>1005.9500000000002</v>
      </c>
      <c r="K270" s="16"/>
      <c r="L270" s="16">
        <f t="shared" ca="1" si="10"/>
        <v>972.10000000000014</v>
      </c>
      <c r="M270" s="16">
        <f t="shared" ca="1" si="11"/>
        <v>1022.2500000000001</v>
      </c>
      <c r="N270" s="16">
        <f t="shared" ca="1" si="12"/>
        <v>954.55000000000007</v>
      </c>
    </row>
    <row r="271" spans="1:14" ht="24.75" customHeight="1" x14ac:dyDescent="0.8">
      <c r="A271" s="18" t="s">
        <v>234</v>
      </c>
      <c r="B271" s="10">
        <f ca="1">IFERROR(__xludf.DUMMYFUNCTION("GOOGLEFINANCE(A271,""PRICE"")"),1207.9)</f>
        <v>1207.9000000000001</v>
      </c>
      <c r="C271" s="11">
        <f ca="1">IFERROR(__xludf.DUMMYFUNCTION("GOOGLEFINANCE(A271,""PRICEOPEN"")"),1190.1)</f>
        <v>1190.0999999999999</v>
      </c>
      <c r="D271" s="11">
        <f ca="1">IFERROR(__xludf.DUMMYFUNCTION("GOOGLEFINANCE(A271,""HIGH"")"),1209.8)</f>
        <v>1209.8</v>
      </c>
      <c r="E271" s="11">
        <f ca="1">IFERROR(__xludf.DUMMYFUNCTION("GOOGLEFINANCE(A271,""LOW"")"),1172.2)</f>
        <v>1172.2</v>
      </c>
      <c r="F271" s="12" t="str">
        <f t="shared" ca="1" si="7"/>
        <v/>
      </c>
      <c r="G271" s="13">
        <f ca="1">IFERROR(__xludf.DUMMYFUNCTION("GOOGLEFINANCE(A271,""CLOSEYEST"")"),1191.8)</f>
        <v>1191.8</v>
      </c>
      <c r="H271" s="14" t="str">
        <f t="shared" ca="1" si="13"/>
        <v/>
      </c>
      <c r="I271" s="15">
        <f t="shared" ca="1" si="8"/>
        <v>1191.2666666666667</v>
      </c>
      <c r="J271" s="16">
        <f t="shared" ca="1" si="9"/>
        <v>1210.3333333333333</v>
      </c>
      <c r="K271" s="16"/>
      <c r="L271" s="16">
        <f t="shared" ca="1" si="10"/>
        <v>1172.7333333333333</v>
      </c>
      <c r="M271" s="16">
        <f t="shared" ca="1" si="11"/>
        <v>1228.8666666666666</v>
      </c>
      <c r="N271" s="16">
        <f t="shared" ca="1" si="12"/>
        <v>1153.6666666666667</v>
      </c>
    </row>
    <row r="272" spans="1:14" ht="24.75" customHeight="1" x14ac:dyDescent="0.8">
      <c r="A272" s="18" t="s">
        <v>235</v>
      </c>
      <c r="B272" s="10">
        <f ca="1">IFERROR(__xludf.DUMMYFUNCTION("GOOGLEFINANCE(A272,""PRICE"")"),1662.8)</f>
        <v>1662.8</v>
      </c>
      <c r="C272" s="11">
        <f ca="1">IFERROR(__xludf.DUMMYFUNCTION("GOOGLEFINANCE(A272,""PRICEOPEN"")"),1633.8)</f>
        <v>1633.8</v>
      </c>
      <c r="D272" s="11">
        <f ca="1">IFERROR(__xludf.DUMMYFUNCTION("GOOGLEFINANCE(A272,""HIGH"")"),1668)</f>
        <v>1668</v>
      </c>
      <c r="E272" s="11">
        <f ca="1">IFERROR(__xludf.DUMMYFUNCTION("GOOGLEFINANCE(A272,""LOW"")"),1624.3)</f>
        <v>1624.3</v>
      </c>
      <c r="F272" s="12" t="str">
        <f t="shared" ca="1" si="7"/>
        <v/>
      </c>
      <c r="G272" s="13">
        <f ca="1">IFERROR(__xludf.DUMMYFUNCTION("GOOGLEFINANCE(A272,""CLOSEYEST"")"),1633.2)</f>
        <v>1633.2</v>
      </c>
      <c r="H272" s="14" t="str">
        <f t="shared" ca="1" si="13"/>
        <v/>
      </c>
      <c r="I272" s="15">
        <f t="shared" ca="1" si="8"/>
        <v>1641.8333333333333</v>
      </c>
      <c r="J272" s="16">
        <f t="shared" ca="1" si="9"/>
        <v>1659.3666666666666</v>
      </c>
      <c r="K272" s="16"/>
      <c r="L272" s="16">
        <f t="shared" ca="1" si="10"/>
        <v>1615.6666666666665</v>
      </c>
      <c r="M272" s="16">
        <f t="shared" ca="1" si="11"/>
        <v>1685.5333333333333</v>
      </c>
      <c r="N272" s="16">
        <f t="shared" ca="1" si="12"/>
        <v>1598.1333333333332</v>
      </c>
    </row>
    <row r="273" spans="1:14" ht="24.75" customHeight="1" x14ac:dyDescent="0.8">
      <c r="A273" s="18" t="s">
        <v>236</v>
      </c>
      <c r="B273" s="10">
        <f ca="1">IFERROR(__xludf.DUMMYFUNCTION("GOOGLEFINANCE(A273,""PRICE"")"),1165)</f>
        <v>1165</v>
      </c>
      <c r="C273" s="11">
        <f ca="1">IFERROR(__xludf.DUMMYFUNCTION("GOOGLEFINANCE(A273,""PRICEOPEN"")"),1196.5)</f>
        <v>1196.5</v>
      </c>
      <c r="D273" s="11">
        <f ca="1">IFERROR(__xludf.DUMMYFUNCTION("GOOGLEFINANCE(A273,""HIGH"")"),1199)</f>
        <v>1199</v>
      </c>
      <c r="E273" s="11">
        <f ca="1">IFERROR(__xludf.DUMMYFUNCTION("GOOGLEFINANCE(A273,""LOW"")"),1157)</f>
        <v>1157</v>
      </c>
      <c r="F273" s="12" t="str">
        <f t="shared" ca="1" si="7"/>
        <v/>
      </c>
      <c r="G273" s="13">
        <f ca="1">IFERROR(__xludf.DUMMYFUNCTION("GOOGLEFINANCE(A273,""CLOSEYEST"")"),1188.6)</f>
        <v>1188.5999999999999</v>
      </c>
      <c r="H273" s="14" t="str">
        <f t="shared" ca="1" si="13"/>
        <v/>
      </c>
      <c r="I273" s="15">
        <f t="shared" ca="1" si="8"/>
        <v>1181.5333333333333</v>
      </c>
      <c r="J273" s="16">
        <f t="shared" ca="1" si="9"/>
        <v>1206.0666666666666</v>
      </c>
      <c r="K273" s="16"/>
      <c r="L273" s="16">
        <f t="shared" ca="1" si="10"/>
        <v>1164.0666666666666</v>
      </c>
      <c r="M273" s="16">
        <f t="shared" ca="1" si="11"/>
        <v>1223.5333333333333</v>
      </c>
      <c r="N273" s="16">
        <f t="shared" ca="1" si="12"/>
        <v>1139.5333333333333</v>
      </c>
    </row>
    <row r="274" spans="1:14" ht="24.75" customHeight="1" x14ac:dyDescent="0.8">
      <c r="A274" s="18" t="s">
        <v>237</v>
      </c>
      <c r="B274" s="10">
        <f ca="1">IFERROR(__xludf.DUMMYFUNCTION("GOOGLEFINANCE(A274,""PRICE"")"),244.8)</f>
        <v>244.8</v>
      </c>
      <c r="C274" s="11">
        <f ca="1">IFERROR(__xludf.DUMMYFUNCTION("GOOGLEFINANCE(A274,""PRICEOPEN"")"),240.5)</f>
        <v>240.5</v>
      </c>
      <c r="D274" s="11">
        <f ca="1">IFERROR(__xludf.DUMMYFUNCTION("GOOGLEFINANCE(A274,""HIGH"")"),246.29)</f>
        <v>246.29</v>
      </c>
      <c r="E274" s="11">
        <f ca="1">IFERROR(__xludf.DUMMYFUNCTION("GOOGLEFINANCE(A274,""LOW"")"),240)</f>
        <v>240</v>
      </c>
      <c r="F274" s="12" t="str">
        <f t="shared" ca="1" si="7"/>
        <v/>
      </c>
      <c r="G274" s="13">
        <f ca="1">IFERROR(__xludf.DUMMYFUNCTION("GOOGLEFINANCE(A274,""CLOSEYEST"")"),240.17)</f>
        <v>240.17</v>
      </c>
      <c r="H274" s="14" t="str">
        <f t="shared" ca="1" si="13"/>
        <v/>
      </c>
      <c r="I274" s="15">
        <f t="shared" ca="1" si="8"/>
        <v>242.15333333333331</v>
      </c>
      <c r="J274" s="16">
        <f t="shared" ca="1" si="9"/>
        <v>244.30666666666662</v>
      </c>
      <c r="K274" s="16"/>
      <c r="L274" s="16">
        <f t="shared" ca="1" si="10"/>
        <v>238.01666666666662</v>
      </c>
      <c r="M274" s="16">
        <f t="shared" ca="1" si="11"/>
        <v>248.4433333333333</v>
      </c>
      <c r="N274" s="16">
        <f t="shared" ca="1" si="12"/>
        <v>235.86333333333332</v>
      </c>
    </row>
    <row r="275" spans="1:14" ht="24.75" customHeight="1" x14ac:dyDescent="0.8">
      <c r="A275" s="18" t="s">
        <v>238</v>
      </c>
      <c r="B275" s="10">
        <f ca="1">IFERROR(__xludf.DUMMYFUNCTION("GOOGLEFINANCE(A275,""PRICE"")"),4590)</f>
        <v>4590</v>
      </c>
      <c r="C275" s="11">
        <f ca="1">IFERROR(__xludf.DUMMYFUNCTION("GOOGLEFINANCE(A275,""PRICEOPEN"")"),4495)</f>
        <v>4495</v>
      </c>
      <c r="D275" s="11">
        <f ca="1">IFERROR(__xludf.DUMMYFUNCTION("GOOGLEFINANCE(A275,""HIGH"")"),4633)</f>
        <v>4633</v>
      </c>
      <c r="E275" s="11">
        <f ca="1">IFERROR(__xludf.DUMMYFUNCTION("GOOGLEFINANCE(A275,""LOW"")"),4450)</f>
        <v>4450</v>
      </c>
      <c r="F275" s="12" t="str">
        <f t="shared" ca="1" si="7"/>
        <v/>
      </c>
      <c r="G275" s="13">
        <f ca="1">IFERROR(__xludf.DUMMYFUNCTION("GOOGLEFINANCE(A275,""CLOSEYEST"")"),4451.4)</f>
        <v>4451.3999999999996</v>
      </c>
      <c r="H275" s="14" t="str">
        <f t="shared" ca="1" si="13"/>
        <v/>
      </c>
      <c r="I275" s="15">
        <f t="shared" ca="1" si="8"/>
        <v>4511.4666666666662</v>
      </c>
      <c r="J275" s="16">
        <f t="shared" ca="1" si="9"/>
        <v>4572.9333333333325</v>
      </c>
      <c r="K275" s="16"/>
      <c r="L275" s="16">
        <f t="shared" ca="1" si="10"/>
        <v>4389.9333333333325</v>
      </c>
      <c r="M275" s="16">
        <f t="shared" ca="1" si="11"/>
        <v>4694.4666666666662</v>
      </c>
      <c r="N275" s="16">
        <f t="shared" ca="1" si="12"/>
        <v>4328.4666666666662</v>
      </c>
    </row>
    <row r="276" spans="1:14" ht="24.75" customHeight="1" x14ac:dyDescent="0.8">
      <c r="A276" s="18" t="s">
        <v>239</v>
      </c>
      <c r="B276" s="10">
        <f ca="1">IFERROR(__xludf.DUMMYFUNCTION("GOOGLEFINANCE(A276,""PRICE"")"),1690)</f>
        <v>1690</v>
      </c>
      <c r="C276" s="11">
        <f ca="1">IFERROR(__xludf.DUMMYFUNCTION("GOOGLEFINANCE(A276,""PRICEOPEN"")"),1730.5)</f>
        <v>1730.5</v>
      </c>
      <c r="D276" s="11">
        <f ca="1">IFERROR(__xludf.DUMMYFUNCTION("GOOGLEFINANCE(A276,""HIGH"")"),1739)</f>
        <v>1739</v>
      </c>
      <c r="E276" s="11">
        <f ca="1">IFERROR(__xludf.DUMMYFUNCTION("GOOGLEFINANCE(A276,""LOW"")"),1674.2)</f>
        <v>1674.2</v>
      </c>
      <c r="F276" s="12" t="str">
        <f t="shared" ca="1" si="7"/>
        <v/>
      </c>
      <c r="G276" s="13">
        <f ca="1">IFERROR(__xludf.DUMMYFUNCTION("GOOGLEFINANCE(A276,""CLOSEYEST"")"),1730.5)</f>
        <v>1730.5</v>
      </c>
      <c r="H276" s="14" t="str">
        <f t="shared" ca="1" si="13"/>
        <v/>
      </c>
      <c r="I276" s="15">
        <f t="shared" ca="1" si="8"/>
        <v>1714.5666666666666</v>
      </c>
      <c r="J276" s="16">
        <f t="shared" ca="1" si="9"/>
        <v>1754.9333333333332</v>
      </c>
      <c r="K276" s="16"/>
      <c r="L276" s="16">
        <f t="shared" ca="1" si="10"/>
        <v>1690.1333333333332</v>
      </c>
      <c r="M276" s="16">
        <f t="shared" ca="1" si="11"/>
        <v>1779.3666666666666</v>
      </c>
      <c r="N276" s="16">
        <f t="shared" ca="1" si="12"/>
        <v>1649.7666666666667</v>
      </c>
    </row>
    <row r="277" spans="1:14" ht="24.75" customHeight="1" x14ac:dyDescent="0.8">
      <c r="A277" s="18" t="s">
        <v>240</v>
      </c>
      <c r="B277" s="10">
        <f ca="1">IFERROR(__xludf.DUMMYFUNCTION("GOOGLEFINANCE(A277,""PRICE"")"),524)</f>
        <v>524</v>
      </c>
      <c r="C277" s="11">
        <f ca="1">IFERROR(__xludf.DUMMYFUNCTION("GOOGLEFINANCE(A277,""PRICEOPEN"")"),505)</f>
        <v>505</v>
      </c>
      <c r="D277" s="11">
        <f ca="1">IFERROR(__xludf.DUMMYFUNCTION("GOOGLEFINANCE(A277,""HIGH"")"),528.8)</f>
        <v>528.79999999999995</v>
      </c>
      <c r="E277" s="11">
        <f ca="1">IFERROR(__xludf.DUMMYFUNCTION("GOOGLEFINANCE(A277,""LOW"")"),499.35)</f>
        <v>499.35</v>
      </c>
      <c r="F277" s="12" t="str">
        <f t="shared" ca="1" si="7"/>
        <v/>
      </c>
      <c r="G277" s="13">
        <f ca="1">IFERROR(__xludf.DUMMYFUNCTION("GOOGLEFINANCE(A277,""CLOSEYEST"")"),502.25)</f>
        <v>502.25</v>
      </c>
      <c r="H277" s="14" t="str">
        <f t="shared" ca="1" si="13"/>
        <v/>
      </c>
      <c r="I277" s="15">
        <f t="shared" ca="1" si="8"/>
        <v>510.13333333333338</v>
      </c>
      <c r="J277" s="16">
        <f t="shared" ca="1" si="9"/>
        <v>520.91666666666674</v>
      </c>
      <c r="K277" s="16"/>
      <c r="L277" s="16">
        <f t="shared" ca="1" si="10"/>
        <v>491.46666666666681</v>
      </c>
      <c r="M277" s="16">
        <f t="shared" ca="1" si="11"/>
        <v>539.58333333333326</v>
      </c>
      <c r="N277" s="16">
        <f t="shared" ca="1" si="12"/>
        <v>480.68333333333345</v>
      </c>
    </row>
    <row r="278" spans="1:14" ht="24.75" customHeight="1" x14ac:dyDescent="0.8">
      <c r="A278" s="18" t="s">
        <v>241</v>
      </c>
      <c r="B278" s="10">
        <f ca="1">IFERROR(__xludf.DUMMYFUNCTION("GOOGLEFINANCE(A278,""PRICE"")"),579.5)</f>
        <v>579.5</v>
      </c>
      <c r="C278" s="11">
        <f ca="1">IFERROR(__xludf.DUMMYFUNCTION("GOOGLEFINANCE(A278,""PRICEOPEN"")"),579)</f>
        <v>579</v>
      </c>
      <c r="D278" s="11">
        <f ca="1">IFERROR(__xludf.DUMMYFUNCTION("GOOGLEFINANCE(A278,""HIGH"")"),583.45)</f>
        <v>583.45000000000005</v>
      </c>
      <c r="E278" s="11">
        <f ca="1">IFERROR(__xludf.DUMMYFUNCTION("GOOGLEFINANCE(A278,""LOW"")"),574.05)</f>
        <v>574.04999999999995</v>
      </c>
      <c r="F278" s="12" t="str">
        <f t="shared" ca="1" si="7"/>
        <v/>
      </c>
      <c r="G278" s="13">
        <f ca="1">IFERROR(__xludf.DUMMYFUNCTION("GOOGLEFINANCE(A278,""CLOSEYEST"")"),577.2)</f>
        <v>577.20000000000005</v>
      </c>
      <c r="H278" s="14" t="str">
        <f t="shared" ca="1" si="13"/>
        <v/>
      </c>
      <c r="I278" s="15">
        <f t="shared" ca="1" si="8"/>
        <v>578.23333333333335</v>
      </c>
      <c r="J278" s="16">
        <f t="shared" ca="1" si="9"/>
        <v>582.41666666666674</v>
      </c>
      <c r="K278" s="16"/>
      <c r="L278" s="16">
        <f t="shared" ca="1" si="10"/>
        <v>573.01666666666665</v>
      </c>
      <c r="M278" s="16">
        <f t="shared" ca="1" si="11"/>
        <v>587.63333333333344</v>
      </c>
      <c r="N278" s="16">
        <f t="shared" ca="1" si="12"/>
        <v>568.83333333333326</v>
      </c>
    </row>
    <row r="279" spans="1:14" ht="24.75" customHeight="1" x14ac:dyDescent="0.8">
      <c r="A279" s="18" t="s">
        <v>242</v>
      </c>
      <c r="B279" s="10">
        <f ca="1">IFERROR(__xludf.DUMMYFUNCTION("GOOGLEFINANCE(A279,""PRICE"")"),2365.8)</f>
        <v>2365.8000000000002</v>
      </c>
      <c r="C279" s="11">
        <f ca="1">IFERROR(__xludf.DUMMYFUNCTION("GOOGLEFINANCE(A279,""PRICEOPEN"")"),2395.6)</f>
        <v>2395.6</v>
      </c>
      <c r="D279" s="11">
        <f ca="1">IFERROR(__xludf.DUMMYFUNCTION("GOOGLEFINANCE(A279,""HIGH"")"),2409.9)</f>
        <v>2409.9</v>
      </c>
      <c r="E279" s="11">
        <f ca="1">IFERROR(__xludf.DUMMYFUNCTION("GOOGLEFINANCE(A279,""LOW"")"),2365)</f>
        <v>2365</v>
      </c>
      <c r="F279" s="12" t="str">
        <f t="shared" ref="F279:F533" ca="1" si="14">IF(C279=D279,"SELL",IF(C279=E279,"BUY", ""))</f>
        <v/>
      </c>
      <c r="G279" s="13">
        <f ca="1">IFERROR(__xludf.DUMMYFUNCTION("GOOGLEFINANCE(A279,""CLOSEYEST"")"),2398.9)</f>
        <v>2398.9</v>
      </c>
      <c r="H279" s="14" t="str">
        <f t="shared" ca="1" si="13"/>
        <v/>
      </c>
      <c r="I279" s="15">
        <f t="shared" ref="I279:I533" ca="1" si="15">(D279+E279+G279)/3</f>
        <v>2391.2666666666664</v>
      </c>
      <c r="J279" s="16">
        <f t="shared" ref="J279:J533" ca="1" si="16">(I279*2)-E279</f>
        <v>2417.5333333333328</v>
      </c>
      <c r="K279" s="16"/>
      <c r="L279" s="16">
        <f t="shared" ref="L279:L533" ca="1" si="17">(I279*2)-D279</f>
        <v>2372.6333333333328</v>
      </c>
      <c r="M279" s="16">
        <f t="shared" ref="M279:M533" ca="1" si="18">I279+(J279-L279)</f>
        <v>2436.1666666666665</v>
      </c>
      <c r="N279" s="16">
        <f t="shared" ref="N279:N533" ca="1" si="19">I279-(J279-L279)</f>
        <v>2346.3666666666663</v>
      </c>
    </row>
    <row r="280" spans="1:14" ht="24.75" customHeight="1" x14ac:dyDescent="0.8">
      <c r="A280" s="18" t="s">
        <v>243</v>
      </c>
      <c r="B280" s="10">
        <f ca="1">IFERROR(__xludf.DUMMYFUNCTION("GOOGLEFINANCE(A280,""PRICE"")"),192.25)</f>
        <v>192.25</v>
      </c>
      <c r="C280" s="11">
        <f ca="1">IFERROR(__xludf.DUMMYFUNCTION("GOOGLEFINANCE(A280,""PRICEOPEN"")"),193.61)</f>
        <v>193.61</v>
      </c>
      <c r="D280" s="11">
        <f ca="1">IFERROR(__xludf.DUMMYFUNCTION("GOOGLEFINANCE(A280,""HIGH"")"),195.5)</f>
        <v>195.5</v>
      </c>
      <c r="E280" s="11">
        <f ca="1">IFERROR(__xludf.DUMMYFUNCTION("GOOGLEFINANCE(A280,""LOW"")"),192.21)</f>
        <v>192.21</v>
      </c>
      <c r="F280" s="12" t="str">
        <f t="shared" ca="1" si="14"/>
        <v/>
      </c>
      <c r="G280" s="13">
        <f ca="1">IFERROR(__xludf.DUMMYFUNCTION("GOOGLEFINANCE(A280,""CLOSEYEST"")"),193.76)</f>
        <v>193.76</v>
      </c>
      <c r="H280" s="14" t="str">
        <f t="shared" ca="1" si="13"/>
        <v/>
      </c>
      <c r="I280" s="15">
        <f t="shared" ca="1" si="15"/>
        <v>193.82333333333335</v>
      </c>
      <c r="J280" s="16">
        <f t="shared" ca="1" si="16"/>
        <v>195.4366666666667</v>
      </c>
      <c r="K280" s="16"/>
      <c r="L280" s="16">
        <f t="shared" ca="1" si="17"/>
        <v>192.1466666666667</v>
      </c>
      <c r="M280" s="16">
        <f t="shared" ca="1" si="18"/>
        <v>197.11333333333334</v>
      </c>
      <c r="N280" s="16">
        <f t="shared" ca="1" si="19"/>
        <v>190.53333333333336</v>
      </c>
    </row>
    <row r="281" spans="1:14" ht="24.75" customHeight="1" x14ac:dyDescent="0.8">
      <c r="A281" s="18" t="s">
        <v>244</v>
      </c>
      <c r="B281" s="10">
        <f ca="1">IFERROR(__xludf.DUMMYFUNCTION("GOOGLEFINANCE(A281,""PRICE"")"),4580)</f>
        <v>4580</v>
      </c>
      <c r="C281" s="11">
        <f ca="1">IFERROR(__xludf.DUMMYFUNCTION("GOOGLEFINANCE(A281,""PRICEOPEN"")"),4639)</f>
        <v>4639</v>
      </c>
      <c r="D281" s="11">
        <f ca="1">IFERROR(__xludf.DUMMYFUNCTION("GOOGLEFINANCE(A281,""HIGH"")"),4658)</f>
        <v>4658</v>
      </c>
      <c r="E281" s="11">
        <f ca="1">IFERROR(__xludf.DUMMYFUNCTION("GOOGLEFINANCE(A281,""LOW"")"),4514.5)</f>
        <v>4514.5</v>
      </c>
      <c r="F281" s="12" t="str">
        <f t="shared" ca="1" si="14"/>
        <v/>
      </c>
      <c r="G281" s="13">
        <f ca="1">IFERROR(__xludf.DUMMYFUNCTION("GOOGLEFINANCE(A281,""CLOSEYEST"")"),4630.1)</f>
        <v>4630.1000000000004</v>
      </c>
      <c r="H281" s="14" t="str">
        <f t="shared" ref="H281:H535" ca="1" si="20">IF(C281&gt;=(G281+(G281*1%)),"GAP UP",IF(C281&lt;=(G281-(G281*1%)),"GAP DOWN",""))</f>
        <v/>
      </c>
      <c r="I281" s="15">
        <f t="shared" ca="1" si="15"/>
        <v>4600.8666666666668</v>
      </c>
      <c r="J281" s="16">
        <f t="shared" ca="1" si="16"/>
        <v>4687.2333333333336</v>
      </c>
      <c r="K281" s="16"/>
      <c r="L281" s="16">
        <f t="shared" ca="1" si="17"/>
        <v>4543.7333333333336</v>
      </c>
      <c r="M281" s="16">
        <f t="shared" ca="1" si="18"/>
        <v>4744.3666666666668</v>
      </c>
      <c r="N281" s="16">
        <f t="shared" ca="1" si="19"/>
        <v>4457.3666666666668</v>
      </c>
    </row>
    <row r="282" spans="1:14" ht="24.75" customHeight="1" x14ac:dyDescent="0.8">
      <c r="A282" s="18" t="s">
        <v>245</v>
      </c>
      <c r="B282" s="10">
        <f ca="1">IFERROR(__xludf.DUMMYFUNCTION("GOOGLEFINANCE(A282,""PRICE"")"),576.1)</f>
        <v>576.1</v>
      </c>
      <c r="C282" s="11">
        <f ca="1">IFERROR(__xludf.DUMMYFUNCTION("GOOGLEFINANCE(A282,""PRICEOPEN"")"),585.5)</f>
        <v>585.5</v>
      </c>
      <c r="D282" s="11">
        <f ca="1">IFERROR(__xludf.DUMMYFUNCTION("GOOGLEFINANCE(A282,""HIGH"")"),587.8)</f>
        <v>587.79999999999995</v>
      </c>
      <c r="E282" s="11">
        <f ca="1">IFERROR(__xludf.DUMMYFUNCTION("GOOGLEFINANCE(A282,""LOW"")"),561.8)</f>
        <v>561.79999999999995</v>
      </c>
      <c r="F282" s="12" t="str">
        <f t="shared" ca="1" si="14"/>
        <v/>
      </c>
      <c r="G282" s="13">
        <f ca="1">IFERROR(__xludf.DUMMYFUNCTION("GOOGLEFINANCE(A282,""CLOSEYEST"")"),602.9)</f>
        <v>602.9</v>
      </c>
      <c r="H282" s="14" t="str">
        <f t="shared" ca="1" si="20"/>
        <v>GAP DOWN</v>
      </c>
      <c r="I282" s="15">
        <f t="shared" ca="1" si="15"/>
        <v>584.16666666666663</v>
      </c>
      <c r="J282" s="16">
        <f t="shared" ca="1" si="16"/>
        <v>606.5333333333333</v>
      </c>
      <c r="K282" s="16"/>
      <c r="L282" s="16">
        <f t="shared" ca="1" si="17"/>
        <v>580.5333333333333</v>
      </c>
      <c r="M282" s="16">
        <f t="shared" ca="1" si="18"/>
        <v>610.16666666666663</v>
      </c>
      <c r="N282" s="16">
        <f t="shared" ca="1" si="19"/>
        <v>558.16666666666663</v>
      </c>
    </row>
    <row r="283" spans="1:14" ht="24.75" customHeight="1" x14ac:dyDescent="0.8">
      <c r="A283" s="18" t="s">
        <v>246</v>
      </c>
      <c r="B283" s="10">
        <f ca="1">IFERROR(__xludf.DUMMYFUNCTION("GOOGLEFINANCE(A283,""PRICE"")"),221.1)</f>
        <v>221.1</v>
      </c>
      <c r="C283" s="11">
        <f ca="1">IFERROR(__xludf.DUMMYFUNCTION("GOOGLEFINANCE(A283,""PRICEOPEN"")"),214.5)</f>
        <v>214.5</v>
      </c>
      <c r="D283" s="11">
        <f ca="1">IFERROR(__xludf.DUMMYFUNCTION("GOOGLEFINANCE(A283,""HIGH"")"),224.6)</f>
        <v>224.6</v>
      </c>
      <c r="E283" s="11">
        <f ca="1">IFERROR(__xludf.DUMMYFUNCTION("GOOGLEFINANCE(A283,""LOW"")"),214.5)</f>
        <v>214.5</v>
      </c>
      <c r="F283" s="12" t="str">
        <f t="shared" ca="1" si="14"/>
        <v>BUY</v>
      </c>
      <c r="G283" s="13">
        <f ca="1">IFERROR(__xludf.DUMMYFUNCTION("GOOGLEFINANCE(A283,""CLOSEYEST"")"),214.5)</f>
        <v>214.5</v>
      </c>
      <c r="H283" s="14" t="str">
        <f t="shared" ca="1" si="20"/>
        <v/>
      </c>
      <c r="I283" s="15">
        <f t="shared" ca="1" si="15"/>
        <v>217.86666666666667</v>
      </c>
      <c r="J283" s="16">
        <f t="shared" ca="1" si="16"/>
        <v>221.23333333333335</v>
      </c>
      <c r="K283" s="16"/>
      <c r="L283" s="16">
        <f t="shared" ca="1" si="17"/>
        <v>211.13333333333335</v>
      </c>
      <c r="M283" s="16">
        <f t="shared" ca="1" si="18"/>
        <v>227.96666666666667</v>
      </c>
      <c r="N283" s="16">
        <f t="shared" ca="1" si="19"/>
        <v>207.76666666666668</v>
      </c>
    </row>
    <row r="284" spans="1:14" ht="24.75" customHeight="1" x14ac:dyDescent="0.8">
      <c r="A284" s="18" t="s">
        <v>247</v>
      </c>
      <c r="B284" s="10">
        <f ca="1">IFERROR(__xludf.DUMMYFUNCTION("GOOGLEFINANCE(A284,""PRICE"")"),13845)</f>
        <v>13845</v>
      </c>
      <c r="C284" s="11">
        <f ca="1">IFERROR(__xludf.DUMMYFUNCTION("GOOGLEFINANCE(A284,""PRICEOPEN"")"),13600)</f>
        <v>13600</v>
      </c>
      <c r="D284" s="11">
        <f ca="1">IFERROR(__xludf.DUMMYFUNCTION("GOOGLEFINANCE(A284,""HIGH"")"),14021)</f>
        <v>14021</v>
      </c>
      <c r="E284" s="11">
        <f ca="1">IFERROR(__xludf.DUMMYFUNCTION("GOOGLEFINANCE(A284,""LOW"")"),13600)</f>
        <v>13600</v>
      </c>
      <c r="F284" s="12" t="str">
        <f t="shared" ca="1" si="14"/>
        <v>BUY</v>
      </c>
      <c r="G284" s="13">
        <f ca="1">IFERROR(__xludf.DUMMYFUNCTION("GOOGLEFINANCE(A284,""CLOSEYEST"")"),13374)</f>
        <v>13374</v>
      </c>
      <c r="H284" s="14" t="str">
        <f t="shared" ca="1" si="20"/>
        <v>GAP UP</v>
      </c>
      <c r="I284" s="15">
        <f t="shared" ca="1" si="15"/>
        <v>13665</v>
      </c>
      <c r="J284" s="16">
        <f t="shared" ca="1" si="16"/>
        <v>13730</v>
      </c>
      <c r="K284" s="16"/>
      <c r="L284" s="16">
        <f t="shared" ca="1" si="17"/>
        <v>13309</v>
      </c>
      <c r="M284" s="16">
        <f t="shared" ca="1" si="18"/>
        <v>14086</v>
      </c>
      <c r="N284" s="16">
        <f t="shared" ca="1" si="19"/>
        <v>13244</v>
      </c>
    </row>
    <row r="285" spans="1:14" ht="24.75" customHeight="1" x14ac:dyDescent="0.8">
      <c r="A285" s="18" t="s">
        <v>248</v>
      </c>
      <c r="B285" s="10" t="str">
        <f ca="1">IFERROR(__xludf.DUMMYFUNCTION("GOOGLEFINANCE(A285,""PRICE"")"),"#N/A")</f>
        <v>#N/A</v>
      </c>
      <c r="C285" s="11" t="str">
        <f ca="1">IFERROR(__xludf.DUMMYFUNCTION("GOOGLEFINANCE(A285,""PRICEOPEN"")"),"#N/A")</f>
        <v>#N/A</v>
      </c>
      <c r="D285" s="11" t="str">
        <f ca="1">IFERROR(__xludf.DUMMYFUNCTION("GOOGLEFINANCE(A285,""HIGH"")"),"#N/A")</f>
        <v>#N/A</v>
      </c>
      <c r="E285" s="11" t="str">
        <f ca="1">IFERROR(__xludf.DUMMYFUNCTION("GOOGLEFINANCE(A285,""LOW"")"),"#N/A")</f>
        <v>#N/A</v>
      </c>
      <c r="F285" s="12" t="str">
        <f t="shared" ca="1" si="14"/>
        <v>SELL</v>
      </c>
      <c r="G285" s="13" t="str">
        <f ca="1">IFERROR(__xludf.DUMMYFUNCTION("GOOGLEFINANCE(A285,""CLOSEYEST"")"),"#N/A")</f>
        <v>#N/A</v>
      </c>
      <c r="H285" s="14" t="e">
        <f t="shared" ca="1" si="20"/>
        <v>#VALUE!</v>
      </c>
      <c r="I285" s="15" t="e">
        <f t="shared" ca="1" si="15"/>
        <v>#VALUE!</v>
      </c>
      <c r="J285" s="16" t="e">
        <f t="shared" ca="1" si="16"/>
        <v>#VALUE!</v>
      </c>
      <c r="K285" s="16"/>
      <c r="L285" s="16" t="e">
        <f t="shared" ca="1" si="17"/>
        <v>#VALUE!</v>
      </c>
      <c r="M285" s="16" t="e">
        <f t="shared" ca="1" si="18"/>
        <v>#VALUE!</v>
      </c>
      <c r="N285" s="16" t="e">
        <f t="shared" ca="1" si="19"/>
        <v>#VALUE!</v>
      </c>
    </row>
    <row r="286" spans="1:14" ht="24.75" customHeight="1" x14ac:dyDescent="0.8">
      <c r="A286" s="18" t="s">
        <v>249</v>
      </c>
      <c r="B286" s="10">
        <f ca="1">IFERROR(__xludf.DUMMYFUNCTION("GOOGLEFINANCE(A286,""PRICE"")"),275.75)</f>
        <v>275.75</v>
      </c>
      <c r="C286" s="11">
        <f ca="1">IFERROR(__xludf.DUMMYFUNCTION("GOOGLEFINANCE(A286,""PRICEOPEN"")"),275)</f>
        <v>275</v>
      </c>
      <c r="D286" s="11">
        <f ca="1">IFERROR(__xludf.DUMMYFUNCTION("GOOGLEFINANCE(A286,""HIGH"")"),276.9)</f>
        <v>276.89999999999998</v>
      </c>
      <c r="E286" s="11">
        <f ca="1">IFERROR(__xludf.DUMMYFUNCTION("GOOGLEFINANCE(A286,""LOW"")"),269.5)</f>
        <v>269.5</v>
      </c>
      <c r="F286" s="12" t="str">
        <f t="shared" ca="1" si="14"/>
        <v/>
      </c>
      <c r="G286" s="13">
        <f ca="1">IFERROR(__xludf.DUMMYFUNCTION("GOOGLEFINANCE(A286,""CLOSEYEST"")"),273.4)</f>
        <v>273.39999999999998</v>
      </c>
      <c r="H286" s="14" t="str">
        <f t="shared" ca="1" si="20"/>
        <v/>
      </c>
      <c r="I286" s="15">
        <f t="shared" ca="1" si="15"/>
        <v>273.26666666666665</v>
      </c>
      <c r="J286" s="16">
        <f t="shared" ca="1" si="16"/>
        <v>277.0333333333333</v>
      </c>
      <c r="K286" s="16"/>
      <c r="L286" s="16">
        <f t="shared" ca="1" si="17"/>
        <v>269.63333333333333</v>
      </c>
      <c r="M286" s="16">
        <f t="shared" ca="1" si="18"/>
        <v>280.66666666666663</v>
      </c>
      <c r="N286" s="16">
        <f t="shared" ca="1" si="19"/>
        <v>265.86666666666667</v>
      </c>
    </row>
    <row r="287" spans="1:14" ht="24.75" customHeight="1" x14ac:dyDescent="0.8">
      <c r="A287" s="18" t="s">
        <v>250</v>
      </c>
      <c r="B287" s="10">
        <f ca="1">IFERROR(__xludf.DUMMYFUNCTION("GOOGLEFINANCE(A287,""PRICE"")"),2401.9)</f>
        <v>2401.9</v>
      </c>
      <c r="C287" s="11">
        <f ca="1">IFERROR(__xludf.DUMMYFUNCTION("GOOGLEFINANCE(A287,""PRICEOPEN"")"),2412)</f>
        <v>2412</v>
      </c>
      <c r="D287" s="11">
        <f ca="1">IFERROR(__xludf.DUMMYFUNCTION("GOOGLEFINANCE(A287,""HIGH"")"),2420.7)</f>
        <v>2420.6999999999998</v>
      </c>
      <c r="E287" s="11">
        <f ca="1">IFERROR(__xludf.DUMMYFUNCTION("GOOGLEFINANCE(A287,""LOW"")"),2379.3)</f>
        <v>2379.3000000000002</v>
      </c>
      <c r="F287" s="12" t="str">
        <f t="shared" ca="1" si="14"/>
        <v/>
      </c>
      <c r="G287" s="13">
        <f ca="1">IFERROR(__xludf.DUMMYFUNCTION("GOOGLEFINANCE(A287,""CLOSEYEST"")"),2398.2)</f>
        <v>2398.1999999999998</v>
      </c>
      <c r="H287" s="14" t="str">
        <f t="shared" ca="1" si="20"/>
        <v/>
      </c>
      <c r="I287" s="15">
        <f t="shared" ca="1" si="15"/>
        <v>2399.4</v>
      </c>
      <c r="J287" s="16">
        <f t="shared" ca="1" si="16"/>
        <v>2419.5</v>
      </c>
      <c r="K287" s="16"/>
      <c r="L287" s="16">
        <f t="shared" ca="1" si="17"/>
        <v>2378.1000000000004</v>
      </c>
      <c r="M287" s="16">
        <f t="shared" ca="1" si="18"/>
        <v>2440.7999999999997</v>
      </c>
      <c r="N287" s="16">
        <f t="shared" ca="1" si="19"/>
        <v>2358.0000000000005</v>
      </c>
    </row>
    <row r="288" spans="1:14" ht="24.75" customHeight="1" x14ac:dyDescent="0.8">
      <c r="A288" s="18" t="s">
        <v>251</v>
      </c>
      <c r="B288" s="10">
        <f ca="1">IFERROR(__xludf.DUMMYFUNCTION("GOOGLEFINANCE(A288,""PRICE"")"),525.95)</f>
        <v>525.95000000000005</v>
      </c>
      <c r="C288" s="11">
        <f ca="1">IFERROR(__xludf.DUMMYFUNCTION("GOOGLEFINANCE(A288,""PRICEOPEN"")"),528)</f>
        <v>528</v>
      </c>
      <c r="D288" s="11">
        <f ca="1">IFERROR(__xludf.DUMMYFUNCTION("GOOGLEFINANCE(A288,""HIGH"")"),531)</f>
        <v>531</v>
      </c>
      <c r="E288" s="11">
        <f ca="1">IFERROR(__xludf.DUMMYFUNCTION("GOOGLEFINANCE(A288,""LOW"")"),522.5)</f>
        <v>522.5</v>
      </c>
      <c r="F288" s="12" t="str">
        <f t="shared" ca="1" si="14"/>
        <v/>
      </c>
      <c r="G288" s="13">
        <f ca="1">IFERROR(__xludf.DUMMYFUNCTION("GOOGLEFINANCE(A288,""CLOSEYEST"")"),525.8)</f>
        <v>525.79999999999995</v>
      </c>
      <c r="H288" s="14" t="str">
        <f t="shared" ca="1" si="20"/>
        <v/>
      </c>
      <c r="I288" s="15">
        <f t="shared" ca="1" si="15"/>
        <v>526.43333333333328</v>
      </c>
      <c r="J288" s="16">
        <f t="shared" ca="1" si="16"/>
        <v>530.36666666666656</v>
      </c>
      <c r="K288" s="16"/>
      <c r="L288" s="16">
        <f t="shared" ca="1" si="17"/>
        <v>521.86666666666656</v>
      </c>
      <c r="M288" s="16">
        <f t="shared" ca="1" si="18"/>
        <v>534.93333333333328</v>
      </c>
      <c r="N288" s="16">
        <f t="shared" ca="1" si="19"/>
        <v>517.93333333333328</v>
      </c>
    </row>
    <row r="289" spans="1:14" ht="24.75" customHeight="1" x14ac:dyDescent="0.8">
      <c r="A289" s="18" t="s">
        <v>252</v>
      </c>
      <c r="B289" s="10">
        <f ca="1">IFERROR(__xludf.DUMMYFUNCTION("GOOGLEFINANCE(A289,""PRICE"")"),1156)</f>
        <v>1156</v>
      </c>
      <c r="C289" s="11">
        <f ca="1">IFERROR(__xludf.DUMMYFUNCTION("GOOGLEFINANCE(A289,""PRICEOPEN"")"),1153.2)</f>
        <v>1153.2</v>
      </c>
      <c r="D289" s="11">
        <f ca="1">IFERROR(__xludf.DUMMYFUNCTION("GOOGLEFINANCE(A289,""HIGH"")"),1160.6)</f>
        <v>1160.5999999999999</v>
      </c>
      <c r="E289" s="11">
        <f ca="1">IFERROR(__xludf.DUMMYFUNCTION("GOOGLEFINANCE(A289,""LOW"")"),1142)</f>
        <v>1142</v>
      </c>
      <c r="F289" s="12" t="str">
        <f t="shared" ca="1" si="14"/>
        <v/>
      </c>
      <c r="G289" s="13">
        <f ca="1">IFERROR(__xludf.DUMMYFUNCTION("GOOGLEFINANCE(A289,""CLOSEYEST"")"),1153.2)</f>
        <v>1153.2</v>
      </c>
      <c r="H289" s="14" t="str">
        <f t="shared" ca="1" si="20"/>
        <v/>
      </c>
      <c r="I289" s="15">
        <f t="shared" ca="1" si="15"/>
        <v>1151.9333333333334</v>
      </c>
      <c r="J289" s="16">
        <f t="shared" ca="1" si="16"/>
        <v>1161.8666666666668</v>
      </c>
      <c r="K289" s="16"/>
      <c r="L289" s="16">
        <f t="shared" ca="1" si="17"/>
        <v>1143.2666666666669</v>
      </c>
      <c r="M289" s="16">
        <f t="shared" ca="1" si="18"/>
        <v>1170.5333333333333</v>
      </c>
      <c r="N289" s="16">
        <f t="shared" ca="1" si="19"/>
        <v>1133.3333333333335</v>
      </c>
    </row>
    <row r="290" spans="1:14" ht="24.75" customHeight="1" x14ac:dyDescent="0.8">
      <c r="A290" s="18" t="s">
        <v>253</v>
      </c>
      <c r="B290" s="10">
        <f ca="1">IFERROR(__xludf.DUMMYFUNCTION("GOOGLEFINANCE(A290,""PRICE"")"),538.15)</f>
        <v>538.15</v>
      </c>
      <c r="C290" s="11">
        <f ca="1">IFERROR(__xludf.DUMMYFUNCTION("GOOGLEFINANCE(A290,""PRICEOPEN"")"),549)</f>
        <v>549</v>
      </c>
      <c r="D290" s="11">
        <f ca="1">IFERROR(__xludf.DUMMYFUNCTION("GOOGLEFINANCE(A290,""HIGH"")"),549)</f>
        <v>549</v>
      </c>
      <c r="E290" s="11">
        <f ca="1">IFERROR(__xludf.DUMMYFUNCTION("GOOGLEFINANCE(A290,""LOW"")"),533.65)</f>
        <v>533.65</v>
      </c>
      <c r="F290" s="12" t="str">
        <f t="shared" ca="1" si="14"/>
        <v>SELL</v>
      </c>
      <c r="G290" s="13">
        <f ca="1">IFERROR(__xludf.DUMMYFUNCTION("GOOGLEFINANCE(A290,""CLOSEYEST"")"),544.05)</f>
        <v>544.04999999999995</v>
      </c>
      <c r="H290" s="14" t="str">
        <f t="shared" ca="1" si="20"/>
        <v/>
      </c>
      <c r="I290" s="15">
        <f t="shared" ca="1" si="15"/>
        <v>542.23333333333335</v>
      </c>
      <c r="J290" s="16">
        <f t="shared" ca="1" si="16"/>
        <v>550.81666666666672</v>
      </c>
      <c r="K290" s="16"/>
      <c r="L290" s="16">
        <f t="shared" ca="1" si="17"/>
        <v>535.4666666666667</v>
      </c>
      <c r="M290" s="16">
        <f t="shared" ca="1" si="18"/>
        <v>557.58333333333337</v>
      </c>
      <c r="N290" s="16">
        <f t="shared" ca="1" si="19"/>
        <v>526.88333333333333</v>
      </c>
    </row>
    <row r="291" spans="1:14" ht="24.75" customHeight="1" x14ac:dyDescent="0.8">
      <c r="A291" s="18" t="s">
        <v>254</v>
      </c>
      <c r="B291" s="10">
        <f ca="1">IFERROR(__xludf.DUMMYFUNCTION("GOOGLEFINANCE(A291,""PRICE"")"),1534.3)</f>
        <v>1534.3</v>
      </c>
      <c r="C291" s="11">
        <f ca="1">IFERROR(__xludf.DUMMYFUNCTION("GOOGLEFINANCE(A291,""PRICEOPEN"")"),1549.1)</f>
        <v>1549.1</v>
      </c>
      <c r="D291" s="11">
        <f ca="1">IFERROR(__xludf.DUMMYFUNCTION("GOOGLEFINANCE(A291,""HIGH"")"),1554)</f>
        <v>1554</v>
      </c>
      <c r="E291" s="11">
        <f ca="1">IFERROR(__xludf.DUMMYFUNCTION("GOOGLEFINANCE(A291,""LOW"")"),1510.3)</f>
        <v>1510.3</v>
      </c>
      <c r="F291" s="12" t="str">
        <f t="shared" ca="1" si="14"/>
        <v/>
      </c>
      <c r="G291" s="13">
        <f ca="1">IFERROR(__xludf.DUMMYFUNCTION("GOOGLEFINANCE(A291,""CLOSEYEST"")"),1542.1)</f>
        <v>1542.1</v>
      </c>
      <c r="H291" s="14" t="str">
        <f t="shared" ca="1" si="20"/>
        <v/>
      </c>
      <c r="I291" s="15">
        <f t="shared" ca="1" si="15"/>
        <v>1535.4666666666665</v>
      </c>
      <c r="J291" s="16">
        <f t="shared" ca="1" si="16"/>
        <v>1560.633333333333</v>
      </c>
      <c r="K291" s="16"/>
      <c r="L291" s="16">
        <f t="shared" ca="1" si="17"/>
        <v>1516.9333333333329</v>
      </c>
      <c r="M291" s="16">
        <f t="shared" ca="1" si="18"/>
        <v>1579.1666666666665</v>
      </c>
      <c r="N291" s="16">
        <f t="shared" ca="1" si="19"/>
        <v>1491.7666666666664</v>
      </c>
    </row>
    <row r="292" spans="1:14" ht="24.75" customHeight="1" x14ac:dyDescent="0.8">
      <c r="A292" s="18" t="s">
        <v>255</v>
      </c>
      <c r="B292" s="10">
        <f ca="1">IFERROR(__xludf.DUMMYFUNCTION("GOOGLEFINANCE(A292,""PRICE"")"),4869.1)</f>
        <v>4869.1000000000004</v>
      </c>
      <c r="C292" s="11">
        <f ca="1">IFERROR(__xludf.DUMMYFUNCTION("GOOGLEFINANCE(A292,""PRICEOPEN"")"),4845)</f>
        <v>4845</v>
      </c>
      <c r="D292" s="11">
        <f ca="1">IFERROR(__xludf.DUMMYFUNCTION("GOOGLEFINANCE(A292,""HIGH"")"),4950)</f>
        <v>4950</v>
      </c>
      <c r="E292" s="11">
        <f ca="1">IFERROR(__xludf.DUMMYFUNCTION("GOOGLEFINANCE(A292,""LOW"")"),4829.8)</f>
        <v>4829.8</v>
      </c>
      <c r="F292" s="12" t="str">
        <f t="shared" ca="1" si="14"/>
        <v/>
      </c>
      <c r="G292" s="13">
        <f ca="1">IFERROR(__xludf.DUMMYFUNCTION("GOOGLEFINANCE(A292,""CLOSEYEST"")"),4766.2)</f>
        <v>4766.2</v>
      </c>
      <c r="H292" s="14" t="str">
        <f t="shared" ca="1" si="20"/>
        <v>GAP UP</v>
      </c>
      <c r="I292" s="15">
        <f t="shared" ca="1" si="15"/>
        <v>4848.666666666667</v>
      </c>
      <c r="J292" s="16">
        <f t="shared" ca="1" si="16"/>
        <v>4867.5333333333338</v>
      </c>
      <c r="K292" s="16"/>
      <c r="L292" s="16">
        <f t="shared" ca="1" si="17"/>
        <v>4747.3333333333339</v>
      </c>
      <c r="M292" s="16">
        <f t="shared" ca="1" si="18"/>
        <v>4968.8666666666668</v>
      </c>
      <c r="N292" s="16">
        <f t="shared" ca="1" si="19"/>
        <v>4728.4666666666672</v>
      </c>
    </row>
    <row r="293" spans="1:14" ht="24.75" customHeight="1" x14ac:dyDescent="0.8">
      <c r="A293" s="18" t="s">
        <v>256</v>
      </c>
      <c r="B293" s="10">
        <f ca="1">IFERROR(__xludf.DUMMYFUNCTION("GOOGLEFINANCE(A293,""PRICE"")"),1.7)</f>
        <v>1.7</v>
      </c>
      <c r="C293" s="11">
        <f ca="1">IFERROR(__xludf.DUMMYFUNCTION("GOOGLEFINANCE(A293,""PRICEOPEN"")"),1.7)</f>
        <v>1.7</v>
      </c>
      <c r="D293" s="11">
        <f ca="1">IFERROR(__xludf.DUMMYFUNCTION("GOOGLEFINANCE(A293,""HIGH"")"),1.75)</f>
        <v>1.75</v>
      </c>
      <c r="E293" s="11">
        <f ca="1">IFERROR(__xludf.DUMMYFUNCTION("GOOGLEFINANCE(A293,""LOW"")"),1.69)</f>
        <v>1.69</v>
      </c>
      <c r="F293" s="12" t="str">
        <f t="shared" ca="1" si="14"/>
        <v/>
      </c>
      <c r="G293" s="13">
        <f ca="1">IFERROR(__xludf.DUMMYFUNCTION("GOOGLEFINANCE(A293,""CLOSEYEST"")"),1.72)</f>
        <v>1.72</v>
      </c>
      <c r="H293" s="14" t="str">
        <f t="shared" ca="1" si="20"/>
        <v>GAP DOWN</v>
      </c>
      <c r="I293" s="15">
        <f t="shared" ca="1" si="15"/>
        <v>1.72</v>
      </c>
      <c r="J293" s="16">
        <f t="shared" ca="1" si="16"/>
        <v>1.75</v>
      </c>
      <c r="K293" s="16"/>
      <c r="L293" s="16">
        <f t="shared" ca="1" si="17"/>
        <v>1.69</v>
      </c>
      <c r="M293" s="16">
        <f t="shared" ca="1" si="18"/>
        <v>1.78</v>
      </c>
      <c r="N293" s="16">
        <f t="shared" ca="1" si="19"/>
        <v>1.66</v>
      </c>
    </row>
    <row r="294" spans="1:14" ht="24.75" customHeight="1" x14ac:dyDescent="0.8">
      <c r="A294" s="18" t="s">
        <v>257</v>
      </c>
      <c r="B294" s="10">
        <f ca="1">IFERROR(__xludf.DUMMYFUNCTION("GOOGLEFINANCE(A294,""PRICE"")"),1887)</f>
        <v>1887</v>
      </c>
      <c r="C294" s="11">
        <f ca="1">IFERROR(__xludf.DUMMYFUNCTION("GOOGLEFINANCE(A294,""PRICEOPEN"")"),1910)</f>
        <v>1910</v>
      </c>
      <c r="D294" s="11">
        <f ca="1">IFERROR(__xludf.DUMMYFUNCTION("GOOGLEFINANCE(A294,""HIGH"")"),1922.3)</f>
        <v>1922.3</v>
      </c>
      <c r="E294" s="11">
        <f ca="1">IFERROR(__xludf.DUMMYFUNCTION("GOOGLEFINANCE(A294,""LOW"")"),1880)</f>
        <v>1880</v>
      </c>
      <c r="F294" s="12" t="str">
        <f t="shared" ca="1" si="14"/>
        <v/>
      </c>
      <c r="G294" s="13">
        <f ca="1">IFERROR(__xludf.DUMMYFUNCTION("GOOGLEFINANCE(A294,""CLOSEYEST"")"),1899.5)</f>
        <v>1899.5</v>
      </c>
      <c r="H294" s="14" t="str">
        <f t="shared" ca="1" si="20"/>
        <v/>
      </c>
      <c r="I294" s="15">
        <f t="shared" ca="1" si="15"/>
        <v>1900.6000000000001</v>
      </c>
      <c r="J294" s="16">
        <f t="shared" ca="1" si="16"/>
        <v>1921.2000000000003</v>
      </c>
      <c r="K294" s="16"/>
      <c r="L294" s="16">
        <f t="shared" ca="1" si="17"/>
        <v>1878.9000000000003</v>
      </c>
      <c r="M294" s="16">
        <f t="shared" ca="1" si="18"/>
        <v>1942.9</v>
      </c>
      <c r="N294" s="16">
        <f t="shared" ca="1" si="19"/>
        <v>1858.3000000000002</v>
      </c>
    </row>
    <row r="295" spans="1:14" ht="24.75" customHeight="1" x14ac:dyDescent="0.8">
      <c r="A295" s="18" t="s">
        <v>258</v>
      </c>
      <c r="B295" s="10">
        <f ca="1">IFERROR(__xludf.DUMMYFUNCTION("GOOGLEFINANCE(A295,""PRICE"")"),37.8)</f>
        <v>37.799999999999997</v>
      </c>
      <c r="C295" s="11">
        <f ca="1">IFERROR(__xludf.DUMMYFUNCTION("GOOGLEFINANCE(A295,""PRICEOPEN"")"),37.65)</f>
        <v>37.65</v>
      </c>
      <c r="D295" s="11">
        <f ca="1">IFERROR(__xludf.DUMMYFUNCTION("GOOGLEFINANCE(A295,""HIGH"")"),38.06)</f>
        <v>38.06</v>
      </c>
      <c r="E295" s="11">
        <f ca="1">IFERROR(__xludf.DUMMYFUNCTION("GOOGLEFINANCE(A295,""LOW"")"),37.51)</f>
        <v>37.51</v>
      </c>
      <c r="F295" s="12" t="str">
        <f t="shared" ca="1" si="14"/>
        <v/>
      </c>
      <c r="G295" s="13">
        <f ca="1">IFERROR(__xludf.DUMMYFUNCTION("GOOGLEFINANCE(A295,""CLOSEYEST"")"),37.63)</f>
        <v>37.630000000000003</v>
      </c>
      <c r="H295" s="14" t="str">
        <f t="shared" ca="1" si="20"/>
        <v/>
      </c>
      <c r="I295" s="15">
        <f t="shared" ca="1" si="15"/>
        <v>37.733333333333327</v>
      </c>
      <c r="J295" s="16">
        <f t="shared" ca="1" si="16"/>
        <v>37.956666666666656</v>
      </c>
      <c r="K295" s="16"/>
      <c r="L295" s="16">
        <f t="shared" ca="1" si="17"/>
        <v>37.406666666666652</v>
      </c>
      <c r="M295" s="16">
        <f t="shared" ca="1" si="18"/>
        <v>38.283333333333331</v>
      </c>
      <c r="N295" s="16">
        <f t="shared" ca="1" si="19"/>
        <v>37.183333333333323</v>
      </c>
    </row>
    <row r="296" spans="1:14" ht="24.75" customHeight="1" x14ac:dyDescent="0.8">
      <c r="A296" s="18" t="s">
        <v>259</v>
      </c>
      <c r="B296" s="10">
        <f ca="1">IFERROR(__xludf.DUMMYFUNCTION("GOOGLEFINANCE(A296,""PRICE"")"),938.95)</f>
        <v>938.95</v>
      </c>
      <c r="C296" s="11">
        <f ca="1">IFERROR(__xludf.DUMMYFUNCTION("GOOGLEFINANCE(A296,""PRICEOPEN"")"),916.5)</f>
        <v>916.5</v>
      </c>
      <c r="D296" s="11">
        <f ca="1">IFERROR(__xludf.DUMMYFUNCTION("GOOGLEFINANCE(A296,""HIGH"")"),939.9)</f>
        <v>939.9</v>
      </c>
      <c r="E296" s="11">
        <f ca="1">IFERROR(__xludf.DUMMYFUNCTION("GOOGLEFINANCE(A296,""LOW"")"),916)</f>
        <v>916</v>
      </c>
      <c r="F296" s="12" t="str">
        <f t="shared" ca="1" si="14"/>
        <v/>
      </c>
      <c r="G296" s="13">
        <f ca="1">IFERROR(__xludf.DUMMYFUNCTION("GOOGLEFINANCE(A296,""CLOSEYEST"")"),916.45)</f>
        <v>916.45</v>
      </c>
      <c r="H296" s="14" t="str">
        <f t="shared" ca="1" si="20"/>
        <v/>
      </c>
      <c r="I296" s="15">
        <f t="shared" ca="1" si="15"/>
        <v>924.11666666666679</v>
      </c>
      <c r="J296" s="16">
        <f t="shared" ca="1" si="16"/>
        <v>932.23333333333358</v>
      </c>
      <c r="K296" s="16"/>
      <c r="L296" s="16">
        <f t="shared" ca="1" si="17"/>
        <v>908.3333333333336</v>
      </c>
      <c r="M296" s="16">
        <f t="shared" ca="1" si="18"/>
        <v>948.01666666666677</v>
      </c>
      <c r="N296" s="16">
        <f t="shared" ca="1" si="19"/>
        <v>900.21666666666681</v>
      </c>
    </row>
    <row r="297" spans="1:14" ht="24.75" customHeight="1" x14ac:dyDescent="0.8">
      <c r="A297" s="18" t="s">
        <v>260</v>
      </c>
      <c r="B297" s="10">
        <f ca="1">IFERROR(__xludf.DUMMYFUNCTION("GOOGLEFINANCE(A297,""PRICE"")"),1021)</f>
        <v>1021</v>
      </c>
      <c r="C297" s="11">
        <f ca="1">IFERROR(__xludf.DUMMYFUNCTION("GOOGLEFINANCE(A297,""PRICEOPEN"")"),1010.4)</f>
        <v>1010.4</v>
      </c>
      <c r="D297" s="11">
        <f ca="1">IFERROR(__xludf.DUMMYFUNCTION("GOOGLEFINANCE(A297,""HIGH"")"),1028.5)</f>
        <v>1028.5</v>
      </c>
      <c r="E297" s="11">
        <f ca="1">IFERROR(__xludf.DUMMYFUNCTION("GOOGLEFINANCE(A297,""LOW"")"),1007.3)</f>
        <v>1007.3</v>
      </c>
      <c r="F297" s="12" t="str">
        <f t="shared" ca="1" si="14"/>
        <v/>
      </c>
      <c r="G297" s="13">
        <f ca="1">IFERROR(__xludf.DUMMYFUNCTION("GOOGLEFINANCE(A297,""CLOSEYEST"")"),1010.4)</f>
        <v>1010.4</v>
      </c>
      <c r="H297" s="14" t="str">
        <f t="shared" ca="1" si="20"/>
        <v/>
      </c>
      <c r="I297" s="15">
        <f t="shared" ca="1" si="15"/>
        <v>1015.4</v>
      </c>
      <c r="J297" s="16">
        <f t="shared" ca="1" si="16"/>
        <v>1023.5</v>
      </c>
      <c r="K297" s="16"/>
      <c r="L297" s="16">
        <f t="shared" ca="1" si="17"/>
        <v>1002.3</v>
      </c>
      <c r="M297" s="16">
        <f t="shared" ca="1" si="18"/>
        <v>1036.5999999999999</v>
      </c>
      <c r="N297" s="16">
        <f t="shared" ca="1" si="19"/>
        <v>994.19999999999993</v>
      </c>
    </row>
    <row r="298" spans="1:14" ht="24.75" customHeight="1" x14ac:dyDescent="0.8">
      <c r="A298" s="18" t="s">
        <v>261</v>
      </c>
      <c r="B298" s="10">
        <f ca="1">IFERROR(__xludf.DUMMYFUNCTION("GOOGLEFINANCE(A298,""PRICE"")"),323)</f>
        <v>323</v>
      </c>
      <c r="C298" s="11">
        <f ca="1">IFERROR(__xludf.DUMMYFUNCTION("GOOGLEFINANCE(A298,""PRICEOPEN"")"),318.25)</f>
        <v>318.25</v>
      </c>
      <c r="D298" s="11">
        <f ca="1">IFERROR(__xludf.DUMMYFUNCTION("GOOGLEFINANCE(A298,""HIGH"")"),328.1)</f>
        <v>328.1</v>
      </c>
      <c r="E298" s="11">
        <f ca="1">IFERROR(__xludf.DUMMYFUNCTION("GOOGLEFINANCE(A298,""LOW"")"),314.75)</f>
        <v>314.75</v>
      </c>
      <c r="F298" s="12" t="str">
        <f t="shared" ca="1" si="14"/>
        <v/>
      </c>
      <c r="G298" s="13">
        <f ca="1">IFERROR(__xludf.DUMMYFUNCTION("GOOGLEFINANCE(A298,""CLOSEYEST"")"),318.25)</f>
        <v>318.25</v>
      </c>
      <c r="H298" s="14" t="str">
        <f t="shared" ca="1" si="20"/>
        <v/>
      </c>
      <c r="I298" s="15">
        <f t="shared" ca="1" si="15"/>
        <v>320.36666666666667</v>
      </c>
      <c r="J298" s="16">
        <f t="shared" ca="1" si="16"/>
        <v>325.98333333333335</v>
      </c>
      <c r="K298" s="16"/>
      <c r="L298" s="16">
        <f t="shared" ca="1" si="17"/>
        <v>312.63333333333333</v>
      </c>
      <c r="M298" s="16">
        <f t="shared" ca="1" si="18"/>
        <v>333.7166666666667</v>
      </c>
      <c r="N298" s="16">
        <f t="shared" ca="1" si="19"/>
        <v>307.01666666666665</v>
      </c>
    </row>
    <row r="299" spans="1:14" ht="24.75" customHeight="1" x14ac:dyDescent="0.8">
      <c r="A299" s="18" t="s">
        <v>262</v>
      </c>
      <c r="B299" s="10">
        <f ca="1">IFERROR(__xludf.DUMMYFUNCTION("GOOGLEFINANCE(A299,""PRICE"")"),1939)</f>
        <v>1939</v>
      </c>
      <c r="C299" s="11">
        <f ca="1">IFERROR(__xludf.DUMMYFUNCTION("GOOGLEFINANCE(A299,""PRICEOPEN"")"),1975.1)</f>
        <v>1975.1</v>
      </c>
      <c r="D299" s="11">
        <f ca="1">IFERROR(__xludf.DUMMYFUNCTION("GOOGLEFINANCE(A299,""HIGH"")"),1979)</f>
        <v>1979</v>
      </c>
      <c r="E299" s="11">
        <f ca="1">IFERROR(__xludf.DUMMYFUNCTION("GOOGLEFINANCE(A299,""LOW"")"),1915.6)</f>
        <v>1915.6</v>
      </c>
      <c r="F299" s="12" t="str">
        <f t="shared" ca="1" si="14"/>
        <v/>
      </c>
      <c r="G299" s="13">
        <f ca="1">IFERROR(__xludf.DUMMYFUNCTION("GOOGLEFINANCE(A299,""CLOSEYEST"")"),1964.8)</f>
        <v>1964.8</v>
      </c>
      <c r="H299" s="14" t="str">
        <f t="shared" ca="1" si="20"/>
        <v/>
      </c>
      <c r="I299" s="15">
        <f t="shared" ca="1" si="15"/>
        <v>1953.1333333333332</v>
      </c>
      <c r="J299" s="16">
        <f t="shared" ca="1" si="16"/>
        <v>1990.6666666666665</v>
      </c>
      <c r="K299" s="16"/>
      <c r="L299" s="16">
        <f t="shared" ca="1" si="17"/>
        <v>1927.2666666666664</v>
      </c>
      <c r="M299" s="16">
        <f t="shared" ca="1" si="18"/>
        <v>2016.5333333333333</v>
      </c>
      <c r="N299" s="16">
        <f t="shared" ca="1" si="19"/>
        <v>1889.7333333333331</v>
      </c>
    </row>
    <row r="300" spans="1:14" ht="24.75" customHeight="1" x14ac:dyDescent="0.8">
      <c r="A300" s="18" t="s">
        <v>263</v>
      </c>
      <c r="B300" s="10">
        <f ca="1">IFERROR(__xludf.DUMMYFUNCTION("GOOGLEFINANCE(A300,""PRICE"")"),767.4)</f>
        <v>767.4</v>
      </c>
      <c r="C300" s="11">
        <f ca="1">IFERROR(__xludf.DUMMYFUNCTION("GOOGLEFINANCE(A300,""PRICEOPEN"")"),742)</f>
        <v>742</v>
      </c>
      <c r="D300" s="11">
        <f ca="1">IFERROR(__xludf.DUMMYFUNCTION("GOOGLEFINANCE(A300,""HIGH"")"),769.3)</f>
        <v>769.3</v>
      </c>
      <c r="E300" s="11">
        <f ca="1">IFERROR(__xludf.DUMMYFUNCTION("GOOGLEFINANCE(A300,""LOW"")"),742)</f>
        <v>742</v>
      </c>
      <c r="F300" s="12" t="str">
        <f t="shared" ca="1" si="14"/>
        <v>BUY</v>
      </c>
      <c r="G300" s="13">
        <f ca="1">IFERROR(__xludf.DUMMYFUNCTION("GOOGLEFINANCE(A300,""CLOSEYEST"")"),737.05)</f>
        <v>737.05</v>
      </c>
      <c r="H300" s="14" t="str">
        <f t="shared" ca="1" si="20"/>
        <v/>
      </c>
      <c r="I300" s="15">
        <f t="shared" ca="1" si="15"/>
        <v>749.44999999999993</v>
      </c>
      <c r="J300" s="16">
        <f t="shared" ca="1" si="16"/>
        <v>756.89999999999986</v>
      </c>
      <c r="K300" s="16"/>
      <c r="L300" s="16">
        <f t="shared" ca="1" si="17"/>
        <v>729.59999999999991</v>
      </c>
      <c r="M300" s="16">
        <f t="shared" ca="1" si="18"/>
        <v>776.74999999999989</v>
      </c>
      <c r="N300" s="16">
        <f t="shared" ca="1" si="19"/>
        <v>722.15</v>
      </c>
    </row>
    <row r="301" spans="1:14" ht="24.75" customHeight="1" x14ac:dyDescent="0.8">
      <c r="A301" s="18" t="s">
        <v>264</v>
      </c>
      <c r="B301" s="10">
        <f ca="1">IFERROR(__xludf.DUMMYFUNCTION("GOOGLEFINANCE(A301,""PRICE"")"),1243)</f>
        <v>1243</v>
      </c>
      <c r="C301" s="11">
        <f ca="1">IFERROR(__xludf.DUMMYFUNCTION("GOOGLEFINANCE(A301,""PRICEOPEN"")"),1231.2)</f>
        <v>1231.2</v>
      </c>
      <c r="D301" s="11">
        <f ca="1">IFERROR(__xludf.DUMMYFUNCTION("GOOGLEFINANCE(A301,""HIGH"")"),1244.6)</f>
        <v>1244.5999999999999</v>
      </c>
      <c r="E301" s="11">
        <f ca="1">IFERROR(__xludf.DUMMYFUNCTION("GOOGLEFINANCE(A301,""LOW"")"),1225.1)</f>
        <v>1225.0999999999999</v>
      </c>
      <c r="F301" s="12" t="str">
        <f t="shared" ca="1" si="14"/>
        <v/>
      </c>
      <c r="G301" s="13">
        <f ca="1">IFERROR(__xludf.DUMMYFUNCTION("GOOGLEFINANCE(A301,""CLOSEYEST"")"),1230.8)</f>
        <v>1230.8</v>
      </c>
      <c r="H301" s="14" t="str">
        <f t="shared" ca="1" si="20"/>
        <v/>
      </c>
      <c r="I301" s="15">
        <f t="shared" ca="1" si="15"/>
        <v>1233.5</v>
      </c>
      <c r="J301" s="16">
        <f t="shared" ca="1" si="16"/>
        <v>1241.9000000000001</v>
      </c>
      <c r="K301" s="16"/>
      <c r="L301" s="16">
        <f t="shared" ca="1" si="17"/>
        <v>1222.4000000000001</v>
      </c>
      <c r="M301" s="16">
        <f t="shared" ca="1" si="18"/>
        <v>1253</v>
      </c>
      <c r="N301" s="16">
        <f t="shared" ca="1" si="19"/>
        <v>1214</v>
      </c>
    </row>
    <row r="302" spans="1:14" ht="24.75" customHeight="1" x14ac:dyDescent="0.8">
      <c r="A302" s="18" t="s">
        <v>265</v>
      </c>
      <c r="B302" s="10">
        <f ca="1">IFERROR(__xludf.DUMMYFUNCTION("GOOGLEFINANCE(A302,""PRICE"")"),519.6)</f>
        <v>519.6</v>
      </c>
      <c r="C302" s="11">
        <f ca="1">IFERROR(__xludf.DUMMYFUNCTION("GOOGLEFINANCE(A302,""PRICEOPEN"")"),510.6)</f>
        <v>510.6</v>
      </c>
      <c r="D302" s="11">
        <f ca="1">IFERROR(__xludf.DUMMYFUNCTION("GOOGLEFINANCE(A302,""HIGH"")"),521.35)</f>
        <v>521.35</v>
      </c>
      <c r="E302" s="11">
        <f ca="1">IFERROR(__xludf.DUMMYFUNCTION("GOOGLEFINANCE(A302,""LOW"")"),510.6)</f>
        <v>510.6</v>
      </c>
      <c r="F302" s="12" t="str">
        <f t="shared" ca="1" si="14"/>
        <v>BUY</v>
      </c>
      <c r="G302" s="13">
        <f ca="1">IFERROR(__xludf.DUMMYFUNCTION("GOOGLEFINANCE(A302,""CLOSEYEST"")"),510.6)</f>
        <v>510.6</v>
      </c>
      <c r="H302" s="14" t="str">
        <f t="shared" ca="1" si="20"/>
        <v/>
      </c>
      <c r="I302" s="15">
        <f t="shared" ca="1" si="15"/>
        <v>514.18333333333339</v>
      </c>
      <c r="J302" s="16">
        <f t="shared" ca="1" si="16"/>
        <v>517.76666666666677</v>
      </c>
      <c r="K302" s="16"/>
      <c r="L302" s="16">
        <f t="shared" ca="1" si="17"/>
        <v>507.01666666666677</v>
      </c>
      <c r="M302" s="16">
        <f t="shared" ca="1" si="18"/>
        <v>524.93333333333339</v>
      </c>
      <c r="N302" s="16">
        <f t="shared" ca="1" si="19"/>
        <v>503.43333333333339</v>
      </c>
    </row>
    <row r="303" spans="1:14" ht="24.75" customHeight="1" x14ac:dyDescent="0.8">
      <c r="A303" s="18" t="s">
        <v>266</v>
      </c>
      <c r="B303" s="10">
        <f ca="1">IFERROR(__xludf.DUMMYFUNCTION("GOOGLEFINANCE(A303,""PRICE"")"),326.15)</f>
        <v>326.14999999999998</v>
      </c>
      <c r="C303" s="11">
        <f ca="1">IFERROR(__xludf.DUMMYFUNCTION("GOOGLEFINANCE(A303,""PRICEOPEN"")"),326.2)</f>
        <v>326.2</v>
      </c>
      <c r="D303" s="11">
        <f ca="1">IFERROR(__xludf.DUMMYFUNCTION("GOOGLEFINANCE(A303,""HIGH"")"),332)</f>
        <v>332</v>
      </c>
      <c r="E303" s="11">
        <f ca="1">IFERROR(__xludf.DUMMYFUNCTION("GOOGLEFINANCE(A303,""LOW"")"),322.85)</f>
        <v>322.85000000000002</v>
      </c>
      <c r="F303" s="12" t="str">
        <f t="shared" ca="1" si="14"/>
        <v/>
      </c>
      <c r="G303" s="13">
        <f ca="1">IFERROR(__xludf.DUMMYFUNCTION("GOOGLEFINANCE(A303,""CLOSEYEST"")"),324.6)</f>
        <v>324.60000000000002</v>
      </c>
      <c r="H303" s="14" t="str">
        <f t="shared" ca="1" si="20"/>
        <v/>
      </c>
      <c r="I303" s="15">
        <f t="shared" ca="1" si="15"/>
        <v>326.48333333333335</v>
      </c>
      <c r="J303" s="16">
        <f t="shared" ca="1" si="16"/>
        <v>330.11666666666667</v>
      </c>
      <c r="K303" s="16"/>
      <c r="L303" s="16">
        <f t="shared" ca="1" si="17"/>
        <v>320.9666666666667</v>
      </c>
      <c r="M303" s="16">
        <f t="shared" ca="1" si="18"/>
        <v>335.63333333333333</v>
      </c>
      <c r="N303" s="16">
        <f t="shared" ca="1" si="19"/>
        <v>317.33333333333337</v>
      </c>
    </row>
    <row r="304" spans="1:14" ht="24.75" customHeight="1" x14ac:dyDescent="0.8">
      <c r="A304" s="18" t="s">
        <v>267</v>
      </c>
      <c r="B304" s="10">
        <f ca="1">IFERROR(__xludf.DUMMYFUNCTION("GOOGLEFINANCE(A304,""PRICE"")"),427)</f>
        <v>427</v>
      </c>
      <c r="C304" s="11">
        <f ca="1">IFERROR(__xludf.DUMMYFUNCTION("GOOGLEFINANCE(A304,""PRICEOPEN"")"),422.1)</f>
        <v>422.1</v>
      </c>
      <c r="D304" s="11">
        <f ca="1">IFERROR(__xludf.DUMMYFUNCTION("GOOGLEFINANCE(A304,""HIGH"")"),429.65)</f>
        <v>429.65</v>
      </c>
      <c r="E304" s="11">
        <f ca="1">IFERROR(__xludf.DUMMYFUNCTION("GOOGLEFINANCE(A304,""LOW"")"),417)</f>
        <v>417</v>
      </c>
      <c r="F304" s="12" t="str">
        <f t="shared" ca="1" si="14"/>
        <v/>
      </c>
      <c r="G304" s="13">
        <f ca="1">IFERROR(__xludf.DUMMYFUNCTION("GOOGLEFINANCE(A304,""CLOSEYEST"")"),423.2)</f>
        <v>423.2</v>
      </c>
      <c r="H304" s="14" t="str">
        <f t="shared" ca="1" si="20"/>
        <v/>
      </c>
      <c r="I304" s="15">
        <f t="shared" ca="1" si="15"/>
        <v>423.2833333333333</v>
      </c>
      <c r="J304" s="16">
        <f t="shared" ca="1" si="16"/>
        <v>429.56666666666661</v>
      </c>
      <c r="K304" s="16"/>
      <c r="L304" s="16">
        <f t="shared" ca="1" si="17"/>
        <v>416.91666666666663</v>
      </c>
      <c r="M304" s="16">
        <f t="shared" ca="1" si="18"/>
        <v>435.93333333333328</v>
      </c>
      <c r="N304" s="16">
        <f t="shared" ca="1" si="19"/>
        <v>410.63333333333333</v>
      </c>
    </row>
    <row r="305" spans="1:14" ht="24.75" customHeight="1" x14ac:dyDescent="0.8">
      <c r="A305" s="18" t="s">
        <v>268</v>
      </c>
      <c r="B305" s="10">
        <f ca="1">IFERROR(__xludf.DUMMYFUNCTION("GOOGLEFINANCE(A305,""PRICE"")"),4696)</f>
        <v>4696</v>
      </c>
      <c r="C305" s="11">
        <f ca="1">IFERROR(__xludf.DUMMYFUNCTION("GOOGLEFINANCE(A305,""PRICEOPEN"")"),4723.5)</f>
        <v>4723.5</v>
      </c>
      <c r="D305" s="11">
        <f ca="1">IFERROR(__xludf.DUMMYFUNCTION("GOOGLEFINANCE(A305,""HIGH"")"),4753.5)</f>
        <v>4753.5</v>
      </c>
      <c r="E305" s="11">
        <f ca="1">IFERROR(__xludf.DUMMYFUNCTION("GOOGLEFINANCE(A305,""LOW"")"),4692)</f>
        <v>4692</v>
      </c>
      <c r="F305" s="12" t="str">
        <f t="shared" ca="1" si="14"/>
        <v/>
      </c>
      <c r="G305" s="13">
        <f ca="1">IFERROR(__xludf.DUMMYFUNCTION("GOOGLEFINANCE(A305,""CLOSEYEST"")"),4704.8)</f>
        <v>4704.8</v>
      </c>
      <c r="H305" s="14" t="str">
        <f t="shared" ca="1" si="20"/>
        <v/>
      </c>
      <c r="I305" s="15">
        <f t="shared" ca="1" si="15"/>
        <v>4716.7666666666664</v>
      </c>
      <c r="J305" s="16">
        <f t="shared" ca="1" si="16"/>
        <v>4741.5333333333328</v>
      </c>
      <c r="K305" s="16"/>
      <c r="L305" s="16">
        <f t="shared" ca="1" si="17"/>
        <v>4680.0333333333328</v>
      </c>
      <c r="M305" s="16">
        <f t="shared" ca="1" si="18"/>
        <v>4778.2666666666664</v>
      </c>
      <c r="N305" s="16">
        <f t="shared" ca="1" si="19"/>
        <v>4655.2666666666664</v>
      </c>
    </row>
    <row r="306" spans="1:14" ht="24.75" customHeight="1" x14ac:dyDescent="0.8">
      <c r="A306" s="18" t="s">
        <v>269</v>
      </c>
      <c r="B306" s="10">
        <f ca="1">IFERROR(__xludf.DUMMYFUNCTION("GOOGLEFINANCE(A306,""PRICE"")"),3213)</f>
        <v>3213</v>
      </c>
      <c r="C306" s="11">
        <f ca="1">IFERROR(__xludf.DUMMYFUNCTION("GOOGLEFINANCE(A306,""PRICEOPEN"")"),3247.8)</f>
        <v>3247.8</v>
      </c>
      <c r="D306" s="11">
        <f ca="1">IFERROR(__xludf.DUMMYFUNCTION("GOOGLEFINANCE(A306,""HIGH"")"),3270.5)</f>
        <v>3270.5</v>
      </c>
      <c r="E306" s="11">
        <f ca="1">IFERROR(__xludf.DUMMYFUNCTION("GOOGLEFINANCE(A306,""LOW"")"),3189.8)</f>
        <v>3189.8</v>
      </c>
      <c r="F306" s="12" t="str">
        <f t="shared" ca="1" si="14"/>
        <v/>
      </c>
      <c r="G306" s="13">
        <f ca="1">IFERROR(__xludf.DUMMYFUNCTION("GOOGLEFINANCE(A306,""CLOSEYEST"")"),3247.8)</f>
        <v>3247.8</v>
      </c>
      <c r="H306" s="14" t="str">
        <f t="shared" ca="1" si="20"/>
        <v/>
      </c>
      <c r="I306" s="15">
        <f t="shared" ca="1" si="15"/>
        <v>3236.0333333333333</v>
      </c>
      <c r="J306" s="16">
        <f t="shared" ca="1" si="16"/>
        <v>3282.2666666666664</v>
      </c>
      <c r="K306" s="16"/>
      <c r="L306" s="16">
        <f t="shared" ca="1" si="17"/>
        <v>3201.5666666666666</v>
      </c>
      <c r="M306" s="16">
        <f t="shared" ca="1" si="18"/>
        <v>3316.7333333333331</v>
      </c>
      <c r="N306" s="16">
        <f t="shared" ca="1" si="19"/>
        <v>3155.3333333333335</v>
      </c>
    </row>
    <row r="307" spans="1:14" ht="24.75" customHeight="1" x14ac:dyDescent="0.8">
      <c r="A307" s="18" t="s">
        <v>270</v>
      </c>
      <c r="B307" s="10">
        <f ca="1">IFERROR(__xludf.DUMMYFUNCTION("GOOGLEFINANCE(A307,""PRICE"")"),9500)</f>
        <v>9500</v>
      </c>
      <c r="C307" s="11">
        <f ca="1">IFERROR(__xludf.DUMMYFUNCTION("GOOGLEFINANCE(A307,""PRICEOPEN"")"),9617)</f>
        <v>9617</v>
      </c>
      <c r="D307" s="11">
        <f ca="1">IFERROR(__xludf.DUMMYFUNCTION("GOOGLEFINANCE(A307,""HIGH"")"),9714)</f>
        <v>9714</v>
      </c>
      <c r="E307" s="11">
        <f ca="1">IFERROR(__xludf.DUMMYFUNCTION("GOOGLEFINANCE(A307,""LOW"")"),9441.5)</f>
        <v>9441.5</v>
      </c>
      <c r="F307" s="12" t="str">
        <f t="shared" ca="1" si="14"/>
        <v/>
      </c>
      <c r="G307" s="13">
        <f ca="1">IFERROR(__xludf.DUMMYFUNCTION("GOOGLEFINANCE(A307,""CLOSEYEST"")"),9598)</f>
        <v>9598</v>
      </c>
      <c r="H307" s="14" t="str">
        <f t="shared" ca="1" si="20"/>
        <v/>
      </c>
      <c r="I307" s="15">
        <f t="shared" ca="1" si="15"/>
        <v>9584.5</v>
      </c>
      <c r="J307" s="16">
        <f t="shared" ca="1" si="16"/>
        <v>9727.5</v>
      </c>
      <c r="K307" s="16"/>
      <c r="L307" s="16">
        <f t="shared" ca="1" si="17"/>
        <v>9455</v>
      </c>
      <c r="M307" s="16">
        <f t="shared" ca="1" si="18"/>
        <v>9857</v>
      </c>
      <c r="N307" s="16">
        <f t="shared" ca="1" si="19"/>
        <v>9312</v>
      </c>
    </row>
    <row r="308" spans="1:14" ht="24.75" customHeight="1" x14ac:dyDescent="0.8">
      <c r="A308" s="18" t="s">
        <v>271</v>
      </c>
      <c r="B308" s="10">
        <f ca="1">IFERROR(__xludf.DUMMYFUNCTION("GOOGLEFINANCE(A308,""PRICE"")"),1558.8)</f>
        <v>1558.8</v>
      </c>
      <c r="C308" s="11">
        <f ca="1">IFERROR(__xludf.DUMMYFUNCTION("GOOGLEFINANCE(A308,""PRICEOPEN"")"),1553)</f>
        <v>1553</v>
      </c>
      <c r="D308" s="11">
        <f ca="1">IFERROR(__xludf.DUMMYFUNCTION("GOOGLEFINANCE(A308,""HIGH"")"),1576.7)</f>
        <v>1576.7</v>
      </c>
      <c r="E308" s="11">
        <f ca="1">IFERROR(__xludf.DUMMYFUNCTION("GOOGLEFINANCE(A308,""LOW"")"),1541.2)</f>
        <v>1541.2</v>
      </c>
      <c r="F308" s="12" t="str">
        <f t="shared" ca="1" si="14"/>
        <v/>
      </c>
      <c r="G308" s="13">
        <f ca="1">IFERROR(__xludf.DUMMYFUNCTION("GOOGLEFINANCE(A308,""CLOSEYEST"")"),1563.8)</f>
        <v>1563.8</v>
      </c>
      <c r="H308" s="14" t="str">
        <f t="shared" ca="1" si="20"/>
        <v/>
      </c>
      <c r="I308" s="15">
        <f t="shared" ca="1" si="15"/>
        <v>1560.5666666666666</v>
      </c>
      <c r="J308" s="16">
        <f t="shared" ca="1" si="16"/>
        <v>1579.9333333333332</v>
      </c>
      <c r="K308" s="16"/>
      <c r="L308" s="16">
        <f t="shared" ca="1" si="17"/>
        <v>1544.4333333333332</v>
      </c>
      <c r="M308" s="16">
        <f t="shared" ca="1" si="18"/>
        <v>1596.0666666666666</v>
      </c>
      <c r="N308" s="16">
        <f t="shared" ca="1" si="19"/>
        <v>1525.0666666666666</v>
      </c>
    </row>
    <row r="309" spans="1:14" ht="24.75" customHeight="1" x14ac:dyDescent="0.8">
      <c r="A309" s="18" t="s">
        <v>272</v>
      </c>
      <c r="B309" s="10">
        <f ca="1">IFERROR(__xludf.DUMMYFUNCTION("GOOGLEFINANCE(A309,""PRICE"")"),5700)</f>
        <v>5700</v>
      </c>
      <c r="C309" s="11">
        <f ca="1">IFERROR(__xludf.DUMMYFUNCTION("GOOGLEFINANCE(A309,""PRICEOPEN"")"),5684)</f>
        <v>5684</v>
      </c>
      <c r="D309" s="11">
        <f ca="1">IFERROR(__xludf.DUMMYFUNCTION("GOOGLEFINANCE(A309,""HIGH"")"),5714)</f>
        <v>5714</v>
      </c>
      <c r="E309" s="11">
        <f ca="1">IFERROR(__xludf.DUMMYFUNCTION("GOOGLEFINANCE(A309,""LOW"")"),5606)</f>
        <v>5606</v>
      </c>
      <c r="F309" s="12" t="str">
        <f t="shared" ca="1" si="14"/>
        <v/>
      </c>
      <c r="G309" s="13">
        <f ca="1">IFERROR(__xludf.DUMMYFUNCTION("GOOGLEFINANCE(A309,""CLOSEYEST"")"),5713.5)</f>
        <v>5713.5</v>
      </c>
      <c r="H309" s="14" t="str">
        <f t="shared" ca="1" si="20"/>
        <v/>
      </c>
      <c r="I309" s="15">
        <f t="shared" ca="1" si="15"/>
        <v>5677.833333333333</v>
      </c>
      <c r="J309" s="16">
        <f t="shared" ca="1" si="16"/>
        <v>5749.6666666666661</v>
      </c>
      <c r="K309" s="16"/>
      <c r="L309" s="16">
        <f t="shared" ca="1" si="17"/>
        <v>5641.6666666666661</v>
      </c>
      <c r="M309" s="16">
        <f t="shared" ca="1" si="18"/>
        <v>5785.833333333333</v>
      </c>
      <c r="N309" s="16">
        <f t="shared" ca="1" si="19"/>
        <v>5569.833333333333</v>
      </c>
    </row>
    <row r="310" spans="1:14" ht="24.75" customHeight="1" x14ac:dyDescent="0.8">
      <c r="A310" s="18" t="s">
        <v>273</v>
      </c>
      <c r="B310" s="10">
        <f ca="1">IFERROR(__xludf.DUMMYFUNCTION("GOOGLEFINANCE(A310,""PRICE"")"),824.4)</f>
        <v>824.4</v>
      </c>
      <c r="C310" s="11">
        <f ca="1">IFERROR(__xludf.DUMMYFUNCTION("GOOGLEFINANCE(A310,""PRICEOPEN"")"),813.7)</f>
        <v>813.7</v>
      </c>
      <c r="D310" s="11">
        <f ca="1">IFERROR(__xludf.DUMMYFUNCTION("GOOGLEFINANCE(A310,""HIGH"")"),825.1)</f>
        <v>825.1</v>
      </c>
      <c r="E310" s="11">
        <f ca="1">IFERROR(__xludf.DUMMYFUNCTION("GOOGLEFINANCE(A310,""LOW"")"),808)</f>
        <v>808</v>
      </c>
      <c r="F310" s="12" t="str">
        <f t="shared" ca="1" si="14"/>
        <v/>
      </c>
      <c r="G310" s="13">
        <f ca="1">IFERROR(__xludf.DUMMYFUNCTION("GOOGLEFINANCE(A310,""CLOSEYEST"")"),806.55)</f>
        <v>806.55</v>
      </c>
      <c r="H310" s="14" t="str">
        <f t="shared" ca="1" si="20"/>
        <v/>
      </c>
      <c r="I310" s="15">
        <f t="shared" ca="1" si="15"/>
        <v>813.21666666666658</v>
      </c>
      <c r="J310" s="16">
        <f t="shared" ca="1" si="16"/>
        <v>818.43333333333317</v>
      </c>
      <c r="K310" s="16"/>
      <c r="L310" s="16">
        <f t="shared" ca="1" si="17"/>
        <v>801.33333333333314</v>
      </c>
      <c r="M310" s="16">
        <f t="shared" ca="1" si="18"/>
        <v>830.31666666666661</v>
      </c>
      <c r="N310" s="16">
        <f t="shared" ca="1" si="19"/>
        <v>796.11666666666656</v>
      </c>
    </row>
    <row r="311" spans="1:14" ht="24.75" customHeight="1" x14ac:dyDescent="0.8">
      <c r="A311" s="18" t="s">
        <v>274</v>
      </c>
      <c r="B311" s="10">
        <f ca="1">IFERROR(__xludf.DUMMYFUNCTION("GOOGLEFINANCE(A311,""PRICE"")"),2950.1)</f>
        <v>2950.1</v>
      </c>
      <c r="C311" s="11">
        <f ca="1">IFERROR(__xludf.DUMMYFUNCTION("GOOGLEFINANCE(A311,""PRICEOPEN"")"),2940)</f>
        <v>2940</v>
      </c>
      <c r="D311" s="11">
        <f ca="1">IFERROR(__xludf.DUMMYFUNCTION("GOOGLEFINANCE(A311,""HIGH"")"),2968.9)</f>
        <v>2968.9</v>
      </c>
      <c r="E311" s="11">
        <f ca="1">IFERROR(__xludf.DUMMYFUNCTION("GOOGLEFINANCE(A311,""LOW"")"),2897)</f>
        <v>2897</v>
      </c>
      <c r="F311" s="12" t="str">
        <f t="shared" ca="1" si="14"/>
        <v/>
      </c>
      <c r="G311" s="13">
        <f ca="1">IFERROR(__xludf.DUMMYFUNCTION("GOOGLEFINANCE(A311,""CLOSEYEST"")"),2914.2)</f>
        <v>2914.2</v>
      </c>
      <c r="H311" s="14" t="str">
        <f t="shared" ca="1" si="20"/>
        <v/>
      </c>
      <c r="I311" s="15">
        <f t="shared" ca="1" si="15"/>
        <v>2926.6999999999994</v>
      </c>
      <c r="J311" s="16">
        <f t="shared" ca="1" si="16"/>
        <v>2956.3999999999987</v>
      </c>
      <c r="K311" s="16"/>
      <c r="L311" s="16">
        <f t="shared" ca="1" si="17"/>
        <v>2884.4999999999986</v>
      </c>
      <c r="M311" s="16">
        <f t="shared" ca="1" si="18"/>
        <v>2998.5999999999995</v>
      </c>
      <c r="N311" s="16">
        <f t="shared" ca="1" si="19"/>
        <v>2854.7999999999993</v>
      </c>
    </row>
    <row r="312" spans="1:14" ht="24.75" customHeight="1" x14ac:dyDescent="0.8">
      <c r="A312" s="18" t="s">
        <v>275</v>
      </c>
      <c r="B312" s="10">
        <f ca="1">IFERROR(__xludf.DUMMYFUNCTION("GOOGLEFINANCE(A312,""PRICE"")"),7.75)</f>
        <v>7.75</v>
      </c>
      <c r="C312" s="11">
        <f ca="1">IFERROR(__xludf.DUMMYFUNCTION("GOOGLEFINANCE(A312,""PRICEOPEN"")"),7.62)</f>
        <v>7.62</v>
      </c>
      <c r="D312" s="11">
        <f ca="1">IFERROR(__xludf.DUMMYFUNCTION("GOOGLEFINANCE(A312,""HIGH"")"),7.76)</f>
        <v>7.76</v>
      </c>
      <c r="E312" s="11">
        <f ca="1">IFERROR(__xludf.DUMMYFUNCTION("GOOGLEFINANCE(A312,""LOW"")"),7.58)</f>
        <v>7.58</v>
      </c>
      <c r="F312" s="12" t="str">
        <f t="shared" ca="1" si="14"/>
        <v/>
      </c>
      <c r="G312" s="13">
        <f ca="1">IFERROR(__xludf.DUMMYFUNCTION("GOOGLEFINANCE(A312,""CLOSEYEST"")"),7.56)</f>
        <v>7.56</v>
      </c>
      <c r="H312" s="14" t="str">
        <f t="shared" ca="1" si="20"/>
        <v/>
      </c>
      <c r="I312" s="15">
        <f t="shared" ca="1" si="15"/>
        <v>7.6333333333333329</v>
      </c>
      <c r="J312" s="16">
        <f t="shared" ca="1" si="16"/>
        <v>7.6866666666666656</v>
      </c>
      <c r="K312" s="16"/>
      <c r="L312" s="16">
        <f t="shared" ca="1" si="17"/>
        <v>7.5066666666666659</v>
      </c>
      <c r="M312" s="16">
        <f t="shared" ca="1" si="18"/>
        <v>7.8133333333333326</v>
      </c>
      <c r="N312" s="16">
        <f t="shared" ca="1" si="19"/>
        <v>7.4533333333333331</v>
      </c>
    </row>
    <row r="313" spans="1:14" ht="24.75" customHeight="1" x14ac:dyDescent="0.8">
      <c r="A313" s="18" t="s">
        <v>276</v>
      </c>
      <c r="B313" s="10">
        <f ca="1">IFERROR(__xludf.DUMMYFUNCTION("GOOGLEFINANCE(A313,""PRICE"")"),910)</f>
        <v>910</v>
      </c>
      <c r="C313" s="11">
        <f ca="1">IFERROR(__xludf.DUMMYFUNCTION("GOOGLEFINANCE(A313,""PRICEOPEN"")"),909)</f>
        <v>909</v>
      </c>
      <c r="D313" s="11">
        <f ca="1">IFERROR(__xludf.DUMMYFUNCTION("GOOGLEFINANCE(A313,""HIGH"")"),921.9)</f>
        <v>921.9</v>
      </c>
      <c r="E313" s="11">
        <f ca="1">IFERROR(__xludf.DUMMYFUNCTION("GOOGLEFINANCE(A313,""LOW"")"),905.7)</f>
        <v>905.7</v>
      </c>
      <c r="F313" s="12" t="str">
        <f t="shared" ca="1" si="14"/>
        <v/>
      </c>
      <c r="G313" s="13">
        <f ca="1">IFERROR(__xludf.DUMMYFUNCTION("GOOGLEFINANCE(A313,""CLOSEYEST"")"),904.3)</f>
        <v>904.3</v>
      </c>
      <c r="H313" s="14" t="str">
        <f t="shared" ca="1" si="20"/>
        <v/>
      </c>
      <c r="I313" s="15">
        <f t="shared" ca="1" si="15"/>
        <v>910.63333333333321</v>
      </c>
      <c r="J313" s="16">
        <f t="shared" ca="1" si="16"/>
        <v>915.56666666666638</v>
      </c>
      <c r="K313" s="16"/>
      <c r="L313" s="16">
        <f t="shared" ca="1" si="17"/>
        <v>899.36666666666645</v>
      </c>
      <c r="M313" s="16">
        <f t="shared" ca="1" si="18"/>
        <v>926.83333333333314</v>
      </c>
      <c r="N313" s="16">
        <f t="shared" ca="1" si="19"/>
        <v>894.43333333333328</v>
      </c>
    </row>
    <row r="314" spans="1:14" ht="24.75" customHeight="1" x14ac:dyDescent="0.8">
      <c r="A314" s="18" t="s">
        <v>277</v>
      </c>
      <c r="B314" s="10">
        <f ca="1">IFERROR(__xludf.DUMMYFUNCTION("GOOGLEFINANCE(A314,""PRICE"")"),1996.7)</f>
        <v>1996.7</v>
      </c>
      <c r="C314" s="11">
        <f ca="1">IFERROR(__xludf.DUMMYFUNCTION("GOOGLEFINANCE(A314,""PRICEOPEN"")"),2030)</f>
        <v>2030</v>
      </c>
      <c r="D314" s="11">
        <f ca="1">IFERROR(__xludf.DUMMYFUNCTION("GOOGLEFINANCE(A314,""HIGH"")"),2031.9)</f>
        <v>2031.9</v>
      </c>
      <c r="E314" s="11">
        <f ca="1">IFERROR(__xludf.DUMMYFUNCTION("GOOGLEFINANCE(A314,""LOW"")"),1991.1)</f>
        <v>1991.1</v>
      </c>
      <c r="F314" s="12" t="str">
        <f t="shared" ca="1" si="14"/>
        <v/>
      </c>
      <c r="G314" s="13">
        <f ca="1">IFERROR(__xludf.DUMMYFUNCTION("GOOGLEFINANCE(A314,""CLOSEYEST"")"),2041.1)</f>
        <v>2041.1</v>
      </c>
      <c r="H314" s="14" t="str">
        <f t="shared" ca="1" si="20"/>
        <v/>
      </c>
      <c r="I314" s="15">
        <f t="shared" ca="1" si="15"/>
        <v>2021.3666666666668</v>
      </c>
      <c r="J314" s="16">
        <f t="shared" ca="1" si="16"/>
        <v>2051.6333333333337</v>
      </c>
      <c r="K314" s="16"/>
      <c r="L314" s="16">
        <f t="shared" ca="1" si="17"/>
        <v>2010.8333333333335</v>
      </c>
      <c r="M314" s="16">
        <f t="shared" ca="1" si="18"/>
        <v>2062.166666666667</v>
      </c>
      <c r="N314" s="16">
        <f t="shared" ca="1" si="19"/>
        <v>1980.5666666666666</v>
      </c>
    </row>
    <row r="315" spans="1:14" ht="24.75" customHeight="1" x14ac:dyDescent="0.8">
      <c r="A315" s="18" t="s">
        <v>278</v>
      </c>
      <c r="B315" s="10">
        <f ca="1">IFERROR(__xludf.DUMMYFUNCTION("GOOGLEFINANCE(A315,""PRICE"")"),1489.8)</f>
        <v>1489.8</v>
      </c>
      <c r="C315" s="11">
        <f ca="1">IFERROR(__xludf.DUMMYFUNCTION("GOOGLEFINANCE(A315,""PRICEOPEN"")"),1475.5)</f>
        <v>1475.5</v>
      </c>
      <c r="D315" s="11">
        <f ca="1">IFERROR(__xludf.DUMMYFUNCTION("GOOGLEFINANCE(A315,""HIGH"")"),1493.9)</f>
        <v>1493.9</v>
      </c>
      <c r="E315" s="11">
        <f ca="1">IFERROR(__xludf.DUMMYFUNCTION("GOOGLEFINANCE(A315,""LOW"")"),1470)</f>
        <v>1470</v>
      </c>
      <c r="F315" s="12" t="str">
        <f t="shared" ca="1" si="14"/>
        <v/>
      </c>
      <c r="G315" s="13">
        <f ca="1">IFERROR(__xludf.DUMMYFUNCTION("GOOGLEFINANCE(A315,""CLOSEYEST"")"),1475.5)</f>
        <v>1475.5</v>
      </c>
      <c r="H315" s="14" t="str">
        <f t="shared" ca="1" si="20"/>
        <v/>
      </c>
      <c r="I315" s="15">
        <f t="shared" ca="1" si="15"/>
        <v>1479.8</v>
      </c>
      <c r="J315" s="16">
        <f t="shared" ca="1" si="16"/>
        <v>1489.6</v>
      </c>
      <c r="K315" s="16"/>
      <c r="L315" s="16">
        <f t="shared" ca="1" si="17"/>
        <v>1465.6999999999998</v>
      </c>
      <c r="M315" s="16">
        <f t="shared" ca="1" si="18"/>
        <v>1503.7</v>
      </c>
      <c r="N315" s="16">
        <f t="shared" ca="1" si="19"/>
        <v>1455.8999999999999</v>
      </c>
    </row>
    <row r="316" spans="1:14" ht="24.75" customHeight="1" x14ac:dyDescent="0.8">
      <c r="A316" s="18" t="s">
        <v>279</v>
      </c>
      <c r="B316" s="10" t="str">
        <f ca="1">IFERROR(__xludf.DUMMYFUNCTION("GOOGLEFINANCE(A316,""PRICE"")"),"#N/A")</f>
        <v>#N/A</v>
      </c>
      <c r="C316" s="11" t="str">
        <f ca="1">IFERROR(__xludf.DUMMYFUNCTION("GOOGLEFINANCE(A316,""PRICEOPEN"")"),"#N/A")</f>
        <v>#N/A</v>
      </c>
      <c r="D316" s="11" t="str">
        <f ca="1">IFERROR(__xludf.DUMMYFUNCTION("GOOGLEFINANCE(A316,""HIGH"")"),"#N/A")</f>
        <v>#N/A</v>
      </c>
      <c r="E316" s="11" t="str">
        <f ca="1">IFERROR(__xludf.DUMMYFUNCTION("GOOGLEFINANCE(A316,""LOW"")"),"#N/A")</f>
        <v>#N/A</v>
      </c>
      <c r="F316" s="12" t="str">
        <f t="shared" ca="1" si="14"/>
        <v>SELL</v>
      </c>
      <c r="G316" s="13" t="str">
        <f ca="1">IFERROR(__xludf.DUMMYFUNCTION("GOOGLEFINANCE(A316,""CLOSEYEST"")"),"#N/A")</f>
        <v>#N/A</v>
      </c>
      <c r="H316" s="14" t="e">
        <f t="shared" ca="1" si="20"/>
        <v>#VALUE!</v>
      </c>
      <c r="I316" s="15" t="e">
        <f t="shared" ca="1" si="15"/>
        <v>#VALUE!</v>
      </c>
      <c r="J316" s="16" t="e">
        <f t="shared" ca="1" si="16"/>
        <v>#VALUE!</v>
      </c>
      <c r="K316" s="16"/>
      <c r="L316" s="16" t="e">
        <f t="shared" ca="1" si="17"/>
        <v>#VALUE!</v>
      </c>
      <c r="M316" s="16" t="e">
        <f t="shared" ca="1" si="18"/>
        <v>#VALUE!</v>
      </c>
      <c r="N316" s="16" t="e">
        <f t="shared" ca="1" si="19"/>
        <v>#VALUE!</v>
      </c>
    </row>
    <row r="317" spans="1:14" ht="24.75" customHeight="1" x14ac:dyDescent="0.8">
      <c r="A317" s="18" t="s">
        <v>280</v>
      </c>
      <c r="B317" s="10">
        <f ca="1">IFERROR(__xludf.DUMMYFUNCTION("GOOGLEFINANCE(A317,""PRICE"")"),350.4)</f>
        <v>350.4</v>
      </c>
      <c r="C317" s="11">
        <f ca="1">IFERROR(__xludf.DUMMYFUNCTION("GOOGLEFINANCE(A317,""PRICEOPEN"")"),350.3)</f>
        <v>350.3</v>
      </c>
      <c r="D317" s="11">
        <f ca="1">IFERROR(__xludf.DUMMYFUNCTION("GOOGLEFINANCE(A317,""HIGH"")"),351.2)</f>
        <v>351.2</v>
      </c>
      <c r="E317" s="11">
        <f ca="1">IFERROR(__xludf.DUMMYFUNCTION("GOOGLEFINANCE(A317,""LOW"")"),346.5)</f>
        <v>346.5</v>
      </c>
      <c r="F317" s="12" t="str">
        <f t="shared" ca="1" si="14"/>
        <v/>
      </c>
      <c r="G317" s="13">
        <f ca="1">IFERROR(__xludf.DUMMYFUNCTION("GOOGLEFINANCE(A317,""CLOSEYEST"")"),350.3)</f>
        <v>350.3</v>
      </c>
      <c r="H317" s="14" t="str">
        <f t="shared" ca="1" si="20"/>
        <v/>
      </c>
      <c r="I317" s="15">
        <f t="shared" ca="1" si="15"/>
        <v>349.33333333333331</v>
      </c>
      <c r="J317" s="16">
        <f t="shared" ca="1" si="16"/>
        <v>352.16666666666663</v>
      </c>
      <c r="K317" s="16"/>
      <c r="L317" s="16">
        <f t="shared" ca="1" si="17"/>
        <v>347.46666666666664</v>
      </c>
      <c r="M317" s="16">
        <f t="shared" ca="1" si="18"/>
        <v>354.0333333333333</v>
      </c>
      <c r="N317" s="16">
        <f t="shared" ca="1" si="19"/>
        <v>344.63333333333333</v>
      </c>
    </row>
    <row r="318" spans="1:14" ht="24.75" customHeight="1" x14ac:dyDescent="0.8">
      <c r="A318" s="18" t="s">
        <v>281</v>
      </c>
      <c r="B318" s="10">
        <f ca="1">IFERROR(__xludf.DUMMYFUNCTION("GOOGLEFINANCE(A318,""PRICE"")"),30.82)</f>
        <v>30.82</v>
      </c>
      <c r="C318" s="11">
        <f ca="1">IFERROR(__xludf.DUMMYFUNCTION("GOOGLEFINANCE(A318,""PRICEOPEN"")"),30.62)</f>
        <v>30.62</v>
      </c>
      <c r="D318" s="11">
        <f ca="1">IFERROR(__xludf.DUMMYFUNCTION("GOOGLEFINANCE(A318,""HIGH"")"),30.99)</f>
        <v>30.99</v>
      </c>
      <c r="E318" s="11">
        <f ca="1">IFERROR(__xludf.DUMMYFUNCTION("GOOGLEFINANCE(A318,""LOW"")"),30.55)</f>
        <v>30.55</v>
      </c>
      <c r="F318" s="12" t="str">
        <f t="shared" ca="1" si="14"/>
        <v/>
      </c>
      <c r="G318" s="13">
        <f ca="1">IFERROR(__xludf.DUMMYFUNCTION("GOOGLEFINANCE(A318,""CLOSEYEST"")"),30.62)</f>
        <v>30.62</v>
      </c>
      <c r="H318" s="14" t="str">
        <f t="shared" ca="1" si="20"/>
        <v/>
      </c>
      <c r="I318" s="15">
        <f t="shared" ca="1" si="15"/>
        <v>30.72</v>
      </c>
      <c r="J318" s="16">
        <f t="shared" ca="1" si="16"/>
        <v>30.889999999999997</v>
      </c>
      <c r="K318" s="16"/>
      <c r="L318" s="16">
        <f t="shared" ca="1" si="17"/>
        <v>30.45</v>
      </c>
      <c r="M318" s="16">
        <f t="shared" ca="1" si="18"/>
        <v>31.159999999999997</v>
      </c>
      <c r="N318" s="16">
        <f t="shared" ca="1" si="19"/>
        <v>30.28</v>
      </c>
    </row>
    <row r="319" spans="1:14" ht="24.75" customHeight="1" x14ac:dyDescent="0.8">
      <c r="A319" s="18" t="s">
        <v>282</v>
      </c>
      <c r="B319" s="10">
        <f ca="1">IFERROR(__xludf.DUMMYFUNCTION("GOOGLEFINANCE(A319,""PRICE"")"),528.8)</f>
        <v>528.79999999999995</v>
      </c>
      <c r="C319" s="11">
        <f ca="1">IFERROR(__xludf.DUMMYFUNCTION("GOOGLEFINANCE(A319,""PRICEOPEN"")"),440.7)</f>
        <v>440.7</v>
      </c>
      <c r="D319" s="11">
        <f ca="1">IFERROR(__xludf.DUMMYFUNCTION("GOOGLEFINANCE(A319,""HIGH"")"),528.8)</f>
        <v>528.79999999999995</v>
      </c>
      <c r="E319" s="11">
        <f ca="1">IFERROR(__xludf.DUMMYFUNCTION("GOOGLEFINANCE(A319,""LOW"")"),438.35)</f>
        <v>438.35</v>
      </c>
      <c r="F319" s="12" t="str">
        <f t="shared" ca="1" si="14"/>
        <v/>
      </c>
      <c r="G319" s="13">
        <f ca="1">IFERROR(__xludf.DUMMYFUNCTION("GOOGLEFINANCE(A319,""CLOSEYEST"")"),440.7)</f>
        <v>440.7</v>
      </c>
      <c r="H319" s="14" t="str">
        <f t="shared" ca="1" si="20"/>
        <v/>
      </c>
      <c r="I319" s="15">
        <f t="shared" ca="1" si="15"/>
        <v>469.2833333333333</v>
      </c>
      <c r="J319" s="16">
        <f t="shared" ca="1" si="16"/>
        <v>500.21666666666658</v>
      </c>
      <c r="K319" s="16"/>
      <c r="L319" s="16">
        <f t="shared" ca="1" si="17"/>
        <v>409.76666666666665</v>
      </c>
      <c r="M319" s="16">
        <f t="shared" ca="1" si="18"/>
        <v>559.73333333333323</v>
      </c>
      <c r="N319" s="16">
        <f t="shared" ca="1" si="19"/>
        <v>378.83333333333337</v>
      </c>
    </row>
    <row r="320" spans="1:14" ht="24.75" customHeight="1" x14ac:dyDescent="0.8">
      <c r="A320" s="18" t="s">
        <v>283</v>
      </c>
      <c r="B320" s="10">
        <f ca="1">IFERROR(__xludf.DUMMYFUNCTION("GOOGLEFINANCE(A320,""PRICE"")"),1193)</f>
        <v>1193</v>
      </c>
      <c r="C320" s="11">
        <f ca="1">IFERROR(__xludf.DUMMYFUNCTION("GOOGLEFINANCE(A320,""PRICEOPEN"")"),1177.7)</f>
        <v>1177.7</v>
      </c>
      <c r="D320" s="11">
        <f ca="1">IFERROR(__xludf.DUMMYFUNCTION("GOOGLEFINANCE(A320,""HIGH"")"),1199.5)</f>
        <v>1199.5</v>
      </c>
      <c r="E320" s="11">
        <f ca="1">IFERROR(__xludf.DUMMYFUNCTION("GOOGLEFINANCE(A320,""LOW"")"),1169.7)</f>
        <v>1169.7</v>
      </c>
      <c r="F320" s="12" t="str">
        <f t="shared" ca="1" si="14"/>
        <v/>
      </c>
      <c r="G320" s="13">
        <f ca="1">IFERROR(__xludf.DUMMYFUNCTION("GOOGLEFINANCE(A320,""CLOSEYEST"")"),1169.5)</f>
        <v>1169.5</v>
      </c>
      <c r="H320" s="14" t="str">
        <f t="shared" ca="1" si="20"/>
        <v/>
      </c>
      <c r="I320" s="15">
        <f t="shared" ca="1" si="15"/>
        <v>1179.5666666666666</v>
      </c>
      <c r="J320" s="16">
        <f t="shared" ca="1" si="16"/>
        <v>1189.4333333333332</v>
      </c>
      <c r="K320" s="16"/>
      <c r="L320" s="16">
        <f t="shared" ca="1" si="17"/>
        <v>1159.6333333333332</v>
      </c>
      <c r="M320" s="16">
        <f t="shared" ca="1" si="18"/>
        <v>1209.3666666666666</v>
      </c>
      <c r="N320" s="16">
        <f t="shared" ca="1" si="19"/>
        <v>1149.7666666666667</v>
      </c>
    </row>
    <row r="321" spans="1:14" ht="24.75" customHeight="1" x14ac:dyDescent="0.8">
      <c r="A321" s="18" t="s">
        <v>284</v>
      </c>
      <c r="B321" s="10">
        <f ca="1">IFERROR(__xludf.DUMMYFUNCTION("GOOGLEFINANCE(A321,""PRICE"")"),3075)</f>
        <v>3075</v>
      </c>
      <c r="C321" s="11">
        <f ca="1">IFERROR(__xludf.DUMMYFUNCTION("GOOGLEFINANCE(A321,""PRICEOPEN"")"),3068.8)</f>
        <v>3068.8</v>
      </c>
      <c r="D321" s="11">
        <f ca="1">IFERROR(__xludf.DUMMYFUNCTION("GOOGLEFINANCE(A321,""HIGH"")"),3091.6)</f>
        <v>3091.6</v>
      </c>
      <c r="E321" s="11">
        <f ca="1">IFERROR(__xludf.DUMMYFUNCTION("GOOGLEFINANCE(A321,""LOW"")"),3020.6)</f>
        <v>3020.6</v>
      </c>
      <c r="F321" s="12" t="str">
        <f t="shared" ca="1" si="14"/>
        <v/>
      </c>
      <c r="G321" s="13">
        <f ca="1">IFERROR(__xludf.DUMMYFUNCTION("GOOGLEFINANCE(A321,""CLOSEYEST"")"),3068.8)</f>
        <v>3068.8</v>
      </c>
      <c r="H321" s="14" t="str">
        <f t="shared" ca="1" si="20"/>
        <v/>
      </c>
      <c r="I321" s="15">
        <f t="shared" ca="1" si="15"/>
        <v>3060.3333333333335</v>
      </c>
      <c r="J321" s="16">
        <f t="shared" ca="1" si="16"/>
        <v>3100.0666666666671</v>
      </c>
      <c r="K321" s="16"/>
      <c r="L321" s="16">
        <f t="shared" ca="1" si="17"/>
        <v>3029.0666666666671</v>
      </c>
      <c r="M321" s="16">
        <f t="shared" ca="1" si="18"/>
        <v>3131.3333333333335</v>
      </c>
      <c r="N321" s="16">
        <f t="shared" ca="1" si="19"/>
        <v>2989.3333333333335</v>
      </c>
    </row>
    <row r="322" spans="1:14" ht="24.75" customHeight="1" x14ac:dyDescent="0.8">
      <c r="A322" s="18" t="s">
        <v>285</v>
      </c>
      <c r="B322" s="10" t="str">
        <f ca="1">IFERROR(__xludf.DUMMYFUNCTION("GOOGLEFINANCE(A322,""PRICE"")"),"#N/A")</f>
        <v>#N/A</v>
      </c>
      <c r="C322" s="11" t="str">
        <f ca="1">IFERROR(__xludf.DUMMYFUNCTION("GOOGLEFINANCE(A322,""PRICEOPEN"")"),"#N/A")</f>
        <v>#N/A</v>
      </c>
      <c r="D322" s="11" t="str">
        <f ca="1">IFERROR(__xludf.DUMMYFUNCTION("GOOGLEFINANCE(A322,""HIGH"")"),"#N/A")</f>
        <v>#N/A</v>
      </c>
      <c r="E322" s="11" t="str">
        <f ca="1">IFERROR(__xludf.DUMMYFUNCTION("GOOGLEFINANCE(A322,""LOW"")"),"#N/A")</f>
        <v>#N/A</v>
      </c>
      <c r="F322" s="12" t="str">
        <f t="shared" ca="1" si="14"/>
        <v>SELL</v>
      </c>
      <c r="G322" s="13" t="str">
        <f ca="1">IFERROR(__xludf.DUMMYFUNCTION("GOOGLEFINANCE(A322,""CLOSEYEST"")"),"#N/A")</f>
        <v>#N/A</v>
      </c>
      <c r="H322" s="14" t="e">
        <f t="shared" ca="1" si="20"/>
        <v>#VALUE!</v>
      </c>
      <c r="I322" s="15" t="e">
        <f t="shared" ca="1" si="15"/>
        <v>#VALUE!</v>
      </c>
      <c r="J322" s="16" t="e">
        <f t="shared" ca="1" si="16"/>
        <v>#VALUE!</v>
      </c>
      <c r="K322" s="16"/>
      <c r="L322" s="16" t="e">
        <f t="shared" ca="1" si="17"/>
        <v>#VALUE!</v>
      </c>
      <c r="M322" s="16" t="e">
        <f t="shared" ca="1" si="18"/>
        <v>#VALUE!</v>
      </c>
      <c r="N322" s="16" t="e">
        <f t="shared" ca="1" si="19"/>
        <v>#VALUE!</v>
      </c>
    </row>
    <row r="323" spans="1:14" ht="24.75" customHeight="1" x14ac:dyDescent="0.8">
      <c r="A323" s="18" t="s">
        <v>286</v>
      </c>
      <c r="B323" s="10">
        <f ca="1">IFERROR(__xludf.DUMMYFUNCTION("GOOGLEFINANCE(A323,""PRICE"")"),17.89)</f>
        <v>17.89</v>
      </c>
      <c r="C323" s="11">
        <f ca="1">IFERROR(__xludf.DUMMYFUNCTION("GOOGLEFINANCE(A323,""PRICEOPEN"")"),17.37)</f>
        <v>17.37</v>
      </c>
      <c r="D323" s="11">
        <f ca="1">IFERROR(__xludf.DUMMYFUNCTION("GOOGLEFINANCE(A323,""HIGH"")"),17.89)</f>
        <v>17.89</v>
      </c>
      <c r="E323" s="11">
        <f ca="1">IFERROR(__xludf.DUMMYFUNCTION("GOOGLEFINANCE(A323,""LOW"")"),17.37)</f>
        <v>17.37</v>
      </c>
      <c r="F323" s="12" t="str">
        <f t="shared" ca="1" si="14"/>
        <v>BUY</v>
      </c>
      <c r="G323" s="13">
        <f ca="1">IFERROR(__xludf.DUMMYFUNCTION("GOOGLEFINANCE(A323,""CLOSEYEST"")"),17.44)</f>
        <v>17.440000000000001</v>
      </c>
      <c r="H323" s="14" t="str">
        <f t="shared" ca="1" si="20"/>
        <v/>
      </c>
      <c r="I323" s="15">
        <f t="shared" ca="1" si="15"/>
        <v>17.566666666666666</v>
      </c>
      <c r="J323" s="16">
        <f t="shared" ca="1" si="16"/>
        <v>17.763333333333332</v>
      </c>
      <c r="K323" s="16"/>
      <c r="L323" s="16">
        <f t="shared" ca="1" si="17"/>
        <v>17.243333333333332</v>
      </c>
      <c r="M323" s="16">
        <f t="shared" ca="1" si="18"/>
        <v>18.086666666666666</v>
      </c>
      <c r="N323" s="16">
        <f t="shared" ca="1" si="19"/>
        <v>17.046666666666667</v>
      </c>
    </row>
    <row r="324" spans="1:14" ht="24.75" customHeight="1" x14ac:dyDescent="0.8">
      <c r="A324" s="18" t="s">
        <v>287</v>
      </c>
      <c r="B324" s="10">
        <f ca="1">IFERROR(__xludf.DUMMYFUNCTION("GOOGLEFINANCE(A324,""PRICE"")"),42.14)</f>
        <v>42.14</v>
      </c>
      <c r="C324" s="11">
        <f ca="1">IFERROR(__xludf.DUMMYFUNCTION("GOOGLEFINANCE(A324,""PRICEOPEN"")"),41.5)</f>
        <v>41.5</v>
      </c>
      <c r="D324" s="11">
        <f ca="1">IFERROR(__xludf.DUMMYFUNCTION("GOOGLEFINANCE(A324,""HIGH"")"),42.15)</f>
        <v>42.15</v>
      </c>
      <c r="E324" s="11">
        <f ca="1">IFERROR(__xludf.DUMMYFUNCTION("GOOGLEFINANCE(A324,""LOW"")"),41.4)</f>
        <v>41.4</v>
      </c>
      <c r="F324" s="12" t="str">
        <f t="shared" ca="1" si="14"/>
        <v/>
      </c>
      <c r="G324" s="13">
        <f ca="1">IFERROR(__xludf.DUMMYFUNCTION("GOOGLEFINANCE(A324,""CLOSEYEST"")"),41.47)</f>
        <v>41.47</v>
      </c>
      <c r="H324" s="14" t="str">
        <f t="shared" ca="1" si="20"/>
        <v/>
      </c>
      <c r="I324" s="15">
        <f t="shared" ca="1" si="15"/>
        <v>41.673333333333332</v>
      </c>
      <c r="J324" s="16">
        <f t="shared" ca="1" si="16"/>
        <v>41.946666666666665</v>
      </c>
      <c r="K324" s="16"/>
      <c r="L324" s="16">
        <f t="shared" ca="1" si="17"/>
        <v>41.196666666666665</v>
      </c>
      <c r="M324" s="16">
        <f t="shared" ca="1" si="18"/>
        <v>42.423333333333332</v>
      </c>
      <c r="N324" s="16">
        <f t="shared" ca="1" si="19"/>
        <v>40.923333333333332</v>
      </c>
    </row>
    <row r="325" spans="1:14" ht="24.75" customHeight="1" x14ac:dyDescent="0.8">
      <c r="A325" s="18" t="s">
        <v>288</v>
      </c>
      <c r="B325" s="10">
        <f ca="1">IFERROR(__xludf.DUMMYFUNCTION("GOOGLEFINANCE(A325,""PRICE"")"),407.2)</f>
        <v>407.2</v>
      </c>
      <c r="C325" s="11">
        <f ca="1">IFERROR(__xludf.DUMMYFUNCTION("GOOGLEFINANCE(A325,""PRICEOPEN"")"),413.85)</f>
        <v>413.85</v>
      </c>
      <c r="D325" s="11">
        <f ca="1">IFERROR(__xludf.DUMMYFUNCTION("GOOGLEFINANCE(A325,""HIGH"")"),413.85)</f>
        <v>413.85</v>
      </c>
      <c r="E325" s="11">
        <f ca="1">IFERROR(__xludf.DUMMYFUNCTION("GOOGLEFINANCE(A325,""LOW"")"),407.05)</f>
        <v>407.05</v>
      </c>
      <c r="F325" s="12" t="str">
        <f t="shared" ca="1" si="14"/>
        <v>SELL</v>
      </c>
      <c r="G325" s="13">
        <f ca="1">IFERROR(__xludf.DUMMYFUNCTION("GOOGLEFINANCE(A325,""CLOSEYEST"")"),409.45)</f>
        <v>409.45</v>
      </c>
      <c r="H325" s="14" t="str">
        <f t="shared" ca="1" si="20"/>
        <v>GAP UP</v>
      </c>
      <c r="I325" s="15">
        <f t="shared" ca="1" si="15"/>
        <v>410.11666666666673</v>
      </c>
      <c r="J325" s="16">
        <f t="shared" ca="1" si="16"/>
        <v>413.18333333333345</v>
      </c>
      <c r="K325" s="16"/>
      <c r="L325" s="16">
        <f t="shared" ca="1" si="17"/>
        <v>406.38333333333344</v>
      </c>
      <c r="M325" s="16">
        <f t="shared" ca="1" si="18"/>
        <v>416.91666666666674</v>
      </c>
      <c r="N325" s="16">
        <f t="shared" ca="1" si="19"/>
        <v>403.31666666666672</v>
      </c>
    </row>
    <row r="326" spans="1:14" ht="24.75" customHeight="1" x14ac:dyDescent="0.8">
      <c r="A326" s="18" t="s">
        <v>289</v>
      </c>
      <c r="B326" s="10">
        <f ca="1">IFERROR(__xludf.DUMMYFUNCTION("GOOGLEFINANCE(A326,""PRICE"")"),398)</f>
        <v>398</v>
      </c>
      <c r="C326" s="11">
        <f ca="1">IFERROR(__xludf.DUMMYFUNCTION("GOOGLEFINANCE(A326,""PRICEOPEN"")"),394.9)</f>
        <v>394.9</v>
      </c>
      <c r="D326" s="11">
        <f ca="1">IFERROR(__xludf.DUMMYFUNCTION("GOOGLEFINANCE(A326,""HIGH"")"),398.35)</f>
        <v>398.35</v>
      </c>
      <c r="E326" s="11">
        <f ca="1">IFERROR(__xludf.DUMMYFUNCTION("GOOGLEFINANCE(A326,""LOW"")"),392.5)</f>
        <v>392.5</v>
      </c>
      <c r="F326" s="12" t="str">
        <f t="shared" ca="1" si="14"/>
        <v/>
      </c>
      <c r="G326" s="13">
        <f ca="1">IFERROR(__xludf.DUMMYFUNCTION("GOOGLEFINANCE(A326,""CLOSEYEST"")"),395.05)</f>
        <v>395.05</v>
      </c>
      <c r="H326" s="14" t="str">
        <f t="shared" ca="1" si="20"/>
        <v/>
      </c>
      <c r="I326" s="15">
        <f t="shared" ca="1" si="15"/>
        <v>395.3</v>
      </c>
      <c r="J326" s="16">
        <f t="shared" ca="1" si="16"/>
        <v>398.1</v>
      </c>
      <c r="K326" s="16"/>
      <c r="L326" s="16">
        <f t="shared" ca="1" si="17"/>
        <v>392.25</v>
      </c>
      <c r="M326" s="16">
        <f t="shared" ca="1" si="18"/>
        <v>401.15000000000003</v>
      </c>
      <c r="N326" s="16">
        <f t="shared" ca="1" si="19"/>
        <v>389.45</v>
      </c>
    </row>
    <row r="327" spans="1:14" ht="24.75" customHeight="1" x14ac:dyDescent="0.8">
      <c r="A327" s="18" t="s">
        <v>290</v>
      </c>
      <c r="B327" s="10">
        <f ca="1">IFERROR(__xludf.DUMMYFUNCTION("GOOGLEFINANCE(A327,""PRICE"")"),472)</f>
        <v>472</v>
      </c>
      <c r="C327" s="11">
        <f ca="1">IFERROR(__xludf.DUMMYFUNCTION("GOOGLEFINANCE(A327,""PRICEOPEN"")"),469.2)</f>
        <v>469.2</v>
      </c>
      <c r="D327" s="11">
        <f ca="1">IFERROR(__xludf.DUMMYFUNCTION("GOOGLEFINANCE(A327,""HIGH"")"),475.5)</f>
        <v>475.5</v>
      </c>
      <c r="E327" s="11">
        <f ca="1">IFERROR(__xludf.DUMMYFUNCTION("GOOGLEFINANCE(A327,""LOW"")"),466.25)</f>
        <v>466.25</v>
      </c>
      <c r="F327" s="12" t="str">
        <f t="shared" ca="1" si="14"/>
        <v/>
      </c>
      <c r="G327" s="13">
        <f ca="1">IFERROR(__xludf.DUMMYFUNCTION("GOOGLEFINANCE(A327,""CLOSEYEST"")"),467.65)</f>
        <v>467.65</v>
      </c>
      <c r="H327" s="14" t="str">
        <f t="shared" ca="1" si="20"/>
        <v/>
      </c>
      <c r="I327" s="15">
        <f t="shared" ca="1" si="15"/>
        <v>469.8</v>
      </c>
      <c r="J327" s="16">
        <f t="shared" ca="1" si="16"/>
        <v>473.35</v>
      </c>
      <c r="K327" s="16"/>
      <c r="L327" s="16">
        <f t="shared" ca="1" si="17"/>
        <v>464.1</v>
      </c>
      <c r="M327" s="16">
        <f t="shared" ca="1" si="18"/>
        <v>479.05</v>
      </c>
      <c r="N327" s="16">
        <f t="shared" ca="1" si="19"/>
        <v>460.55</v>
      </c>
    </row>
    <row r="328" spans="1:14" ht="24.75" customHeight="1" x14ac:dyDescent="0.8">
      <c r="A328" s="18" t="s">
        <v>291</v>
      </c>
      <c r="B328" s="10">
        <f ca="1">IFERROR(__xludf.DUMMYFUNCTION("GOOGLEFINANCE(A328,""PRICE"")"),1977)</f>
        <v>1977</v>
      </c>
      <c r="C328" s="11">
        <f ca="1">IFERROR(__xludf.DUMMYFUNCTION("GOOGLEFINANCE(A328,""PRICEOPEN"")"),1959.2)</f>
        <v>1959.2</v>
      </c>
      <c r="D328" s="11">
        <f ca="1">IFERROR(__xludf.DUMMYFUNCTION("GOOGLEFINANCE(A328,""HIGH"")"),1990)</f>
        <v>1990</v>
      </c>
      <c r="E328" s="11">
        <f ca="1">IFERROR(__xludf.DUMMYFUNCTION("GOOGLEFINANCE(A328,""LOW"")"),1950.2)</f>
        <v>1950.2</v>
      </c>
      <c r="F328" s="12" t="str">
        <f t="shared" ca="1" si="14"/>
        <v/>
      </c>
      <c r="G328" s="13">
        <f ca="1">IFERROR(__xludf.DUMMYFUNCTION("GOOGLEFINANCE(A328,""CLOSEYEST"")"),1959.2)</f>
        <v>1959.2</v>
      </c>
      <c r="H328" s="14" t="str">
        <f t="shared" ca="1" si="20"/>
        <v/>
      </c>
      <c r="I328" s="15">
        <f t="shared" ca="1" si="15"/>
        <v>1966.4666666666665</v>
      </c>
      <c r="J328" s="16">
        <f t="shared" ca="1" si="16"/>
        <v>1982.7333333333329</v>
      </c>
      <c r="K328" s="16"/>
      <c r="L328" s="16">
        <f t="shared" ca="1" si="17"/>
        <v>1942.9333333333329</v>
      </c>
      <c r="M328" s="16">
        <f t="shared" ca="1" si="18"/>
        <v>2006.2666666666664</v>
      </c>
      <c r="N328" s="16">
        <f t="shared" ca="1" si="19"/>
        <v>1926.6666666666665</v>
      </c>
    </row>
    <row r="329" spans="1:14" ht="24.75" customHeight="1" x14ac:dyDescent="0.8">
      <c r="A329" s="18" t="s">
        <v>292</v>
      </c>
      <c r="B329" s="10">
        <f ca="1">IFERROR(__xludf.DUMMYFUNCTION("GOOGLEFINANCE(A329,""PRICE"")"),807.7)</f>
        <v>807.7</v>
      </c>
      <c r="C329" s="11">
        <f ca="1">IFERROR(__xludf.DUMMYFUNCTION("GOOGLEFINANCE(A329,""PRICEOPEN"")"),798.9)</f>
        <v>798.9</v>
      </c>
      <c r="D329" s="11">
        <f ca="1">IFERROR(__xludf.DUMMYFUNCTION("GOOGLEFINANCE(A329,""HIGH"")"),811)</f>
        <v>811</v>
      </c>
      <c r="E329" s="11">
        <f ca="1">IFERROR(__xludf.DUMMYFUNCTION("GOOGLEFINANCE(A329,""LOW"")"),798.9)</f>
        <v>798.9</v>
      </c>
      <c r="F329" s="12" t="str">
        <f t="shared" ca="1" si="14"/>
        <v>BUY</v>
      </c>
      <c r="G329" s="13">
        <f ca="1">IFERROR(__xludf.DUMMYFUNCTION("GOOGLEFINANCE(A329,""CLOSEYEST"")"),801.6)</f>
        <v>801.6</v>
      </c>
      <c r="H329" s="14" t="str">
        <f t="shared" ca="1" si="20"/>
        <v/>
      </c>
      <c r="I329" s="15">
        <f t="shared" ca="1" si="15"/>
        <v>803.83333333333337</v>
      </c>
      <c r="J329" s="16">
        <f t="shared" ca="1" si="16"/>
        <v>808.76666666666677</v>
      </c>
      <c r="K329" s="16"/>
      <c r="L329" s="16">
        <f t="shared" ca="1" si="17"/>
        <v>796.66666666666674</v>
      </c>
      <c r="M329" s="16">
        <f t="shared" ca="1" si="18"/>
        <v>815.93333333333339</v>
      </c>
      <c r="N329" s="16">
        <f t="shared" ca="1" si="19"/>
        <v>791.73333333333335</v>
      </c>
    </row>
    <row r="330" spans="1:14" ht="24.75" customHeight="1" x14ac:dyDescent="0.8">
      <c r="A330" s="18" t="s">
        <v>293</v>
      </c>
      <c r="B330" s="10">
        <f ca="1">IFERROR(__xludf.DUMMYFUNCTION("GOOGLEFINANCE(A330,""PRICE"")"),544.05)</f>
        <v>544.04999999999995</v>
      </c>
      <c r="C330" s="11">
        <f ca="1">IFERROR(__xludf.DUMMYFUNCTION("GOOGLEFINANCE(A330,""PRICEOPEN"")"),549)</f>
        <v>549</v>
      </c>
      <c r="D330" s="11">
        <f ca="1">IFERROR(__xludf.DUMMYFUNCTION("GOOGLEFINANCE(A330,""HIGH"")"),550.7)</f>
        <v>550.70000000000005</v>
      </c>
      <c r="E330" s="11">
        <f ca="1">IFERROR(__xludf.DUMMYFUNCTION("GOOGLEFINANCE(A330,""LOW"")"),541.45)</f>
        <v>541.45000000000005</v>
      </c>
      <c r="F330" s="12" t="str">
        <f t="shared" ca="1" si="14"/>
        <v/>
      </c>
      <c r="G330" s="13">
        <f ca="1">IFERROR(__xludf.DUMMYFUNCTION("GOOGLEFINANCE(A330,""CLOSEYEST"")"),547.85)</f>
        <v>547.85</v>
      </c>
      <c r="H330" s="14" t="str">
        <f t="shared" ca="1" si="20"/>
        <v/>
      </c>
      <c r="I330" s="15">
        <f t="shared" ca="1" si="15"/>
        <v>546.66666666666663</v>
      </c>
      <c r="J330" s="16">
        <f t="shared" ca="1" si="16"/>
        <v>551.88333333333321</v>
      </c>
      <c r="K330" s="16"/>
      <c r="L330" s="16">
        <f t="shared" ca="1" si="17"/>
        <v>542.63333333333321</v>
      </c>
      <c r="M330" s="16">
        <f t="shared" ca="1" si="18"/>
        <v>555.91666666666663</v>
      </c>
      <c r="N330" s="16">
        <f t="shared" ca="1" si="19"/>
        <v>537.41666666666663</v>
      </c>
    </row>
    <row r="331" spans="1:14" ht="24.75" customHeight="1" x14ac:dyDescent="0.8">
      <c r="A331" s="18" t="s">
        <v>294</v>
      </c>
      <c r="B331" s="10" t="str">
        <f ca="1">IFERROR(__xludf.DUMMYFUNCTION("GOOGLEFINANCE(A331,""PRICE"")"),"#N/A")</f>
        <v>#N/A</v>
      </c>
      <c r="C331" s="11" t="str">
        <f ca="1">IFERROR(__xludf.DUMMYFUNCTION("GOOGLEFINANCE(A331,""PRICEOPEN"")"),"#N/A")</f>
        <v>#N/A</v>
      </c>
      <c r="D331" s="11" t="str">
        <f ca="1">IFERROR(__xludf.DUMMYFUNCTION("GOOGLEFINANCE(A331,""HIGH"")"),"#N/A")</f>
        <v>#N/A</v>
      </c>
      <c r="E331" s="11" t="str">
        <f ca="1">IFERROR(__xludf.DUMMYFUNCTION("GOOGLEFINANCE(A331,""LOW"")"),"#N/A")</f>
        <v>#N/A</v>
      </c>
      <c r="F331" s="12" t="str">
        <f t="shared" ca="1" si="14"/>
        <v>SELL</v>
      </c>
      <c r="G331" s="13" t="str">
        <f ca="1">IFERROR(__xludf.DUMMYFUNCTION("GOOGLEFINANCE(A331,""CLOSEYEST"")"),"#N/A")</f>
        <v>#N/A</v>
      </c>
      <c r="H331" s="14" t="e">
        <f t="shared" ca="1" si="20"/>
        <v>#VALUE!</v>
      </c>
      <c r="I331" s="15" t="e">
        <f t="shared" ca="1" si="15"/>
        <v>#VALUE!</v>
      </c>
      <c r="J331" s="16" t="e">
        <f t="shared" ca="1" si="16"/>
        <v>#VALUE!</v>
      </c>
      <c r="K331" s="16"/>
      <c r="L331" s="16" t="e">
        <f t="shared" ca="1" si="17"/>
        <v>#VALUE!</v>
      </c>
      <c r="M331" s="16" t="e">
        <f t="shared" ca="1" si="18"/>
        <v>#VALUE!</v>
      </c>
      <c r="N331" s="16" t="e">
        <f t="shared" ca="1" si="19"/>
        <v>#VALUE!</v>
      </c>
    </row>
    <row r="332" spans="1:14" ht="24.75" customHeight="1" x14ac:dyDescent="0.8">
      <c r="A332" s="18" t="s">
        <v>295</v>
      </c>
      <c r="B332" s="10">
        <f ca="1">IFERROR(__xludf.DUMMYFUNCTION("GOOGLEFINANCE(A332,""PRICE"")"),286.15)</f>
        <v>286.14999999999998</v>
      </c>
      <c r="C332" s="11">
        <f ca="1">IFERROR(__xludf.DUMMYFUNCTION("GOOGLEFINANCE(A332,""PRICEOPEN"")"),287.6)</f>
        <v>287.60000000000002</v>
      </c>
      <c r="D332" s="11">
        <f ca="1">IFERROR(__xludf.DUMMYFUNCTION("GOOGLEFINANCE(A332,""HIGH"")"),287.6)</f>
        <v>287.60000000000002</v>
      </c>
      <c r="E332" s="11">
        <f ca="1">IFERROR(__xludf.DUMMYFUNCTION("GOOGLEFINANCE(A332,""LOW"")"),281.55)</f>
        <v>281.55</v>
      </c>
      <c r="F332" s="12" t="str">
        <f t="shared" ca="1" si="14"/>
        <v>SELL</v>
      </c>
      <c r="G332" s="13">
        <f ca="1">IFERROR(__xludf.DUMMYFUNCTION("GOOGLEFINANCE(A332,""CLOSEYEST"")"),286.35)</f>
        <v>286.35000000000002</v>
      </c>
      <c r="H332" s="14" t="str">
        <f t="shared" ca="1" si="20"/>
        <v/>
      </c>
      <c r="I332" s="15">
        <f t="shared" ca="1" si="15"/>
        <v>285.16666666666669</v>
      </c>
      <c r="J332" s="16">
        <f t="shared" ca="1" si="16"/>
        <v>288.78333333333336</v>
      </c>
      <c r="K332" s="16"/>
      <c r="L332" s="16">
        <f t="shared" ca="1" si="17"/>
        <v>282.73333333333335</v>
      </c>
      <c r="M332" s="16">
        <f t="shared" ca="1" si="18"/>
        <v>291.2166666666667</v>
      </c>
      <c r="N332" s="16">
        <f t="shared" ca="1" si="19"/>
        <v>279.11666666666667</v>
      </c>
    </row>
    <row r="333" spans="1:14" ht="24.75" customHeight="1" x14ac:dyDescent="0.8">
      <c r="A333" s="18" t="s">
        <v>296</v>
      </c>
      <c r="B333" s="10">
        <f ca="1">IFERROR(__xludf.DUMMYFUNCTION("GOOGLEFINANCE(A333,""PRICE"")"),1317)</f>
        <v>1317</v>
      </c>
      <c r="C333" s="11">
        <f ca="1">IFERROR(__xludf.DUMMYFUNCTION("GOOGLEFINANCE(A333,""PRICEOPEN"")"),1296.5)</f>
        <v>1296.5</v>
      </c>
      <c r="D333" s="11">
        <f ca="1">IFERROR(__xludf.DUMMYFUNCTION("GOOGLEFINANCE(A333,""HIGH"")"),1329.5)</f>
        <v>1329.5</v>
      </c>
      <c r="E333" s="11">
        <f ca="1">IFERROR(__xludf.DUMMYFUNCTION("GOOGLEFINANCE(A333,""LOW"")"),1296.5)</f>
        <v>1296.5</v>
      </c>
      <c r="F333" s="12" t="str">
        <f t="shared" ca="1" si="14"/>
        <v>BUY</v>
      </c>
      <c r="G333" s="13">
        <f ca="1">IFERROR(__xludf.DUMMYFUNCTION("GOOGLEFINANCE(A333,""CLOSEYEST"")"),1309.1)</f>
        <v>1309.0999999999999</v>
      </c>
      <c r="H333" s="14" t="str">
        <f t="shared" ca="1" si="20"/>
        <v/>
      </c>
      <c r="I333" s="15">
        <f t="shared" ca="1" si="15"/>
        <v>1311.7</v>
      </c>
      <c r="J333" s="16">
        <f t="shared" ca="1" si="16"/>
        <v>1326.9</v>
      </c>
      <c r="K333" s="16"/>
      <c r="L333" s="16">
        <f t="shared" ca="1" si="17"/>
        <v>1293.9000000000001</v>
      </c>
      <c r="M333" s="16">
        <f t="shared" ca="1" si="18"/>
        <v>1344.7</v>
      </c>
      <c r="N333" s="16">
        <f t="shared" ca="1" si="19"/>
        <v>1278.7</v>
      </c>
    </row>
    <row r="334" spans="1:14" ht="24.75" customHeight="1" x14ac:dyDescent="0.8">
      <c r="A334" s="18" t="s">
        <v>297</v>
      </c>
      <c r="B334" s="10">
        <f ca="1">IFERROR(__xludf.DUMMYFUNCTION("GOOGLEFINANCE(A334,""PRICE"")"),3819)</f>
        <v>3819</v>
      </c>
      <c r="C334" s="11">
        <f ca="1">IFERROR(__xludf.DUMMYFUNCTION("GOOGLEFINANCE(A334,""PRICEOPEN"")"),3858)</f>
        <v>3858</v>
      </c>
      <c r="D334" s="11">
        <f ca="1">IFERROR(__xludf.DUMMYFUNCTION("GOOGLEFINANCE(A334,""HIGH"")"),3865)</f>
        <v>3865</v>
      </c>
      <c r="E334" s="11">
        <f ca="1">IFERROR(__xludf.DUMMYFUNCTION("GOOGLEFINANCE(A334,""LOW"")"),3788.5)</f>
        <v>3788.5</v>
      </c>
      <c r="F334" s="12" t="str">
        <f t="shared" ca="1" si="14"/>
        <v/>
      </c>
      <c r="G334" s="13">
        <f ca="1">IFERROR(__xludf.DUMMYFUNCTION("GOOGLEFINANCE(A334,""CLOSEYEST"")"),3823.2)</f>
        <v>3823.2</v>
      </c>
      <c r="H334" s="14" t="str">
        <f t="shared" ca="1" si="20"/>
        <v/>
      </c>
      <c r="I334" s="15">
        <f t="shared" ca="1" si="15"/>
        <v>3825.5666666666671</v>
      </c>
      <c r="J334" s="16">
        <f t="shared" ca="1" si="16"/>
        <v>3862.6333333333341</v>
      </c>
      <c r="K334" s="16"/>
      <c r="L334" s="16">
        <f t="shared" ca="1" si="17"/>
        <v>3786.1333333333341</v>
      </c>
      <c r="M334" s="16">
        <f t="shared" ca="1" si="18"/>
        <v>3902.0666666666671</v>
      </c>
      <c r="N334" s="16">
        <f t="shared" ca="1" si="19"/>
        <v>3749.0666666666671</v>
      </c>
    </row>
    <row r="335" spans="1:14" ht="24.75" customHeight="1" x14ac:dyDescent="0.8">
      <c r="A335" s="18" t="s">
        <v>298</v>
      </c>
      <c r="B335" s="10">
        <f ca="1">IFERROR(__xludf.DUMMYFUNCTION("GOOGLEFINANCE(A335,""PRICE"")"),911)</f>
        <v>911</v>
      </c>
      <c r="C335" s="11">
        <f ca="1">IFERROR(__xludf.DUMMYFUNCTION("GOOGLEFINANCE(A335,""PRICEOPEN"")"),903.7)</f>
        <v>903.7</v>
      </c>
      <c r="D335" s="11">
        <f ca="1">IFERROR(__xludf.DUMMYFUNCTION("GOOGLEFINANCE(A335,""HIGH"")"),914)</f>
        <v>914</v>
      </c>
      <c r="E335" s="11">
        <f ca="1">IFERROR(__xludf.DUMMYFUNCTION("GOOGLEFINANCE(A335,""LOW"")"),896.4)</f>
        <v>896.4</v>
      </c>
      <c r="F335" s="12" t="str">
        <f t="shared" ca="1" si="14"/>
        <v/>
      </c>
      <c r="G335" s="13">
        <f ca="1">IFERROR(__xludf.DUMMYFUNCTION("GOOGLEFINANCE(A335,""CLOSEYEST"")"),900.1)</f>
        <v>900.1</v>
      </c>
      <c r="H335" s="14" t="str">
        <f t="shared" ca="1" si="20"/>
        <v/>
      </c>
      <c r="I335" s="15">
        <f t="shared" ca="1" si="15"/>
        <v>903.5</v>
      </c>
      <c r="J335" s="16">
        <f t="shared" ca="1" si="16"/>
        <v>910.6</v>
      </c>
      <c r="K335" s="16"/>
      <c r="L335" s="16">
        <f t="shared" ca="1" si="17"/>
        <v>893</v>
      </c>
      <c r="M335" s="16">
        <f t="shared" ca="1" si="18"/>
        <v>921.1</v>
      </c>
      <c r="N335" s="16">
        <f t="shared" ca="1" si="19"/>
        <v>885.9</v>
      </c>
    </row>
    <row r="336" spans="1:14" ht="24.75" customHeight="1" x14ac:dyDescent="0.8">
      <c r="A336" s="18" t="s">
        <v>299</v>
      </c>
      <c r="B336" s="10">
        <f ca="1">IFERROR(__xludf.DUMMYFUNCTION("GOOGLEFINANCE(A336,""PRICE"")"),641)</f>
        <v>641</v>
      </c>
      <c r="C336" s="11">
        <f ca="1">IFERROR(__xludf.DUMMYFUNCTION("GOOGLEFINANCE(A336,""PRICEOPEN"")"),642.8)</f>
        <v>642.79999999999995</v>
      </c>
      <c r="D336" s="11">
        <f ca="1">IFERROR(__xludf.DUMMYFUNCTION("GOOGLEFINANCE(A336,""HIGH"")"),648)</f>
        <v>648</v>
      </c>
      <c r="E336" s="11">
        <f ca="1">IFERROR(__xludf.DUMMYFUNCTION("GOOGLEFINANCE(A336,""LOW"")"),637.1)</f>
        <v>637.1</v>
      </c>
      <c r="F336" s="12" t="str">
        <f t="shared" ca="1" si="14"/>
        <v/>
      </c>
      <c r="G336" s="13">
        <f ca="1">IFERROR(__xludf.DUMMYFUNCTION("GOOGLEFINANCE(A336,""CLOSEYEST"")"),637.05)</f>
        <v>637.04999999999995</v>
      </c>
      <c r="H336" s="14" t="str">
        <f t="shared" ca="1" si="20"/>
        <v/>
      </c>
      <c r="I336" s="15">
        <f t="shared" ca="1" si="15"/>
        <v>640.71666666666658</v>
      </c>
      <c r="J336" s="16">
        <f t="shared" ca="1" si="16"/>
        <v>644.33333333333314</v>
      </c>
      <c r="K336" s="16"/>
      <c r="L336" s="16">
        <f t="shared" ca="1" si="17"/>
        <v>633.43333333333317</v>
      </c>
      <c r="M336" s="16">
        <f t="shared" ca="1" si="18"/>
        <v>651.61666666666656</v>
      </c>
      <c r="N336" s="16">
        <f t="shared" ca="1" si="19"/>
        <v>629.81666666666661</v>
      </c>
    </row>
    <row r="337" spans="1:14" ht="24.75" customHeight="1" x14ac:dyDescent="0.8">
      <c r="A337" s="18" t="s">
        <v>300</v>
      </c>
      <c r="B337" s="10">
        <f ca="1">IFERROR(__xludf.DUMMYFUNCTION("GOOGLEFINANCE(A337,""PRICE"")"),56.52)</f>
        <v>56.52</v>
      </c>
      <c r="C337" s="11">
        <f ca="1">IFERROR(__xludf.DUMMYFUNCTION("GOOGLEFINANCE(A337,""PRICEOPEN"")"),55.67)</f>
        <v>55.67</v>
      </c>
      <c r="D337" s="11">
        <f ca="1">IFERROR(__xludf.DUMMYFUNCTION("GOOGLEFINANCE(A337,""HIGH"")"),57.1)</f>
        <v>57.1</v>
      </c>
      <c r="E337" s="11">
        <f ca="1">IFERROR(__xludf.DUMMYFUNCTION("GOOGLEFINANCE(A337,""LOW"")"),55.66)</f>
        <v>55.66</v>
      </c>
      <c r="F337" s="12" t="str">
        <f t="shared" ca="1" si="14"/>
        <v/>
      </c>
      <c r="G337" s="13">
        <f ca="1">IFERROR(__xludf.DUMMYFUNCTION("GOOGLEFINANCE(A337,""CLOSEYEST"")"),55.95)</f>
        <v>55.95</v>
      </c>
      <c r="H337" s="14" t="str">
        <f t="shared" ca="1" si="20"/>
        <v/>
      </c>
      <c r="I337" s="15">
        <f t="shared" ca="1" si="15"/>
        <v>56.236666666666657</v>
      </c>
      <c r="J337" s="16">
        <f t="shared" ca="1" si="16"/>
        <v>56.813333333333318</v>
      </c>
      <c r="K337" s="16"/>
      <c r="L337" s="16">
        <f t="shared" ca="1" si="17"/>
        <v>55.373333333333314</v>
      </c>
      <c r="M337" s="16">
        <f t="shared" ca="1" si="18"/>
        <v>57.676666666666662</v>
      </c>
      <c r="N337" s="16">
        <f t="shared" ca="1" si="19"/>
        <v>54.796666666666653</v>
      </c>
    </row>
    <row r="338" spans="1:14" ht="24.75" customHeight="1" x14ac:dyDescent="0.8">
      <c r="A338" s="18" t="s">
        <v>301</v>
      </c>
      <c r="B338" s="10">
        <f ca="1">IFERROR(__xludf.DUMMYFUNCTION("GOOGLEFINANCE(A338,""PRICE"")"),4696)</f>
        <v>4696</v>
      </c>
      <c r="C338" s="11">
        <f ca="1">IFERROR(__xludf.DUMMYFUNCTION("GOOGLEFINANCE(A338,""PRICEOPEN"")"),4630)</f>
        <v>4630</v>
      </c>
      <c r="D338" s="11">
        <f ca="1">IFERROR(__xludf.DUMMYFUNCTION("GOOGLEFINANCE(A338,""HIGH"")"),4829.9)</f>
        <v>4829.8999999999996</v>
      </c>
      <c r="E338" s="11">
        <f ca="1">IFERROR(__xludf.DUMMYFUNCTION("GOOGLEFINANCE(A338,""LOW"")"),4595)</f>
        <v>4595</v>
      </c>
      <c r="F338" s="12" t="str">
        <f t="shared" ca="1" si="14"/>
        <v/>
      </c>
      <c r="G338" s="13">
        <f ca="1">IFERROR(__xludf.DUMMYFUNCTION("GOOGLEFINANCE(A338,""CLOSEYEST"")"),4589.7)</f>
        <v>4589.7</v>
      </c>
      <c r="H338" s="14" t="str">
        <f t="shared" ca="1" si="20"/>
        <v/>
      </c>
      <c r="I338" s="15">
        <f t="shared" ca="1" si="15"/>
        <v>4671.5333333333328</v>
      </c>
      <c r="J338" s="16">
        <f t="shared" ca="1" si="16"/>
        <v>4748.0666666666657</v>
      </c>
      <c r="K338" s="16"/>
      <c r="L338" s="16">
        <f t="shared" ca="1" si="17"/>
        <v>4513.1666666666661</v>
      </c>
      <c r="M338" s="16">
        <f t="shared" ca="1" si="18"/>
        <v>4906.4333333333325</v>
      </c>
      <c r="N338" s="16">
        <f t="shared" ca="1" si="19"/>
        <v>4436.6333333333332</v>
      </c>
    </row>
    <row r="339" spans="1:14" ht="24.75" customHeight="1" x14ac:dyDescent="0.8">
      <c r="A339" s="18" t="s">
        <v>302</v>
      </c>
      <c r="B339" s="10">
        <f ca="1">IFERROR(__xludf.DUMMYFUNCTION("GOOGLEFINANCE(A339,""PRICE"")"),895.2)</f>
        <v>895.2</v>
      </c>
      <c r="C339" s="11">
        <f ca="1">IFERROR(__xludf.DUMMYFUNCTION("GOOGLEFINANCE(A339,""PRICEOPEN"")"),876.2)</f>
        <v>876.2</v>
      </c>
      <c r="D339" s="11">
        <f ca="1">IFERROR(__xludf.DUMMYFUNCTION("GOOGLEFINANCE(A339,""HIGH"")"),898)</f>
        <v>898</v>
      </c>
      <c r="E339" s="11">
        <f ca="1">IFERROR(__xludf.DUMMYFUNCTION("GOOGLEFINANCE(A339,""LOW"")"),870)</f>
        <v>870</v>
      </c>
      <c r="F339" s="12" t="str">
        <f t="shared" ca="1" si="14"/>
        <v/>
      </c>
      <c r="G339" s="13">
        <f ca="1">IFERROR(__xludf.DUMMYFUNCTION("GOOGLEFINANCE(A339,""CLOSEYEST"")"),868.5)</f>
        <v>868.5</v>
      </c>
      <c r="H339" s="14" t="str">
        <f t="shared" ca="1" si="20"/>
        <v/>
      </c>
      <c r="I339" s="15">
        <f t="shared" ca="1" si="15"/>
        <v>878.83333333333337</v>
      </c>
      <c r="J339" s="16">
        <f t="shared" ca="1" si="16"/>
        <v>887.66666666666674</v>
      </c>
      <c r="K339" s="16"/>
      <c r="L339" s="16">
        <f t="shared" ca="1" si="17"/>
        <v>859.66666666666674</v>
      </c>
      <c r="M339" s="16">
        <f t="shared" ca="1" si="18"/>
        <v>906.83333333333337</v>
      </c>
      <c r="N339" s="16">
        <f t="shared" ca="1" si="19"/>
        <v>850.83333333333337</v>
      </c>
    </row>
    <row r="340" spans="1:14" ht="24.75" customHeight="1" x14ac:dyDescent="0.8">
      <c r="A340" s="18" t="s">
        <v>303</v>
      </c>
      <c r="B340" s="10">
        <f ca="1">IFERROR(__xludf.DUMMYFUNCTION("GOOGLEFINANCE(A340,""PRICE"")"),1755)</f>
        <v>1755</v>
      </c>
      <c r="C340" s="11">
        <f ca="1">IFERROR(__xludf.DUMMYFUNCTION("GOOGLEFINANCE(A340,""PRICEOPEN"")"),1741.9)</f>
        <v>1741.9</v>
      </c>
      <c r="D340" s="11">
        <f ca="1">IFERROR(__xludf.DUMMYFUNCTION("GOOGLEFINANCE(A340,""HIGH"")"),1803)</f>
        <v>1803</v>
      </c>
      <c r="E340" s="11">
        <f ca="1">IFERROR(__xludf.DUMMYFUNCTION("GOOGLEFINANCE(A340,""LOW"")"),1737.9)</f>
        <v>1737.9</v>
      </c>
      <c r="F340" s="12" t="str">
        <f t="shared" ca="1" si="14"/>
        <v/>
      </c>
      <c r="G340" s="13">
        <f ca="1">IFERROR(__xludf.DUMMYFUNCTION("GOOGLEFINANCE(A340,""CLOSEYEST"")"),1731.5)</f>
        <v>1731.5</v>
      </c>
      <c r="H340" s="14" t="str">
        <f t="shared" ca="1" si="20"/>
        <v/>
      </c>
      <c r="I340" s="15">
        <f t="shared" ca="1" si="15"/>
        <v>1757.4666666666665</v>
      </c>
      <c r="J340" s="16">
        <f t="shared" ca="1" si="16"/>
        <v>1777.0333333333328</v>
      </c>
      <c r="K340" s="16"/>
      <c r="L340" s="16">
        <f t="shared" ca="1" si="17"/>
        <v>1711.9333333333329</v>
      </c>
      <c r="M340" s="16">
        <f t="shared" ca="1" si="18"/>
        <v>1822.5666666666664</v>
      </c>
      <c r="N340" s="16">
        <f t="shared" ca="1" si="19"/>
        <v>1692.3666666666666</v>
      </c>
    </row>
    <row r="341" spans="1:14" ht="24.75" customHeight="1" x14ac:dyDescent="0.8">
      <c r="A341" s="18" t="s">
        <v>304</v>
      </c>
      <c r="B341" s="10">
        <f ca="1">IFERROR(__xludf.DUMMYFUNCTION("GOOGLEFINANCE(A341,""PRICE"")"),1667.1)</f>
        <v>1667.1</v>
      </c>
      <c r="C341" s="11">
        <f ca="1">IFERROR(__xludf.DUMMYFUNCTION("GOOGLEFINANCE(A341,""PRICEOPEN"")"),1690)</f>
        <v>1690</v>
      </c>
      <c r="D341" s="11">
        <f ca="1">IFERROR(__xludf.DUMMYFUNCTION("GOOGLEFINANCE(A341,""HIGH"")"),1695)</f>
        <v>1695</v>
      </c>
      <c r="E341" s="11">
        <f ca="1">IFERROR(__xludf.DUMMYFUNCTION("GOOGLEFINANCE(A341,""LOW"")"),1665)</f>
        <v>1665</v>
      </c>
      <c r="F341" s="12" t="str">
        <f t="shared" ca="1" si="14"/>
        <v/>
      </c>
      <c r="G341" s="13">
        <f ca="1">IFERROR(__xludf.DUMMYFUNCTION("GOOGLEFINANCE(A341,""CLOSEYEST"")"),1689.7)</f>
        <v>1689.7</v>
      </c>
      <c r="H341" s="14" t="str">
        <f t="shared" ca="1" si="20"/>
        <v/>
      </c>
      <c r="I341" s="15">
        <f t="shared" ca="1" si="15"/>
        <v>1683.2333333333333</v>
      </c>
      <c r="J341" s="16">
        <f t="shared" ca="1" si="16"/>
        <v>1701.4666666666667</v>
      </c>
      <c r="K341" s="16"/>
      <c r="L341" s="16">
        <f t="shared" ca="1" si="17"/>
        <v>1671.4666666666667</v>
      </c>
      <c r="M341" s="16">
        <f t="shared" ca="1" si="18"/>
        <v>1713.2333333333333</v>
      </c>
      <c r="N341" s="16">
        <f t="shared" ca="1" si="19"/>
        <v>1653.2333333333333</v>
      </c>
    </row>
    <row r="342" spans="1:14" ht="24.75" customHeight="1" x14ac:dyDescent="0.8">
      <c r="A342" s="18" t="s">
        <v>305</v>
      </c>
      <c r="B342" s="10" t="str">
        <f ca="1">IFERROR(__xludf.DUMMYFUNCTION("GOOGLEFINANCE(A342,""PRICE"")"),"#N/A")</f>
        <v>#N/A</v>
      </c>
      <c r="C342" s="11" t="str">
        <f ca="1">IFERROR(__xludf.DUMMYFUNCTION("GOOGLEFINANCE(A342,""PRICEOPEN"")"),"#N/A")</f>
        <v>#N/A</v>
      </c>
      <c r="D342" s="11" t="str">
        <f ca="1">IFERROR(__xludf.DUMMYFUNCTION("GOOGLEFINANCE(A342,""HIGH"")"),"#N/A")</f>
        <v>#N/A</v>
      </c>
      <c r="E342" s="11" t="str">
        <f ca="1">IFERROR(__xludf.DUMMYFUNCTION("GOOGLEFINANCE(A342,""LOW"")"),"#N/A")</f>
        <v>#N/A</v>
      </c>
      <c r="F342" s="12" t="str">
        <f t="shared" ca="1" si="14"/>
        <v>SELL</v>
      </c>
      <c r="G342" s="13" t="str">
        <f ca="1">IFERROR(__xludf.DUMMYFUNCTION("GOOGLEFINANCE(A342,""CLOSEYEST"")"),"#N/A")</f>
        <v>#N/A</v>
      </c>
      <c r="H342" s="14" t="e">
        <f t="shared" ca="1" si="20"/>
        <v>#VALUE!</v>
      </c>
      <c r="I342" s="15" t="e">
        <f t="shared" ca="1" si="15"/>
        <v>#VALUE!</v>
      </c>
      <c r="J342" s="16" t="e">
        <f t="shared" ca="1" si="16"/>
        <v>#VALUE!</v>
      </c>
      <c r="K342" s="16"/>
      <c r="L342" s="16" t="e">
        <f t="shared" ca="1" si="17"/>
        <v>#VALUE!</v>
      </c>
      <c r="M342" s="16" t="e">
        <f t="shared" ca="1" si="18"/>
        <v>#VALUE!</v>
      </c>
      <c r="N342" s="16" t="e">
        <f t="shared" ca="1" si="19"/>
        <v>#VALUE!</v>
      </c>
    </row>
    <row r="343" spans="1:14" ht="24.75" customHeight="1" x14ac:dyDescent="0.8">
      <c r="A343" s="18" t="s">
        <v>306</v>
      </c>
      <c r="B343" s="10">
        <f ca="1">IFERROR(__xludf.DUMMYFUNCTION("GOOGLEFINANCE(A343,""PRICE"")"),748)</f>
        <v>748</v>
      </c>
      <c r="C343" s="11">
        <f ca="1">IFERROR(__xludf.DUMMYFUNCTION("GOOGLEFINANCE(A343,""PRICEOPEN"")"),741.8)</f>
        <v>741.8</v>
      </c>
      <c r="D343" s="11">
        <f ca="1">IFERROR(__xludf.DUMMYFUNCTION("GOOGLEFINANCE(A343,""HIGH"")"),752.45)</f>
        <v>752.45</v>
      </c>
      <c r="E343" s="11">
        <f ca="1">IFERROR(__xludf.DUMMYFUNCTION("GOOGLEFINANCE(A343,""LOW"")"),732)</f>
        <v>732</v>
      </c>
      <c r="F343" s="12" t="str">
        <f t="shared" ca="1" si="14"/>
        <v/>
      </c>
      <c r="G343" s="13">
        <f ca="1">IFERROR(__xludf.DUMMYFUNCTION("GOOGLEFINANCE(A343,""CLOSEYEST"")"),741.8)</f>
        <v>741.8</v>
      </c>
      <c r="H343" s="14" t="str">
        <f t="shared" ca="1" si="20"/>
        <v/>
      </c>
      <c r="I343" s="15">
        <f t="shared" ca="1" si="15"/>
        <v>742.08333333333337</v>
      </c>
      <c r="J343" s="16">
        <f t="shared" ca="1" si="16"/>
        <v>752.16666666666674</v>
      </c>
      <c r="K343" s="16"/>
      <c r="L343" s="16">
        <f t="shared" ca="1" si="17"/>
        <v>731.7166666666667</v>
      </c>
      <c r="M343" s="16">
        <f t="shared" ca="1" si="18"/>
        <v>762.53333333333342</v>
      </c>
      <c r="N343" s="16">
        <f t="shared" ca="1" si="19"/>
        <v>721.63333333333333</v>
      </c>
    </row>
    <row r="344" spans="1:14" ht="24.75" customHeight="1" x14ac:dyDescent="0.8">
      <c r="A344" s="18" t="s">
        <v>307</v>
      </c>
      <c r="B344" s="10" t="str">
        <f ca="1">IFERROR(__xludf.DUMMYFUNCTION("GOOGLEFINANCE(A344,""PRICE"")"),"#N/A")</f>
        <v>#N/A</v>
      </c>
      <c r="C344" s="11" t="str">
        <f ca="1">IFERROR(__xludf.DUMMYFUNCTION("GOOGLEFINANCE(A344,""PRICEOPEN"")"),"#N/A")</f>
        <v>#N/A</v>
      </c>
      <c r="D344" s="11" t="str">
        <f ca="1">IFERROR(__xludf.DUMMYFUNCTION("GOOGLEFINANCE(A344,""HIGH"")"),"#N/A")</f>
        <v>#N/A</v>
      </c>
      <c r="E344" s="11" t="str">
        <f ca="1">IFERROR(__xludf.DUMMYFUNCTION("GOOGLEFINANCE(A344,""LOW"")"),"#N/A")</f>
        <v>#N/A</v>
      </c>
      <c r="F344" s="12" t="str">
        <f t="shared" ca="1" si="14"/>
        <v>SELL</v>
      </c>
      <c r="G344" s="13" t="str">
        <f ca="1">IFERROR(__xludf.DUMMYFUNCTION("GOOGLEFINANCE(A344,""CLOSEYEST"")"),"#N/A")</f>
        <v>#N/A</v>
      </c>
      <c r="H344" s="14" t="e">
        <f t="shared" ca="1" si="20"/>
        <v>#VALUE!</v>
      </c>
      <c r="I344" s="15" t="e">
        <f t="shared" ca="1" si="15"/>
        <v>#VALUE!</v>
      </c>
      <c r="J344" s="16" t="e">
        <f t="shared" ca="1" si="16"/>
        <v>#VALUE!</v>
      </c>
      <c r="K344" s="16"/>
      <c r="L344" s="16" t="e">
        <f t="shared" ca="1" si="17"/>
        <v>#VALUE!</v>
      </c>
      <c r="M344" s="16" t="e">
        <f t="shared" ca="1" si="18"/>
        <v>#VALUE!</v>
      </c>
      <c r="N344" s="16" t="e">
        <f t="shared" ca="1" si="19"/>
        <v>#VALUE!</v>
      </c>
    </row>
    <row r="345" spans="1:14" ht="24.75" customHeight="1" x14ac:dyDescent="0.8">
      <c r="A345" s="18" t="s">
        <v>308</v>
      </c>
      <c r="B345" s="10">
        <f ca="1">IFERROR(__xludf.DUMMYFUNCTION("GOOGLEFINANCE(A345,""PRICE"")"),279)</f>
        <v>279</v>
      </c>
      <c r="C345" s="11">
        <f ca="1">IFERROR(__xludf.DUMMYFUNCTION("GOOGLEFINANCE(A345,""PRICEOPEN"")"),279)</f>
        <v>279</v>
      </c>
      <c r="D345" s="11">
        <f ca="1">IFERROR(__xludf.DUMMYFUNCTION("GOOGLEFINANCE(A345,""HIGH"")"),282.45)</f>
        <v>282.45</v>
      </c>
      <c r="E345" s="11">
        <f ca="1">IFERROR(__xludf.DUMMYFUNCTION("GOOGLEFINANCE(A345,""LOW"")"),277.2)</f>
        <v>277.2</v>
      </c>
      <c r="F345" s="12" t="str">
        <f t="shared" ca="1" si="14"/>
        <v/>
      </c>
      <c r="G345" s="13">
        <f ca="1">IFERROR(__xludf.DUMMYFUNCTION("GOOGLEFINANCE(A345,""CLOSEYEST"")"),279)</f>
        <v>279</v>
      </c>
      <c r="H345" s="14" t="str">
        <f t="shared" ca="1" si="20"/>
        <v/>
      </c>
      <c r="I345" s="15">
        <f t="shared" ca="1" si="15"/>
        <v>279.55</v>
      </c>
      <c r="J345" s="16">
        <f t="shared" ca="1" si="16"/>
        <v>281.90000000000003</v>
      </c>
      <c r="K345" s="16"/>
      <c r="L345" s="16">
        <f t="shared" ca="1" si="17"/>
        <v>276.65000000000003</v>
      </c>
      <c r="M345" s="16">
        <f t="shared" ca="1" si="18"/>
        <v>284.8</v>
      </c>
      <c r="N345" s="16">
        <f t="shared" ca="1" si="19"/>
        <v>274.3</v>
      </c>
    </row>
    <row r="346" spans="1:14" ht="24.75" customHeight="1" x14ac:dyDescent="0.8">
      <c r="A346" s="18" t="s">
        <v>309</v>
      </c>
      <c r="B346" s="10">
        <f ca="1">IFERROR(__xludf.DUMMYFUNCTION("GOOGLEFINANCE(A346,""PRICE"")"),22.29)</f>
        <v>22.29</v>
      </c>
      <c r="C346" s="11">
        <f ca="1">IFERROR(__xludf.DUMMYFUNCTION("GOOGLEFINANCE(A346,""PRICEOPEN"")"),22.55)</f>
        <v>22.55</v>
      </c>
      <c r="D346" s="11">
        <f ca="1">IFERROR(__xludf.DUMMYFUNCTION("GOOGLEFINANCE(A346,""HIGH"")"),22.55)</f>
        <v>22.55</v>
      </c>
      <c r="E346" s="11">
        <f ca="1">IFERROR(__xludf.DUMMYFUNCTION("GOOGLEFINANCE(A346,""LOW"")"),22.21)</f>
        <v>22.21</v>
      </c>
      <c r="F346" s="12" t="str">
        <f t="shared" ca="1" si="14"/>
        <v>SELL</v>
      </c>
      <c r="G346" s="13">
        <f ca="1">IFERROR(__xludf.DUMMYFUNCTION("GOOGLEFINANCE(A346,""CLOSEYEST"")"),22.17)</f>
        <v>22.17</v>
      </c>
      <c r="H346" s="14" t="str">
        <f t="shared" ca="1" si="20"/>
        <v>GAP UP</v>
      </c>
      <c r="I346" s="15">
        <f t="shared" ca="1" si="15"/>
        <v>22.310000000000002</v>
      </c>
      <c r="J346" s="16">
        <f t="shared" ca="1" si="16"/>
        <v>22.410000000000004</v>
      </c>
      <c r="K346" s="16"/>
      <c r="L346" s="16">
        <f t="shared" ca="1" si="17"/>
        <v>22.070000000000004</v>
      </c>
      <c r="M346" s="16">
        <f t="shared" ca="1" si="18"/>
        <v>22.650000000000002</v>
      </c>
      <c r="N346" s="16">
        <f t="shared" ca="1" si="19"/>
        <v>21.970000000000002</v>
      </c>
    </row>
    <row r="347" spans="1:14" ht="24.75" customHeight="1" x14ac:dyDescent="0.8">
      <c r="A347" s="18" t="s">
        <v>310</v>
      </c>
      <c r="B347" s="10">
        <f ca="1">IFERROR(__xludf.DUMMYFUNCTION("GOOGLEFINANCE(A347,""PRICE"")"),16.54)</f>
        <v>16.54</v>
      </c>
      <c r="C347" s="11">
        <f ca="1">IFERROR(__xludf.DUMMYFUNCTION("GOOGLEFINANCE(A347,""PRICEOPEN"")"),16.58)</f>
        <v>16.579999999999998</v>
      </c>
      <c r="D347" s="11">
        <f ca="1">IFERROR(__xludf.DUMMYFUNCTION("GOOGLEFINANCE(A347,""HIGH"")"),16.58)</f>
        <v>16.579999999999998</v>
      </c>
      <c r="E347" s="11">
        <f ca="1">IFERROR(__xludf.DUMMYFUNCTION("GOOGLEFINANCE(A347,""LOW"")"),16.54)</f>
        <v>16.54</v>
      </c>
      <c r="F347" s="12" t="str">
        <f t="shared" ca="1" si="14"/>
        <v>SELL</v>
      </c>
      <c r="G347" s="13">
        <f ca="1">IFERROR(__xludf.DUMMYFUNCTION("GOOGLEFINANCE(A347,""CLOSEYEST"")"),16.53)</f>
        <v>16.53</v>
      </c>
      <c r="H347" s="14" t="str">
        <f t="shared" ca="1" si="20"/>
        <v/>
      </c>
      <c r="I347" s="15">
        <f t="shared" ca="1" si="15"/>
        <v>16.55</v>
      </c>
      <c r="J347" s="16">
        <f t="shared" ca="1" si="16"/>
        <v>16.560000000000002</v>
      </c>
      <c r="K347" s="16"/>
      <c r="L347" s="16">
        <f t="shared" ca="1" si="17"/>
        <v>16.520000000000003</v>
      </c>
      <c r="M347" s="16">
        <f t="shared" ca="1" si="18"/>
        <v>16.59</v>
      </c>
      <c r="N347" s="16">
        <f t="shared" ca="1" si="19"/>
        <v>16.510000000000002</v>
      </c>
    </row>
    <row r="348" spans="1:14" ht="24.75" customHeight="1" x14ac:dyDescent="0.8">
      <c r="A348" s="18" t="s">
        <v>311</v>
      </c>
      <c r="B348" s="10">
        <f ca="1">IFERROR(__xludf.DUMMYFUNCTION("GOOGLEFINANCE(A348,""PRICE"")"),337.65)</f>
        <v>337.65</v>
      </c>
      <c r="C348" s="11">
        <f ca="1">IFERROR(__xludf.DUMMYFUNCTION("GOOGLEFINANCE(A348,""PRICEOPEN"")"),338)</f>
        <v>338</v>
      </c>
      <c r="D348" s="11">
        <f ca="1">IFERROR(__xludf.DUMMYFUNCTION("GOOGLEFINANCE(A348,""HIGH"")"),343.7)</f>
        <v>343.7</v>
      </c>
      <c r="E348" s="11">
        <f ca="1">IFERROR(__xludf.DUMMYFUNCTION("GOOGLEFINANCE(A348,""LOW"")"),335)</f>
        <v>335</v>
      </c>
      <c r="F348" s="12" t="str">
        <f t="shared" ca="1" si="14"/>
        <v/>
      </c>
      <c r="G348" s="13">
        <f ca="1">IFERROR(__xludf.DUMMYFUNCTION("GOOGLEFINANCE(A348,""CLOSEYEST"")"),335.3)</f>
        <v>335.3</v>
      </c>
      <c r="H348" s="14" t="str">
        <f t="shared" ca="1" si="20"/>
        <v/>
      </c>
      <c r="I348" s="15">
        <f t="shared" ca="1" si="15"/>
        <v>338</v>
      </c>
      <c r="J348" s="16">
        <f t="shared" ca="1" si="16"/>
        <v>341</v>
      </c>
      <c r="K348" s="16"/>
      <c r="L348" s="16">
        <f t="shared" ca="1" si="17"/>
        <v>332.3</v>
      </c>
      <c r="M348" s="16">
        <f t="shared" ca="1" si="18"/>
        <v>346.7</v>
      </c>
      <c r="N348" s="16">
        <f t="shared" ca="1" si="19"/>
        <v>329.3</v>
      </c>
    </row>
    <row r="349" spans="1:14" ht="24.75" customHeight="1" x14ac:dyDescent="0.8">
      <c r="A349" s="18" t="s">
        <v>312</v>
      </c>
      <c r="B349" s="10">
        <f ca="1">IFERROR(__xludf.DUMMYFUNCTION("GOOGLEFINANCE(A349,""PRICE"")"),91.52)</f>
        <v>91.52</v>
      </c>
      <c r="C349" s="11">
        <f ca="1">IFERROR(__xludf.DUMMYFUNCTION("GOOGLEFINANCE(A349,""PRICEOPEN"")"),91.34)</f>
        <v>91.34</v>
      </c>
      <c r="D349" s="11">
        <f ca="1">IFERROR(__xludf.DUMMYFUNCTION("GOOGLEFINANCE(A349,""HIGH"")"),92.16)</f>
        <v>92.16</v>
      </c>
      <c r="E349" s="11">
        <f ca="1">IFERROR(__xludf.DUMMYFUNCTION("GOOGLEFINANCE(A349,""LOW"")"),90.88)</f>
        <v>90.88</v>
      </c>
      <c r="F349" s="12" t="str">
        <f t="shared" ca="1" si="14"/>
        <v/>
      </c>
      <c r="G349" s="13">
        <f ca="1">IFERROR(__xludf.DUMMYFUNCTION("GOOGLEFINANCE(A349,""CLOSEYEST"")"),90.95)</f>
        <v>90.95</v>
      </c>
      <c r="H349" s="14" t="str">
        <f t="shared" ca="1" si="20"/>
        <v/>
      </c>
      <c r="I349" s="15">
        <f t="shared" ca="1" si="15"/>
        <v>91.33</v>
      </c>
      <c r="J349" s="16">
        <f t="shared" ca="1" si="16"/>
        <v>91.78</v>
      </c>
      <c r="K349" s="16"/>
      <c r="L349" s="16">
        <f t="shared" ca="1" si="17"/>
        <v>90.5</v>
      </c>
      <c r="M349" s="16">
        <f t="shared" ca="1" si="18"/>
        <v>92.61</v>
      </c>
      <c r="N349" s="16">
        <f t="shared" ca="1" si="19"/>
        <v>90.05</v>
      </c>
    </row>
    <row r="350" spans="1:14" ht="24.75" customHeight="1" x14ac:dyDescent="0.8">
      <c r="A350" s="18" t="s">
        <v>313</v>
      </c>
      <c r="B350" s="10">
        <f ca="1">IFERROR(__xludf.DUMMYFUNCTION("GOOGLEFINANCE(A350,""PRICE"")"),214.5)</f>
        <v>214.5</v>
      </c>
      <c r="C350" s="11">
        <f ca="1">IFERROR(__xludf.DUMMYFUNCTION("GOOGLEFINANCE(A350,""PRICEOPEN"")"),210)</f>
        <v>210</v>
      </c>
      <c r="D350" s="11">
        <f ca="1">IFERROR(__xludf.DUMMYFUNCTION("GOOGLEFINANCE(A350,""HIGH"")"),216.8)</f>
        <v>216.8</v>
      </c>
      <c r="E350" s="11">
        <f ca="1">IFERROR(__xludf.DUMMYFUNCTION("GOOGLEFINANCE(A350,""LOW"")"),209.63)</f>
        <v>209.63</v>
      </c>
      <c r="F350" s="12" t="str">
        <f t="shared" ca="1" si="14"/>
        <v/>
      </c>
      <c r="G350" s="13">
        <f ca="1">IFERROR(__xludf.DUMMYFUNCTION("GOOGLEFINANCE(A350,""CLOSEYEST"")"),209.03)</f>
        <v>209.03</v>
      </c>
      <c r="H350" s="14" t="str">
        <f t="shared" ca="1" si="20"/>
        <v/>
      </c>
      <c r="I350" s="15">
        <f t="shared" ca="1" si="15"/>
        <v>211.82000000000002</v>
      </c>
      <c r="J350" s="16">
        <f t="shared" ca="1" si="16"/>
        <v>214.01000000000005</v>
      </c>
      <c r="K350" s="16"/>
      <c r="L350" s="16">
        <f t="shared" ca="1" si="17"/>
        <v>206.84000000000003</v>
      </c>
      <c r="M350" s="16">
        <f t="shared" ca="1" si="18"/>
        <v>218.99000000000004</v>
      </c>
      <c r="N350" s="16">
        <f t="shared" ca="1" si="19"/>
        <v>204.65</v>
      </c>
    </row>
    <row r="351" spans="1:14" ht="24.75" customHeight="1" x14ac:dyDescent="0.8">
      <c r="A351" s="18" t="s">
        <v>314</v>
      </c>
      <c r="B351" s="10">
        <f ca="1">IFERROR(__xludf.DUMMYFUNCTION("GOOGLEFINANCE(A351,""PRICE"")"),206.1)</f>
        <v>206.1</v>
      </c>
      <c r="C351" s="11">
        <f ca="1">IFERROR(__xludf.DUMMYFUNCTION("GOOGLEFINANCE(A351,""PRICEOPEN"")"),200.2)</f>
        <v>200.2</v>
      </c>
      <c r="D351" s="11">
        <f ca="1">IFERROR(__xludf.DUMMYFUNCTION("GOOGLEFINANCE(A351,""HIGH"")"),206.69)</f>
        <v>206.69</v>
      </c>
      <c r="E351" s="11">
        <f ca="1">IFERROR(__xludf.DUMMYFUNCTION("GOOGLEFINANCE(A351,""LOW"")"),199.67)</f>
        <v>199.67</v>
      </c>
      <c r="F351" s="12" t="str">
        <f t="shared" ca="1" si="14"/>
        <v/>
      </c>
      <c r="G351" s="13">
        <f ca="1">IFERROR(__xludf.DUMMYFUNCTION("GOOGLEFINANCE(A351,""CLOSEYEST"")"),199.4)</f>
        <v>199.4</v>
      </c>
      <c r="H351" s="14" t="str">
        <f t="shared" ca="1" si="20"/>
        <v/>
      </c>
      <c r="I351" s="15">
        <f t="shared" ca="1" si="15"/>
        <v>201.92</v>
      </c>
      <c r="J351" s="16">
        <f t="shared" ca="1" si="16"/>
        <v>204.17</v>
      </c>
      <c r="K351" s="16"/>
      <c r="L351" s="16">
        <f t="shared" ca="1" si="17"/>
        <v>197.14999999999998</v>
      </c>
      <c r="M351" s="16">
        <f t="shared" ca="1" si="18"/>
        <v>208.94</v>
      </c>
      <c r="N351" s="16">
        <f t="shared" ca="1" si="19"/>
        <v>194.89999999999998</v>
      </c>
    </row>
    <row r="352" spans="1:14" ht="24.75" customHeight="1" x14ac:dyDescent="0.8">
      <c r="A352" s="18" t="s">
        <v>315</v>
      </c>
      <c r="B352" s="10">
        <f ca="1">IFERROR(__xludf.DUMMYFUNCTION("GOOGLEFINANCE(A352,""PRICE"")"),166)</f>
        <v>166</v>
      </c>
      <c r="C352" s="11">
        <f ca="1">IFERROR(__xludf.DUMMYFUNCTION("GOOGLEFINANCE(A352,""PRICEOPEN"")"),163.2)</f>
        <v>163.19999999999999</v>
      </c>
      <c r="D352" s="11">
        <f ca="1">IFERROR(__xludf.DUMMYFUNCTION("GOOGLEFINANCE(A352,""HIGH"")"),166.67)</f>
        <v>166.67</v>
      </c>
      <c r="E352" s="11">
        <f ca="1">IFERROR(__xludf.DUMMYFUNCTION("GOOGLEFINANCE(A352,""LOW"")"),163.18)</f>
        <v>163.18</v>
      </c>
      <c r="F352" s="12" t="str">
        <f t="shared" ca="1" si="14"/>
        <v/>
      </c>
      <c r="G352" s="13">
        <f ca="1">IFERROR(__xludf.DUMMYFUNCTION("GOOGLEFINANCE(A352,""CLOSEYEST"")"),162.37)</f>
        <v>162.37</v>
      </c>
      <c r="H352" s="14" t="str">
        <f t="shared" ca="1" si="20"/>
        <v/>
      </c>
      <c r="I352" s="15">
        <f t="shared" ca="1" si="15"/>
        <v>164.07333333333335</v>
      </c>
      <c r="J352" s="16">
        <f t="shared" ca="1" si="16"/>
        <v>164.9666666666667</v>
      </c>
      <c r="K352" s="16"/>
      <c r="L352" s="16">
        <f t="shared" ca="1" si="17"/>
        <v>161.47666666666672</v>
      </c>
      <c r="M352" s="16">
        <f t="shared" ca="1" si="18"/>
        <v>167.56333333333333</v>
      </c>
      <c r="N352" s="16">
        <f t="shared" ca="1" si="19"/>
        <v>160.58333333333337</v>
      </c>
    </row>
    <row r="353" spans="1:14" ht="24.75" customHeight="1" x14ac:dyDescent="0.8">
      <c r="A353" s="18" t="s">
        <v>316</v>
      </c>
      <c r="B353" s="10">
        <f ca="1">IFERROR(__xludf.DUMMYFUNCTION("GOOGLEFINANCE(A353,""PRICE"")"),202.7)</f>
        <v>202.7</v>
      </c>
      <c r="C353" s="11">
        <f ca="1">IFERROR(__xludf.DUMMYFUNCTION("GOOGLEFINANCE(A353,""PRICEOPEN"")"),201.5)</f>
        <v>201.5</v>
      </c>
      <c r="D353" s="11">
        <f ca="1">IFERROR(__xludf.DUMMYFUNCTION("GOOGLEFINANCE(A353,""HIGH"")"),203.1)</f>
        <v>203.1</v>
      </c>
      <c r="E353" s="11">
        <f ca="1">IFERROR(__xludf.DUMMYFUNCTION("GOOGLEFINANCE(A353,""LOW"")"),200.61)</f>
        <v>200.61</v>
      </c>
      <c r="F353" s="12" t="str">
        <f t="shared" ca="1" si="14"/>
        <v/>
      </c>
      <c r="G353" s="13">
        <f ca="1">IFERROR(__xludf.DUMMYFUNCTION("GOOGLEFINANCE(A353,""CLOSEYEST"")"),201.03)</f>
        <v>201.03</v>
      </c>
      <c r="H353" s="14" t="str">
        <f t="shared" ca="1" si="20"/>
        <v/>
      </c>
      <c r="I353" s="15">
        <f t="shared" ca="1" si="15"/>
        <v>201.58</v>
      </c>
      <c r="J353" s="16">
        <f t="shared" ca="1" si="16"/>
        <v>202.55</v>
      </c>
      <c r="K353" s="16"/>
      <c r="L353" s="16">
        <f t="shared" ca="1" si="17"/>
        <v>200.06000000000003</v>
      </c>
      <c r="M353" s="16">
        <f t="shared" ca="1" si="18"/>
        <v>204.07</v>
      </c>
      <c r="N353" s="16">
        <f t="shared" ca="1" si="19"/>
        <v>199.09000000000003</v>
      </c>
    </row>
    <row r="354" spans="1:14" ht="24.75" customHeight="1" x14ac:dyDescent="0.8">
      <c r="A354" s="18" t="s">
        <v>317</v>
      </c>
      <c r="B354" s="10">
        <f ca="1">IFERROR(__xludf.DUMMYFUNCTION("GOOGLEFINANCE(A354,""PRICE"")"),1840.3)</f>
        <v>1840.3</v>
      </c>
      <c r="C354" s="11">
        <f ca="1">IFERROR(__xludf.DUMMYFUNCTION("GOOGLEFINANCE(A354,""PRICEOPEN"")"),1909.8)</f>
        <v>1909.8</v>
      </c>
      <c r="D354" s="11">
        <f ca="1">IFERROR(__xludf.DUMMYFUNCTION("GOOGLEFINANCE(A354,""HIGH"")"),1918.9)</f>
        <v>1918.9</v>
      </c>
      <c r="E354" s="11">
        <f ca="1">IFERROR(__xludf.DUMMYFUNCTION("GOOGLEFINANCE(A354,""LOW"")"),1808.8)</f>
        <v>1808.8</v>
      </c>
      <c r="F354" s="12" t="str">
        <f t="shared" ca="1" si="14"/>
        <v/>
      </c>
      <c r="G354" s="13">
        <f ca="1">IFERROR(__xludf.DUMMYFUNCTION("GOOGLEFINANCE(A354,""CLOSEYEST"")"),1907.6)</f>
        <v>1907.6</v>
      </c>
      <c r="H354" s="14" t="str">
        <f t="shared" ca="1" si="20"/>
        <v/>
      </c>
      <c r="I354" s="15">
        <f t="shared" ca="1" si="15"/>
        <v>1878.4333333333332</v>
      </c>
      <c r="J354" s="16">
        <f t="shared" ca="1" si="16"/>
        <v>1948.0666666666664</v>
      </c>
      <c r="K354" s="16"/>
      <c r="L354" s="16">
        <f t="shared" ca="1" si="17"/>
        <v>1837.9666666666662</v>
      </c>
      <c r="M354" s="16">
        <f t="shared" ca="1" si="18"/>
        <v>1988.5333333333333</v>
      </c>
      <c r="N354" s="16">
        <f t="shared" ca="1" si="19"/>
        <v>1768.333333333333</v>
      </c>
    </row>
    <row r="355" spans="1:14" ht="24.75" customHeight="1" x14ac:dyDescent="0.8">
      <c r="A355" s="18" t="s">
        <v>318</v>
      </c>
      <c r="B355" s="10">
        <f ca="1">IFERROR(__xludf.DUMMYFUNCTION("GOOGLEFINANCE(A355,""PRICE"")"),1416)</f>
        <v>1416</v>
      </c>
      <c r="C355" s="11">
        <f ca="1">IFERROR(__xludf.DUMMYFUNCTION("GOOGLEFINANCE(A355,""PRICEOPEN"")"),1404.6)</f>
        <v>1404.6</v>
      </c>
      <c r="D355" s="11">
        <f ca="1">IFERROR(__xludf.DUMMYFUNCTION("GOOGLEFINANCE(A355,""HIGH"")"),1424.1)</f>
        <v>1424.1</v>
      </c>
      <c r="E355" s="11">
        <f ca="1">IFERROR(__xludf.DUMMYFUNCTION("GOOGLEFINANCE(A355,""LOW"")"),1400)</f>
        <v>1400</v>
      </c>
      <c r="F355" s="12" t="str">
        <f t="shared" ca="1" si="14"/>
        <v/>
      </c>
      <c r="G355" s="13">
        <f ca="1">IFERROR(__xludf.DUMMYFUNCTION("GOOGLEFINANCE(A355,""CLOSEYEST"")"),1401.9)</f>
        <v>1401.9</v>
      </c>
      <c r="H355" s="14" t="str">
        <f t="shared" ca="1" si="20"/>
        <v/>
      </c>
      <c r="I355" s="15">
        <f t="shared" ca="1" si="15"/>
        <v>1408.6666666666667</v>
      </c>
      <c r="J355" s="16">
        <f t="shared" ca="1" si="16"/>
        <v>1417.3333333333335</v>
      </c>
      <c r="K355" s="16"/>
      <c r="L355" s="16">
        <f t="shared" ca="1" si="17"/>
        <v>1393.2333333333336</v>
      </c>
      <c r="M355" s="16">
        <f t="shared" ca="1" si="18"/>
        <v>1432.7666666666667</v>
      </c>
      <c r="N355" s="16">
        <f t="shared" ca="1" si="19"/>
        <v>1384.5666666666668</v>
      </c>
    </row>
    <row r="356" spans="1:14" ht="24.75" customHeight="1" x14ac:dyDescent="0.8">
      <c r="A356" s="18" t="s">
        <v>319</v>
      </c>
      <c r="B356" s="10">
        <f ca="1">IFERROR(__xludf.DUMMYFUNCTION("GOOGLEFINANCE(A356,""PRICE"")"),256.6)</f>
        <v>256.60000000000002</v>
      </c>
      <c r="C356" s="11">
        <f ca="1">IFERROR(__xludf.DUMMYFUNCTION("GOOGLEFINANCE(A356,""PRICEOPEN"")"),255.15)</f>
        <v>255.15</v>
      </c>
      <c r="D356" s="11">
        <f ca="1">IFERROR(__xludf.DUMMYFUNCTION("GOOGLEFINANCE(A356,""HIGH"")"),258.1)</f>
        <v>258.10000000000002</v>
      </c>
      <c r="E356" s="11">
        <f ca="1">IFERROR(__xludf.DUMMYFUNCTION("GOOGLEFINANCE(A356,""LOW"")"),252.15)</f>
        <v>252.15</v>
      </c>
      <c r="F356" s="12" t="str">
        <f t="shared" ca="1" si="14"/>
        <v/>
      </c>
      <c r="G356" s="13">
        <f ca="1">IFERROR(__xludf.DUMMYFUNCTION("GOOGLEFINANCE(A356,""CLOSEYEST"")"),255.1)</f>
        <v>255.1</v>
      </c>
      <c r="H356" s="14" t="str">
        <f t="shared" ca="1" si="20"/>
        <v/>
      </c>
      <c r="I356" s="15">
        <f t="shared" ca="1" si="15"/>
        <v>255.11666666666667</v>
      </c>
      <c r="J356" s="16">
        <f t="shared" ca="1" si="16"/>
        <v>258.08333333333337</v>
      </c>
      <c r="K356" s="16"/>
      <c r="L356" s="16">
        <f t="shared" ca="1" si="17"/>
        <v>252.13333333333333</v>
      </c>
      <c r="M356" s="16">
        <f t="shared" ca="1" si="18"/>
        <v>261.06666666666672</v>
      </c>
      <c r="N356" s="16">
        <f t="shared" ca="1" si="19"/>
        <v>249.16666666666663</v>
      </c>
    </row>
    <row r="357" spans="1:14" ht="24.75" customHeight="1" x14ac:dyDescent="0.8">
      <c r="A357" s="18" t="s">
        <v>320</v>
      </c>
      <c r="B357" s="10" t="str">
        <f ca="1">IFERROR(__xludf.DUMMYFUNCTION("GOOGLEFINANCE(A357,""PRICE"")"),"#N/A")</f>
        <v>#N/A</v>
      </c>
      <c r="C357" s="11" t="str">
        <f ca="1">IFERROR(__xludf.DUMMYFUNCTION("GOOGLEFINANCE(A357,""PRICEOPEN"")"),"#N/A")</f>
        <v>#N/A</v>
      </c>
      <c r="D357" s="11" t="str">
        <f ca="1">IFERROR(__xludf.DUMMYFUNCTION("GOOGLEFINANCE(A357,""HIGH"")"),"#N/A")</f>
        <v>#N/A</v>
      </c>
      <c r="E357" s="11" t="str">
        <f ca="1">IFERROR(__xludf.DUMMYFUNCTION("GOOGLEFINANCE(A357,""LOW"")"),"#N/A")</f>
        <v>#N/A</v>
      </c>
      <c r="F357" s="12" t="str">
        <f t="shared" ca="1" si="14"/>
        <v>SELL</v>
      </c>
      <c r="G357" s="13" t="str">
        <f ca="1">IFERROR(__xludf.DUMMYFUNCTION("GOOGLEFINANCE(A357,""CLOSEYEST"")"),"#N/A")</f>
        <v>#N/A</v>
      </c>
      <c r="H357" s="14" t="e">
        <f t="shared" ca="1" si="20"/>
        <v>#VALUE!</v>
      </c>
      <c r="I357" s="15" t="e">
        <f t="shared" ca="1" si="15"/>
        <v>#VALUE!</v>
      </c>
      <c r="J357" s="16" t="e">
        <f t="shared" ca="1" si="16"/>
        <v>#VALUE!</v>
      </c>
      <c r="K357" s="16"/>
      <c r="L357" s="16" t="e">
        <f t="shared" ca="1" si="17"/>
        <v>#VALUE!</v>
      </c>
      <c r="M357" s="16" t="e">
        <f t="shared" ca="1" si="18"/>
        <v>#VALUE!</v>
      </c>
      <c r="N357" s="16" t="e">
        <f t="shared" ca="1" si="19"/>
        <v>#VALUE!</v>
      </c>
    </row>
    <row r="358" spans="1:14" ht="24.75" customHeight="1" x14ac:dyDescent="0.8">
      <c r="A358" s="18" t="s">
        <v>321</v>
      </c>
      <c r="B358" s="10">
        <f ca="1">IFERROR(__xludf.DUMMYFUNCTION("GOOGLEFINANCE(A358,""PRICE"")"),797.4)</f>
        <v>797.4</v>
      </c>
      <c r="C358" s="11">
        <f ca="1">IFERROR(__xludf.DUMMYFUNCTION("GOOGLEFINANCE(A358,""PRICEOPEN"")"),799.5)</f>
        <v>799.5</v>
      </c>
      <c r="D358" s="11">
        <f ca="1">IFERROR(__xludf.DUMMYFUNCTION("GOOGLEFINANCE(A358,""HIGH"")"),809)</f>
        <v>809</v>
      </c>
      <c r="E358" s="11">
        <f ca="1">IFERROR(__xludf.DUMMYFUNCTION("GOOGLEFINANCE(A358,""LOW"")"),790.4)</f>
        <v>790.4</v>
      </c>
      <c r="F358" s="12" t="str">
        <f t="shared" ca="1" si="14"/>
        <v/>
      </c>
      <c r="G358" s="13">
        <f ca="1">IFERROR(__xludf.DUMMYFUNCTION("GOOGLEFINANCE(A358,""CLOSEYEST"")"),797.95)</f>
        <v>797.95</v>
      </c>
      <c r="H358" s="14" t="str">
        <f t="shared" ca="1" si="20"/>
        <v/>
      </c>
      <c r="I358" s="15">
        <f t="shared" ca="1" si="15"/>
        <v>799.11666666666679</v>
      </c>
      <c r="J358" s="16">
        <f t="shared" ca="1" si="16"/>
        <v>807.8333333333336</v>
      </c>
      <c r="K358" s="16"/>
      <c r="L358" s="16">
        <f t="shared" ca="1" si="17"/>
        <v>789.23333333333358</v>
      </c>
      <c r="M358" s="16">
        <f t="shared" ca="1" si="18"/>
        <v>817.71666666666681</v>
      </c>
      <c r="N358" s="16">
        <f t="shared" ca="1" si="19"/>
        <v>780.51666666666677</v>
      </c>
    </row>
    <row r="359" spans="1:14" ht="24.75" customHeight="1" x14ac:dyDescent="0.8">
      <c r="A359" s="18" t="s">
        <v>322</v>
      </c>
      <c r="B359" s="10">
        <f ca="1">IFERROR(__xludf.DUMMYFUNCTION("GOOGLEFINANCE(A359,""PRICE"")"),8205.5)</f>
        <v>8205.5</v>
      </c>
      <c r="C359" s="11">
        <f ca="1">IFERROR(__xludf.DUMMYFUNCTION("GOOGLEFINANCE(A359,""PRICEOPEN"")"),8238)</f>
        <v>8238</v>
      </c>
      <c r="D359" s="11">
        <f ca="1">IFERROR(__xludf.DUMMYFUNCTION("GOOGLEFINANCE(A359,""HIGH"")"),8295.5)</f>
        <v>8295.5</v>
      </c>
      <c r="E359" s="11">
        <f ca="1">IFERROR(__xludf.DUMMYFUNCTION("GOOGLEFINANCE(A359,""LOW"")"),8168)</f>
        <v>8168</v>
      </c>
      <c r="F359" s="12" t="str">
        <f t="shared" ca="1" si="14"/>
        <v/>
      </c>
      <c r="G359" s="13">
        <f ca="1">IFERROR(__xludf.DUMMYFUNCTION("GOOGLEFINANCE(A359,""CLOSEYEST"")"),8241.5)</f>
        <v>8241.5</v>
      </c>
      <c r="H359" s="14" t="str">
        <f t="shared" ca="1" si="20"/>
        <v/>
      </c>
      <c r="I359" s="15">
        <f t="shared" ca="1" si="15"/>
        <v>8235</v>
      </c>
      <c r="J359" s="16">
        <f t="shared" ca="1" si="16"/>
        <v>8302</v>
      </c>
      <c r="K359" s="16"/>
      <c r="L359" s="16">
        <f t="shared" ca="1" si="17"/>
        <v>8174.5</v>
      </c>
      <c r="M359" s="16">
        <f t="shared" ca="1" si="18"/>
        <v>8362.5</v>
      </c>
      <c r="N359" s="16">
        <f t="shared" ca="1" si="19"/>
        <v>8107.5</v>
      </c>
    </row>
    <row r="360" spans="1:14" ht="24.75" customHeight="1" x14ac:dyDescent="0.8">
      <c r="A360" s="18" t="s">
        <v>323</v>
      </c>
      <c r="B360" s="10">
        <f ca="1">IFERROR(__xludf.DUMMYFUNCTION("GOOGLEFINANCE(A360,""PRICE"")"),458)</f>
        <v>458</v>
      </c>
      <c r="C360" s="11">
        <f ca="1">IFERROR(__xludf.DUMMYFUNCTION("GOOGLEFINANCE(A360,""PRICEOPEN"")"),450.2)</f>
        <v>450.2</v>
      </c>
      <c r="D360" s="11">
        <f ca="1">IFERROR(__xludf.DUMMYFUNCTION("GOOGLEFINANCE(A360,""HIGH"")"),468.6)</f>
        <v>468.6</v>
      </c>
      <c r="E360" s="11">
        <f ca="1">IFERROR(__xludf.DUMMYFUNCTION("GOOGLEFINANCE(A360,""LOW"")"),450.1)</f>
        <v>450.1</v>
      </c>
      <c r="F360" s="12" t="str">
        <f t="shared" ca="1" si="14"/>
        <v/>
      </c>
      <c r="G360" s="13">
        <f ca="1">IFERROR(__xludf.DUMMYFUNCTION("GOOGLEFINANCE(A360,""CLOSEYEST"")"),452.2)</f>
        <v>452.2</v>
      </c>
      <c r="H360" s="14" t="str">
        <f t="shared" ca="1" si="20"/>
        <v/>
      </c>
      <c r="I360" s="15">
        <f t="shared" ca="1" si="15"/>
        <v>456.9666666666667</v>
      </c>
      <c r="J360" s="16">
        <f t="shared" ca="1" si="16"/>
        <v>463.83333333333337</v>
      </c>
      <c r="K360" s="16"/>
      <c r="L360" s="16">
        <f t="shared" ca="1" si="17"/>
        <v>445.33333333333337</v>
      </c>
      <c r="M360" s="16">
        <f t="shared" ca="1" si="18"/>
        <v>475.4666666666667</v>
      </c>
      <c r="N360" s="16">
        <f t="shared" ca="1" si="19"/>
        <v>438.4666666666667</v>
      </c>
    </row>
    <row r="361" spans="1:14" ht="24.75" customHeight="1" x14ac:dyDescent="0.8">
      <c r="A361" s="18" t="s">
        <v>324</v>
      </c>
      <c r="B361" s="10">
        <f ca="1">IFERROR(__xludf.DUMMYFUNCTION("GOOGLEFINANCE(A361,""PRICE"")"),462.15)</f>
        <v>462.15</v>
      </c>
      <c r="C361" s="11">
        <f ca="1">IFERROR(__xludf.DUMMYFUNCTION("GOOGLEFINANCE(A361,""PRICEOPEN"")"),459.85)</f>
        <v>459.85</v>
      </c>
      <c r="D361" s="11">
        <f ca="1">IFERROR(__xludf.DUMMYFUNCTION("GOOGLEFINANCE(A361,""HIGH"")"),466.9)</f>
        <v>466.9</v>
      </c>
      <c r="E361" s="11">
        <f ca="1">IFERROR(__xludf.DUMMYFUNCTION("GOOGLEFINANCE(A361,""LOW"")"),455.2)</f>
        <v>455.2</v>
      </c>
      <c r="F361" s="12" t="str">
        <f t="shared" ca="1" si="14"/>
        <v/>
      </c>
      <c r="G361" s="13">
        <f ca="1">IFERROR(__xludf.DUMMYFUNCTION("GOOGLEFINANCE(A361,""CLOSEYEST"")"),459.85)</f>
        <v>459.85</v>
      </c>
      <c r="H361" s="14" t="str">
        <f t="shared" ca="1" si="20"/>
        <v/>
      </c>
      <c r="I361" s="15">
        <f t="shared" ca="1" si="15"/>
        <v>460.64999999999992</v>
      </c>
      <c r="J361" s="16">
        <f t="shared" ca="1" si="16"/>
        <v>466.09999999999985</v>
      </c>
      <c r="K361" s="16"/>
      <c r="L361" s="16">
        <f t="shared" ca="1" si="17"/>
        <v>454.39999999999986</v>
      </c>
      <c r="M361" s="16">
        <f t="shared" ca="1" si="18"/>
        <v>472.34999999999991</v>
      </c>
      <c r="N361" s="16">
        <f t="shared" ca="1" si="19"/>
        <v>448.94999999999993</v>
      </c>
    </row>
    <row r="362" spans="1:14" ht="24.75" customHeight="1" x14ac:dyDescent="0.8">
      <c r="A362" s="18" t="s">
        <v>325</v>
      </c>
      <c r="B362" s="10">
        <f ca="1">IFERROR(__xludf.DUMMYFUNCTION("GOOGLEFINANCE(A362,""PRICE"")"),690)</f>
        <v>690</v>
      </c>
      <c r="C362" s="11">
        <f ca="1">IFERROR(__xludf.DUMMYFUNCTION("GOOGLEFINANCE(A362,""PRICEOPEN"")"),687.9)</f>
        <v>687.9</v>
      </c>
      <c r="D362" s="11">
        <f ca="1">IFERROR(__xludf.DUMMYFUNCTION("GOOGLEFINANCE(A362,""HIGH"")"),694)</f>
        <v>694</v>
      </c>
      <c r="E362" s="11">
        <f ca="1">IFERROR(__xludf.DUMMYFUNCTION("GOOGLEFINANCE(A362,""LOW"")"),676.8)</f>
        <v>676.8</v>
      </c>
      <c r="F362" s="12" t="str">
        <f t="shared" ca="1" si="14"/>
        <v/>
      </c>
      <c r="G362" s="13">
        <f ca="1">IFERROR(__xludf.DUMMYFUNCTION("GOOGLEFINANCE(A362,""CLOSEYEST"")"),687.9)</f>
        <v>687.9</v>
      </c>
      <c r="H362" s="14" t="str">
        <f t="shared" ca="1" si="20"/>
        <v/>
      </c>
      <c r="I362" s="15">
        <f t="shared" ca="1" si="15"/>
        <v>686.23333333333323</v>
      </c>
      <c r="J362" s="16">
        <f t="shared" ca="1" si="16"/>
        <v>695.66666666666652</v>
      </c>
      <c r="K362" s="16"/>
      <c r="L362" s="16">
        <f t="shared" ca="1" si="17"/>
        <v>678.46666666666647</v>
      </c>
      <c r="M362" s="16">
        <f t="shared" ca="1" si="18"/>
        <v>703.43333333333328</v>
      </c>
      <c r="N362" s="16">
        <f t="shared" ca="1" si="19"/>
        <v>669.03333333333319</v>
      </c>
    </row>
    <row r="363" spans="1:14" ht="24.75" customHeight="1" x14ac:dyDescent="0.8">
      <c r="A363" s="18" t="s">
        <v>326</v>
      </c>
      <c r="B363" s="10">
        <f ca="1">IFERROR(__xludf.DUMMYFUNCTION("GOOGLEFINANCE(A363,""PRICE"")"),75.9)</f>
        <v>75.900000000000006</v>
      </c>
      <c r="C363" s="11">
        <f ca="1">IFERROR(__xludf.DUMMYFUNCTION("GOOGLEFINANCE(A363,""PRICEOPEN"")"),73.5)</f>
        <v>73.5</v>
      </c>
      <c r="D363" s="11">
        <f ca="1">IFERROR(__xludf.DUMMYFUNCTION("GOOGLEFINANCE(A363,""HIGH"")"),76.15)</f>
        <v>76.150000000000006</v>
      </c>
      <c r="E363" s="11">
        <f ca="1">IFERROR(__xludf.DUMMYFUNCTION("GOOGLEFINANCE(A363,""LOW"")"),72.81)</f>
        <v>72.81</v>
      </c>
      <c r="F363" s="12" t="str">
        <f t="shared" ca="1" si="14"/>
        <v/>
      </c>
      <c r="G363" s="13">
        <f ca="1">IFERROR(__xludf.DUMMYFUNCTION("GOOGLEFINANCE(A363,""CLOSEYEST"")"),73.42)</f>
        <v>73.42</v>
      </c>
      <c r="H363" s="14" t="str">
        <f t="shared" ca="1" si="20"/>
        <v/>
      </c>
      <c r="I363" s="15">
        <f t="shared" ca="1" si="15"/>
        <v>74.126666666666665</v>
      </c>
      <c r="J363" s="16">
        <f t="shared" ca="1" si="16"/>
        <v>75.443333333333328</v>
      </c>
      <c r="K363" s="16"/>
      <c r="L363" s="16">
        <f t="shared" ca="1" si="17"/>
        <v>72.103333333333325</v>
      </c>
      <c r="M363" s="16">
        <f t="shared" ca="1" si="18"/>
        <v>77.466666666666669</v>
      </c>
      <c r="N363" s="16">
        <f t="shared" ca="1" si="19"/>
        <v>70.786666666666662</v>
      </c>
    </row>
    <row r="364" spans="1:14" ht="24.75" customHeight="1" x14ac:dyDescent="0.8">
      <c r="A364" s="18" t="s">
        <v>327</v>
      </c>
      <c r="B364" s="10">
        <f ca="1">IFERROR(__xludf.DUMMYFUNCTION("GOOGLEFINANCE(A364,""PRICE"")"),4601.5)</f>
        <v>4601.5</v>
      </c>
      <c r="C364" s="11">
        <f ca="1">IFERROR(__xludf.DUMMYFUNCTION("GOOGLEFINANCE(A364,""PRICEOPEN"")"),4549.9)</f>
        <v>4549.8999999999996</v>
      </c>
      <c r="D364" s="11">
        <f ca="1">IFERROR(__xludf.DUMMYFUNCTION("GOOGLEFINANCE(A364,""HIGH"")"),4668.1)</f>
        <v>4668.1000000000004</v>
      </c>
      <c r="E364" s="11">
        <f ca="1">IFERROR(__xludf.DUMMYFUNCTION("GOOGLEFINANCE(A364,""LOW"")"),4481)</f>
        <v>4481</v>
      </c>
      <c r="F364" s="12" t="str">
        <f t="shared" ca="1" si="14"/>
        <v/>
      </c>
      <c r="G364" s="13">
        <f ca="1">IFERROR(__xludf.DUMMYFUNCTION("GOOGLEFINANCE(A364,""CLOSEYEST"")"),4532.8)</f>
        <v>4532.8</v>
      </c>
      <c r="H364" s="14" t="str">
        <f t="shared" ca="1" si="20"/>
        <v/>
      </c>
      <c r="I364" s="15">
        <f t="shared" ca="1" si="15"/>
        <v>4560.6333333333341</v>
      </c>
      <c r="J364" s="16">
        <f t="shared" ca="1" si="16"/>
        <v>4640.2666666666682</v>
      </c>
      <c r="K364" s="16"/>
      <c r="L364" s="16">
        <f t="shared" ca="1" si="17"/>
        <v>4453.1666666666679</v>
      </c>
      <c r="M364" s="16">
        <f t="shared" ca="1" si="18"/>
        <v>4747.7333333333345</v>
      </c>
      <c r="N364" s="16">
        <f t="shared" ca="1" si="19"/>
        <v>4373.5333333333338</v>
      </c>
    </row>
    <row r="365" spans="1:14" ht="24.75" customHeight="1" x14ac:dyDescent="0.8">
      <c r="A365" s="18" t="s">
        <v>328</v>
      </c>
      <c r="B365" s="10">
        <f ca="1">IFERROR(__xludf.DUMMYFUNCTION("GOOGLEFINANCE(A365,""PRICE"")"),1174.7)</f>
        <v>1174.7</v>
      </c>
      <c r="C365" s="11">
        <f ca="1">IFERROR(__xludf.DUMMYFUNCTION("GOOGLEFINANCE(A365,""PRICEOPEN"")"),1155)</f>
        <v>1155</v>
      </c>
      <c r="D365" s="11">
        <f ca="1">IFERROR(__xludf.DUMMYFUNCTION("GOOGLEFINANCE(A365,""HIGH"")"),1175)</f>
        <v>1175</v>
      </c>
      <c r="E365" s="11">
        <f ca="1">IFERROR(__xludf.DUMMYFUNCTION("GOOGLEFINANCE(A365,""LOW"")"),1147.1)</f>
        <v>1147.0999999999999</v>
      </c>
      <c r="F365" s="12" t="str">
        <f t="shared" ca="1" si="14"/>
        <v/>
      </c>
      <c r="G365" s="13">
        <f ca="1">IFERROR(__xludf.DUMMYFUNCTION("GOOGLEFINANCE(A365,""CLOSEYEST"")"),1149.4)</f>
        <v>1149.4000000000001</v>
      </c>
      <c r="H365" s="14" t="str">
        <f t="shared" ca="1" si="20"/>
        <v/>
      </c>
      <c r="I365" s="15">
        <f t="shared" ca="1" si="15"/>
        <v>1157.1666666666667</v>
      </c>
      <c r="J365" s="16">
        <f t="shared" ca="1" si="16"/>
        <v>1167.2333333333336</v>
      </c>
      <c r="K365" s="16"/>
      <c r="L365" s="16">
        <f t="shared" ca="1" si="17"/>
        <v>1139.3333333333335</v>
      </c>
      <c r="M365" s="16">
        <f t="shared" ca="1" si="18"/>
        <v>1185.0666666666668</v>
      </c>
      <c r="N365" s="16">
        <f t="shared" ca="1" si="19"/>
        <v>1129.2666666666667</v>
      </c>
    </row>
    <row r="366" spans="1:14" ht="24.75" customHeight="1" x14ac:dyDescent="0.8">
      <c r="A366" s="18" t="s">
        <v>329</v>
      </c>
      <c r="B366" s="10">
        <f ca="1">IFERROR(__xludf.DUMMYFUNCTION("GOOGLEFINANCE(A366,""PRICE"")"),494.85)</f>
        <v>494.85</v>
      </c>
      <c r="C366" s="11">
        <f ca="1">IFERROR(__xludf.DUMMYFUNCTION("GOOGLEFINANCE(A366,""PRICEOPEN"")"),485.9)</f>
        <v>485.9</v>
      </c>
      <c r="D366" s="11">
        <f ca="1">IFERROR(__xludf.DUMMYFUNCTION("GOOGLEFINANCE(A366,""HIGH"")"),496)</f>
        <v>496</v>
      </c>
      <c r="E366" s="11">
        <f ca="1">IFERROR(__xludf.DUMMYFUNCTION("GOOGLEFINANCE(A366,""LOW"")"),483.15)</f>
        <v>483.15</v>
      </c>
      <c r="F366" s="12" t="str">
        <f t="shared" ca="1" si="14"/>
        <v/>
      </c>
      <c r="G366" s="13">
        <f ca="1">IFERROR(__xludf.DUMMYFUNCTION("GOOGLEFINANCE(A366,""CLOSEYEST"")"),481.95)</f>
        <v>481.95</v>
      </c>
      <c r="H366" s="14" t="str">
        <f t="shared" ca="1" si="20"/>
        <v/>
      </c>
      <c r="I366" s="15">
        <f t="shared" ca="1" si="15"/>
        <v>487.0333333333333</v>
      </c>
      <c r="J366" s="16">
        <f t="shared" ca="1" si="16"/>
        <v>490.91666666666663</v>
      </c>
      <c r="K366" s="16"/>
      <c r="L366" s="16">
        <f t="shared" ca="1" si="17"/>
        <v>478.06666666666661</v>
      </c>
      <c r="M366" s="16">
        <f t="shared" ca="1" si="18"/>
        <v>499.88333333333333</v>
      </c>
      <c r="N366" s="16">
        <f t="shared" ca="1" si="19"/>
        <v>474.18333333333328</v>
      </c>
    </row>
    <row r="367" spans="1:14" ht="24.75" customHeight="1" x14ac:dyDescent="0.8">
      <c r="A367" s="18" t="s">
        <v>330</v>
      </c>
      <c r="B367" s="10">
        <f ca="1">IFERROR(__xludf.DUMMYFUNCTION("GOOGLEFINANCE(A367,""PRICE"")"),1207.8)</f>
        <v>1207.8</v>
      </c>
      <c r="C367" s="11">
        <f ca="1">IFERROR(__xludf.DUMMYFUNCTION("GOOGLEFINANCE(A367,""PRICEOPEN"")"),1213.3)</f>
        <v>1213.3</v>
      </c>
      <c r="D367" s="11">
        <f ca="1">IFERROR(__xludf.DUMMYFUNCTION("GOOGLEFINANCE(A367,""HIGH"")"),1226)</f>
        <v>1226</v>
      </c>
      <c r="E367" s="11">
        <f ca="1">IFERROR(__xludf.DUMMYFUNCTION("GOOGLEFINANCE(A367,""LOW"")"),1198)</f>
        <v>1198</v>
      </c>
      <c r="F367" s="12" t="str">
        <f t="shared" ca="1" si="14"/>
        <v/>
      </c>
      <c r="G367" s="13">
        <f ca="1">IFERROR(__xludf.DUMMYFUNCTION("GOOGLEFINANCE(A367,""CLOSEYEST"")"),1213.3)</f>
        <v>1213.3</v>
      </c>
      <c r="H367" s="14" t="str">
        <f t="shared" ca="1" si="20"/>
        <v/>
      </c>
      <c r="I367" s="15">
        <f t="shared" ca="1" si="15"/>
        <v>1212.4333333333334</v>
      </c>
      <c r="J367" s="16">
        <f t="shared" ca="1" si="16"/>
        <v>1226.8666666666668</v>
      </c>
      <c r="K367" s="16"/>
      <c r="L367" s="16">
        <f t="shared" ca="1" si="17"/>
        <v>1198.8666666666668</v>
      </c>
      <c r="M367" s="16">
        <f t="shared" ca="1" si="18"/>
        <v>1240.4333333333334</v>
      </c>
      <c r="N367" s="16">
        <f t="shared" ca="1" si="19"/>
        <v>1184.4333333333334</v>
      </c>
    </row>
    <row r="368" spans="1:14" ht="24.75" customHeight="1" x14ac:dyDescent="0.8">
      <c r="A368" s="18" t="s">
        <v>331</v>
      </c>
      <c r="B368" s="10" t="str">
        <f ca="1">IFERROR(__xludf.DUMMYFUNCTION("GOOGLEFINANCE(A368,""PRICE"")"),"#N/A")</f>
        <v>#N/A</v>
      </c>
      <c r="C368" s="11" t="str">
        <f ca="1">IFERROR(__xludf.DUMMYFUNCTION("GOOGLEFINANCE(A368,""PRICEOPEN"")"),"#N/A")</f>
        <v>#N/A</v>
      </c>
      <c r="D368" s="11" t="str">
        <f ca="1">IFERROR(__xludf.DUMMYFUNCTION("GOOGLEFINANCE(A368,""HIGH"")"),"#N/A")</f>
        <v>#N/A</v>
      </c>
      <c r="E368" s="11" t="str">
        <f ca="1">IFERROR(__xludf.DUMMYFUNCTION("GOOGLEFINANCE(A368,""LOW"")"),"#N/A")</f>
        <v>#N/A</v>
      </c>
      <c r="F368" s="12" t="str">
        <f t="shared" ca="1" si="14"/>
        <v>SELL</v>
      </c>
      <c r="G368" s="13" t="str">
        <f ca="1">IFERROR(__xludf.DUMMYFUNCTION("GOOGLEFINANCE(A368,""CLOSEYEST"")"),"#N/A")</f>
        <v>#N/A</v>
      </c>
      <c r="H368" s="14" t="e">
        <f t="shared" ca="1" si="20"/>
        <v>#VALUE!</v>
      </c>
      <c r="I368" s="15" t="e">
        <f t="shared" ca="1" si="15"/>
        <v>#VALUE!</v>
      </c>
      <c r="J368" s="16" t="e">
        <f t="shared" ca="1" si="16"/>
        <v>#VALUE!</v>
      </c>
      <c r="K368" s="16"/>
      <c r="L368" s="16" t="e">
        <f t="shared" ca="1" si="17"/>
        <v>#VALUE!</v>
      </c>
      <c r="M368" s="16" t="e">
        <f t="shared" ca="1" si="18"/>
        <v>#VALUE!</v>
      </c>
      <c r="N368" s="16" t="e">
        <f t="shared" ca="1" si="19"/>
        <v>#VALUE!</v>
      </c>
    </row>
    <row r="369" spans="1:14" ht="24.75" customHeight="1" x14ac:dyDescent="0.8">
      <c r="A369" s="18" t="s">
        <v>332</v>
      </c>
      <c r="B369" s="10">
        <f ca="1">IFERROR(__xludf.DUMMYFUNCTION("GOOGLEFINANCE(A369,""PRICE"")"),315.4)</f>
        <v>315.39999999999998</v>
      </c>
      <c r="C369" s="11">
        <f ca="1">IFERROR(__xludf.DUMMYFUNCTION("GOOGLEFINANCE(A369,""PRICEOPEN"")"),307)</f>
        <v>307</v>
      </c>
      <c r="D369" s="11">
        <f ca="1">IFERROR(__xludf.DUMMYFUNCTION("GOOGLEFINANCE(A369,""HIGH"")"),317.7)</f>
        <v>317.7</v>
      </c>
      <c r="E369" s="11">
        <f ca="1">IFERROR(__xludf.DUMMYFUNCTION("GOOGLEFINANCE(A369,""LOW"")"),305.8)</f>
        <v>305.8</v>
      </c>
      <c r="F369" s="12" t="str">
        <f t="shared" ca="1" si="14"/>
        <v/>
      </c>
      <c r="G369" s="13">
        <f ca="1">IFERROR(__xludf.DUMMYFUNCTION("GOOGLEFINANCE(A369,""CLOSEYEST"")"),307.05)</f>
        <v>307.05</v>
      </c>
      <c r="H369" s="14" t="str">
        <f t="shared" ca="1" si="20"/>
        <v/>
      </c>
      <c r="I369" s="15">
        <f t="shared" ca="1" si="15"/>
        <v>310.18333333333334</v>
      </c>
      <c r="J369" s="16">
        <f t="shared" ca="1" si="16"/>
        <v>314.56666666666666</v>
      </c>
      <c r="K369" s="16"/>
      <c r="L369" s="16">
        <f t="shared" ca="1" si="17"/>
        <v>302.66666666666669</v>
      </c>
      <c r="M369" s="16">
        <f t="shared" ca="1" si="18"/>
        <v>322.08333333333331</v>
      </c>
      <c r="N369" s="16">
        <f t="shared" ca="1" si="19"/>
        <v>298.28333333333336</v>
      </c>
    </row>
    <row r="370" spans="1:14" ht="24.75" customHeight="1" x14ac:dyDescent="0.8">
      <c r="A370" s="18" t="s">
        <v>333</v>
      </c>
      <c r="B370" s="10">
        <f ca="1">IFERROR(__xludf.DUMMYFUNCTION("GOOGLEFINANCE(A370,""PRICE"")"),2259.7)</f>
        <v>2259.6999999999998</v>
      </c>
      <c r="C370" s="11">
        <f ca="1">IFERROR(__xludf.DUMMYFUNCTION("GOOGLEFINANCE(A370,""PRICEOPEN"")"),2241.9)</f>
        <v>2241.9</v>
      </c>
      <c r="D370" s="11">
        <f ca="1">IFERROR(__xludf.DUMMYFUNCTION("GOOGLEFINANCE(A370,""HIGH"")"),2259.7)</f>
        <v>2259.6999999999998</v>
      </c>
      <c r="E370" s="11">
        <f ca="1">IFERROR(__xludf.DUMMYFUNCTION("GOOGLEFINANCE(A370,""LOW"")"),2223)</f>
        <v>2223</v>
      </c>
      <c r="F370" s="12" t="str">
        <f t="shared" ca="1" si="14"/>
        <v/>
      </c>
      <c r="G370" s="13">
        <f ca="1">IFERROR(__xludf.DUMMYFUNCTION("GOOGLEFINANCE(A370,""CLOSEYEST"")"),2226.7)</f>
        <v>2226.6999999999998</v>
      </c>
      <c r="H370" s="14" t="str">
        <f t="shared" ca="1" si="20"/>
        <v/>
      </c>
      <c r="I370" s="15">
        <f t="shared" ca="1" si="15"/>
        <v>2236.4666666666667</v>
      </c>
      <c r="J370" s="16">
        <f t="shared" ca="1" si="16"/>
        <v>2249.9333333333334</v>
      </c>
      <c r="K370" s="16"/>
      <c r="L370" s="16">
        <f t="shared" ca="1" si="17"/>
        <v>2213.2333333333336</v>
      </c>
      <c r="M370" s="16">
        <f t="shared" ca="1" si="18"/>
        <v>2273.1666666666665</v>
      </c>
      <c r="N370" s="16">
        <f t="shared" ca="1" si="19"/>
        <v>2199.7666666666669</v>
      </c>
    </row>
    <row r="371" spans="1:14" ht="24.75" customHeight="1" x14ac:dyDescent="0.8">
      <c r="A371" s="18" t="s">
        <v>334</v>
      </c>
      <c r="B371" s="10">
        <f ca="1">IFERROR(__xludf.DUMMYFUNCTION("GOOGLEFINANCE(A371,""PRICE"")"),762)</f>
        <v>762</v>
      </c>
      <c r="C371" s="11">
        <f ca="1">IFERROR(__xludf.DUMMYFUNCTION("GOOGLEFINANCE(A371,""PRICEOPEN"")"),768.75)</f>
        <v>768.75</v>
      </c>
      <c r="D371" s="11">
        <f ca="1">IFERROR(__xludf.DUMMYFUNCTION("GOOGLEFINANCE(A371,""HIGH"")"),771)</f>
        <v>771</v>
      </c>
      <c r="E371" s="11">
        <f ca="1">IFERROR(__xludf.DUMMYFUNCTION("GOOGLEFINANCE(A371,""LOW"")"),757.8)</f>
        <v>757.8</v>
      </c>
      <c r="F371" s="12" t="str">
        <f t="shared" ca="1" si="14"/>
        <v/>
      </c>
      <c r="G371" s="13">
        <f ca="1">IFERROR(__xludf.DUMMYFUNCTION("GOOGLEFINANCE(A371,""CLOSEYEST"")"),768.75)</f>
        <v>768.75</v>
      </c>
      <c r="H371" s="14" t="str">
        <f t="shared" ca="1" si="20"/>
        <v/>
      </c>
      <c r="I371" s="15">
        <f t="shared" ca="1" si="15"/>
        <v>765.85</v>
      </c>
      <c r="J371" s="16">
        <f t="shared" ca="1" si="16"/>
        <v>773.90000000000009</v>
      </c>
      <c r="K371" s="16"/>
      <c r="L371" s="16">
        <f t="shared" ca="1" si="17"/>
        <v>760.7</v>
      </c>
      <c r="M371" s="16">
        <f t="shared" ca="1" si="18"/>
        <v>779.05000000000007</v>
      </c>
      <c r="N371" s="16">
        <f t="shared" ca="1" si="19"/>
        <v>752.65</v>
      </c>
    </row>
    <row r="372" spans="1:14" ht="24.75" customHeight="1" x14ac:dyDescent="0.8">
      <c r="A372" s="18" t="s">
        <v>335</v>
      </c>
      <c r="B372" s="10">
        <f ca="1">IFERROR(__xludf.DUMMYFUNCTION("GOOGLEFINANCE(A372,""PRICE"")"),1309.7)</f>
        <v>1309.7</v>
      </c>
      <c r="C372" s="11">
        <f ca="1">IFERROR(__xludf.DUMMYFUNCTION("GOOGLEFINANCE(A372,""PRICEOPEN"")"),1299.5)</f>
        <v>1299.5</v>
      </c>
      <c r="D372" s="11">
        <f ca="1">IFERROR(__xludf.DUMMYFUNCTION("GOOGLEFINANCE(A372,""HIGH"")"),1311)</f>
        <v>1311</v>
      </c>
      <c r="E372" s="11">
        <f ca="1">IFERROR(__xludf.DUMMYFUNCTION("GOOGLEFINANCE(A372,""LOW"")"),1295)</f>
        <v>1295</v>
      </c>
      <c r="F372" s="12" t="str">
        <f t="shared" ca="1" si="14"/>
        <v/>
      </c>
      <c r="G372" s="13">
        <f ca="1">IFERROR(__xludf.DUMMYFUNCTION("GOOGLEFINANCE(A372,""CLOSEYEST"")"),1299.5)</f>
        <v>1299.5</v>
      </c>
      <c r="H372" s="14" t="str">
        <f t="shared" ca="1" si="20"/>
        <v/>
      </c>
      <c r="I372" s="15">
        <f t="shared" ca="1" si="15"/>
        <v>1301.8333333333333</v>
      </c>
      <c r="J372" s="16">
        <f t="shared" ca="1" si="16"/>
        <v>1308.6666666666665</v>
      </c>
      <c r="K372" s="16"/>
      <c r="L372" s="16">
        <f t="shared" ca="1" si="17"/>
        <v>1292.6666666666665</v>
      </c>
      <c r="M372" s="16">
        <f t="shared" ca="1" si="18"/>
        <v>1317.8333333333333</v>
      </c>
      <c r="N372" s="16">
        <f t="shared" ca="1" si="19"/>
        <v>1285.8333333333333</v>
      </c>
    </row>
    <row r="373" spans="1:14" ht="24.75" customHeight="1" x14ac:dyDescent="0.8">
      <c r="A373" s="18" t="s">
        <v>336</v>
      </c>
      <c r="B373" s="10">
        <f ca="1">IFERROR(__xludf.DUMMYFUNCTION("GOOGLEFINANCE(A373,""PRICE"")"),123.12)</f>
        <v>123.12</v>
      </c>
      <c r="C373" s="11">
        <f ca="1">IFERROR(__xludf.DUMMYFUNCTION("GOOGLEFINANCE(A373,""PRICEOPEN"")"),122)</f>
        <v>122</v>
      </c>
      <c r="D373" s="11">
        <f ca="1">IFERROR(__xludf.DUMMYFUNCTION("GOOGLEFINANCE(A373,""HIGH"")"),124.5)</f>
        <v>124.5</v>
      </c>
      <c r="E373" s="11">
        <f ca="1">IFERROR(__xludf.DUMMYFUNCTION("GOOGLEFINANCE(A373,""LOW"")"),118.75)</f>
        <v>118.75</v>
      </c>
      <c r="F373" s="12" t="str">
        <f t="shared" ca="1" si="14"/>
        <v/>
      </c>
      <c r="G373" s="13">
        <f ca="1">IFERROR(__xludf.DUMMYFUNCTION("GOOGLEFINANCE(A373,""CLOSEYEST"")"),121.57)</f>
        <v>121.57</v>
      </c>
      <c r="H373" s="14" t="str">
        <f t="shared" ca="1" si="20"/>
        <v/>
      </c>
      <c r="I373" s="15">
        <f t="shared" ca="1" si="15"/>
        <v>121.60666666666667</v>
      </c>
      <c r="J373" s="16">
        <f t="shared" ca="1" si="16"/>
        <v>124.46333333333334</v>
      </c>
      <c r="K373" s="16"/>
      <c r="L373" s="16">
        <f t="shared" ca="1" si="17"/>
        <v>118.71333333333334</v>
      </c>
      <c r="M373" s="16">
        <f t="shared" ca="1" si="18"/>
        <v>127.35666666666667</v>
      </c>
      <c r="N373" s="16">
        <f t="shared" ca="1" si="19"/>
        <v>115.85666666666667</v>
      </c>
    </row>
    <row r="374" spans="1:14" ht="24.75" customHeight="1" x14ac:dyDescent="0.8">
      <c r="A374" s="18" t="s">
        <v>337</v>
      </c>
      <c r="B374" s="10">
        <f ca="1">IFERROR(__xludf.DUMMYFUNCTION("GOOGLEFINANCE(A374,""PRICE"")"),54.62)</f>
        <v>54.62</v>
      </c>
      <c r="C374" s="11">
        <f ca="1">IFERROR(__xludf.DUMMYFUNCTION("GOOGLEFINANCE(A374,""PRICEOPEN"")"),55.44)</f>
        <v>55.44</v>
      </c>
      <c r="D374" s="11">
        <f ca="1">IFERROR(__xludf.DUMMYFUNCTION("GOOGLEFINANCE(A374,""HIGH"")"),55.48)</f>
        <v>55.48</v>
      </c>
      <c r="E374" s="11">
        <f ca="1">IFERROR(__xludf.DUMMYFUNCTION("GOOGLEFINANCE(A374,""LOW"")"),53.85)</f>
        <v>53.85</v>
      </c>
      <c r="F374" s="12" t="str">
        <f t="shared" ca="1" si="14"/>
        <v/>
      </c>
      <c r="G374" s="13">
        <f ca="1">IFERROR(__xludf.DUMMYFUNCTION("GOOGLEFINANCE(A374,""CLOSEYEST"")"),55.18)</f>
        <v>55.18</v>
      </c>
      <c r="H374" s="14" t="str">
        <f t="shared" ca="1" si="20"/>
        <v/>
      </c>
      <c r="I374" s="15">
        <f t="shared" ca="1" si="15"/>
        <v>54.836666666666666</v>
      </c>
      <c r="J374" s="16">
        <f t="shared" ca="1" si="16"/>
        <v>55.823333333333331</v>
      </c>
      <c r="K374" s="16"/>
      <c r="L374" s="16">
        <f t="shared" ca="1" si="17"/>
        <v>54.193333333333335</v>
      </c>
      <c r="M374" s="16">
        <f t="shared" ca="1" si="18"/>
        <v>56.466666666666661</v>
      </c>
      <c r="N374" s="16">
        <f t="shared" ca="1" si="19"/>
        <v>53.206666666666671</v>
      </c>
    </row>
    <row r="375" spans="1:14" ht="24.75" customHeight="1" x14ac:dyDescent="0.8">
      <c r="A375" s="18" t="s">
        <v>338</v>
      </c>
      <c r="B375" s="10" t="str">
        <f ca="1">IFERROR(__xludf.DUMMYFUNCTION("GOOGLEFINANCE(A375,""PRICE"")"),"#N/A")</f>
        <v>#N/A</v>
      </c>
      <c r="C375" s="11" t="str">
        <f ca="1">IFERROR(__xludf.DUMMYFUNCTION("GOOGLEFINANCE(A375,""PRICEOPEN"")"),"#N/A")</f>
        <v>#N/A</v>
      </c>
      <c r="D375" s="11" t="str">
        <f ca="1">IFERROR(__xludf.DUMMYFUNCTION("GOOGLEFINANCE(A375,""HIGH"")"),"#N/A")</f>
        <v>#N/A</v>
      </c>
      <c r="E375" s="11" t="str">
        <f ca="1">IFERROR(__xludf.DUMMYFUNCTION("GOOGLEFINANCE(A375,""LOW"")"),"#N/A")</f>
        <v>#N/A</v>
      </c>
      <c r="F375" s="12" t="str">
        <f t="shared" ca="1" si="14"/>
        <v>SELL</v>
      </c>
      <c r="G375" s="13" t="str">
        <f ca="1">IFERROR(__xludf.DUMMYFUNCTION("GOOGLEFINANCE(A375,""CLOSEYEST"")"),"#N/A")</f>
        <v>#N/A</v>
      </c>
      <c r="H375" s="14" t="e">
        <f t="shared" ca="1" si="20"/>
        <v>#VALUE!</v>
      </c>
      <c r="I375" s="15" t="e">
        <f t="shared" ca="1" si="15"/>
        <v>#VALUE!</v>
      </c>
      <c r="J375" s="16" t="e">
        <f t="shared" ca="1" si="16"/>
        <v>#VALUE!</v>
      </c>
      <c r="K375" s="16"/>
      <c r="L375" s="16" t="e">
        <f t="shared" ca="1" si="17"/>
        <v>#VALUE!</v>
      </c>
      <c r="M375" s="16" t="e">
        <f t="shared" ca="1" si="18"/>
        <v>#VALUE!</v>
      </c>
      <c r="N375" s="16" t="e">
        <f t="shared" ca="1" si="19"/>
        <v>#VALUE!</v>
      </c>
    </row>
    <row r="376" spans="1:14" ht="24.75" customHeight="1" x14ac:dyDescent="0.8">
      <c r="A376" s="18" t="s">
        <v>339</v>
      </c>
      <c r="B376" s="10">
        <f ca="1">IFERROR(__xludf.DUMMYFUNCTION("GOOGLEFINANCE(A376,""PRICE"")"),10.51)</f>
        <v>10.51</v>
      </c>
      <c r="C376" s="11">
        <f ca="1">IFERROR(__xludf.DUMMYFUNCTION("GOOGLEFINANCE(A376,""PRICEOPEN"")"),10.53)</f>
        <v>10.53</v>
      </c>
      <c r="D376" s="11">
        <f ca="1">IFERROR(__xludf.DUMMYFUNCTION("GOOGLEFINANCE(A376,""HIGH"")"),10.53)</f>
        <v>10.53</v>
      </c>
      <c r="E376" s="11">
        <f ca="1">IFERROR(__xludf.DUMMYFUNCTION("GOOGLEFINANCE(A376,""LOW"")"),10.51)</f>
        <v>10.51</v>
      </c>
      <c r="F376" s="12" t="str">
        <f t="shared" ca="1" si="14"/>
        <v>SELL</v>
      </c>
      <c r="G376" s="13">
        <f ca="1">IFERROR(__xludf.DUMMYFUNCTION("GOOGLEFINANCE(A376,""CLOSEYEST"")"),10.52)</f>
        <v>10.52</v>
      </c>
      <c r="H376" s="14" t="str">
        <f t="shared" ca="1" si="20"/>
        <v/>
      </c>
      <c r="I376" s="15">
        <f t="shared" ca="1" si="15"/>
        <v>10.52</v>
      </c>
      <c r="J376" s="16">
        <f t="shared" ca="1" si="16"/>
        <v>10.53</v>
      </c>
      <c r="K376" s="16"/>
      <c r="L376" s="16">
        <f t="shared" ca="1" si="17"/>
        <v>10.51</v>
      </c>
      <c r="M376" s="16">
        <f t="shared" ca="1" si="18"/>
        <v>10.54</v>
      </c>
      <c r="N376" s="16">
        <f t="shared" ca="1" si="19"/>
        <v>10.5</v>
      </c>
    </row>
    <row r="377" spans="1:14" ht="24.75" customHeight="1" x14ac:dyDescent="0.8">
      <c r="A377" s="18" t="s">
        <v>340</v>
      </c>
      <c r="B377" s="10">
        <f ca="1">IFERROR(__xludf.DUMMYFUNCTION("GOOGLEFINANCE(A377,""PRICE"")"),896)</f>
        <v>896</v>
      </c>
      <c r="C377" s="11">
        <f ca="1">IFERROR(__xludf.DUMMYFUNCTION("GOOGLEFINANCE(A377,""PRICEOPEN"")"),896.15)</f>
        <v>896.15</v>
      </c>
      <c r="D377" s="11">
        <f ca="1">IFERROR(__xludf.DUMMYFUNCTION("GOOGLEFINANCE(A377,""HIGH"")"),905.55)</f>
        <v>905.55</v>
      </c>
      <c r="E377" s="11">
        <f ca="1">IFERROR(__xludf.DUMMYFUNCTION("GOOGLEFINANCE(A377,""LOW"")"),890.4)</f>
        <v>890.4</v>
      </c>
      <c r="F377" s="12" t="str">
        <f t="shared" ca="1" si="14"/>
        <v/>
      </c>
      <c r="G377" s="13">
        <f ca="1">IFERROR(__xludf.DUMMYFUNCTION("GOOGLEFINANCE(A377,""CLOSEYEST"")"),895.4)</f>
        <v>895.4</v>
      </c>
      <c r="H377" s="14" t="str">
        <f t="shared" ca="1" si="20"/>
        <v/>
      </c>
      <c r="I377" s="15">
        <f t="shared" ca="1" si="15"/>
        <v>897.11666666666667</v>
      </c>
      <c r="J377" s="16">
        <f t="shared" ca="1" si="16"/>
        <v>903.83333333333337</v>
      </c>
      <c r="K377" s="16"/>
      <c r="L377" s="16">
        <f t="shared" ca="1" si="17"/>
        <v>888.68333333333339</v>
      </c>
      <c r="M377" s="16">
        <f t="shared" ca="1" si="18"/>
        <v>912.26666666666665</v>
      </c>
      <c r="N377" s="16">
        <f t="shared" ca="1" si="19"/>
        <v>881.9666666666667</v>
      </c>
    </row>
    <row r="378" spans="1:14" ht="24.75" customHeight="1" x14ac:dyDescent="0.8">
      <c r="A378" s="18" t="s">
        <v>341</v>
      </c>
      <c r="B378" s="10" t="str">
        <f ca="1">IFERROR(__xludf.DUMMYFUNCTION("GOOGLEFINANCE(A378,""PRICE"")"),"#N/A")</f>
        <v>#N/A</v>
      </c>
      <c r="C378" s="11" t="str">
        <f ca="1">IFERROR(__xludf.DUMMYFUNCTION("GOOGLEFINANCE(A378,""PRICEOPEN"")"),"#N/A")</f>
        <v>#N/A</v>
      </c>
      <c r="D378" s="11" t="str">
        <f ca="1">IFERROR(__xludf.DUMMYFUNCTION("GOOGLEFINANCE(A378,""HIGH"")"),"#N/A")</f>
        <v>#N/A</v>
      </c>
      <c r="E378" s="11" t="str">
        <f ca="1">IFERROR(__xludf.DUMMYFUNCTION("GOOGLEFINANCE(A378,""LOW"")"),"#N/A")</f>
        <v>#N/A</v>
      </c>
      <c r="F378" s="12" t="str">
        <f t="shared" ca="1" si="14"/>
        <v>SELL</v>
      </c>
      <c r="G378" s="13" t="str">
        <f ca="1">IFERROR(__xludf.DUMMYFUNCTION("GOOGLEFINANCE(A378,""CLOSEYEST"")"),"#N/A")</f>
        <v>#N/A</v>
      </c>
      <c r="H378" s="14" t="e">
        <f t="shared" ca="1" si="20"/>
        <v>#VALUE!</v>
      </c>
      <c r="I378" s="15" t="e">
        <f t="shared" ca="1" si="15"/>
        <v>#VALUE!</v>
      </c>
      <c r="J378" s="16" t="e">
        <f t="shared" ca="1" si="16"/>
        <v>#VALUE!</v>
      </c>
      <c r="K378" s="16"/>
      <c r="L378" s="16" t="e">
        <f t="shared" ca="1" si="17"/>
        <v>#VALUE!</v>
      </c>
      <c r="M378" s="16" t="e">
        <f t="shared" ca="1" si="18"/>
        <v>#VALUE!</v>
      </c>
      <c r="N378" s="16" t="e">
        <f t="shared" ca="1" si="19"/>
        <v>#VALUE!</v>
      </c>
    </row>
    <row r="379" spans="1:14" ht="24.75" customHeight="1" x14ac:dyDescent="0.8">
      <c r="A379" s="18" t="s">
        <v>342</v>
      </c>
      <c r="B379" s="10">
        <f ca="1">IFERROR(__xludf.DUMMYFUNCTION("GOOGLEFINANCE(A379,""PRICE"")"),18219)</f>
        <v>18219</v>
      </c>
      <c r="C379" s="11">
        <f ca="1">IFERROR(__xludf.DUMMYFUNCTION("GOOGLEFINANCE(A379,""PRICEOPEN"")"),18500)</f>
        <v>18500</v>
      </c>
      <c r="D379" s="11">
        <f ca="1">IFERROR(__xludf.DUMMYFUNCTION("GOOGLEFINANCE(A379,""HIGH"")"),18550)</f>
        <v>18550</v>
      </c>
      <c r="E379" s="11">
        <f ca="1">IFERROR(__xludf.DUMMYFUNCTION("GOOGLEFINANCE(A379,""LOW"")"),18035)</f>
        <v>18035</v>
      </c>
      <c r="F379" s="12" t="str">
        <f t="shared" ca="1" si="14"/>
        <v/>
      </c>
      <c r="G379" s="13">
        <f ca="1">IFERROR(__xludf.DUMMYFUNCTION("GOOGLEFINANCE(A379,""CLOSEYEST"")"),18134)</f>
        <v>18134</v>
      </c>
      <c r="H379" s="14" t="str">
        <f t="shared" ca="1" si="20"/>
        <v>GAP UP</v>
      </c>
      <c r="I379" s="15">
        <f t="shared" ca="1" si="15"/>
        <v>18239.666666666668</v>
      </c>
      <c r="J379" s="16">
        <f t="shared" ca="1" si="16"/>
        <v>18444.333333333336</v>
      </c>
      <c r="K379" s="16"/>
      <c r="L379" s="16">
        <f t="shared" ca="1" si="17"/>
        <v>17929.333333333336</v>
      </c>
      <c r="M379" s="16">
        <f t="shared" ca="1" si="18"/>
        <v>18754.666666666668</v>
      </c>
      <c r="N379" s="16">
        <f t="shared" ca="1" si="19"/>
        <v>17724.666666666668</v>
      </c>
    </row>
    <row r="380" spans="1:14" ht="24.75" customHeight="1" x14ac:dyDescent="0.8">
      <c r="A380" s="18" t="s">
        <v>343</v>
      </c>
      <c r="B380" s="10">
        <f ca="1">IFERROR(__xludf.DUMMYFUNCTION("GOOGLEFINANCE(A380,""PRICE"")"),1082)</f>
        <v>1082</v>
      </c>
      <c r="C380" s="11">
        <f ca="1">IFERROR(__xludf.DUMMYFUNCTION("GOOGLEFINANCE(A380,""PRICEOPEN"")"),1072)</f>
        <v>1072</v>
      </c>
      <c r="D380" s="11">
        <f ca="1">IFERROR(__xludf.DUMMYFUNCTION("GOOGLEFINANCE(A380,""HIGH"")"),1101.3)</f>
        <v>1101.3</v>
      </c>
      <c r="E380" s="11">
        <f ca="1">IFERROR(__xludf.DUMMYFUNCTION("GOOGLEFINANCE(A380,""LOW"")"),1052.7)</f>
        <v>1052.7</v>
      </c>
      <c r="F380" s="12" t="str">
        <f t="shared" ca="1" si="14"/>
        <v/>
      </c>
      <c r="G380" s="13">
        <f ca="1">IFERROR(__xludf.DUMMYFUNCTION("GOOGLEFINANCE(A380,""CLOSEYEST"")"),1065.3)</f>
        <v>1065.3</v>
      </c>
      <c r="H380" s="14" t="str">
        <f t="shared" ca="1" si="20"/>
        <v/>
      </c>
      <c r="I380" s="15">
        <f t="shared" ca="1" si="15"/>
        <v>1073.1000000000001</v>
      </c>
      <c r="J380" s="16">
        <f t="shared" ca="1" si="16"/>
        <v>1093.5000000000002</v>
      </c>
      <c r="K380" s="16"/>
      <c r="L380" s="16">
        <f t="shared" ca="1" si="17"/>
        <v>1044.9000000000003</v>
      </c>
      <c r="M380" s="16">
        <f t="shared" ca="1" si="18"/>
        <v>1121.7</v>
      </c>
      <c r="N380" s="16">
        <f t="shared" ca="1" si="19"/>
        <v>1024.5000000000002</v>
      </c>
    </row>
    <row r="381" spans="1:14" ht="24.75" customHeight="1" x14ac:dyDescent="0.8">
      <c r="A381" s="18" t="s">
        <v>344</v>
      </c>
      <c r="B381" s="10">
        <f ca="1">IFERROR(__xludf.DUMMYFUNCTION("GOOGLEFINANCE(A381,""PRICE"")"),694.9)</f>
        <v>694.9</v>
      </c>
      <c r="C381" s="11">
        <f ca="1">IFERROR(__xludf.DUMMYFUNCTION("GOOGLEFINANCE(A381,""PRICEOPEN"")"),698.05)</f>
        <v>698.05</v>
      </c>
      <c r="D381" s="11">
        <f ca="1">IFERROR(__xludf.DUMMYFUNCTION("GOOGLEFINANCE(A381,""HIGH"")"),701.15)</f>
        <v>701.15</v>
      </c>
      <c r="E381" s="11">
        <f ca="1">IFERROR(__xludf.DUMMYFUNCTION("GOOGLEFINANCE(A381,""LOW"")"),686.65)</f>
        <v>686.65</v>
      </c>
      <c r="F381" s="12" t="str">
        <f t="shared" ca="1" si="14"/>
        <v/>
      </c>
      <c r="G381" s="13">
        <f ca="1">IFERROR(__xludf.DUMMYFUNCTION("GOOGLEFINANCE(A381,""CLOSEYEST"")"),695.3)</f>
        <v>695.3</v>
      </c>
      <c r="H381" s="14" t="str">
        <f t="shared" ca="1" si="20"/>
        <v/>
      </c>
      <c r="I381" s="15">
        <f t="shared" ca="1" si="15"/>
        <v>694.36666666666667</v>
      </c>
      <c r="J381" s="16">
        <f t="shared" ca="1" si="16"/>
        <v>702.08333333333337</v>
      </c>
      <c r="K381" s="16"/>
      <c r="L381" s="16">
        <f t="shared" ca="1" si="17"/>
        <v>687.58333333333337</v>
      </c>
      <c r="M381" s="16">
        <f t="shared" ca="1" si="18"/>
        <v>708.86666666666667</v>
      </c>
      <c r="N381" s="16">
        <f t="shared" ca="1" si="19"/>
        <v>679.86666666666667</v>
      </c>
    </row>
    <row r="382" spans="1:14" ht="24.75" customHeight="1" x14ac:dyDescent="0.8">
      <c r="A382" s="18" t="s">
        <v>345</v>
      </c>
      <c r="B382" s="10" t="str">
        <f ca="1">IFERROR(__xludf.DUMMYFUNCTION("GOOGLEFINANCE(A382,""PRICE"")"),"#N/A")</f>
        <v>#N/A</v>
      </c>
      <c r="C382" s="11" t="str">
        <f ca="1">IFERROR(__xludf.DUMMYFUNCTION("GOOGLEFINANCE(A382,""PRICEOPEN"")"),"#N/A")</f>
        <v>#N/A</v>
      </c>
      <c r="D382" s="11" t="str">
        <f ca="1">IFERROR(__xludf.DUMMYFUNCTION("GOOGLEFINANCE(A382,""HIGH"")"),"#N/A")</f>
        <v>#N/A</v>
      </c>
      <c r="E382" s="11" t="str">
        <f ca="1">IFERROR(__xludf.DUMMYFUNCTION("GOOGLEFINANCE(A382,""LOW"")"),"#N/A")</f>
        <v>#N/A</v>
      </c>
      <c r="F382" s="12" t="str">
        <f t="shared" ca="1" si="14"/>
        <v>SELL</v>
      </c>
      <c r="G382" s="13" t="str">
        <f ca="1">IFERROR(__xludf.DUMMYFUNCTION("GOOGLEFINANCE(A382,""CLOSEYEST"")"),"#N/A")</f>
        <v>#N/A</v>
      </c>
      <c r="H382" s="14" t="e">
        <f t="shared" ca="1" si="20"/>
        <v>#VALUE!</v>
      </c>
      <c r="I382" s="15" t="e">
        <f t="shared" ca="1" si="15"/>
        <v>#VALUE!</v>
      </c>
      <c r="J382" s="16" t="e">
        <f t="shared" ca="1" si="16"/>
        <v>#VALUE!</v>
      </c>
      <c r="K382" s="16"/>
      <c r="L382" s="16" t="e">
        <f t="shared" ca="1" si="17"/>
        <v>#VALUE!</v>
      </c>
      <c r="M382" s="16" t="e">
        <f t="shared" ca="1" si="18"/>
        <v>#VALUE!</v>
      </c>
      <c r="N382" s="16" t="e">
        <f t="shared" ca="1" si="19"/>
        <v>#VALUE!</v>
      </c>
    </row>
    <row r="383" spans="1:14" ht="24.75" customHeight="1" x14ac:dyDescent="0.8">
      <c r="A383" s="18" t="s">
        <v>346</v>
      </c>
      <c r="B383" s="10">
        <f ca="1">IFERROR(__xludf.DUMMYFUNCTION("GOOGLEFINANCE(A383,""PRICE"")"),7.87)</f>
        <v>7.87</v>
      </c>
      <c r="C383" s="11">
        <f ca="1">IFERROR(__xludf.DUMMYFUNCTION("GOOGLEFINANCE(A383,""PRICEOPEN"")"),7.68)</f>
        <v>7.68</v>
      </c>
      <c r="D383" s="11">
        <f ca="1">IFERROR(__xludf.DUMMYFUNCTION("GOOGLEFINANCE(A383,""HIGH"")"),7.99)</f>
        <v>7.99</v>
      </c>
      <c r="E383" s="11">
        <f ca="1">IFERROR(__xludf.DUMMYFUNCTION("GOOGLEFINANCE(A383,""LOW"")"),7.68)</f>
        <v>7.68</v>
      </c>
      <c r="F383" s="12" t="str">
        <f t="shared" ca="1" si="14"/>
        <v>BUY</v>
      </c>
      <c r="G383" s="13">
        <f ca="1">IFERROR(__xludf.DUMMYFUNCTION("GOOGLEFINANCE(A383,""CLOSEYEST"")"),7.68)</f>
        <v>7.68</v>
      </c>
      <c r="H383" s="14" t="str">
        <f t="shared" ca="1" si="20"/>
        <v/>
      </c>
      <c r="I383" s="15">
        <f t="shared" ca="1" si="15"/>
        <v>7.7833333333333341</v>
      </c>
      <c r="J383" s="16">
        <f t="shared" ca="1" si="16"/>
        <v>7.8866666666666685</v>
      </c>
      <c r="K383" s="16"/>
      <c r="L383" s="16">
        <f t="shared" ca="1" si="17"/>
        <v>7.576666666666668</v>
      </c>
      <c r="M383" s="16">
        <f t="shared" ca="1" si="18"/>
        <v>8.0933333333333337</v>
      </c>
      <c r="N383" s="16">
        <f t="shared" ca="1" si="19"/>
        <v>7.4733333333333336</v>
      </c>
    </row>
    <row r="384" spans="1:14" ht="24.75" customHeight="1" x14ac:dyDescent="0.8">
      <c r="A384" s="18" t="s">
        <v>347</v>
      </c>
      <c r="B384" s="10" t="str">
        <f ca="1">IFERROR(__xludf.DUMMYFUNCTION("GOOGLEFINANCE(A384,""PRICE"")"),"#N/A")</f>
        <v>#N/A</v>
      </c>
      <c r="C384" s="11" t="str">
        <f ca="1">IFERROR(__xludf.DUMMYFUNCTION("GOOGLEFINANCE(A384,""PRICEOPEN"")"),"#N/A")</f>
        <v>#N/A</v>
      </c>
      <c r="D384" s="11" t="str">
        <f ca="1">IFERROR(__xludf.DUMMYFUNCTION("GOOGLEFINANCE(A384,""HIGH"")"),"#N/A")</f>
        <v>#N/A</v>
      </c>
      <c r="E384" s="11" t="str">
        <f ca="1">IFERROR(__xludf.DUMMYFUNCTION("GOOGLEFINANCE(A384,""LOW"")"),"#N/A")</f>
        <v>#N/A</v>
      </c>
      <c r="F384" s="12" t="str">
        <f t="shared" ca="1" si="14"/>
        <v>SELL</v>
      </c>
      <c r="G384" s="13" t="str">
        <f ca="1">IFERROR(__xludf.DUMMYFUNCTION("GOOGLEFINANCE(A384,""CLOSEYEST"")"),"#N/A")</f>
        <v>#N/A</v>
      </c>
      <c r="H384" s="14" t="e">
        <f t="shared" ca="1" si="20"/>
        <v>#VALUE!</v>
      </c>
      <c r="I384" s="15" t="e">
        <f t="shared" ca="1" si="15"/>
        <v>#VALUE!</v>
      </c>
      <c r="J384" s="16" t="e">
        <f t="shared" ca="1" si="16"/>
        <v>#VALUE!</v>
      </c>
      <c r="K384" s="16"/>
      <c r="L384" s="16" t="e">
        <f t="shared" ca="1" si="17"/>
        <v>#VALUE!</v>
      </c>
      <c r="M384" s="16" t="e">
        <f t="shared" ca="1" si="18"/>
        <v>#VALUE!</v>
      </c>
      <c r="N384" s="16" t="e">
        <f t="shared" ca="1" si="19"/>
        <v>#VALUE!</v>
      </c>
    </row>
    <row r="385" spans="1:14" ht="24.75" customHeight="1" x14ac:dyDescent="0.8">
      <c r="A385" s="18" t="s">
        <v>348</v>
      </c>
      <c r="B385" s="10">
        <f ca="1">IFERROR(__xludf.DUMMYFUNCTION("GOOGLEFINANCE(A385,""PRICE"")"),558)</f>
        <v>558</v>
      </c>
      <c r="C385" s="11">
        <f ca="1">IFERROR(__xludf.DUMMYFUNCTION("GOOGLEFINANCE(A385,""PRICEOPEN"")"),548.65)</f>
        <v>548.65</v>
      </c>
      <c r="D385" s="11">
        <f ca="1">IFERROR(__xludf.DUMMYFUNCTION("GOOGLEFINANCE(A385,""HIGH"")"),558.05)</f>
        <v>558.04999999999995</v>
      </c>
      <c r="E385" s="11">
        <f ca="1">IFERROR(__xludf.DUMMYFUNCTION("GOOGLEFINANCE(A385,""LOW"")"),541.2)</f>
        <v>541.20000000000005</v>
      </c>
      <c r="F385" s="12" t="str">
        <f t="shared" ca="1" si="14"/>
        <v/>
      </c>
      <c r="G385" s="13">
        <f ca="1">IFERROR(__xludf.DUMMYFUNCTION("GOOGLEFINANCE(A385,""CLOSEYEST"")"),548.65)</f>
        <v>548.65</v>
      </c>
      <c r="H385" s="14" t="str">
        <f t="shared" ca="1" si="20"/>
        <v/>
      </c>
      <c r="I385" s="15">
        <f t="shared" ca="1" si="15"/>
        <v>549.30000000000007</v>
      </c>
      <c r="J385" s="16">
        <f t="shared" ca="1" si="16"/>
        <v>557.40000000000009</v>
      </c>
      <c r="K385" s="16"/>
      <c r="L385" s="16">
        <f t="shared" ca="1" si="17"/>
        <v>540.55000000000018</v>
      </c>
      <c r="M385" s="16">
        <f t="shared" ca="1" si="18"/>
        <v>566.15</v>
      </c>
      <c r="N385" s="16">
        <f t="shared" ca="1" si="19"/>
        <v>532.45000000000016</v>
      </c>
    </row>
    <row r="386" spans="1:14" ht="24.75" customHeight="1" x14ac:dyDescent="0.8">
      <c r="A386" s="18" t="s">
        <v>349</v>
      </c>
      <c r="B386" s="10">
        <f ca="1">IFERROR(__xludf.DUMMYFUNCTION("GOOGLEFINANCE(A386,""PRICE"")"),472.5)</f>
        <v>472.5</v>
      </c>
      <c r="C386" s="11">
        <f ca="1">IFERROR(__xludf.DUMMYFUNCTION("GOOGLEFINANCE(A386,""PRICEOPEN"")"),475.3)</f>
        <v>475.3</v>
      </c>
      <c r="D386" s="11">
        <f ca="1">IFERROR(__xludf.DUMMYFUNCTION("GOOGLEFINANCE(A386,""HIGH"")"),477.55)</f>
        <v>477.55</v>
      </c>
      <c r="E386" s="11">
        <f ca="1">IFERROR(__xludf.DUMMYFUNCTION("GOOGLEFINANCE(A386,""LOW"")"),468.9)</f>
        <v>468.9</v>
      </c>
      <c r="F386" s="12" t="str">
        <f t="shared" ca="1" si="14"/>
        <v/>
      </c>
      <c r="G386" s="13">
        <f ca="1">IFERROR(__xludf.DUMMYFUNCTION("GOOGLEFINANCE(A386,""CLOSEYEST"")"),472.95)</f>
        <v>472.95</v>
      </c>
      <c r="H386" s="14" t="str">
        <f t="shared" ca="1" si="20"/>
        <v/>
      </c>
      <c r="I386" s="15">
        <f t="shared" ca="1" si="15"/>
        <v>473.13333333333338</v>
      </c>
      <c r="J386" s="16">
        <f t="shared" ca="1" si="16"/>
        <v>477.36666666666679</v>
      </c>
      <c r="K386" s="16"/>
      <c r="L386" s="16">
        <f t="shared" ca="1" si="17"/>
        <v>468.71666666666675</v>
      </c>
      <c r="M386" s="16">
        <f t="shared" ca="1" si="18"/>
        <v>481.78333333333342</v>
      </c>
      <c r="N386" s="16">
        <f t="shared" ca="1" si="19"/>
        <v>464.48333333333335</v>
      </c>
    </row>
    <row r="387" spans="1:14" ht="24.75" customHeight="1" x14ac:dyDescent="0.8">
      <c r="A387" s="18" t="s">
        <v>350</v>
      </c>
      <c r="B387" s="10" t="str">
        <f ca="1">IFERROR(__xludf.DUMMYFUNCTION("GOOGLEFINANCE(A387,""PRICE"")"),"#N/A")</f>
        <v>#N/A</v>
      </c>
      <c r="C387" s="11" t="str">
        <f ca="1">IFERROR(__xludf.DUMMYFUNCTION("GOOGLEFINANCE(A387,""PRICEOPEN"")"),"#N/A")</f>
        <v>#N/A</v>
      </c>
      <c r="D387" s="11" t="str">
        <f ca="1">IFERROR(__xludf.DUMMYFUNCTION("GOOGLEFINANCE(A387,""HIGH"")"),"#N/A")</f>
        <v>#N/A</v>
      </c>
      <c r="E387" s="11" t="str">
        <f ca="1">IFERROR(__xludf.DUMMYFUNCTION("GOOGLEFINANCE(A387,""LOW"")"),"#N/A")</f>
        <v>#N/A</v>
      </c>
      <c r="F387" s="12" t="str">
        <f t="shared" ca="1" si="14"/>
        <v>SELL</v>
      </c>
      <c r="G387" s="13" t="str">
        <f ca="1">IFERROR(__xludf.DUMMYFUNCTION("GOOGLEFINANCE(A387,""CLOSEYEST"")"),"#N/A")</f>
        <v>#N/A</v>
      </c>
      <c r="H387" s="14" t="e">
        <f t="shared" ca="1" si="20"/>
        <v>#VALUE!</v>
      </c>
      <c r="I387" s="15" t="e">
        <f t="shared" ca="1" si="15"/>
        <v>#VALUE!</v>
      </c>
      <c r="J387" s="16" t="e">
        <f t="shared" ca="1" si="16"/>
        <v>#VALUE!</v>
      </c>
      <c r="K387" s="16"/>
      <c r="L387" s="16" t="e">
        <f t="shared" ca="1" si="17"/>
        <v>#VALUE!</v>
      </c>
      <c r="M387" s="16" t="e">
        <f t="shared" ca="1" si="18"/>
        <v>#VALUE!</v>
      </c>
      <c r="N387" s="16" t="e">
        <f t="shared" ca="1" si="19"/>
        <v>#VALUE!</v>
      </c>
    </row>
    <row r="388" spans="1:14" ht="24.75" customHeight="1" x14ac:dyDescent="0.8">
      <c r="A388" s="18" t="s">
        <v>351</v>
      </c>
      <c r="B388" s="10">
        <f ca="1">IFERROR(__xludf.DUMMYFUNCTION("GOOGLEFINANCE(A388,""PRICE"")"),1599)</f>
        <v>1599</v>
      </c>
      <c r="C388" s="11">
        <f ca="1">IFERROR(__xludf.DUMMYFUNCTION("GOOGLEFINANCE(A388,""PRICEOPEN"")"),1625)</f>
        <v>1625</v>
      </c>
      <c r="D388" s="11">
        <f ca="1">IFERROR(__xludf.DUMMYFUNCTION("GOOGLEFINANCE(A388,""HIGH"")"),1637)</f>
        <v>1637</v>
      </c>
      <c r="E388" s="11">
        <f ca="1">IFERROR(__xludf.DUMMYFUNCTION("GOOGLEFINANCE(A388,""LOW"")"),1587.6)</f>
        <v>1587.6</v>
      </c>
      <c r="F388" s="12" t="str">
        <f t="shared" ca="1" si="14"/>
        <v/>
      </c>
      <c r="G388" s="13">
        <f ca="1">IFERROR(__xludf.DUMMYFUNCTION("GOOGLEFINANCE(A388,""CLOSEYEST"")"),1624.9)</f>
        <v>1624.9</v>
      </c>
      <c r="H388" s="14" t="str">
        <f t="shared" ca="1" si="20"/>
        <v/>
      </c>
      <c r="I388" s="15">
        <f t="shared" ca="1" si="15"/>
        <v>1616.5</v>
      </c>
      <c r="J388" s="16">
        <f t="shared" ca="1" si="16"/>
        <v>1645.4</v>
      </c>
      <c r="K388" s="16"/>
      <c r="L388" s="16">
        <f t="shared" ca="1" si="17"/>
        <v>1596</v>
      </c>
      <c r="M388" s="16">
        <f t="shared" ca="1" si="18"/>
        <v>1665.9</v>
      </c>
      <c r="N388" s="16">
        <f t="shared" ca="1" si="19"/>
        <v>1567.1</v>
      </c>
    </row>
    <row r="389" spans="1:14" ht="24.75" customHeight="1" x14ac:dyDescent="0.8">
      <c r="A389" s="18" t="s">
        <v>352</v>
      </c>
      <c r="B389" s="10">
        <f ca="1">IFERROR(__xludf.DUMMYFUNCTION("GOOGLEFINANCE(A389,""PRICE"")"),983.75)</f>
        <v>983.75</v>
      </c>
      <c r="C389" s="11">
        <f ca="1">IFERROR(__xludf.DUMMYFUNCTION("GOOGLEFINANCE(A389,""PRICEOPEN"")"),984.85)</f>
        <v>984.85</v>
      </c>
      <c r="D389" s="11">
        <f ca="1">IFERROR(__xludf.DUMMYFUNCTION("GOOGLEFINANCE(A389,""HIGH"")"),995.35)</f>
        <v>995.35</v>
      </c>
      <c r="E389" s="11">
        <f ca="1">IFERROR(__xludf.DUMMYFUNCTION("GOOGLEFINANCE(A389,""LOW"")"),967.6)</f>
        <v>967.6</v>
      </c>
      <c r="F389" s="12" t="str">
        <f t="shared" ca="1" si="14"/>
        <v/>
      </c>
      <c r="G389" s="13">
        <f ca="1">IFERROR(__xludf.DUMMYFUNCTION("GOOGLEFINANCE(A389,""CLOSEYEST"")"),976.2)</f>
        <v>976.2</v>
      </c>
      <c r="H389" s="14" t="str">
        <f t="shared" ca="1" si="20"/>
        <v/>
      </c>
      <c r="I389" s="15">
        <f t="shared" ca="1" si="15"/>
        <v>979.7166666666667</v>
      </c>
      <c r="J389" s="16">
        <f t="shared" ca="1" si="16"/>
        <v>991.83333333333337</v>
      </c>
      <c r="K389" s="16"/>
      <c r="L389" s="16">
        <f t="shared" ca="1" si="17"/>
        <v>964.08333333333337</v>
      </c>
      <c r="M389" s="16">
        <f t="shared" ca="1" si="18"/>
        <v>1007.4666666666667</v>
      </c>
      <c r="N389" s="16">
        <f t="shared" ca="1" si="19"/>
        <v>951.9666666666667</v>
      </c>
    </row>
    <row r="390" spans="1:14" ht="24.75" customHeight="1" x14ac:dyDescent="0.8">
      <c r="A390" s="18" t="s">
        <v>353</v>
      </c>
      <c r="B390" s="10">
        <f ca="1">IFERROR(__xludf.DUMMYFUNCTION("GOOGLEFINANCE(A390,""PRICE"")"),1084)</f>
        <v>1084</v>
      </c>
      <c r="C390" s="11">
        <f ca="1">IFERROR(__xludf.DUMMYFUNCTION("GOOGLEFINANCE(A390,""PRICEOPEN"")"),1072.6)</f>
        <v>1072.5999999999999</v>
      </c>
      <c r="D390" s="11">
        <f ca="1">IFERROR(__xludf.DUMMYFUNCTION("GOOGLEFINANCE(A390,""HIGH"")"),1103.3)</f>
        <v>1103.3</v>
      </c>
      <c r="E390" s="11">
        <f ca="1">IFERROR(__xludf.DUMMYFUNCTION("GOOGLEFINANCE(A390,""LOW"")"),1065.7)</f>
        <v>1065.7</v>
      </c>
      <c r="F390" s="12" t="str">
        <f t="shared" ca="1" si="14"/>
        <v/>
      </c>
      <c r="G390" s="13">
        <f ca="1">IFERROR(__xludf.DUMMYFUNCTION("GOOGLEFINANCE(A390,""CLOSEYEST"")"),1072.6)</f>
        <v>1072.5999999999999</v>
      </c>
      <c r="H390" s="14" t="str">
        <f t="shared" ca="1" si="20"/>
        <v/>
      </c>
      <c r="I390" s="15">
        <f t="shared" ca="1" si="15"/>
        <v>1080.5333333333333</v>
      </c>
      <c r="J390" s="16">
        <f t="shared" ca="1" si="16"/>
        <v>1095.3666666666666</v>
      </c>
      <c r="K390" s="16"/>
      <c r="L390" s="16">
        <f t="shared" ca="1" si="17"/>
        <v>1057.7666666666667</v>
      </c>
      <c r="M390" s="16">
        <f t="shared" ca="1" si="18"/>
        <v>1118.1333333333332</v>
      </c>
      <c r="N390" s="16">
        <f t="shared" ca="1" si="19"/>
        <v>1042.9333333333334</v>
      </c>
    </row>
    <row r="391" spans="1:14" ht="24.75" customHeight="1" x14ac:dyDescent="0.8">
      <c r="A391" s="18" t="s">
        <v>354</v>
      </c>
      <c r="B391" s="10">
        <f ca="1">IFERROR(__xludf.DUMMYFUNCTION("GOOGLEFINANCE(A391,""PRICE"")"),3928.4)</f>
        <v>3928.4</v>
      </c>
      <c r="C391" s="11">
        <f ca="1">IFERROR(__xludf.DUMMYFUNCTION("GOOGLEFINANCE(A391,""PRICEOPEN"")"),3989.8)</f>
        <v>3989.8</v>
      </c>
      <c r="D391" s="11">
        <f ca="1">IFERROR(__xludf.DUMMYFUNCTION("GOOGLEFINANCE(A391,""HIGH"")"),4038.9)</f>
        <v>4038.9</v>
      </c>
      <c r="E391" s="11">
        <f ca="1">IFERROR(__xludf.DUMMYFUNCTION("GOOGLEFINANCE(A391,""LOW"")"),3906)</f>
        <v>3906</v>
      </c>
      <c r="F391" s="12" t="str">
        <f t="shared" ca="1" si="14"/>
        <v/>
      </c>
      <c r="G391" s="13">
        <f ca="1">IFERROR(__xludf.DUMMYFUNCTION("GOOGLEFINANCE(A391,""CLOSEYEST"")"),3973.5)</f>
        <v>3973.5</v>
      </c>
      <c r="H391" s="14" t="str">
        <f t="shared" ca="1" si="20"/>
        <v/>
      </c>
      <c r="I391" s="15">
        <f t="shared" ca="1" si="15"/>
        <v>3972.7999999999997</v>
      </c>
      <c r="J391" s="16">
        <f t="shared" ca="1" si="16"/>
        <v>4039.5999999999995</v>
      </c>
      <c r="K391" s="16"/>
      <c r="L391" s="16">
        <f t="shared" ca="1" si="17"/>
        <v>3906.6999999999994</v>
      </c>
      <c r="M391" s="16">
        <f t="shared" ca="1" si="18"/>
        <v>4105.7</v>
      </c>
      <c r="N391" s="16">
        <f t="shared" ca="1" si="19"/>
        <v>3839.8999999999996</v>
      </c>
    </row>
    <row r="392" spans="1:14" ht="24.75" customHeight="1" x14ac:dyDescent="0.8">
      <c r="A392" s="18" t="s">
        <v>355</v>
      </c>
      <c r="B392" s="10">
        <f ca="1">IFERROR(__xludf.DUMMYFUNCTION("GOOGLEFINANCE(A392,""PRICE"")"),386.7)</f>
        <v>386.7</v>
      </c>
      <c r="C392" s="11">
        <f ca="1">IFERROR(__xludf.DUMMYFUNCTION("GOOGLEFINANCE(A392,""PRICEOPEN"")"),388.7)</f>
        <v>388.7</v>
      </c>
      <c r="D392" s="11">
        <f ca="1">IFERROR(__xludf.DUMMYFUNCTION("GOOGLEFINANCE(A392,""HIGH"")"),390.95)</f>
        <v>390.95</v>
      </c>
      <c r="E392" s="11">
        <f ca="1">IFERROR(__xludf.DUMMYFUNCTION("GOOGLEFINANCE(A392,""LOW"")"),378.85)</f>
        <v>378.85</v>
      </c>
      <c r="F392" s="12" t="str">
        <f t="shared" ca="1" si="14"/>
        <v/>
      </c>
      <c r="G392" s="13">
        <f ca="1">IFERROR(__xludf.DUMMYFUNCTION("GOOGLEFINANCE(A392,""CLOSEYEST"")"),386.8)</f>
        <v>386.8</v>
      </c>
      <c r="H392" s="14" t="str">
        <f t="shared" ca="1" si="20"/>
        <v/>
      </c>
      <c r="I392" s="15">
        <f t="shared" ca="1" si="15"/>
        <v>385.5333333333333</v>
      </c>
      <c r="J392" s="16">
        <f t="shared" ca="1" si="16"/>
        <v>392.21666666666658</v>
      </c>
      <c r="K392" s="16"/>
      <c r="L392" s="16">
        <f t="shared" ca="1" si="17"/>
        <v>380.11666666666662</v>
      </c>
      <c r="M392" s="16">
        <f t="shared" ca="1" si="18"/>
        <v>397.63333333333327</v>
      </c>
      <c r="N392" s="16">
        <f t="shared" ca="1" si="19"/>
        <v>373.43333333333334</v>
      </c>
    </row>
    <row r="393" spans="1:14" ht="24.75" customHeight="1" x14ac:dyDescent="0.8">
      <c r="A393" s="18" t="s">
        <v>356</v>
      </c>
      <c r="B393" s="10">
        <f ca="1">IFERROR(__xludf.DUMMYFUNCTION("GOOGLEFINANCE(A393,""PRICE"")"),669)</f>
        <v>669</v>
      </c>
      <c r="C393" s="11">
        <f ca="1">IFERROR(__xludf.DUMMYFUNCTION("GOOGLEFINANCE(A393,""PRICEOPEN"")"),649.85)</f>
        <v>649.85</v>
      </c>
      <c r="D393" s="11">
        <f ca="1">IFERROR(__xludf.DUMMYFUNCTION("GOOGLEFINANCE(A393,""HIGH"")"),670.3)</f>
        <v>670.3</v>
      </c>
      <c r="E393" s="11">
        <f ca="1">IFERROR(__xludf.DUMMYFUNCTION("GOOGLEFINANCE(A393,""LOW"")"),648)</f>
        <v>648</v>
      </c>
      <c r="F393" s="12" t="str">
        <f t="shared" ca="1" si="14"/>
        <v/>
      </c>
      <c r="G393" s="13">
        <f ca="1">IFERROR(__xludf.DUMMYFUNCTION("GOOGLEFINANCE(A393,""CLOSEYEST"")"),649.65)</f>
        <v>649.65</v>
      </c>
      <c r="H393" s="14" t="str">
        <f t="shared" ca="1" si="20"/>
        <v/>
      </c>
      <c r="I393" s="15">
        <f t="shared" ca="1" si="15"/>
        <v>655.98333333333323</v>
      </c>
      <c r="J393" s="16">
        <f t="shared" ca="1" si="16"/>
        <v>663.96666666666647</v>
      </c>
      <c r="K393" s="16"/>
      <c r="L393" s="16">
        <f t="shared" ca="1" si="17"/>
        <v>641.66666666666652</v>
      </c>
      <c r="M393" s="16">
        <f t="shared" ca="1" si="18"/>
        <v>678.28333333333319</v>
      </c>
      <c r="N393" s="16">
        <f t="shared" ca="1" si="19"/>
        <v>633.68333333333328</v>
      </c>
    </row>
    <row r="394" spans="1:14" ht="24.75" customHeight="1" x14ac:dyDescent="0.8">
      <c r="A394" s="18" t="s">
        <v>357</v>
      </c>
      <c r="B394" s="10">
        <f ca="1">IFERROR(__xludf.DUMMYFUNCTION("GOOGLEFINANCE(A394,""PRICE"")"),368)</f>
        <v>368</v>
      </c>
      <c r="C394" s="11">
        <f ca="1">IFERROR(__xludf.DUMMYFUNCTION("GOOGLEFINANCE(A394,""PRICEOPEN"")"),371)</f>
        <v>371</v>
      </c>
      <c r="D394" s="11">
        <f ca="1">IFERROR(__xludf.DUMMYFUNCTION("GOOGLEFINANCE(A394,""HIGH"")"),371.55)</f>
        <v>371.55</v>
      </c>
      <c r="E394" s="11">
        <f ca="1">IFERROR(__xludf.DUMMYFUNCTION("GOOGLEFINANCE(A394,""LOW"")"),362.75)</f>
        <v>362.75</v>
      </c>
      <c r="F394" s="12" t="str">
        <f t="shared" ca="1" si="14"/>
        <v/>
      </c>
      <c r="G394" s="13">
        <f ca="1">IFERROR(__xludf.DUMMYFUNCTION("GOOGLEFINANCE(A394,""CLOSEYEST"")"),370.1)</f>
        <v>370.1</v>
      </c>
      <c r="H394" s="14" t="str">
        <f t="shared" ca="1" si="20"/>
        <v/>
      </c>
      <c r="I394" s="15">
        <f t="shared" ca="1" si="15"/>
        <v>368.13333333333338</v>
      </c>
      <c r="J394" s="16">
        <f t="shared" ca="1" si="16"/>
        <v>373.51666666666677</v>
      </c>
      <c r="K394" s="16"/>
      <c r="L394" s="16">
        <f t="shared" ca="1" si="17"/>
        <v>364.71666666666675</v>
      </c>
      <c r="M394" s="16">
        <f t="shared" ca="1" si="18"/>
        <v>376.93333333333339</v>
      </c>
      <c r="N394" s="16">
        <f t="shared" ca="1" si="19"/>
        <v>359.33333333333337</v>
      </c>
    </row>
    <row r="395" spans="1:14" ht="24.75" customHeight="1" x14ac:dyDescent="0.8">
      <c r="A395" s="18" t="s">
        <v>358</v>
      </c>
      <c r="B395" s="10">
        <f ca="1">IFERROR(__xludf.DUMMYFUNCTION("GOOGLEFINANCE(A395,""PRICE"")"),783.2)</f>
        <v>783.2</v>
      </c>
      <c r="C395" s="11">
        <f ca="1">IFERROR(__xludf.DUMMYFUNCTION("GOOGLEFINANCE(A395,""PRICEOPEN"")"),766)</f>
        <v>766</v>
      </c>
      <c r="D395" s="11">
        <f ca="1">IFERROR(__xludf.DUMMYFUNCTION("GOOGLEFINANCE(A395,""HIGH"")"),794)</f>
        <v>794</v>
      </c>
      <c r="E395" s="11">
        <f ca="1">IFERROR(__xludf.DUMMYFUNCTION("GOOGLEFINANCE(A395,""LOW"")"),760.95)</f>
        <v>760.95</v>
      </c>
      <c r="F395" s="12" t="str">
        <f t="shared" ca="1" si="14"/>
        <v/>
      </c>
      <c r="G395" s="13">
        <f ca="1">IFERROR(__xludf.DUMMYFUNCTION("GOOGLEFINANCE(A395,""CLOSEYEST"")"),762.4)</f>
        <v>762.4</v>
      </c>
      <c r="H395" s="14" t="str">
        <f t="shared" ca="1" si="20"/>
        <v/>
      </c>
      <c r="I395" s="15">
        <f t="shared" ca="1" si="15"/>
        <v>772.44999999999993</v>
      </c>
      <c r="J395" s="16">
        <f t="shared" ca="1" si="16"/>
        <v>783.94999999999982</v>
      </c>
      <c r="K395" s="16"/>
      <c r="L395" s="16">
        <f t="shared" ca="1" si="17"/>
        <v>750.89999999999986</v>
      </c>
      <c r="M395" s="16">
        <f t="shared" ca="1" si="18"/>
        <v>805.49999999999989</v>
      </c>
      <c r="N395" s="16">
        <f t="shared" ca="1" si="19"/>
        <v>739.4</v>
      </c>
    </row>
    <row r="396" spans="1:14" ht="24.75" customHeight="1" x14ac:dyDescent="0.8">
      <c r="A396" s="18" t="s">
        <v>359</v>
      </c>
      <c r="B396" s="10">
        <f ca="1">IFERROR(__xludf.DUMMYFUNCTION("GOOGLEFINANCE(A396,""PRICE"")"),1899)</f>
        <v>1899</v>
      </c>
      <c r="C396" s="11">
        <f ca="1">IFERROR(__xludf.DUMMYFUNCTION("GOOGLEFINANCE(A396,""PRICEOPEN"")"),1877.8)</f>
        <v>1877.8</v>
      </c>
      <c r="D396" s="11">
        <f ca="1">IFERROR(__xludf.DUMMYFUNCTION("GOOGLEFINANCE(A396,""HIGH"")"),1900.1)</f>
        <v>1900.1</v>
      </c>
      <c r="E396" s="11">
        <f ca="1">IFERROR(__xludf.DUMMYFUNCTION("GOOGLEFINANCE(A396,""LOW"")"),1862.1)</f>
        <v>1862.1</v>
      </c>
      <c r="F396" s="12" t="str">
        <f t="shared" ca="1" si="14"/>
        <v/>
      </c>
      <c r="G396" s="13">
        <f ca="1">IFERROR(__xludf.DUMMYFUNCTION("GOOGLEFINANCE(A396,""CLOSEYEST"")"),1877.8)</f>
        <v>1877.8</v>
      </c>
      <c r="H396" s="14" t="str">
        <f t="shared" ca="1" si="20"/>
        <v/>
      </c>
      <c r="I396" s="15">
        <f t="shared" ca="1" si="15"/>
        <v>1880</v>
      </c>
      <c r="J396" s="16">
        <f t="shared" ca="1" si="16"/>
        <v>1897.9</v>
      </c>
      <c r="K396" s="16"/>
      <c r="L396" s="16">
        <f t="shared" ca="1" si="17"/>
        <v>1859.9</v>
      </c>
      <c r="M396" s="16">
        <f t="shared" ca="1" si="18"/>
        <v>1918</v>
      </c>
      <c r="N396" s="16">
        <f t="shared" ca="1" si="19"/>
        <v>1842</v>
      </c>
    </row>
    <row r="397" spans="1:14" ht="24.75" customHeight="1" x14ac:dyDescent="0.8">
      <c r="A397" s="18" t="s">
        <v>360</v>
      </c>
      <c r="B397" s="10">
        <f ca="1">IFERROR(__xludf.DUMMYFUNCTION("GOOGLEFINANCE(A397,""PRICE"")"),52.34)</f>
        <v>52.34</v>
      </c>
      <c r="C397" s="11">
        <f ca="1">IFERROR(__xludf.DUMMYFUNCTION("GOOGLEFINANCE(A397,""PRICEOPEN"")"),52.15)</f>
        <v>52.15</v>
      </c>
      <c r="D397" s="11">
        <f ca="1">IFERROR(__xludf.DUMMYFUNCTION("GOOGLEFINANCE(A397,""HIGH"")"),52.55)</f>
        <v>52.55</v>
      </c>
      <c r="E397" s="11">
        <f ca="1">IFERROR(__xludf.DUMMYFUNCTION("GOOGLEFINANCE(A397,""LOW"")"),51.9)</f>
        <v>51.9</v>
      </c>
      <c r="F397" s="12" t="str">
        <f t="shared" ca="1" si="14"/>
        <v/>
      </c>
      <c r="G397" s="13">
        <f ca="1">IFERROR(__xludf.DUMMYFUNCTION("GOOGLEFINANCE(A397,""CLOSEYEST"")"),52.1)</f>
        <v>52.1</v>
      </c>
      <c r="H397" s="14" t="str">
        <f t="shared" ca="1" si="20"/>
        <v/>
      </c>
      <c r="I397" s="15">
        <f t="shared" ca="1" si="15"/>
        <v>52.18333333333333</v>
      </c>
      <c r="J397" s="16">
        <f t="shared" ca="1" si="16"/>
        <v>52.466666666666661</v>
      </c>
      <c r="K397" s="16"/>
      <c r="L397" s="16">
        <f t="shared" ca="1" si="17"/>
        <v>51.816666666666663</v>
      </c>
      <c r="M397" s="16">
        <f t="shared" ca="1" si="18"/>
        <v>52.833333333333329</v>
      </c>
      <c r="N397" s="16">
        <f t="shared" ca="1" si="19"/>
        <v>51.533333333333331</v>
      </c>
    </row>
    <row r="398" spans="1:14" ht="24.75" customHeight="1" x14ac:dyDescent="0.8">
      <c r="A398" s="18" t="s">
        <v>361</v>
      </c>
      <c r="B398" s="10" t="str">
        <f ca="1">IFERROR(__xludf.DUMMYFUNCTION("GOOGLEFINANCE(A398,""PRICE"")"),"#N/A")</f>
        <v>#N/A</v>
      </c>
      <c r="C398" s="11" t="str">
        <f ca="1">IFERROR(__xludf.DUMMYFUNCTION("GOOGLEFINANCE(A398,""PRICEOPEN"")"),"#N/A")</f>
        <v>#N/A</v>
      </c>
      <c r="D398" s="11" t="str">
        <f ca="1">IFERROR(__xludf.DUMMYFUNCTION("GOOGLEFINANCE(A398,""HIGH"")"),"#N/A")</f>
        <v>#N/A</v>
      </c>
      <c r="E398" s="11" t="str">
        <f ca="1">IFERROR(__xludf.DUMMYFUNCTION("GOOGLEFINANCE(A398,""LOW"")"),"#N/A")</f>
        <v>#N/A</v>
      </c>
      <c r="F398" s="12" t="str">
        <f t="shared" ca="1" si="14"/>
        <v>SELL</v>
      </c>
      <c r="G398" s="13" t="str">
        <f ca="1">IFERROR(__xludf.DUMMYFUNCTION("GOOGLEFINANCE(A398,""CLOSEYEST"")"),"#N/A")</f>
        <v>#N/A</v>
      </c>
      <c r="H398" s="14" t="e">
        <f t="shared" ca="1" si="20"/>
        <v>#VALUE!</v>
      </c>
      <c r="I398" s="15" t="e">
        <f t="shared" ca="1" si="15"/>
        <v>#VALUE!</v>
      </c>
      <c r="J398" s="16" t="e">
        <f t="shared" ca="1" si="16"/>
        <v>#VALUE!</v>
      </c>
      <c r="K398" s="16"/>
      <c r="L398" s="16" t="e">
        <f t="shared" ca="1" si="17"/>
        <v>#VALUE!</v>
      </c>
      <c r="M398" s="16" t="e">
        <f t="shared" ca="1" si="18"/>
        <v>#VALUE!</v>
      </c>
      <c r="N398" s="16" t="e">
        <f t="shared" ca="1" si="19"/>
        <v>#VALUE!</v>
      </c>
    </row>
    <row r="399" spans="1:14" ht="24.75" customHeight="1" x14ac:dyDescent="0.8">
      <c r="A399" s="18" t="s">
        <v>362</v>
      </c>
      <c r="B399" s="10">
        <f ca="1">IFERROR(__xludf.DUMMYFUNCTION("GOOGLEFINANCE(A399,""PRICE"")"),2200)</f>
        <v>2200</v>
      </c>
      <c r="C399" s="11">
        <f ca="1">IFERROR(__xludf.DUMMYFUNCTION("GOOGLEFINANCE(A399,""PRICEOPEN"")"),2208.8)</f>
        <v>2208.8000000000002</v>
      </c>
      <c r="D399" s="11">
        <f ca="1">IFERROR(__xludf.DUMMYFUNCTION("GOOGLEFINANCE(A399,""HIGH"")"),2216.5)</f>
        <v>2216.5</v>
      </c>
      <c r="E399" s="11">
        <f ca="1">IFERROR(__xludf.DUMMYFUNCTION("GOOGLEFINANCE(A399,""LOW"")"),2186.6)</f>
        <v>2186.6</v>
      </c>
      <c r="F399" s="12" t="str">
        <f t="shared" ca="1" si="14"/>
        <v/>
      </c>
      <c r="G399" s="13">
        <f ca="1">IFERROR(__xludf.DUMMYFUNCTION("GOOGLEFINANCE(A399,""CLOSEYEST"")"),2208.8)</f>
        <v>2208.8000000000002</v>
      </c>
      <c r="H399" s="14" t="str">
        <f t="shared" ca="1" si="20"/>
        <v/>
      </c>
      <c r="I399" s="15">
        <f t="shared" ca="1" si="15"/>
        <v>2203.9666666666667</v>
      </c>
      <c r="J399" s="16">
        <f t="shared" ca="1" si="16"/>
        <v>2221.3333333333335</v>
      </c>
      <c r="K399" s="16"/>
      <c r="L399" s="16">
        <f t="shared" ca="1" si="17"/>
        <v>2191.4333333333334</v>
      </c>
      <c r="M399" s="16">
        <f t="shared" ca="1" si="18"/>
        <v>2233.8666666666668</v>
      </c>
      <c r="N399" s="16">
        <f t="shared" ca="1" si="19"/>
        <v>2174.0666666666666</v>
      </c>
    </row>
    <row r="400" spans="1:14" ht="24.75" customHeight="1" x14ac:dyDescent="0.8">
      <c r="A400" s="18" t="s">
        <v>363</v>
      </c>
      <c r="B400" s="10">
        <f ca="1">IFERROR(__xludf.DUMMYFUNCTION("GOOGLEFINANCE(A400,""PRICE"")"),32.1)</f>
        <v>32.1</v>
      </c>
      <c r="C400" s="11">
        <f ca="1">IFERROR(__xludf.DUMMYFUNCTION("GOOGLEFINANCE(A400,""PRICEOPEN"")"),32.01)</f>
        <v>32.01</v>
      </c>
      <c r="D400" s="11">
        <f ca="1">IFERROR(__xludf.DUMMYFUNCTION("GOOGLEFINANCE(A400,""HIGH"")"),32.36)</f>
        <v>32.36</v>
      </c>
      <c r="E400" s="11">
        <f ca="1">IFERROR(__xludf.DUMMYFUNCTION("GOOGLEFINANCE(A400,""LOW"")"),31.83)</f>
        <v>31.83</v>
      </c>
      <c r="F400" s="12" t="str">
        <f t="shared" ca="1" si="14"/>
        <v/>
      </c>
      <c r="G400" s="13">
        <f ca="1">IFERROR(__xludf.DUMMYFUNCTION("GOOGLEFINANCE(A400,""CLOSEYEST"")"),32.04)</f>
        <v>32.04</v>
      </c>
      <c r="H400" s="14" t="str">
        <f t="shared" ca="1" si="20"/>
        <v/>
      </c>
      <c r="I400" s="15">
        <f t="shared" ca="1" si="15"/>
        <v>32.076666666666661</v>
      </c>
      <c r="J400" s="16">
        <f t="shared" ca="1" si="16"/>
        <v>32.323333333333323</v>
      </c>
      <c r="K400" s="16"/>
      <c r="L400" s="16">
        <f t="shared" ca="1" si="17"/>
        <v>31.793333333333322</v>
      </c>
      <c r="M400" s="16">
        <f t="shared" ca="1" si="18"/>
        <v>32.606666666666662</v>
      </c>
      <c r="N400" s="16">
        <f t="shared" ca="1" si="19"/>
        <v>31.54666666666666</v>
      </c>
    </row>
    <row r="401" spans="1:14" ht="24.75" customHeight="1" x14ac:dyDescent="0.8">
      <c r="A401" s="18" t="s">
        <v>364</v>
      </c>
      <c r="B401" s="10">
        <f ca="1">IFERROR(__xludf.DUMMYFUNCTION("GOOGLEFINANCE(A401,""PRICE"")"),113.08)</f>
        <v>113.08</v>
      </c>
      <c r="C401" s="11">
        <f ca="1">IFERROR(__xludf.DUMMYFUNCTION("GOOGLEFINANCE(A401,""PRICEOPEN"")"),109.81)</f>
        <v>109.81</v>
      </c>
      <c r="D401" s="11">
        <f ca="1">IFERROR(__xludf.DUMMYFUNCTION("GOOGLEFINANCE(A401,""HIGH"")"),113.6)</f>
        <v>113.6</v>
      </c>
      <c r="E401" s="11">
        <f ca="1">IFERROR(__xludf.DUMMYFUNCTION("GOOGLEFINANCE(A401,""LOW"")"),109.21)</f>
        <v>109.21</v>
      </c>
      <c r="F401" s="12" t="str">
        <f t="shared" ca="1" si="14"/>
        <v/>
      </c>
      <c r="G401" s="13">
        <f ca="1">IFERROR(__xludf.DUMMYFUNCTION("GOOGLEFINANCE(A401,""CLOSEYEST"")"),109.48)</f>
        <v>109.48</v>
      </c>
      <c r="H401" s="14" t="str">
        <f t="shared" ca="1" si="20"/>
        <v/>
      </c>
      <c r="I401" s="15">
        <f t="shared" ca="1" si="15"/>
        <v>110.76333333333334</v>
      </c>
      <c r="J401" s="16">
        <f t="shared" ca="1" si="16"/>
        <v>112.31666666666668</v>
      </c>
      <c r="K401" s="16"/>
      <c r="L401" s="16">
        <f t="shared" ca="1" si="17"/>
        <v>107.92666666666668</v>
      </c>
      <c r="M401" s="16">
        <f t="shared" ca="1" si="18"/>
        <v>115.15333333333334</v>
      </c>
      <c r="N401" s="16">
        <f t="shared" ca="1" si="19"/>
        <v>106.37333333333333</v>
      </c>
    </row>
    <row r="402" spans="1:14" ht="24.75" customHeight="1" x14ac:dyDescent="0.8">
      <c r="A402" s="18" t="s">
        <v>365</v>
      </c>
      <c r="B402" s="10" t="str">
        <f ca="1">IFERROR(__xludf.DUMMYFUNCTION("GOOGLEFINANCE(A402,""PRICE"")"),"#N/A")</f>
        <v>#N/A</v>
      </c>
      <c r="C402" s="11" t="str">
        <f ca="1">IFERROR(__xludf.DUMMYFUNCTION("GOOGLEFINANCE(A402,""PRICEOPEN"")"),"#N/A")</f>
        <v>#N/A</v>
      </c>
      <c r="D402" s="11" t="str">
        <f ca="1">IFERROR(__xludf.DUMMYFUNCTION("GOOGLEFINANCE(A402,""HIGH"")"),"#N/A")</f>
        <v>#N/A</v>
      </c>
      <c r="E402" s="11" t="str">
        <f ca="1">IFERROR(__xludf.DUMMYFUNCTION("GOOGLEFINANCE(A402,""LOW"")"),"#N/A")</f>
        <v>#N/A</v>
      </c>
      <c r="F402" s="12" t="str">
        <f t="shared" ca="1" si="14"/>
        <v>SELL</v>
      </c>
      <c r="G402" s="13" t="str">
        <f ca="1">IFERROR(__xludf.DUMMYFUNCTION("GOOGLEFINANCE(A402,""CLOSEYEST"")"),"#N/A")</f>
        <v>#N/A</v>
      </c>
      <c r="H402" s="14" t="e">
        <f t="shared" ca="1" si="20"/>
        <v>#VALUE!</v>
      </c>
      <c r="I402" s="15" t="e">
        <f t="shared" ca="1" si="15"/>
        <v>#VALUE!</v>
      </c>
      <c r="J402" s="16" t="e">
        <f t="shared" ca="1" si="16"/>
        <v>#VALUE!</v>
      </c>
      <c r="K402" s="16"/>
      <c r="L402" s="16" t="e">
        <f t="shared" ca="1" si="17"/>
        <v>#VALUE!</v>
      </c>
      <c r="M402" s="16" t="e">
        <f t="shared" ca="1" si="18"/>
        <v>#VALUE!</v>
      </c>
      <c r="N402" s="16" t="e">
        <f t="shared" ca="1" si="19"/>
        <v>#VALUE!</v>
      </c>
    </row>
    <row r="403" spans="1:14" ht="24.75" customHeight="1" x14ac:dyDescent="0.8">
      <c r="A403" s="18" t="s">
        <v>366</v>
      </c>
      <c r="B403" s="10">
        <f ca="1">IFERROR(__xludf.DUMMYFUNCTION("GOOGLEFINANCE(A403,""PRICE"")"),643)</f>
        <v>643</v>
      </c>
      <c r="C403" s="11">
        <f ca="1">IFERROR(__xludf.DUMMYFUNCTION("GOOGLEFINANCE(A403,""PRICEOPEN"")"),629.75)</f>
        <v>629.75</v>
      </c>
      <c r="D403" s="11">
        <f ca="1">IFERROR(__xludf.DUMMYFUNCTION("GOOGLEFINANCE(A403,""HIGH"")"),647.9)</f>
        <v>647.9</v>
      </c>
      <c r="E403" s="11">
        <f ca="1">IFERROR(__xludf.DUMMYFUNCTION("GOOGLEFINANCE(A403,""LOW"")"),626.55)</f>
        <v>626.54999999999995</v>
      </c>
      <c r="F403" s="12" t="str">
        <f t="shared" ca="1" si="14"/>
        <v/>
      </c>
      <c r="G403" s="13">
        <f ca="1">IFERROR(__xludf.DUMMYFUNCTION("GOOGLEFINANCE(A403,""CLOSEYEST"")"),630.85)</f>
        <v>630.85</v>
      </c>
      <c r="H403" s="14" t="str">
        <f t="shared" ca="1" si="20"/>
        <v/>
      </c>
      <c r="I403" s="15">
        <f t="shared" ca="1" si="15"/>
        <v>635.09999999999991</v>
      </c>
      <c r="J403" s="16">
        <f t="shared" ca="1" si="16"/>
        <v>643.64999999999986</v>
      </c>
      <c r="K403" s="16"/>
      <c r="L403" s="16">
        <f t="shared" ca="1" si="17"/>
        <v>622.29999999999984</v>
      </c>
      <c r="M403" s="16">
        <f t="shared" ca="1" si="18"/>
        <v>656.44999999999993</v>
      </c>
      <c r="N403" s="16">
        <f t="shared" ca="1" si="19"/>
        <v>613.74999999999989</v>
      </c>
    </row>
    <row r="404" spans="1:14" ht="24.75" customHeight="1" x14ac:dyDescent="0.8">
      <c r="A404" s="18" t="s">
        <v>367</v>
      </c>
      <c r="B404" s="10">
        <f ca="1">IFERROR(__xludf.DUMMYFUNCTION("GOOGLEFINANCE(A404,""PRICE"")"),350.15)</f>
        <v>350.15</v>
      </c>
      <c r="C404" s="11">
        <f ca="1">IFERROR(__xludf.DUMMYFUNCTION("GOOGLEFINANCE(A404,""PRICEOPEN"")"),348.7)</f>
        <v>348.7</v>
      </c>
      <c r="D404" s="11">
        <f ca="1">IFERROR(__xludf.DUMMYFUNCTION("GOOGLEFINANCE(A404,""HIGH"")"),351.55)</f>
        <v>351.55</v>
      </c>
      <c r="E404" s="11">
        <f ca="1">IFERROR(__xludf.DUMMYFUNCTION("GOOGLEFINANCE(A404,""LOW"")"),346.5)</f>
        <v>346.5</v>
      </c>
      <c r="F404" s="12" t="str">
        <f t="shared" ca="1" si="14"/>
        <v/>
      </c>
      <c r="G404" s="13">
        <f ca="1">IFERROR(__xludf.DUMMYFUNCTION("GOOGLEFINANCE(A404,""CLOSEYEST"")"),348.3)</f>
        <v>348.3</v>
      </c>
      <c r="H404" s="14" t="str">
        <f t="shared" ca="1" si="20"/>
        <v/>
      </c>
      <c r="I404" s="15">
        <f t="shared" ca="1" si="15"/>
        <v>348.7833333333333</v>
      </c>
      <c r="J404" s="16">
        <f t="shared" ca="1" si="16"/>
        <v>351.06666666666661</v>
      </c>
      <c r="K404" s="16"/>
      <c r="L404" s="16">
        <f t="shared" ca="1" si="17"/>
        <v>346.01666666666659</v>
      </c>
      <c r="M404" s="16">
        <f t="shared" ca="1" si="18"/>
        <v>353.83333333333331</v>
      </c>
      <c r="N404" s="16">
        <f t="shared" ca="1" si="19"/>
        <v>343.73333333333329</v>
      </c>
    </row>
    <row r="405" spans="1:14" ht="24.75" customHeight="1" x14ac:dyDescent="0.8">
      <c r="A405" s="18" t="s">
        <v>368</v>
      </c>
      <c r="B405" s="10">
        <f ca="1">IFERROR(__xludf.DUMMYFUNCTION("GOOGLEFINANCE(A405,""PRICE"")"),281)</f>
        <v>281</v>
      </c>
      <c r="C405" s="11">
        <f ca="1">IFERROR(__xludf.DUMMYFUNCTION("GOOGLEFINANCE(A405,""PRICEOPEN"")"),277.15)</f>
        <v>277.14999999999998</v>
      </c>
      <c r="D405" s="11">
        <f ca="1">IFERROR(__xludf.DUMMYFUNCTION("GOOGLEFINANCE(A405,""HIGH"")"),285)</f>
        <v>285</v>
      </c>
      <c r="E405" s="11">
        <f ca="1">IFERROR(__xludf.DUMMYFUNCTION("GOOGLEFINANCE(A405,""LOW"")"),275.85)</f>
        <v>275.85000000000002</v>
      </c>
      <c r="F405" s="12" t="str">
        <f t="shared" ca="1" si="14"/>
        <v/>
      </c>
      <c r="G405" s="13">
        <f ca="1">IFERROR(__xludf.DUMMYFUNCTION("GOOGLEFINANCE(A405,""CLOSEYEST"")"),277.05)</f>
        <v>277.05</v>
      </c>
      <c r="H405" s="14" t="str">
        <f t="shared" ca="1" si="20"/>
        <v/>
      </c>
      <c r="I405" s="15">
        <f t="shared" ca="1" si="15"/>
        <v>279.3</v>
      </c>
      <c r="J405" s="16">
        <f t="shared" ca="1" si="16"/>
        <v>282.75</v>
      </c>
      <c r="K405" s="16"/>
      <c r="L405" s="16">
        <f t="shared" ca="1" si="17"/>
        <v>273.60000000000002</v>
      </c>
      <c r="M405" s="16">
        <f t="shared" ca="1" si="18"/>
        <v>288.45</v>
      </c>
      <c r="N405" s="16">
        <f t="shared" ca="1" si="19"/>
        <v>270.15000000000003</v>
      </c>
    </row>
    <row r="406" spans="1:14" ht="24.75" customHeight="1" x14ac:dyDescent="0.8">
      <c r="A406" s="18" t="s">
        <v>369</v>
      </c>
      <c r="B406" s="10">
        <f ca="1">IFERROR(__xludf.DUMMYFUNCTION("GOOGLEFINANCE(A406,""PRICE"")"),2410)</f>
        <v>2410</v>
      </c>
      <c r="C406" s="11">
        <f ca="1">IFERROR(__xludf.DUMMYFUNCTION("GOOGLEFINANCE(A406,""PRICEOPEN"")"),2414.4)</f>
        <v>2414.4</v>
      </c>
      <c r="D406" s="11">
        <f ca="1">IFERROR(__xludf.DUMMYFUNCTION("GOOGLEFINANCE(A406,""HIGH"")"),2429.1)</f>
        <v>2429.1</v>
      </c>
      <c r="E406" s="11">
        <f ca="1">IFERROR(__xludf.DUMMYFUNCTION("GOOGLEFINANCE(A406,""LOW"")"),2391)</f>
        <v>2391</v>
      </c>
      <c r="F406" s="12" t="str">
        <f t="shared" ca="1" si="14"/>
        <v/>
      </c>
      <c r="G406" s="13">
        <f ca="1">IFERROR(__xludf.DUMMYFUNCTION("GOOGLEFINANCE(A406,""CLOSEYEST"")"),2414.4)</f>
        <v>2414.4</v>
      </c>
      <c r="H406" s="14" t="str">
        <f t="shared" ca="1" si="20"/>
        <v/>
      </c>
      <c r="I406" s="15">
        <f t="shared" ca="1" si="15"/>
        <v>2411.5</v>
      </c>
      <c r="J406" s="16">
        <f t="shared" ca="1" si="16"/>
        <v>2432</v>
      </c>
      <c r="K406" s="16"/>
      <c r="L406" s="16">
        <f t="shared" ca="1" si="17"/>
        <v>2393.9</v>
      </c>
      <c r="M406" s="16">
        <f t="shared" ca="1" si="18"/>
        <v>2449.6</v>
      </c>
      <c r="N406" s="16">
        <f t="shared" ca="1" si="19"/>
        <v>2373.4</v>
      </c>
    </row>
    <row r="407" spans="1:14" ht="24.75" customHeight="1" x14ac:dyDescent="0.8">
      <c r="A407" s="18" t="s">
        <v>370</v>
      </c>
      <c r="B407" s="10">
        <f ca="1">IFERROR(__xludf.DUMMYFUNCTION("GOOGLEFINANCE(A407,""PRICE"")"),189)</f>
        <v>189</v>
      </c>
      <c r="C407" s="11">
        <f ca="1">IFERROR(__xludf.DUMMYFUNCTION("GOOGLEFINANCE(A407,""PRICEOPEN"")"),190.44)</f>
        <v>190.44</v>
      </c>
      <c r="D407" s="11">
        <f ca="1">IFERROR(__xludf.DUMMYFUNCTION("GOOGLEFINANCE(A407,""HIGH"")"),190.99)</f>
        <v>190.99</v>
      </c>
      <c r="E407" s="11">
        <f ca="1">IFERROR(__xludf.DUMMYFUNCTION("GOOGLEFINANCE(A407,""LOW"")"),186)</f>
        <v>186</v>
      </c>
      <c r="F407" s="12" t="str">
        <f t="shared" ca="1" si="14"/>
        <v/>
      </c>
      <c r="G407" s="13">
        <f ca="1">IFERROR(__xludf.DUMMYFUNCTION("GOOGLEFINANCE(A407,""CLOSEYEST"")"),188.76)</f>
        <v>188.76</v>
      </c>
      <c r="H407" s="14" t="str">
        <f t="shared" ca="1" si="20"/>
        <v/>
      </c>
      <c r="I407" s="15">
        <f t="shared" ca="1" si="15"/>
        <v>188.58333333333334</v>
      </c>
      <c r="J407" s="16">
        <f t="shared" ca="1" si="16"/>
        <v>191.16666666666669</v>
      </c>
      <c r="K407" s="16"/>
      <c r="L407" s="16">
        <f t="shared" ca="1" si="17"/>
        <v>186.17666666666668</v>
      </c>
      <c r="M407" s="16">
        <f t="shared" ca="1" si="18"/>
        <v>193.57333333333335</v>
      </c>
      <c r="N407" s="16">
        <f t="shared" ca="1" si="19"/>
        <v>183.59333333333333</v>
      </c>
    </row>
    <row r="408" spans="1:14" ht="24.75" customHeight="1" x14ac:dyDescent="0.8">
      <c r="A408" s="18" t="s">
        <v>371</v>
      </c>
      <c r="B408" s="10">
        <f ca="1">IFERROR(__xludf.DUMMYFUNCTION("GOOGLEFINANCE(A408,""PRICE"")"),1121)</f>
        <v>1121</v>
      </c>
      <c r="C408" s="11">
        <f ca="1">IFERROR(__xludf.DUMMYFUNCTION("GOOGLEFINANCE(A408,""PRICEOPEN"")"),1122.9)</f>
        <v>1122.9000000000001</v>
      </c>
      <c r="D408" s="11">
        <f ca="1">IFERROR(__xludf.DUMMYFUNCTION("GOOGLEFINANCE(A408,""HIGH"")"),1137)</f>
        <v>1137</v>
      </c>
      <c r="E408" s="11">
        <f ca="1">IFERROR(__xludf.DUMMYFUNCTION("GOOGLEFINANCE(A408,""LOW"")"),1111)</f>
        <v>1111</v>
      </c>
      <c r="F408" s="12" t="str">
        <f t="shared" ca="1" si="14"/>
        <v/>
      </c>
      <c r="G408" s="13">
        <f ca="1">IFERROR(__xludf.DUMMYFUNCTION("GOOGLEFINANCE(A408,""CLOSEYEST"")"),1113)</f>
        <v>1113</v>
      </c>
      <c r="H408" s="14" t="str">
        <f t="shared" ca="1" si="20"/>
        <v/>
      </c>
      <c r="I408" s="15">
        <f t="shared" ca="1" si="15"/>
        <v>1120.3333333333333</v>
      </c>
      <c r="J408" s="16">
        <f t="shared" ca="1" si="16"/>
        <v>1129.6666666666665</v>
      </c>
      <c r="K408" s="16"/>
      <c r="L408" s="16">
        <f t="shared" ca="1" si="17"/>
        <v>1103.6666666666665</v>
      </c>
      <c r="M408" s="16">
        <f t="shared" ca="1" si="18"/>
        <v>1146.3333333333333</v>
      </c>
      <c r="N408" s="16">
        <f t="shared" ca="1" si="19"/>
        <v>1094.3333333333333</v>
      </c>
    </row>
    <row r="409" spans="1:14" ht="24.75" customHeight="1" x14ac:dyDescent="0.8">
      <c r="A409" s="18" t="s">
        <v>372</v>
      </c>
      <c r="B409" s="10">
        <f ca="1">IFERROR(__xludf.DUMMYFUNCTION("GOOGLEFINANCE(A409,""PRICE"")"),225.5)</f>
        <v>225.5</v>
      </c>
      <c r="C409" s="11">
        <f ca="1">IFERROR(__xludf.DUMMYFUNCTION("GOOGLEFINANCE(A409,""PRICEOPEN"")"),227.05)</f>
        <v>227.05</v>
      </c>
      <c r="D409" s="11">
        <f ca="1">IFERROR(__xludf.DUMMYFUNCTION("GOOGLEFINANCE(A409,""HIGH"")"),229.2)</f>
        <v>229.2</v>
      </c>
      <c r="E409" s="11">
        <f ca="1">IFERROR(__xludf.DUMMYFUNCTION("GOOGLEFINANCE(A409,""LOW"")"),223.1)</f>
        <v>223.1</v>
      </c>
      <c r="F409" s="12" t="str">
        <f t="shared" ca="1" si="14"/>
        <v/>
      </c>
      <c r="G409" s="13">
        <f ca="1">IFERROR(__xludf.DUMMYFUNCTION("GOOGLEFINANCE(A409,""CLOSEYEST"")"),227.05)</f>
        <v>227.05</v>
      </c>
      <c r="H409" s="14" t="str">
        <f t="shared" ca="1" si="20"/>
        <v/>
      </c>
      <c r="I409" s="15">
        <f t="shared" ca="1" si="15"/>
        <v>226.44999999999996</v>
      </c>
      <c r="J409" s="16">
        <f t="shared" ca="1" si="16"/>
        <v>229.79999999999993</v>
      </c>
      <c r="K409" s="16"/>
      <c r="L409" s="16">
        <f t="shared" ca="1" si="17"/>
        <v>223.69999999999993</v>
      </c>
      <c r="M409" s="16">
        <f t="shared" ca="1" si="18"/>
        <v>232.54999999999995</v>
      </c>
      <c r="N409" s="16">
        <f t="shared" ca="1" si="19"/>
        <v>220.34999999999997</v>
      </c>
    </row>
    <row r="410" spans="1:14" ht="24.75" customHeight="1" x14ac:dyDescent="0.8">
      <c r="A410" s="18" t="s">
        <v>373</v>
      </c>
      <c r="B410" s="10">
        <f ca="1">IFERROR(__xludf.DUMMYFUNCTION("GOOGLEFINANCE(A410,""PRICE"")"),3356.5)</f>
        <v>3356.5</v>
      </c>
      <c r="C410" s="11">
        <f ca="1">IFERROR(__xludf.DUMMYFUNCTION("GOOGLEFINANCE(A410,""PRICEOPEN"")"),3319.5)</f>
        <v>3319.5</v>
      </c>
      <c r="D410" s="11">
        <f ca="1">IFERROR(__xludf.DUMMYFUNCTION("GOOGLEFINANCE(A410,""HIGH"")"),3386)</f>
        <v>3386</v>
      </c>
      <c r="E410" s="11">
        <f ca="1">IFERROR(__xludf.DUMMYFUNCTION("GOOGLEFINANCE(A410,""LOW"")"),3302.1)</f>
        <v>3302.1</v>
      </c>
      <c r="F410" s="12" t="str">
        <f t="shared" ca="1" si="14"/>
        <v/>
      </c>
      <c r="G410" s="13">
        <f ca="1">IFERROR(__xludf.DUMMYFUNCTION("GOOGLEFINANCE(A410,""CLOSEYEST"")"),3316.2)</f>
        <v>3316.2</v>
      </c>
      <c r="H410" s="14" t="str">
        <f t="shared" ca="1" si="20"/>
        <v/>
      </c>
      <c r="I410" s="15">
        <f t="shared" ca="1" si="15"/>
        <v>3334.7666666666664</v>
      </c>
      <c r="J410" s="16">
        <f t="shared" ca="1" si="16"/>
        <v>3367.4333333333329</v>
      </c>
      <c r="K410" s="16"/>
      <c r="L410" s="16">
        <f t="shared" ca="1" si="17"/>
        <v>3283.5333333333328</v>
      </c>
      <c r="M410" s="16">
        <f t="shared" ca="1" si="18"/>
        <v>3418.6666666666665</v>
      </c>
      <c r="N410" s="16">
        <f t="shared" ca="1" si="19"/>
        <v>3250.8666666666663</v>
      </c>
    </row>
    <row r="411" spans="1:14" ht="24.75" customHeight="1" x14ac:dyDescent="0.8">
      <c r="A411" s="18" t="s">
        <v>374</v>
      </c>
      <c r="B411" s="10">
        <f ca="1">IFERROR(__xludf.DUMMYFUNCTION("GOOGLEFINANCE(A411,""PRICE"")"),1913.2)</f>
        <v>1913.2</v>
      </c>
      <c r="C411" s="11">
        <f ca="1">IFERROR(__xludf.DUMMYFUNCTION("GOOGLEFINANCE(A411,""PRICEOPEN"")"),1931)</f>
        <v>1931</v>
      </c>
      <c r="D411" s="11">
        <f ca="1">IFERROR(__xludf.DUMMYFUNCTION("GOOGLEFINANCE(A411,""HIGH"")"),1935.8)</f>
        <v>1935.8</v>
      </c>
      <c r="E411" s="11">
        <f ca="1">IFERROR(__xludf.DUMMYFUNCTION("GOOGLEFINANCE(A411,""LOW"")"),1875.2)</f>
        <v>1875.2</v>
      </c>
      <c r="F411" s="12" t="str">
        <f t="shared" ca="1" si="14"/>
        <v/>
      </c>
      <c r="G411" s="13">
        <f ca="1">IFERROR(__xludf.DUMMYFUNCTION("GOOGLEFINANCE(A411,""CLOSEYEST"")"),1951)</f>
        <v>1951</v>
      </c>
      <c r="H411" s="14" t="str">
        <f t="shared" ca="1" si="20"/>
        <v>GAP DOWN</v>
      </c>
      <c r="I411" s="15">
        <f t="shared" ca="1" si="15"/>
        <v>1920.6666666666667</v>
      </c>
      <c r="J411" s="16">
        <f t="shared" ca="1" si="16"/>
        <v>1966.1333333333334</v>
      </c>
      <c r="K411" s="16"/>
      <c r="L411" s="16">
        <f t="shared" ca="1" si="17"/>
        <v>1905.5333333333335</v>
      </c>
      <c r="M411" s="16">
        <f t="shared" ca="1" si="18"/>
        <v>1981.2666666666667</v>
      </c>
      <c r="N411" s="16">
        <f t="shared" ca="1" si="19"/>
        <v>1860.0666666666668</v>
      </c>
    </row>
    <row r="412" spans="1:14" ht="24.75" customHeight="1" x14ac:dyDescent="0.8">
      <c r="A412" s="18" t="s">
        <v>375</v>
      </c>
      <c r="B412" s="10">
        <f ca="1">IFERROR(__xludf.DUMMYFUNCTION("GOOGLEFINANCE(A412,""PRICE"")"),972.25)</f>
        <v>972.25</v>
      </c>
      <c r="C412" s="11">
        <f ca="1">IFERROR(__xludf.DUMMYFUNCTION("GOOGLEFINANCE(A412,""PRICEOPEN"")"),920)</f>
        <v>920</v>
      </c>
      <c r="D412" s="11">
        <f ca="1">IFERROR(__xludf.DUMMYFUNCTION("GOOGLEFINANCE(A412,""HIGH"")"),978.9)</f>
        <v>978.9</v>
      </c>
      <c r="E412" s="11">
        <f ca="1">IFERROR(__xludf.DUMMYFUNCTION("GOOGLEFINANCE(A412,""LOW"")"),920)</f>
        <v>920</v>
      </c>
      <c r="F412" s="12" t="str">
        <f t="shared" ca="1" si="14"/>
        <v>BUY</v>
      </c>
      <c r="G412" s="13">
        <f ca="1">IFERROR(__xludf.DUMMYFUNCTION("GOOGLEFINANCE(A412,""CLOSEYEST"")"),924.35)</f>
        <v>924.35</v>
      </c>
      <c r="H412" s="14" t="str">
        <f t="shared" ca="1" si="20"/>
        <v/>
      </c>
      <c r="I412" s="15">
        <f t="shared" ca="1" si="15"/>
        <v>941.08333333333337</v>
      </c>
      <c r="J412" s="16">
        <f t="shared" ca="1" si="16"/>
        <v>962.16666666666674</v>
      </c>
      <c r="K412" s="16"/>
      <c r="L412" s="16">
        <f t="shared" ca="1" si="17"/>
        <v>903.26666666666677</v>
      </c>
      <c r="M412" s="16">
        <f t="shared" ca="1" si="18"/>
        <v>999.98333333333335</v>
      </c>
      <c r="N412" s="16">
        <f t="shared" ca="1" si="19"/>
        <v>882.18333333333339</v>
      </c>
    </row>
    <row r="413" spans="1:14" ht="24.75" customHeight="1" x14ac:dyDescent="0.8">
      <c r="A413" s="18" t="s">
        <v>376</v>
      </c>
      <c r="B413" s="10">
        <f ca="1">IFERROR(__xludf.DUMMYFUNCTION("GOOGLEFINANCE(A413,""PRICE"")"),10.31)</f>
        <v>10.31</v>
      </c>
      <c r="C413" s="11">
        <f ca="1">IFERROR(__xludf.DUMMYFUNCTION("GOOGLEFINANCE(A413,""PRICEOPEN"")"),10.31)</f>
        <v>10.31</v>
      </c>
      <c r="D413" s="11">
        <f ca="1">IFERROR(__xludf.DUMMYFUNCTION("GOOGLEFINANCE(A413,""HIGH"")"),10.31)</f>
        <v>10.31</v>
      </c>
      <c r="E413" s="11">
        <f ca="1">IFERROR(__xludf.DUMMYFUNCTION("GOOGLEFINANCE(A413,""LOW"")"),10.31)</f>
        <v>10.31</v>
      </c>
      <c r="F413" s="12" t="str">
        <f t="shared" ca="1" si="14"/>
        <v>SELL</v>
      </c>
      <c r="G413" s="13">
        <f ca="1">IFERROR(__xludf.DUMMYFUNCTION("GOOGLEFINANCE(A413,""CLOSEYEST"")"),10.31)</f>
        <v>10.31</v>
      </c>
      <c r="H413" s="14" t="str">
        <f t="shared" ca="1" si="20"/>
        <v/>
      </c>
      <c r="I413" s="15">
        <f t="shared" ca="1" si="15"/>
        <v>10.31</v>
      </c>
      <c r="J413" s="16">
        <f t="shared" ca="1" si="16"/>
        <v>10.31</v>
      </c>
      <c r="K413" s="16"/>
      <c r="L413" s="16">
        <f t="shared" ca="1" si="17"/>
        <v>10.31</v>
      </c>
      <c r="M413" s="16">
        <f t="shared" ca="1" si="18"/>
        <v>10.31</v>
      </c>
      <c r="N413" s="16">
        <f t="shared" ca="1" si="19"/>
        <v>10.31</v>
      </c>
    </row>
    <row r="414" spans="1:14" ht="24.75" customHeight="1" x14ac:dyDescent="0.8">
      <c r="A414" s="18" t="s">
        <v>377</v>
      </c>
      <c r="B414" s="10">
        <f ca="1">IFERROR(__xludf.DUMMYFUNCTION("GOOGLEFINANCE(A414,""PRICE"")"),198.09)</f>
        <v>198.09</v>
      </c>
      <c r="C414" s="11">
        <f ca="1">IFERROR(__xludf.DUMMYFUNCTION("GOOGLEFINANCE(A414,""PRICEOPEN"")"),200.1)</f>
        <v>200.1</v>
      </c>
      <c r="D414" s="11">
        <f ca="1">IFERROR(__xludf.DUMMYFUNCTION("GOOGLEFINANCE(A414,""HIGH"")"),200.1)</f>
        <v>200.1</v>
      </c>
      <c r="E414" s="11">
        <f ca="1">IFERROR(__xludf.DUMMYFUNCTION("GOOGLEFINANCE(A414,""LOW"")"),197.53)</f>
        <v>197.53</v>
      </c>
      <c r="F414" s="12" t="str">
        <f t="shared" ca="1" si="14"/>
        <v>SELL</v>
      </c>
      <c r="G414" s="13">
        <f ca="1">IFERROR(__xludf.DUMMYFUNCTION("GOOGLEFINANCE(A414,""CLOSEYEST"")"),198.99)</f>
        <v>198.99</v>
      </c>
      <c r="H414" s="14" t="str">
        <f t="shared" ca="1" si="20"/>
        <v/>
      </c>
      <c r="I414" s="15">
        <f t="shared" ca="1" si="15"/>
        <v>198.87333333333333</v>
      </c>
      <c r="J414" s="16">
        <f t="shared" ca="1" si="16"/>
        <v>200.21666666666667</v>
      </c>
      <c r="K414" s="16"/>
      <c r="L414" s="16">
        <f t="shared" ca="1" si="17"/>
        <v>197.64666666666668</v>
      </c>
      <c r="M414" s="16">
        <f t="shared" ca="1" si="18"/>
        <v>201.44333333333333</v>
      </c>
      <c r="N414" s="16">
        <f t="shared" ca="1" si="19"/>
        <v>196.30333333333334</v>
      </c>
    </row>
    <row r="415" spans="1:14" ht="24.75" customHeight="1" x14ac:dyDescent="0.8">
      <c r="A415" s="18" t="s">
        <v>378</v>
      </c>
      <c r="B415" s="10">
        <f ca="1">IFERROR(__xludf.DUMMYFUNCTION("GOOGLEFINANCE(A415,""PRICE"")"),1398)</f>
        <v>1398</v>
      </c>
      <c r="C415" s="11">
        <f ca="1">IFERROR(__xludf.DUMMYFUNCTION("GOOGLEFINANCE(A415,""PRICEOPEN"")"),1398)</f>
        <v>1398</v>
      </c>
      <c r="D415" s="11">
        <f ca="1">IFERROR(__xludf.DUMMYFUNCTION("GOOGLEFINANCE(A415,""HIGH"")"),1417.7)</f>
        <v>1417.7</v>
      </c>
      <c r="E415" s="11">
        <f ca="1">IFERROR(__xludf.DUMMYFUNCTION("GOOGLEFINANCE(A415,""LOW"")"),1380)</f>
        <v>1380</v>
      </c>
      <c r="F415" s="12" t="str">
        <f t="shared" ca="1" si="14"/>
        <v/>
      </c>
      <c r="G415" s="13">
        <f ca="1">IFERROR(__xludf.DUMMYFUNCTION("GOOGLEFINANCE(A415,""CLOSEYEST"")"),1400.8)</f>
        <v>1400.8</v>
      </c>
      <c r="H415" s="14" t="str">
        <f t="shared" ca="1" si="20"/>
        <v/>
      </c>
      <c r="I415" s="15">
        <f t="shared" ca="1" si="15"/>
        <v>1399.5</v>
      </c>
      <c r="J415" s="16">
        <f t="shared" ca="1" si="16"/>
        <v>1419</v>
      </c>
      <c r="K415" s="16"/>
      <c r="L415" s="16">
        <f t="shared" ca="1" si="17"/>
        <v>1381.3</v>
      </c>
      <c r="M415" s="16">
        <f t="shared" ca="1" si="18"/>
        <v>1437.2</v>
      </c>
      <c r="N415" s="16">
        <f t="shared" ca="1" si="19"/>
        <v>1361.8</v>
      </c>
    </row>
    <row r="416" spans="1:14" ht="24.75" customHeight="1" x14ac:dyDescent="0.8">
      <c r="A416" s="18" t="s">
        <v>379</v>
      </c>
      <c r="B416" s="10">
        <f ca="1">IFERROR(__xludf.DUMMYFUNCTION("GOOGLEFINANCE(A416,""PRICE"")"),275.6)</f>
        <v>275.60000000000002</v>
      </c>
      <c r="C416" s="11">
        <f ca="1">IFERROR(__xludf.DUMMYFUNCTION("GOOGLEFINANCE(A416,""PRICEOPEN"")"),275)</f>
        <v>275</v>
      </c>
      <c r="D416" s="11">
        <f ca="1">IFERROR(__xludf.DUMMYFUNCTION("GOOGLEFINANCE(A416,""HIGH"")"),280.15)</f>
        <v>280.14999999999998</v>
      </c>
      <c r="E416" s="11">
        <f ca="1">IFERROR(__xludf.DUMMYFUNCTION("GOOGLEFINANCE(A416,""LOW"")"),273.1)</f>
        <v>273.10000000000002</v>
      </c>
      <c r="F416" s="12" t="str">
        <f t="shared" ca="1" si="14"/>
        <v/>
      </c>
      <c r="G416" s="13">
        <f ca="1">IFERROR(__xludf.DUMMYFUNCTION("GOOGLEFINANCE(A416,""CLOSEYEST"")"),275.2)</f>
        <v>275.2</v>
      </c>
      <c r="H416" s="14" t="str">
        <f t="shared" ca="1" si="20"/>
        <v/>
      </c>
      <c r="I416" s="15">
        <f t="shared" ca="1" si="15"/>
        <v>276.15000000000003</v>
      </c>
      <c r="J416" s="16">
        <f t="shared" ca="1" si="16"/>
        <v>279.20000000000005</v>
      </c>
      <c r="K416" s="16"/>
      <c r="L416" s="16">
        <f t="shared" ca="1" si="17"/>
        <v>272.15000000000009</v>
      </c>
      <c r="M416" s="16">
        <f t="shared" ca="1" si="18"/>
        <v>283.2</v>
      </c>
      <c r="N416" s="16">
        <f t="shared" ca="1" si="19"/>
        <v>269.10000000000008</v>
      </c>
    </row>
    <row r="417" spans="1:14" ht="24.75" customHeight="1" x14ac:dyDescent="0.8">
      <c r="A417" s="18" t="s">
        <v>380</v>
      </c>
      <c r="B417" s="10">
        <f ca="1">IFERROR(__xludf.DUMMYFUNCTION("GOOGLEFINANCE(A417,""PRICE"")"),2097)</f>
        <v>2097</v>
      </c>
      <c r="C417" s="11">
        <f ca="1">IFERROR(__xludf.DUMMYFUNCTION("GOOGLEFINANCE(A417,""PRICEOPEN"")"),2080.9)</f>
        <v>2080.9</v>
      </c>
      <c r="D417" s="11">
        <f ca="1">IFERROR(__xludf.DUMMYFUNCTION("GOOGLEFINANCE(A417,""HIGH"")"),2099.9)</f>
        <v>2099.9</v>
      </c>
      <c r="E417" s="11">
        <f ca="1">IFERROR(__xludf.DUMMYFUNCTION("GOOGLEFINANCE(A417,""LOW"")"),2050)</f>
        <v>2050</v>
      </c>
      <c r="F417" s="12" t="str">
        <f t="shared" ca="1" si="14"/>
        <v/>
      </c>
      <c r="G417" s="13">
        <f ca="1">IFERROR(__xludf.DUMMYFUNCTION("GOOGLEFINANCE(A417,""CLOSEYEST"")"),2081.4)</f>
        <v>2081.4</v>
      </c>
      <c r="H417" s="14" t="str">
        <f t="shared" ca="1" si="20"/>
        <v/>
      </c>
      <c r="I417" s="15">
        <f t="shared" ca="1" si="15"/>
        <v>2077.1</v>
      </c>
      <c r="J417" s="16">
        <f t="shared" ca="1" si="16"/>
        <v>2104.1999999999998</v>
      </c>
      <c r="K417" s="16"/>
      <c r="L417" s="16">
        <f t="shared" ca="1" si="17"/>
        <v>2054.2999999999997</v>
      </c>
      <c r="M417" s="16">
        <f t="shared" ca="1" si="18"/>
        <v>2127</v>
      </c>
      <c r="N417" s="16">
        <f t="shared" ca="1" si="19"/>
        <v>2027.1999999999998</v>
      </c>
    </row>
    <row r="418" spans="1:14" ht="24.75" customHeight="1" x14ac:dyDescent="0.8">
      <c r="A418" s="18" t="s">
        <v>381</v>
      </c>
      <c r="B418" s="10">
        <f ca="1">IFERROR(__xludf.DUMMYFUNCTION("GOOGLEFINANCE(A418,""PRICE"")"),0.25)</f>
        <v>0.25</v>
      </c>
      <c r="C418" s="11">
        <f ca="1">IFERROR(__xludf.DUMMYFUNCTION("GOOGLEFINANCE(A418,""PRICEOPEN"")"),0.25)</f>
        <v>0.25</v>
      </c>
      <c r="D418" s="11">
        <f ca="1">IFERROR(__xludf.DUMMYFUNCTION("GOOGLEFINANCE(A418,""HIGH"")"),0.25)</f>
        <v>0.25</v>
      </c>
      <c r="E418" s="11">
        <f ca="1">IFERROR(__xludf.DUMMYFUNCTION("GOOGLEFINANCE(A418,""LOW"")"),0.25)</f>
        <v>0.25</v>
      </c>
      <c r="F418" s="12" t="str">
        <f t="shared" ca="1" si="14"/>
        <v>SELL</v>
      </c>
      <c r="G418" s="13">
        <f ca="1">IFERROR(__xludf.DUMMYFUNCTION("GOOGLEFINANCE(A418,""CLOSEYEST"")"),0.22)</f>
        <v>0.22</v>
      </c>
      <c r="H418" s="14" t="str">
        <f t="shared" ca="1" si="20"/>
        <v>GAP UP</v>
      </c>
      <c r="I418" s="15">
        <f t="shared" ca="1" si="15"/>
        <v>0.24</v>
      </c>
      <c r="J418" s="16">
        <f t="shared" ca="1" si="16"/>
        <v>0.22999999999999998</v>
      </c>
      <c r="K418" s="16"/>
      <c r="L418" s="16">
        <f t="shared" ca="1" si="17"/>
        <v>0.22999999999999998</v>
      </c>
      <c r="M418" s="16">
        <f t="shared" ca="1" si="18"/>
        <v>0.24</v>
      </c>
      <c r="N418" s="16">
        <f t="shared" ca="1" si="19"/>
        <v>0.24</v>
      </c>
    </row>
    <row r="419" spans="1:14" ht="24.75" customHeight="1" x14ac:dyDescent="0.8">
      <c r="A419" s="18" t="s">
        <v>382</v>
      </c>
      <c r="B419" s="10">
        <f ca="1">IFERROR(__xludf.DUMMYFUNCTION("GOOGLEFINANCE(A419,""PRICE"")"),233.67)</f>
        <v>233.67</v>
      </c>
      <c r="C419" s="11">
        <f ca="1">IFERROR(__xludf.DUMMYFUNCTION("GOOGLEFINANCE(A419,""PRICEOPEN"")"),232.4)</f>
        <v>232.4</v>
      </c>
      <c r="D419" s="11">
        <f ca="1">IFERROR(__xludf.DUMMYFUNCTION("GOOGLEFINANCE(A419,""HIGH"")"),237.45)</f>
        <v>237.45</v>
      </c>
      <c r="E419" s="11">
        <f ca="1">IFERROR(__xludf.DUMMYFUNCTION("GOOGLEFINANCE(A419,""LOW"")"),230.46)</f>
        <v>230.46</v>
      </c>
      <c r="F419" s="12" t="str">
        <f t="shared" ca="1" si="14"/>
        <v/>
      </c>
      <c r="G419" s="13">
        <f ca="1">IFERROR(__xludf.DUMMYFUNCTION("GOOGLEFINANCE(A419,""CLOSEYEST"")"),232.47)</f>
        <v>232.47</v>
      </c>
      <c r="H419" s="14" t="str">
        <f t="shared" ca="1" si="20"/>
        <v/>
      </c>
      <c r="I419" s="15">
        <f t="shared" ca="1" si="15"/>
        <v>233.46</v>
      </c>
      <c r="J419" s="16">
        <f t="shared" ca="1" si="16"/>
        <v>236.46</v>
      </c>
      <c r="K419" s="16"/>
      <c r="L419" s="16">
        <f t="shared" ca="1" si="17"/>
        <v>229.47000000000003</v>
      </c>
      <c r="M419" s="16">
        <f t="shared" ca="1" si="18"/>
        <v>240.45</v>
      </c>
      <c r="N419" s="16">
        <f t="shared" ca="1" si="19"/>
        <v>226.47000000000003</v>
      </c>
    </row>
    <row r="420" spans="1:14" ht="24.75" customHeight="1" x14ac:dyDescent="0.8">
      <c r="A420" s="18" t="s">
        <v>383</v>
      </c>
      <c r="B420" s="10">
        <f ca="1">IFERROR(__xludf.DUMMYFUNCTION("GOOGLEFINANCE(A420,""PRICE"")"),1045)</f>
        <v>1045</v>
      </c>
      <c r="C420" s="11">
        <f ca="1">IFERROR(__xludf.DUMMYFUNCTION("GOOGLEFINANCE(A420,""PRICEOPEN"")"),1030.1)</f>
        <v>1030.0999999999999</v>
      </c>
      <c r="D420" s="11">
        <f ca="1">IFERROR(__xludf.DUMMYFUNCTION("GOOGLEFINANCE(A420,""HIGH"")"),1046.5)</f>
        <v>1046.5</v>
      </c>
      <c r="E420" s="11">
        <f ca="1">IFERROR(__xludf.DUMMYFUNCTION("GOOGLEFINANCE(A420,""LOW"")"),1027.5)</f>
        <v>1027.5</v>
      </c>
      <c r="F420" s="12" t="str">
        <f t="shared" ca="1" si="14"/>
        <v/>
      </c>
      <c r="G420" s="13">
        <f ca="1">IFERROR(__xludf.DUMMYFUNCTION("GOOGLEFINANCE(A420,""CLOSEYEST"")"),1035)</f>
        <v>1035</v>
      </c>
      <c r="H420" s="14" t="str">
        <f t="shared" ca="1" si="20"/>
        <v/>
      </c>
      <c r="I420" s="15">
        <f t="shared" ca="1" si="15"/>
        <v>1036.3333333333333</v>
      </c>
      <c r="J420" s="16">
        <f t="shared" ca="1" si="16"/>
        <v>1045.1666666666665</v>
      </c>
      <c r="K420" s="16"/>
      <c r="L420" s="16">
        <f t="shared" ca="1" si="17"/>
        <v>1026.1666666666665</v>
      </c>
      <c r="M420" s="16">
        <f t="shared" ca="1" si="18"/>
        <v>1055.3333333333333</v>
      </c>
      <c r="N420" s="16">
        <f t="shared" ca="1" si="19"/>
        <v>1017.3333333333333</v>
      </c>
    </row>
    <row r="421" spans="1:14" ht="24.75" customHeight="1" x14ac:dyDescent="0.8">
      <c r="A421" s="18" t="s">
        <v>384</v>
      </c>
      <c r="B421" s="10">
        <f ca="1">IFERROR(__xludf.DUMMYFUNCTION("GOOGLEFINANCE(A421,""PRICE"")"),464)</f>
        <v>464</v>
      </c>
      <c r="C421" s="11">
        <f ca="1">IFERROR(__xludf.DUMMYFUNCTION("GOOGLEFINANCE(A421,""PRICEOPEN"")"),457)</f>
        <v>457</v>
      </c>
      <c r="D421" s="11">
        <f ca="1">IFERROR(__xludf.DUMMYFUNCTION("GOOGLEFINANCE(A421,""HIGH"")"),466.8)</f>
        <v>466.8</v>
      </c>
      <c r="E421" s="11">
        <f ca="1">IFERROR(__xludf.DUMMYFUNCTION("GOOGLEFINANCE(A421,""LOW"")"),456.1)</f>
        <v>456.1</v>
      </c>
      <c r="F421" s="12" t="str">
        <f t="shared" ca="1" si="14"/>
        <v/>
      </c>
      <c r="G421" s="13">
        <f ca="1">IFERROR(__xludf.DUMMYFUNCTION("GOOGLEFINANCE(A421,""CLOSEYEST"")"),456.95)</f>
        <v>456.95</v>
      </c>
      <c r="H421" s="14" t="str">
        <f t="shared" ca="1" si="20"/>
        <v/>
      </c>
      <c r="I421" s="15">
        <f t="shared" ca="1" si="15"/>
        <v>459.95000000000005</v>
      </c>
      <c r="J421" s="16">
        <f t="shared" ca="1" si="16"/>
        <v>463.80000000000007</v>
      </c>
      <c r="K421" s="16"/>
      <c r="L421" s="16">
        <f t="shared" ca="1" si="17"/>
        <v>453.10000000000008</v>
      </c>
      <c r="M421" s="16">
        <f t="shared" ca="1" si="18"/>
        <v>470.65000000000003</v>
      </c>
      <c r="N421" s="16">
        <f t="shared" ca="1" si="19"/>
        <v>449.25000000000006</v>
      </c>
    </row>
    <row r="422" spans="1:14" ht="24.75" customHeight="1" x14ac:dyDescent="0.8">
      <c r="A422" s="18" t="s">
        <v>385</v>
      </c>
      <c r="B422" s="10">
        <f ca="1">IFERROR(__xludf.DUMMYFUNCTION("GOOGLEFINANCE(A422,""PRICE"")"),2411.8)</f>
        <v>2411.8000000000002</v>
      </c>
      <c r="C422" s="11">
        <f ca="1">IFERROR(__xludf.DUMMYFUNCTION("GOOGLEFINANCE(A422,""PRICEOPEN"")"),2378.1)</f>
        <v>2378.1</v>
      </c>
      <c r="D422" s="11">
        <f ca="1">IFERROR(__xludf.DUMMYFUNCTION("GOOGLEFINANCE(A422,""HIGH"")"),2436.6)</f>
        <v>2436.6</v>
      </c>
      <c r="E422" s="11">
        <f ca="1">IFERROR(__xludf.DUMMYFUNCTION("GOOGLEFINANCE(A422,""LOW"")"),2345.3)</f>
        <v>2345.3000000000002</v>
      </c>
      <c r="F422" s="12" t="str">
        <f t="shared" ca="1" si="14"/>
        <v/>
      </c>
      <c r="G422" s="13">
        <f ca="1">IFERROR(__xludf.DUMMYFUNCTION("GOOGLEFINANCE(A422,""CLOSEYEST"")"),2359.2)</f>
        <v>2359.1999999999998</v>
      </c>
      <c r="H422" s="14" t="str">
        <f t="shared" ca="1" si="20"/>
        <v/>
      </c>
      <c r="I422" s="15">
        <f t="shared" ca="1" si="15"/>
        <v>2380.3666666666663</v>
      </c>
      <c r="J422" s="16">
        <f t="shared" ca="1" si="16"/>
        <v>2415.4333333333325</v>
      </c>
      <c r="K422" s="16"/>
      <c r="L422" s="16">
        <f t="shared" ca="1" si="17"/>
        <v>2324.1333333333328</v>
      </c>
      <c r="M422" s="16">
        <f t="shared" ca="1" si="18"/>
        <v>2471.6666666666661</v>
      </c>
      <c r="N422" s="16">
        <f t="shared" ca="1" si="19"/>
        <v>2289.0666666666666</v>
      </c>
    </row>
    <row r="423" spans="1:14" ht="24.75" customHeight="1" x14ac:dyDescent="0.8">
      <c r="A423" s="18" t="s">
        <v>386</v>
      </c>
      <c r="B423" s="10">
        <f ca="1">IFERROR(__xludf.DUMMYFUNCTION("GOOGLEFINANCE(A423,""PRICE"")"),6288)</f>
        <v>6288</v>
      </c>
      <c r="C423" s="11">
        <f ca="1">IFERROR(__xludf.DUMMYFUNCTION("GOOGLEFINANCE(A423,""PRICEOPEN"")"),6305)</f>
        <v>6305</v>
      </c>
      <c r="D423" s="11">
        <f ca="1">IFERROR(__xludf.DUMMYFUNCTION("GOOGLEFINANCE(A423,""HIGH"")"),6329.5)</f>
        <v>6329.5</v>
      </c>
      <c r="E423" s="11">
        <f ca="1">IFERROR(__xludf.DUMMYFUNCTION("GOOGLEFINANCE(A423,""LOW"")"),6237)</f>
        <v>6237</v>
      </c>
      <c r="F423" s="12" t="str">
        <f t="shared" ca="1" si="14"/>
        <v/>
      </c>
      <c r="G423" s="13">
        <f ca="1">IFERROR(__xludf.DUMMYFUNCTION("GOOGLEFINANCE(A423,""CLOSEYEST"")"),6302)</f>
        <v>6302</v>
      </c>
      <c r="H423" s="14" t="str">
        <f t="shared" ca="1" si="20"/>
        <v/>
      </c>
      <c r="I423" s="15">
        <f t="shared" ca="1" si="15"/>
        <v>6289.5</v>
      </c>
      <c r="J423" s="16">
        <f t="shared" ca="1" si="16"/>
        <v>6342</v>
      </c>
      <c r="K423" s="16"/>
      <c r="L423" s="16">
        <f t="shared" ca="1" si="17"/>
        <v>6249.5</v>
      </c>
      <c r="M423" s="16">
        <f t="shared" ca="1" si="18"/>
        <v>6382</v>
      </c>
      <c r="N423" s="16">
        <f t="shared" ca="1" si="19"/>
        <v>6197</v>
      </c>
    </row>
    <row r="424" spans="1:14" ht="24.75" customHeight="1" x14ac:dyDescent="0.8">
      <c r="A424" s="18" t="s">
        <v>387</v>
      </c>
      <c r="B424" s="10" t="str">
        <f ca="1">IFERROR(__xludf.DUMMYFUNCTION("GOOGLEFINANCE(A424,""PRICE"")"),"#N/A")</f>
        <v>#N/A</v>
      </c>
      <c r="C424" s="11" t="str">
        <f ca="1">IFERROR(__xludf.DUMMYFUNCTION("GOOGLEFINANCE(A424,""PRICEOPEN"")"),"#N/A")</f>
        <v>#N/A</v>
      </c>
      <c r="D424" s="11" t="str">
        <f ca="1">IFERROR(__xludf.DUMMYFUNCTION("GOOGLEFINANCE(A424,""HIGH"")"),"#N/A")</f>
        <v>#N/A</v>
      </c>
      <c r="E424" s="11" t="str">
        <f ca="1">IFERROR(__xludf.DUMMYFUNCTION("GOOGLEFINANCE(A424,""LOW"")"),"#N/A")</f>
        <v>#N/A</v>
      </c>
      <c r="F424" s="12" t="str">
        <f t="shared" ca="1" si="14"/>
        <v>SELL</v>
      </c>
      <c r="G424" s="13" t="str">
        <f ca="1">IFERROR(__xludf.DUMMYFUNCTION("GOOGLEFINANCE(A424,""CLOSEYEST"")"),"#N/A")</f>
        <v>#N/A</v>
      </c>
      <c r="H424" s="14" t="e">
        <f t="shared" ca="1" si="20"/>
        <v>#VALUE!</v>
      </c>
      <c r="I424" s="15" t="e">
        <f t="shared" ca="1" si="15"/>
        <v>#VALUE!</v>
      </c>
      <c r="J424" s="16" t="e">
        <f t="shared" ca="1" si="16"/>
        <v>#VALUE!</v>
      </c>
      <c r="K424" s="16"/>
      <c r="L424" s="16" t="e">
        <f t="shared" ca="1" si="17"/>
        <v>#VALUE!</v>
      </c>
      <c r="M424" s="16" t="e">
        <f t="shared" ca="1" si="18"/>
        <v>#VALUE!</v>
      </c>
      <c r="N424" s="16" t="e">
        <f t="shared" ca="1" si="19"/>
        <v>#VALUE!</v>
      </c>
    </row>
    <row r="425" spans="1:14" ht="24.75" customHeight="1" x14ac:dyDescent="0.8">
      <c r="A425" s="18" t="s">
        <v>388</v>
      </c>
      <c r="B425" s="10">
        <f ca="1">IFERROR(__xludf.DUMMYFUNCTION("GOOGLEFINANCE(A425,""PRICE"")"),464)</f>
        <v>464</v>
      </c>
      <c r="C425" s="11">
        <f ca="1">IFERROR(__xludf.DUMMYFUNCTION("GOOGLEFINANCE(A425,""PRICEOPEN"")"),467)</f>
        <v>467</v>
      </c>
      <c r="D425" s="11">
        <f ca="1">IFERROR(__xludf.DUMMYFUNCTION("GOOGLEFINANCE(A425,""HIGH"")"),468.95)</f>
        <v>468.95</v>
      </c>
      <c r="E425" s="11">
        <f ca="1">IFERROR(__xludf.DUMMYFUNCTION("GOOGLEFINANCE(A425,""LOW"")"),452.2)</f>
        <v>452.2</v>
      </c>
      <c r="F425" s="12" t="str">
        <f t="shared" ca="1" si="14"/>
        <v/>
      </c>
      <c r="G425" s="13">
        <f ca="1">IFERROR(__xludf.DUMMYFUNCTION("GOOGLEFINANCE(A425,""CLOSEYEST"")"),462.55)</f>
        <v>462.55</v>
      </c>
      <c r="H425" s="14" t="str">
        <f t="shared" ca="1" si="20"/>
        <v/>
      </c>
      <c r="I425" s="15">
        <f t="shared" ca="1" si="15"/>
        <v>461.23333333333335</v>
      </c>
      <c r="J425" s="16">
        <f t="shared" ca="1" si="16"/>
        <v>470.26666666666671</v>
      </c>
      <c r="K425" s="16"/>
      <c r="L425" s="16">
        <f t="shared" ca="1" si="17"/>
        <v>453.51666666666671</v>
      </c>
      <c r="M425" s="16">
        <f t="shared" ca="1" si="18"/>
        <v>477.98333333333335</v>
      </c>
      <c r="N425" s="16">
        <f t="shared" ca="1" si="19"/>
        <v>444.48333333333335</v>
      </c>
    </row>
    <row r="426" spans="1:14" ht="24.75" customHeight="1" x14ac:dyDescent="0.8">
      <c r="A426" s="18" t="s">
        <v>389</v>
      </c>
      <c r="B426" s="10">
        <f ca="1">IFERROR(__xludf.DUMMYFUNCTION("GOOGLEFINANCE(A426,""PRICE"")"),441.9)</f>
        <v>441.9</v>
      </c>
      <c r="C426" s="11">
        <f ca="1">IFERROR(__xludf.DUMMYFUNCTION("GOOGLEFINANCE(A426,""PRICEOPEN"")"),437)</f>
        <v>437</v>
      </c>
      <c r="D426" s="11">
        <f ca="1">IFERROR(__xludf.DUMMYFUNCTION("GOOGLEFINANCE(A426,""HIGH"")"),442.3)</f>
        <v>442.3</v>
      </c>
      <c r="E426" s="11">
        <f ca="1">IFERROR(__xludf.DUMMYFUNCTION("GOOGLEFINANCE(A426,""LOW"")"),430)</f>
        <v>430</v>
      </c>
      <c r="F426" s="12" t="str">
        <f t="shared" ca="1" si="14"/>
        <v/>
      </c>
      <c r="G426" s="13">
        <f ca="1">IFERROR(__xludf.DUMMYFUNCTION("GOOGLEFINANCE(A426,""CLOSEYEST"")"),436.1)</f>
        <v>436.1</v>
      </c>
      <c r="H426" s="14" t="str">
        <f t="shared" ca="1" si="20"/>
        <v/>
      </c>
      <c r="I426" s="15">
        <f t="shared" ca="1" si="15"/>
        <v>436.13333333333338</v>
      </c>
      <c r="J426" s="16">
        <f t="shared" ca="1" si="16"/>
        <v>442.26666666666677</v>
      </c>
      <c r="K426" s="16"/>
      <c r="L426" s="16">
        <f t="shared" ca="1" si="17"/>
        <v>429.96666666666675</v>
      </c>
      <c r="M426" s="16">
        <f t="shared" ca="1" si="18"/>
        <v>448.43333333333339</v>
      </c>
      <c r="N426" s="16">
        <f t="shared" ca="1" si="19"/>
        <v>423.83333333333337</v>
      </c>
    </row>
    <row r="427" spans="1:14" ht="24.75" customHeight="1" x14ac:dyDescent="0.8">
      <c r="A427" s="18" t="s">
        <v>390</v>
      </c>
      <c r="B427" s="10" t="str">
        <f ca="1">IFERROR(__xludf.DUMMYFUNCTION("GOOGLEFINANCE(A427,""PRICE"")"),"#N/A")</f>
        <v>#N/A</v>
      </c>
      <c r="C427" s="11" t="str">
        <f ca="1">IFERROR(__xludf.DUMMYFUNCTION("GOOGLEFINANCE(A427,""PRICEOPEN"")"),"#N/A")</f>
        <v>#N/A</v>
      </c>
      <c r="D427" s="11" t="str">
        <f ca="1">IFERROR(__xludf.DUMMYFUNCTION("GOOGLEFINANCE(A427,""HIGH"")"),"#N/A")</f>
        <v>#N/A</v>
      </c>
      <c r="E427" s="11" t="str">
        <f ca="1">IFERROR(__xludf.DUMMYFUNCTION("GOOGLEFINANCE(A427,""LOW"")"),"#N/A")</f>
        <v>#N/A</v>
      </c>
      <c r="F427" s="12" t="str">
        <f t="shared" ca="1" si="14"/>
        <v>SELL</v>
      </c>
      <c r="G427" s="13" t="str">
        <f ca="1">IFERROR(__xludf.DUMMYFUNCTION("GOOGLEFINANCE(A427,""CLOSEYEST"")"),"#N/A")</f>
        <v>#N/A</v>
      </c>
      <c r="H427" s="14" t="e">
        <f t="shared" ca="1" si="20"/>
        <v>#VALUE!</v>
      </c>
      <c r="I427" s="15" t="e">
        <f t="shared" ca="1" si="15"/>
        <v>#VALUE!</v>
      </c>
      <c r="J427" s="16" t="e">
        <f t="shared" ca="1" si="16"/>
        <v>#VALUE!</v>
      </c>
      <c r="K427" s="16"/>
      <c r="L427" s="16" t="e">
        <f t="shared" ca="1" si="17"/>
        <v>#VALUE!</v>
      </c>
      <c r="M427" s="16" t="e">
        <f t="shared" ca="1" si="18"/>
        <v>#VALUE!</v>
      </c>
      <c r="N427" s="16" t="e">
        <f t="shared" ca="1" si="19"/>
        <v>#VALUE!</v>
      </c>
    </row>
    <row r="428" spans="1:14" ht="24.75" customHeight="1" x14ac:dyDescent="0.8">
      <c r="A428" s="18" t="s">
        <v>391</v>
      </c>
      <c r="B428" s="10">
        <f ca="1">IFERROR(__xludf.DUMMYFUNCTION("GOOGLEFINANCE(A428,""PRICE"")"),132.3)</f>
        <v>132.30000000000001</v>
      </c>
      <c r="C428" s="11">
        <f ca="1">IFERROR(__xludf.DUMMYFUNCTION("GOOGLEFINANCE(A428,""PRICEOPEN"")"),133)</f>
        <v>133</v>
      </c>
      <c r="D428" s="11">
        <f ca="1">IFERROR(__xludf.DUMMYFUNCTION("GOOGLEFINANCE(A428,""HIGH"")"),133.54)</f>
        <v>133.54</v>
      </c>
      <c r="E428" s="11">
        <f ca="1">IFERROR(__xludf.DUMMYFUNCTION("GOOGLEFINANCE(A428,""LOW"")"),130.42)</f>
        <v>130.41999999999999</v>
      </c>
      <c r="F428" s="12" t="str">
        <f t="shared" ca="1" si="14"/>
        <v/>
      </c>
      <c r="G428" s="13">
        <f ca="1">IFERROR(__xludf.DUMMYFUNCTION("GOOGLEFINANCE(A428,""CLOSEYEST"")"),132.15)</f>
        <v>132.15</v>
      </c>
      <c r="H428" s="14" t="str">
        <f t="shared" ca="1" si="20"/>
        <v/>
      </c>
      <c r="I428" s="15">
        <f t="shared" ca="1" si="15"/>
        <v>132.03666666666666</v>
      </c>
      <c r="J428" s="16">
        <f t="shared" ca="1" si="16"/>
        <v>133.65333333333334</v>
      </c>
      <c r="K428" s="16"/>
      <c r="L428" s="16">
        <f t="shared" ca="1" si="17"/>
        <v>130.53333333333333</v>
      </c>
      <c r="M428" s="16">
        <f t="shared" ca="1" si="18"/>
        <v>135.15666666666667</v>
      </c>
      <c r="N428" s="16">
        <f t="shared" ca="1" si="19"/>
        <v>128.91666666666666</v>
      </c>
    </row>
    <row r="429" spans="1:14" ht="24.75" customHeight="1" x14ac:dyDescent="0.8">
      <c r="A429" s="18" t="s">
        <v>392</v>
      </c>
      <c r="B429" s="10">
        <f ca="1">IFERROR(__xludf.DUMMYFUNCTION("GOOGLEFINANCE(A429,""PRICE"")"),628.7)</f>
        <v>628.70000000000005</v>
      </c>
      <c r="C429" s="11">
        <f ca="1">IFERROR(__xludf.DUMMYFUNCTION("GOOGLEFINANCE(A429,""PRICEOPEN"")"),581.35)</f>
        <v>581.35</v>
      </c>
      <c r="D429" s="11">
        <f ca="1">IFERROR(__xludf.DUMMYFUNCTION("GOOGLEFINANCE(A429,""HIGH"")"),630)</f>
        <v>630</v>
      </c>
      <c r="E429" s="11">
        <f ca="1">IFERROR(__xludf.DUMMYFUNCTION("GOOGLEFINANCE(A429,""LOW"")"),579.5)</f>
        <v>579.5</v>
      </c>
      <c r="F429" s="12" t="str">
        <f t="shared" ca="1" si="14"/>
        <v/>
      </c>
      <c r="G429" s="13">
        <f ca="1">IFERROR(__xludf.DUMMYFUNCTION("GOOGLEFINANCE(A429,""CLOSEYEST"")"),581.35)</f>
        <v>581.35</v>
      </c>
      <c r="H429" s="14" t="str">
        <f t="shared" ca="1" si="20"/>
        <v/>
      </c>
      <c r="I429" s="15">
        <f t="shared" ca="1" si="15"/>
        <v>596.94999999999993</v>
      </c>
      <c r="J429" s="16">
        <f t="shared" ca="1" si="16"/>
        <v>614.39999999999986</v>
      </c>
      <c r="K429" s="16"/>
      <c r="L429" s="16">
        <f t="shared" ca="1" si="17"/>
        <v>563.89999999999986</v>
      </c>
      <c r="M429" s="16">
        <f t="shared" ca="1" si="18"/>
        <v>647.44999999999993</v>
      </c>
      <c r="N429" s="16">
        <f t="shared" ca="1" si="19"/>
        <v>546.44999999999993</v>
      </c>
    </row>
    <row r="430" spans="1:14" ht="24.75" customHeight="1" x14ac:dyDescent="0.8">
      <c r="A430" s="18" t="s">
        <v>393</v>
      </c>
      <c r="B430" s="10">
        <f ca="1">IFERROR(__xludf.DUMMYFUNCTION("GOOGLEFINANCE(A430,""PRICE"")"),890)</f>
        <v>890</v>
      </c>
      <c r="C430" s="11">
        <f ca="1">IFERROR(__xludf.DUMMYFUNCTION("GOOGLEFINANCE(A430,""PRICEOPEN"")"),887)</f>
        <v>887</v>
      </c>
      <c r="D430" s="11">
        <f ca="1">IFERROR(__xludf.DUMMYFUNCTION("GOOGLEFINANCE(A430,""HIGH"")"),896)</f>
        <v>896</v>
      </c>
      <c r="E430" s="11">
        <f ca="1">IFERROR(__xludf.DUMMYFUNCTION("GOOGLEFINANCE(A430,""LOW"")"),878.6)</f>
        <v>878.6</v>
      </c>
      <c r="F430" s="12" t="str">
        <f t="shared" ca="1" si="14"/>
        <v/>
      </c>
      <c r="G430" s="13">
        <f ca="1">IFERROR(__xludf.DUMMYFUNCTION("GOOGLEFINANCE(A430,""CLOSEYEST"")"),882.3)</f>
        <v>882.3</v>
      </c>
      <c r="H430" s="14" t="str">
        <f t="shared" ca="1" si="20"/>
        <v/>
      </c>
      <c r="I430" s="15">
        <f t="shared" ca="1" si="15"/>
        <v>885.63333333333321</v>
      </c>
      <c r="J430" s="16">
        <f t="shared" ca="1" si="16"/>
        <v>892.6666666666664</v>
      </c>
      <c r="K430" s="16"/>
      <c r="L430" s="16">
        <f t="shared" ca="1" si="17"/>
        <v>875.26666666666642</v>
      </c>
      <c r="M430" s="16">
        <f t="shared" ca="1" si="18"/>
        <v>903.03333333333319</v>
      </c>
      <c r="N430" s="16">
        <f t="shared" ca="1" si="19"/>
        <v>868.23333333333323</v>
      </c>
    </row>
    <row r="431" spans="1:14" ht="24.75" customHeight="1" x14ac:dyDescent="0.8">
      <c r="A431" s="18" t="s">
        <v>394</v>
      </c>
      <c r="B431" s="10">
        <f ca="1">IFERROR(__xludf.DUMMYFUNCTION("GOOGLEFINANCE(A431,""PRICE"")"),52.82)</f>
        <v>52.82</v>
      </c>
      <c r="C431" s="11">
        <f ca="1">IFERROR(__xludf.DUMMYFUNCTION("GOOGLEFINANCE(A431,""PRICEOPEN"")"),52.74)</f>
        <v>52.74</v>
      </c>
      <c r="D431" s="11">
        <f ca="1">IFERROR(__xludf.DUMMYFUNCTION("GOOGLEFINANCE(A431,""HIGH"")"),52.98)</f>
        <v>52.98</v>
      </c>
      <c r="E431" s="11">
        <f ca="1">IFERROR(__xludf.DUMMYFUNCTION("GOOGLEFINANCE(A431,""LOW"")"),52.02)</f>
        <v>52.02</v>
      </c>
      <c r="F431" s="12" t="str">
        <f t="shared" ca="1" si="14"/>
        <v/>
      </c>
      <c r="G431" s="13">
        <f ca="1">IFERROR(__xludf.DUMMYFUNCTION("GOOGLEFINANCE(A431,""CLOSEYEST"")"),52.49)</f>
        <v>52.49</v>
      </c>
      <c r="H431" s="14" t="str">
        <f t="shared" ca="1" si="20"/>
        <v/>
      </c>
      <c r="I431" s="15">
        <f t="shared" ca="1" si="15"/>
        <v>52.49666666666667</v>
      </c>
      <c r="J431" s="16">
        <f t="shared" ca="1" si="16"/>
        <v>52.973333333333336</v>
      </c>
      <c r="K431" s="16"/>
      <c r="L431" s="16">
        <f t="shared" ca="1" si="17"/>
        <v>52.013333333333343</v>
      </c>
      <c r="M431" s="16">
        <f t="shared" ca="1" si="18"/>
        <v>53.456666666666663</v>
      </c>
      <c r="N431" s="16">
        <f t="shared" ca="1" si="19"/>
        <v>51.536666666666676</v>
      </c>
    </row>
    <row r="432" spans="1:14" ht="24.75" customHeight="1" x14ac:dyDescent="0.8">
      <c r="A432" s="18" t="s">
        <v>395</v>
      </c>
      <c r="B432" s="10">
        <f ca="1">IFERROR(__xludf.DUMMYFUNCTION("GOOGLEFINANCE(A432,""PRICE"")"),674)</f>
        <v>674</v>
      </c>
      <c r="C432" s="11">
        <f ca="1">IFERROR(__xludf.DUMMYFUNCTION("GOOGLEFINANCE(A432,""PRICEOPEN"")"),683.95)</f>
        <v>683.95</v>
      </c>
      <c r="D432" s="11">
        <f ca="1">IFERROR(__xludf.DUMMYFUNCTION("GOOGLEFINANCE(A432,""HIGH"")"),686.95)</f>
        <v>686.95</v>
      </c>
      <c r="E432" s="11">
        <f ca="1">IFERROR(__xludf.DUMMYFUNCTION("GOOGLEFINANCE(A432,""LOW"")"),672.1)</f>
        <v>672.1</v>
      </c>
      <c r="F432" s="12" t="str">
        <f t="shared" ca="1" si="14"/>
        <v/>
      </c>
      <c r="G432" s="13">
        <f ca="1">IFERROR(__xludf.DUMMYFUNCTION("GOOGLEFINANCE(A432,""CLOSEYEST"")"),682.35)</f>
        <v>682.35</v>
      </c>
      <c r="H432" s="14" t="str">
        <f t="shared" ca="1" si="20"/>
        <v/>
      </c>
      <c r="I432" s="15">
        <f t="shared" ca="1" si="15"/>
        <v>680.4666666666667</v>
      </c>
      <c r="J432" s="16">
        <f t="shared" ca="1" si="16"/>
        <v>688.83333333333337</v>
      </c>
      <c r="K432" s="16"/>
      <c r="L432" s="16">
        <f t="shared" ca="1" si="17"/>
        <v>673.98333333333335</v>
      </c>
      <c r="M432" s="16">
        <f t="shared" ca="1" si="18"/>
        <v>695.31666666666672</v>
      </c>
      <c r="N432" s="16">
        <f t="shared" ca="1" si="19"/>
        <v>665.61666666666667</v>
      </c>
    </row>
    <row r="433" spans="1:14" ht="24.75" customHeight="1" x14ac:dyDescent="0.8">
      <c r="A433" s="18" t="s">
        <v>396</v>
      </c>
      <c r="B433" s="10">
        <f ca="1">IFERROR(__xludf.DUMMYFUNCTION("GOOGLEFINANCE(A433,""PRICE"")"),650)</f>
        <v>650</v>
      </c>
      <c r="C433" s="11">
        <f ca="1">IFERROR(__xludf.DUMMYFUNCTION("GOOGLEFINANCE(A433,""PRICEOPEN"")"),640)</f>
        <v>640</v>
      </c>
      <c r="D433" s="11">
        <f ca="1">IFERROR(__xludf.DUMMYFUNCTION("GOOGLEFINANCE(A433,""HIGH"")"),652.35)</f>
        <v>652.35</v>
      </c>
      <c r="E433" s="11">
        <f ca="1">IFERROR(__xludf.DUMMYFUNCTION("GOOGLEFINANCE(A433,""LOW"")"),640)</f>
        <v>640</v>
      </c>
      <c r="F433" s="12" t="str">
        <f t="shared" ca="1" si="14"/>
        <v>BUY</v>
      </c>
      <c r="G433" s="13">
        <f ca="1">IFERROR(__xludf.DUMMYFUNCTION("GOOGLEFINANCE(A433,""CLOSEYEST"")"),640.25)</f>
        <v>640.25</v>
      </c>
      <c r="H433" s="14" t="str">
        <f t="shared" ca="1" si="20"/>
        <v/>
      </c>
      <c r="I433" s="15">
        <f t="shared" ca="1" si="15"/>
        <v>644.19999999999993</v>
      </c>
      <c r="J433" s="16">
        <f t="shared" ca="1" si="16"/>
        <v>648.39999999999986</v>
      </c>
      <c r="K433" s="16"/>
      <c r="L433" s="16">
        <f t="shared" ca="1" si="17"/>
        <v>636.04999999999984</v>
      </c>
      <c r="M433" s="16">
        <f t="shared" ca="1" si="18"/>
        <v>656.55</v>
      </c>
      <c r="N433" s="16">
        <f t="shared" ca="1" si="19"/>
        <v>631.84999999999991</v>
      </c>
    </row>
    <row r="434" spans="1:14" ht="24.75" customHeight="1" x14ac:dyDescent="0.8">
      <c r="A434" s="18" t="s">
        <v>397</v>
      </c>
      <c r="B434" s="10">
        <f ca="1">IFERROR(__xludf.DUMMYFUNCTION("GOOGLEFINANCE(A434,""PRICE"")"),392.35)</f>
        <v>392.35</v>
      </c>
      <c r="C434" s="11">
        <f ca="1">IFERROR(__xludf.DUMMYFUNCTION("GOOGLEFINANCE(A434,""PRICEOPEN"")"),365.65)</f>
        <v>365.65</v>
      </c>
      <c r="D434" s="11">
        <f ca="1">IFERROR(__xludf.DUMMYFUNCTION("GOOGLEFINANCE(A434,""HIGH"")"),413.95)</f>
        <v>413.95</v>
      </c>
      <c r="E434" s="11">
        <f ca="1">IFERROR(__xludf.DUMMYFUNCTION("GOOGLEFINANCE(A434,""LOW"")"),364.15)</f>
        <v>364.15</v>
      </c>
      <c r="F434" s="12" t="str">
        <f t="shared" ca="1" si="14"/>
        <v/>
      </c>
      <c r="G434" s="13">
        <f ca="1">IFERROR(__xludf.DUMMYFUNCTION("GOOGLEFINANCE(A434,""CLOSEYEST"")"),365.65)</f>
        <v>365.65</v>
      </c>
      <c r="H434" s="14" t="str">
        <f t="shared" ca="1" si="20"/>
        <v/>
      </c>
      <c r="I434" s="15">
        <f t="shared" ca="1" si="15"/>
        <v>381.25</v>
      </c>
      <c r="J434" s="16">
        <f t="shared" ca="1" si="16"/>
        <v>398.35</v>
      </c>
      <c r="K434" s="16"/>
      <c r="L434" s="16">
        <f t="shared" ca="1" si="17"/>
        <v>348.55</v>
      </c>
      <c r="M434" s="16">
        <f t="shared" ca="1" si="18"/>
        <v>431.05</v>
      </c>
      <c r="N434" s="16">
        <f t="shared" ca="1" si="19"/>
        <v>331.45</v>
      </c>
    </row>
    <row r="435" spans="1:14" ht="24.75" customHeight="1" x14ac:dyDescent="0.8">
      <c r="A435" s="18" t="s">
        <v>398</v>
      </c>
      <c r="B435" s="10">
        <f ca="1">IFERROR(__xludf.DUMMYFUNCTION("GOOGLEFINANCE(A435,""PRICE"")"),1474.8)</f>
        <v>1474.8</v>
      </c>
      <c r="C435" s="11">
        <f ca="1">IFERROR(__xludf.DUMMYFUNCTION("GOOGLEFINANCE(A435,""PRICEOPEN"")"),1519.8)</f>
        <v>1519.8</v>
      </c>
      <c r="D435" s="11">
        <f ca="1">IFERROR(__xludf.DUMMYFUNCTION("GOOGLEFINANCE(A435,""HIGH"")"),1526.5)</f>
        <v>1526.5</v>
      </c>
      <c r="E435" s="11">
        <f ca="1">IFERROR(__xludf.DUMMYFUNCTION("GOOGLEFINANCE(A435,""LOW"")"),1463)</f>
        <v>1463</v>
      </c>
      <c r="F435" s="12" t="str">
        <f t="shared" ca="1" si="14"/>
        <v/>
      </c>
      <c r="G435" s="13">
        <f ca="1">IFERROR(__xludf.DUMMYFUNCTION("GOOGLEFINANCE(A435,""CLOSEYEST"")"),1514.9)</f>
        <v>1514.9</v>
      </c>
      <c r="H435" s="14" t="str">
        <f t="shared" ca="1" si="20"/>
        <v/>
      </c>
      <c r="I435" s="15">
        <f t="shared" ca="1" si="15"/>
        <v>1501.4666666666665</v>
      </c>
      <c r="J435" s="16">
        <f t="shared" ca="1" si="16"/>
        <v>1539.9333333333329</v>
      </c>
      <c r="K435" s="16"/>
      <c r="L435" s="16">
        <f t="shared" ca="1" si="17"/>
        <v>1476.4333333333329</v>
      </c>
      <c r="M435" s="16">
        <f t="shared" ca="1" si="18"/>
        <v>1564.9666666666665</v>
      </c>
      <c r="N435" s="16">
        <f t="shared" ca="1" si="19"/>
        <v>1437.9666666666665</v>
      </c>
    </row>
    <row r="436" spans="1:14" ht="24.75" customHeight="1" x14ac:dyDescent="0.8">
      <c r="A436" s="18" t="s">
        <v>399</v>
      </c>
      <c r="B436" s="10">
        <f ca="1">IFERROR(__xludf.DUMMYFUNCTION("GOOGLEFINANCE(A436,""PRICE"")"),560)</f>
        <v>560</v>
      </c>
      <c r="C436" s="11">
        <f ca="1">IFERROR(__xludf.DUMMYFUNCTION("GOOGLEFINANCE(A436,""PRICEOPEN"")"),544.95)</f>
        <v>544.95000000000005</v>
      </c>
      <c r="D436" s="11">
        <f ca="1">IFERROR(__xludf.DUMMYFUNCTION("GOOGLEFINANCE(A436,""HIGH"")"),562.7)</f>
        <v>562.70000000000005</v>
      </c>
      <c r="E436" s="11">
        <f ca="1">IFERROR(__xludf.DUMMYFUNCTION("GOOGLEFINANCE(A436,""LOW"")"),542)</f>
        <v>542</v>
      </c>
      <c r="F436" s="12" t="str">
        <f t="shared" ca="1" si="14"/>
        <v/>
      </c>
      <c r="G436" s="13">
        <f ca="1">IFERROR(__xludf.DUMMYFUNCTION("GOOGLEFINANCE(A436,""CLOSEYEST"")"),542.65)</f>
        <v>542.65</v>
      </c>
      <c r="H436" s="14" t="str">
        <f t="shared" ca="1" si="20"/>
        <v/>
      </c>
      <c r="I436" s="15">
        <f t="shared" ca="1" si="15"/>
        <v>549.11666666666667</v>
      </c>
      <c r="J436" s="16">
        <f t="shared" ca="1" si="16"/>
        <v>556.23333333333335</v>
      </c>
      <c r="K436" s="16"/>
      <c r="L436" s="16">
        <f t="shared" ca="1" si="17"/>
        <v>535.5333333333333</v>
      </c>
      <c r="M436" s="16">
        <f t="shared" ca="1" si="18"/>
        <v>569.81666666666672</v>
      </c>
      <c r="N436" s="16">
        <f t="shared" ca="1" si="19"/>
        <v>528.41666666666663</v>
      </c>
    </row>
    <row r="437" spans="1:14" ht="24.75" customHeight="1" x14ac:dyDescent="0.8">
      <c r="A437" s="18" t="s">
        <v>400</v>
      </c>
      <c r="B437" s="10">
        <f ca="1">IFERROR(__xludf.DUMMYFUNCTION("GOOGLEFINANCE(A437,""PRICE"")"),829)</f>
        <v>829</v>
      </c>
      <c r="C437" s="11">
        <f ca="1">IFERROR(__xludf.DUMMYFUNCTION("GOOGLEFINANCE(A437,""PRICEOPEN"")"),820.7)</f>
        <v>820.7</v>
      </c>
      <c r="D437" s="11">
        <f ca="1">IFERROR(__xludf.DUMMYFUNCTION("GOOGLEFINANCE(A437,""HIGH"")"),829.2)</f>
        <v>829.2</v>
      </c>
      <c r="E437" s="11">
        <f ca="1">IFERROR(__xludf.DUMMYFUNCTION("GOOGLEFINANCE(A437,""LOW"")"),817.2)</f>
        <v>817.2</v>
      </c>
      <c r="F437" s="12" t="str">
        <f t="shared" ca="1" si="14"/>
        <v/>
      </c>
      <c r="G437" s="13">
        <f ca="1">IFERROR(__xludf.DUMMYFUNCTION("GOOGLEFINANCE(A437,""CLOSEYEST"")"),820.7)</f>
        <v>820.7</v>
      </c>
      <c r="H437" s="14" t="str">
        <f t="shared" ca="1" si="20"/>
        <v/>
      </c>
      <c r="I437" s="15">
        <f t="shared" ca="1" si="15"/>
        <v>822.36666666666679</v>
      </c>
      <c r="J437" s="16">
        <f t="shared" ca="1" si="16"/>
        <v>827.53333333333353</v>
      </c>
      <c r="K437" s="16"/>
      <c r="L437" s="16">
        <f t="shared" ca="1" si="17"/>
        <v>815.53333333333353</v>
      </c>
      <c r="M437" s="16">
        <f t="shared" ca="1" si="18"/>
        <v>834.36666666666679</v>
      </c>
      <c r="N437" s="16">
        <f t="shared" ca="1" si="19"/>
        <v>810.36666666666679</v>
      </c>
    </row>
    <row r="438" spans="1:14" ht="24.75" customHeight="1" x14ac:dyDescent="0.8">
      <c r="A438" s="18" t="s">
        <v>401</v>
      </c>
      <c r="B438" s="10">
        <f ca="1">IFERROR(__xludf.DUMMYFUNCTION("GOOGLEFINANCE(A438,""PRICE"")"),424)</f>
        <v>424</v>
      </c>
      <c r="C438" s="11">
        <f ca="1">IFERROR(__xludf.DUMMYFUNCTION("GOOGLEFINANCE(A438,""PRICEOPEN"")"),416)</f>
        <v>416</v>
      </c>
      <c r="D438" s="11">
        <f ca="1">IFERROR(__xludf.DUMMYFUNCTION("GOOGLEFINANCE(A438,""HIGH"")"),424)</f>
        <v>424</v>
      </c>
      <c r="E438" s="11">
        <f ca="1">IFERROR(__xludf.DUMMYFUNCTION("GOOGLEFINANCE(A438,""LOW"")"),414.55)</f>
        <v>414.55</v>
      </c>
      <c r="F438" s="12" t="str">
        <f t="shared" ca="1" si="14"/>
        <v/>
      </c>
      <c r="G438" s="13">
        <f ca="1">IFERROR(__xludf.DUMMYFUNCTION("GOOGLEFINANCE(A438,""CLOSEYEST"")"),416)</f>
        <v>416</v>
      </c>
      <c r="H438" s="14" t="str">
        <f t="shared" ca="1" si="20"/>
        <v/>
      </c>
      <c r="I438" s="15">
        <f t="shared" ca="1" si="15"/>
        <v>418.18333333333334</v>
      </c>
      <c r="J438" s="16">
        <f t="shared" ca="1" si="16"/>
        <v>421.81666666666666</v>
      </c>
      <c r="K438" s="16"/>
      <c r="L438" s="16">
        <f t="shared" ca="1" si="17"/>
        <v>412.36666666666667</v>
      </c>
      <c r="M438" s="16">
        <f t="shared" ca="1" si="18"/>
        <v>427.63333333333333</v>
      </c>
      <c r="N438" s="16">
        <f t="shared" ca="1" si="19"/>
        <v>408.73333333333335</v>
      </c>
    </row>
    <row r="439" spans="1:14" ht="24.75" customHeight="1" x14ac:dyDescent="0.8">
      <c r="A439" s="18" t="s">
        <v>402</v>
      </c>
      <c r="B439" s="10">
        <f ca="1">IFERROR(__xludf.DUMMYFUNCTION("GOOGLEFINANCE(A439,""PRICE"")"),731.3)</f>
        <v>731.3</v>
      </c>
      <c r="C439" s="11">
        <f ca="1">IFERROR(__xludf.DUMMYFUNCTION("GOOGLEFINANCE(A439,""PRICEOPEN"")"),726.5)</f>
        <v>726.5</v>
      </c>
      <c r="D439" s="11">
        <f ca="1">IFERROR(__xludf.DUMMYFUNCTION("GOOGLEFINANCE(A439,""HIGH"")"),736.4)</f>
        <v>736.4</v>
      </c>
      <c r="E439" s="11">
        <f ca="1">IFERROR(__xludf.DUMMYFUNCTION("GOOGLEFINANCE(A439,""LOW"")"),720)</f>
        <v>720</v>
      </c>
      <c r="F439" s="12" t="str">
        <f t="shared" ca="1" si="14"/>
        <v/>
      </c>
      <c r="G439" s="13">
        <f ca="1">IFERROR(__xludf.DUMMYFUNCTION("GOOGLEFINANCE(A439,""CLOSEYEST"")"),732.1)</f>
        <v>732.1</v>
      </c>
      <c r="H439" s="14" t="str">
        <f t="shared" ca="1" si="20"/>
        <v/>
      </c>
      <c r="I439" s="15">
        <f t="shared" ca="1" si="15"/>
        <v>729.5</v>
      </c>
      <c r="J439" s="16">
        <f t="shared" ca="1" si="16"/>
        <v>739</v>
      </c>
      <c r="K439" s="16"/>
      <c r="L439" s="16">
        <f t="shared" ca="1" si="17"/>
        <v>722.6</v>
      </c>
      <c r="M439" s="16">
        <f t="shared" ca="1" si="18"/>
        <v>745.9</v>
      </c>
      <c r="N439" s="16">
        <f t="shared" ca="1" si="19"/>
        <v>713.1</v>
      </c>
    </row>
    <row r="440" spans="1:14" ht="24.75" customHeight="1" x14ac:dyDescent="0.8">
      <c r="A440" s="18" t="s">
        <v>403</v>
      </c>
      <c r="B440" s="10">
        <f ca="1">IFERROR(__xludf.DUMMYFUNCTION("GOOGLEFINANCE(A440,""PRICE"")"),22197.62)</f>
        <v>22197.62</v>
      </c>
      <c r="C440" s="11">
        <f ca="1">IFERROR(__xludf.DUMMYFUNCTION("GOOGLEFINANCE(A440,""PRICEOPEN"")"),22047.25)</f>
        <v>22047.25</v>
      </c>
      <c r="D440" s="11">
        <f ca="1">IFERROR(__xludf.DUMMYFUNCTION("GOOGLEFINANCE(A440,""HIGH"")"),22234.65)</f>
        <v>22234.65</v>
      </c>
      <c r="E440" s="11">
        <f ca="1">IFERROR(__xludf.DUMMYFUNCTION("GOOGLEFINANCE(A440,""LOW"")"),22047.25)</f>
        <v>22047.25</v>
      </c>
      <c r="F440" s="12" t="str">
        <f t="shared" ca="1" si="14"/>
        <v>BUY</v>
      </c>
      <c r="G440" s="13">
        <f ca="1">IFERROR(__xludf.DUMMYFUNCTION("GOOGLEFINANCE(A440,""CLOSEYEST"")"),22047.3)</f>
        <v>22047.3</v>
      </c>
      <c r="H440" s="14" t="str">
        <f t="shared" ca="1" si="20"/>
        <v/>
      </c>
      <c r="I440" s="15">
        <f t="shared" ca="1" si="15"/>
        <v>22109.733333333334</v>
      </c>
      <c r="J440" s="16">
        <f t="shared" ca="1" si="16"/>
        <v>22172.216666666667</v>
      </c>
      <c r="K440" s="16"/>
      <c r="L440" s="16">
        <f t="shared" ca="1" si="17"/>
        <v>21984.816666666666</v>
      </c>
      <c r="M440" s="16">
        <f t="shared" ca="1" si="18"/>
        <v>22297.133333333335</v>
      </c>
      <c r="N440" s="16">
        <f t="shared" ca="1" si="19"/>
        <v>21922.333333333332</v>
      </c>
    </row>
    <row r="441" spans="1:14" ht="24.75" customHeight="1" x14ac:dyDescent="0.8">
      <c r="A441" s="18" t="s">
        <v>404</v>
      </c>
      <c r="B441" s="10">
        <f ca="1">IFERROR(__xludf.DUMMYFUNCTION("GOOGLEFINANCE(A441,""PRICE"")"),795)</f>
        <v>795</v>
      </c>
      <c r="C441" s="11">
        <f ca="1">IFERROR(__xludf.DUMMYFUNCTION("GOOGLEFINANCE(A441,""PRICEOPEN"")"),784)</f>
        <v>784</v>
      </c>
      <c r="D441" s="11">
        <f ca="1">IFERROR(__xludf.DUMMYFUNCTION("GOOGLEFINANCE(A441,""HIGH"")"),796)</f>
        <v>796</v>
      </c>
      <c r="E441" s="11">
        <f ca="1">IFERROR(__xludf.DUMMYFUNCTION("GOOGLEFINANCE(A441,""LOW"")"),781.3)</f>
        <v>781.3</v>
      </c>
      <c r="F441" s="12" t="str">
        <f t="shared" ca="1" si="14"/>
        <v/>
      </c>
      <c r="G441" s="13">
        <f ca="1">IFERROR(__xludf.DUMMYFUNCTION("GOOGLEFINANCE(A441,""CLOSEYEST"")"),782.95)</f>
        <v>782.95</v>
      </c>
      <c r="H441" s="14" t="str">
        <f t="shared" ca="1" si="20"/>
        <v/>
      </c>
      <c r="I441" s="15">
        <f t="shared" ca="1" si="15"/>
        <v>786.75</v>
      </c>
      <c r="J441" s="16">
        <f t="shared" ca="1" si="16"/>
        <v>792.2</v>
      </c>
      <c r="K441" s="16"/>
      <c r="L441" s="16">
        <f t="shared" ca="1" si="17"/>
        <v>777.5</v>
      </c>
      <c r="M441" s="16">
        <f t="shared" ca="1" si="18"/>
        <v>801.45</v>
      </c>
      <c r="N441" s="16">
        <f t="shared" ca="1" si="19"/>
        <v>772.05</v>
      </c>
    </row>
    <row r="442" spans="1:14" ht="24.75" customHeight="1" x14ac:dyDescent="0.8">
      <c r="A442" s="18" t="s">
        <v>405</v>
      </c>
      <c r="B442" s="10">
        <f ca="1">IFERROR(__xludf.DUMMYFUNCTION("GOOGLEFINANCE(A442,""PRICE"")"),4.83)</f>
        <v>4.83</v>
      </c>
      <c r="C442" s="11">
        <f ca="1">IFERROR(__xludf.DUMMYFUNCTION("GOOGLEFINANCE(A442,""PRICEOPEN"")"),5.23)</f>
        <v>5.23</v>
      </c>
      <c r="D442" s="11">
        <f ca="1">IFERROR(__xludf.DUMMYFUNCTION("GOOGLEFINANCE(A442,""HIGH"")"),5.42)</f>
        <v>5.42</v>
      </c>
      <c r="E442" s="11">
        <f ca="1">IFERROR(__xludf.DUMMYFUNCTION("GOOGLEFINANCE(A442,""LOW"")"),4.63)</f>
        <v>4.63</v>
      </c>
      <c r="F442" s="12" t="str">
        <f t="shared" ca="1" si="14"/>
        <v/>
      </c>
      <c r="G442" s="13">
        <f ca="1">IFERROR(__xludf.DUMMYFUNCTION("GOOGLEFINANCE(A442,""CLOSEYEST"")"),5.03)</f>
        <v>5.03</v>
      </c>
      <c r="H442" s="14" t="str">
        <f t="shared" ca="1" si="20"/>
        <v>GAP UP</v>
      </c>
      <c r="I442" s="15">
        <f t="shared" ca="1" si="15"/>
        <v>5.0266666666666673</v>
      </c>
      <c r="J442" s="16">
        <f t="shared" ca="1" si="16"/>
        <v>5.4233333333333347</v>
      </c>
      <c r="K442" s="16"/>
      <c r="L442" s="16">
        <f t="shared" ca="1" si="17"/>
        <v>4.6333333333333346</v>
      </c>
      <c r="M442" s="16">
        <f t="shared" ca="1" si="18"/>
        <v>5.8166666666666673</v>
      </c>
      <c r="N442" s="16">
        <f t="shared" ca="1" si="19"/>
        <v>4.2366666666666672</v>
      </c>
    </row>
    <row r="443" spans="1:14" ht="24.75" customHeight="1" x14ac:dyDescent="0.8">
      <c r="A443" s="18" t="s">
        <v>406</v>
      </c>
      <c r="B443" s="10" t="str">
        <f ca="1">IFERROR(__xludf.DUMMYFUNCTION("GOOGLEFINANCE(A443,""PRICE"")"),"#N/A")</f>
        <v>#N/A</v>
      </c>
      <c r="C443" s="11" t="str">
        <f ca="1">IFERROR(__xludf.DUMMYFUNCTION("GOOGLEFINANCE(A443,""PRICEOPEN"")"),"#N/A")</f>
        <v>#N/A</v>
      </c>
      <c r="D443" s="11" t="str">
        <f ca="1">IFERROR(__xludf.DUMMYFUNCTION("GOOGLEFINANCE(A443,""HIGH"")"),"#N/A")</f>
        <v>#N/A</v>
      </c>
      <c r="E443" s="11" t="str">
        <f ca="1">IFERROR(__xludf.DUMMYFUNCTION("GOOGLEFINANCE(A443,""LOW"")"),"#N/A")</f>
        <v>#N/A</v>
      </c>
      <c r="F443" s="12" t="str">
        <f t="shared" ca="1" si="14"/>
        <v>SELL</v>
      </c>
      <c r="G443" s="13" t="str">
        <f ca="1">IFERROR(__xludf.DUMMYFUNCTION("GOOGLEFINANCE(A443,""CLOSEYEST"")"),"#N/A")</f>
        <v>#N/A</v>
      </c>
      <c r="H443" s="14" t="e">
        <f t="shared" ca="1" si="20"/>
        <v>#VALUE!</v>
      </c>
      <c r="I443" s="15" t="e">
        <f t="shared" ca="1" si="15"/>
        <v>#VALUE!</v>
      </c>
      <c r="J443" s="16" t="e">
        <f t="shared" ca="1" si="16"/>
        <v>#VALUE!</v>
      </c>
      <c r="K443" s="16"/>
      <c r="L443" s="16" t="e">
        <f t="shared" ca="1" si="17"/>
        <v>#VALUE!</v>
      </c>
      <c r="M443" s="16" t="e">
        <f t="shared" ca="1" si="18"/>
        <v>#VALUE!</v>
      </c>
      <c r="N443" s="16" t="e">
        <f t="shared" ca="1" si="19"/>
        <v>#VALUE!</v>
      </c>
    </row>
    <row r="444" spans="1:14" ht="24.75" customHeight="1" x14ac:dyDescent="0.8">
      <c r="A444" s="18" t="s">
        <v>407</v>
      </c>
      <c r="B444" s="10" t="str">
        <f ca="1">IFERROR(__xludf.DUMMYFUNCTION("GOOGLEFINANCE(A444,""PRICE"")"),"#N/A")</f>
        <v>#N/A</v>
      </c>
      <c r="C444" s="11" t="str">
        <f ca="1">IFERROR(__xludf.DUMMYFUNCTION("GOOGLEFINANCE(A444,""PRICEOPEN"")"),"#N/A")</f>
        <v>#N/A</v>
      </c>
      <c r="D444" s="11" t="str">
        <f ca="1">IFERROR(__xludf.DUMMYFUNCTION("GOOGLEFINANCE(A444,""HIGH"")"),"#N/A")</f>
        <v>#N/A</v>
      </c>
      <c r="E444" s="11" t="str">
        <f ca="1">IFERROR(__xludf.DUMMYFUNCTION("GOOGLEFINANCE(A444,""LOW"")"),"#N/A")</f>
        <v>#N/A</v>
      </c>
      <c r="F444" s="12" t="str">
        <f t="shared" ca="1" si="14"/>
        <v>SELL</v>
      </c>
      <c r="G444" s="13" t="str">
        <f ca="1">IFERROR(__xludf.DUMMYFUNCTION("GOOGLEFINANCE(A444,""CLOSEYEST"")"),"#N/A")</f>
        <v>#N/A</v>
      </c>
      <c r="H444" s="14" t="e">
        <f t="shared" ca="1" si="20"/>
        <v>#VALUE!</v>
      </c>
      <c r="I444" s="15" t="e">
        <f t="shared" ca="1" si="15"/>
        <v>#VALUE!</v>
      </c>
      <c r="J444" s="16" t="e">
        <f t="shared" ca="1" si="16"/>
        <v>#VALUE!</v>
      </c>
      <c r="K444" s="16"/>
      <c r="L444" s="16" t="e">
        <f t="shared" ca="1" si="17"/>
        <v>#VALUE!</v>
      </c>
      <c r="M444" s="16" t="e">
        <f t="shared" ca="1" si="18"/>
        <v>#VALUE!</v>
      </c>
      <c r="N444" s="16" t="e">
        <f t="shared" ca="1" si="19"/>
        <v>#VALUE!</v>
      </c>
    </row>
    <row r="445" spans="1:14" ht="24.75" customHeight="1" x14ac:dyDescent="0.8">
      <c r="A445" s="18" t="s">
        <v>408</v>
      </c>
      <c r="B445" s="10">
        <f ca="1">IFERROR(__xludf.DUMMYFUNCTION("GOOGLEFINANCE(A445,""PRICE"")"),4390)</f>
        <v>4390</v>
      </c>
      <c r="C445" s="11">
        <f ca="1">IFERROR(__xludf.DUMMYFUNCTION("GOOGLEFINANCE(A445,""PRICEOPEN"")"),4318.7)</f>
        <v>4318.7</v>
      </c>
      <c r="D445" s="11">
        <f ca="1">IFERROR(__xludf.DUMMYFUNCTION("GOOGLEFINANCE(A445,""HIGH"")"),4410)</f>
        <v>4410</v>
      </c>
      <c r="E445" s="11">
        <f ca="1">IFERROR(__xludf.DUMMYFUNCTION("GOOGLEFINANCE(A445,""LOW"")"),4303.2)</f>
        <v>4303.2</v>
      </c>
      <c r="F445" s="12" t="str">
        <f t="shared" ca="1" si="14"/>
        <v/>
      </c>
      <c r="G445" s="13">
        <f ca="1">IFERROR(__xludf.DUMMYFUNCTION("GOOGLEFINANCE(A445,""CLOSEYEST"")"),4318.7)</f>
        <v>4318.7</v>
      </c>
      <c r="H445" s="14" t="str">
        <f t="shared" ca="1" si="20"/>
        <v/>
      </c>
      <c r="I445" s="15">
        <f t="shared" ca="1" si="15"/>
        <v>4343.9666666666672</v>
      </c>
      <c r="J445" s="16">
        <f t="shared" ca="1" si="16"/>
        <v>4384.7333333333345</v>
      </c>
      <c r="K445" s="16"/>
      <c r="L445" s="16">
        <f t="shared" ca="1" si="17"/>
        <v>4277.9333333333343</v>
      </c>
      <c r="M445" s="16">
        <f t="shared" ca="1" si="18"/>
        <v>4450.7666666666673</v>
      </c>
      <c r="N445" s="16">
        <f t="shared" ca="1" si="19"/>
        <v>4237.166666666667</v>
      </c>
    </row>
    <row r="446" spans="1:14" ht="24.75" customHeight="1" x14ac:dyDescent="0.8">
      <c r="A446" s="18" t="s">
        <v>409</v>
      </c>
      <c r="B446" s="10">
        <f ca="1">IFERROR(__xludf.DUMMYFUNCTION("GOOGLEFINANCE(A446,""PRICE"")"),144)</f>
        <v>144</v>
      </c>
      <c r="C446" s="11">
        <f ca="1">IFERROR(__xludf.DUMMYFUNCTION("GOOGLEFINANCE(A446,""PRICEOPEN"")"),134.49)</f>
        <v>134.49</v>
      </c>
      <c r="D446" s="11">
        <f ca="1">IFERROR(__xludf.DUMMYFUNCTION("GOOGLEFINANCE(A446,""HIGH"")"),146.77)</f>
        <v>146.77000000000001</v>
      </c>
      <c r="E446" s="11">
        <f ca="1">IFERROR(__xludf.DUMMYFUNCTION("GOOGLEFINANCE(A446,""LOW"")"),132.15)</f>
        <v>132.15</v>
      </c>
      <c r="F446" s="12" t="str">
        <f t="shared" ca="1" si="14"/>
        <v/>
      </c>
      <c r="G446" s="13">
        <f ca="1">IFERROR(__xludf.DUMMYFUNCTION("GOOGLEFINANCE(A446,""CLOSEYEST"")"),133.31)</f>
        <v>133.31</v>
      </c>
      <c r="H446" s="14" t="str">
        <f t="shared" ca="1" si="20"/>
        <v/>
      </c>
      <c r="I446" s="15">
        <f t="shared" ca="1" si="15"/>
        <v>137.41</v>
      </c>
      <c r="J446" s="16">
        <f t="shared" ca="1" si="16"/>
        <v>142.66999999999999</v>
      </c>
      <c r="K446" s="16"/>
      <c r="L446" s="16">
        <f t="shared" ca="1" si="17"/>
        <v>128.04999999999998</v>
      </c>
      <c r="M446" s="16">
        <f t="shared" ca="1" si="18"/>
        <v>152.03</v>
      </c>
      <c r="N446" s="16">
        <f t="shared" ca="1" si="19"/>
        <v>122.78999999999999</v>
      </c>
    </row>
    <row r="447" spans="1:14" ht="24.75" customHeight="1" x14ac:dyDescent="0.8">
      <c r="A447" s="18" t="s">
        <v>410</v>
      </c>
      <c r="B447" s="10" t="str">
        <f ca="1">IFERROR(__xludf.DUMMYFUNCTION("GOOGLEFINANCE(A447,""PRICE"")"),"#N/A")</f>
        <v>#N/A</v>
      </c>
      <c r="C447" s="11" t="str">
        <f ca="1">IFERROR(__xludf.DUMMYFUNCTION("GOOGLEFINANCE(A447,""PRICEOPEN"")"),"#N/A")</f>
        <v>#N/A</v>
      </c>
      <c r="D447" s="11" t="str">
        <f ca="1">IFERROR(__xludf.DUMMYFUNCTION("GOOGLEFINANCE(A447,""HIGH"")"),"#N/A")</f>
        <v>#N/A</v>
      </c>
      <c r="E447" s="11" t="str">
        <f ca="1">IFERROR(__xludf.DUMMYFUNCTION("GOOGLEFINANCE(A447,""LOW"")"),"#N/A")</f>
        <v>#N/A</v>
      </c>
      <c r="F447" s="12" t="str">
        <f t="shared" ca="1" si="14"/>
        <v>SELL</v>
      </c>
      <c r="G447" s="13" t="str">
        <f ca="1">IFERROR(__xludf.DUMMYFUNCTION("GOOGLEFINANCE(A447,""CLOSEYEST"")"),"#N/A")</f>
        <v>#N/A</v>
      </c>
      <c r="H447" s="14" t="e">
        <f t="shared" ca="1" si="20"/>
        <v>#VALUE!</v>
      </c>
      <c r="I447" s="15" t="e">
        <f t="shared" ca="1" si="15"/>
        <v>#VALUE!</v>
      </c>
      <c r="J447" s="16" t="e">
        <f t="shared" ca="1" si="16"/>
        <v>#VALUE!</v>
      </c>
      <c r="K447" s="16"/>
      <c r="L447" s="16" t="e">
        <f t="shared" ca="1" si="17"/>
        <v>#VALUE!</v>
      </c>
      <c r="M447" s="16" t="e">
        <f t="shared" ca="1" si="18"/>
        <v>#VALUE!</v>
      </c>
      <c r="N447" s="16" t="e">
        <f t="shared" ca="1" si="19"/>
        <v>#VALUE!</v>
      </c>
    </row>
    <row r="448" spans="1:14" ht="24.75" customHeight="1" x14ac:dyDescent="0.8">
      <c r="A448" s="18" t="s">
        <v>411</v>
      </c>
      <c r="B448" s="10">
        <f ca="1">IFERROR(__xludf.DUMMYFUNCTION("GOOGLEFINANCE(A448,""PRICE"")"),199)</f>
        <v>199</v>
      </c>
      <c r="C448" s="11">
        <f ca="1">IFERROR(__xludf.DUMMYFUNCTION("GOOGLEFINANCE(A448,""PRICEOPEN"")"),199)</f>
        <v>199</v>
      </c>
      <c r="D448" s="11">
        <f ca="1">IFERROR(__xludf.DUMMYFUNCTION("GOOGLEFINANCE(A448,""HIGH"")"),199.79)</f>
        <v>199.79</v>
      </c>
      <c r="E448" s="11">
        <f ca="1">IFERROR(__xludf.DUMMYFUNCTION("GOOGLEFINANCE(A448,""LOW"")"),196.37)</f>
        <v>196.37</v>
      </c>
      <c r="F448" s="12" t="str">
        <f t="shared" ca="1" si="14"/>
        <v/>
      </c>
      <c r="G448" s="13">
        <f ca="1">IFERROR(__xludf.DUMMYFUNCTION("GOOGLEFINANCE(A448,""CLOSEYEST"")"),197.09)</f>
        <v>197.09</v>
      </c>
      <c r="H448" s="14" t="str">
        <f t="shared" ca="1" si="20"/>
        <v/>
      </c>
      <c r="I448" s="15">
        <f t="shared" ca="1" si="15"/>
        <v>197.75</v>
      </c>
      <c r="J448" s="16">
        <f t="shared" ca="1" si="16"/>
        <v>199.13</v>
      </c>
      <c r="K448" s="16"/>
      <c r="L448" s="16">
        <f t="shared" ca="1" si="17"/>
        <v>195.71</v>
      </c>
      <c r="M448" s="16">
        <f t="shared" ca="1" si="18"/>
        <v>201.17</v>
      </c>
      <c r="N448" s="16">
        <f t="shared" ca="1" si="19"/>
        <v>194.33</v>
      </c>
    </row>
    <row r="449" spans="1:14" ht="24.75" customHeight="1" x14ac:dyDescent="0.8">
      <c r="A449" s="18" t="s">
        <v>412</v>
      </c>
      <c r="B449" s="10">
        <f ca="1">IFERROR(__xludf.DUMMYFUNCTION("GOOGLEFINANCE(A449,""PRICE"")"),1842.5)</f>
        <v>1842.5</v>
      </c>
      <c r="C449" s="11">
        <f ca="1">IFERROR(__xludf.DUMMYFUNCTION("GOOGLEFINANCE(A449,""PRICEOPEN"")"),1822)</f>
        <v>1822</v>
      </c>
      <c r="D449" s="11">
        <f ca="1">IFERROR(__xludf.DUMMYFUNCTION("GOOGLEFINANCE(A449,""HIGH"")"),1843)</f>
        <v>1843</v>
      </c>
      <c r="E449" s="11">
        <f ca="1">IFERROR(__xludf.DUMMYFUNCTION("GOOGLEFINANCE(A449,""LOW"")"),1792)</f>
        <v>1792</v>
      </c>
      <c r="F449" s="12" t="str">
        <f t="shared" ca="1" si="14"/>
        <v/>
      </c>
      <c r="G449" s="13">
        <f ca="1">IFERROR(__xludf.DUMMYFUNCTION("GOOGLEFINANCE(A449,""CLOSEYEST"")"),1802.8)</f>
        <v>1802.8</v>
      </c>
      <c r="H449" s="14" t="str">
        <f t="shared" ca="1" si="20"/>
        <v>GAP UP</v>
      </c>
      <c r="I449" s="15">
        <f t="shared" ca="1" si="15"/>
        <v>1812.6000000000001</v>
      </c>
      <c r="J449" s="16">
        <f t="shared" ca="1" si="16"/>
        <v>1833.2000000000003</v>
      </c>
      <c r="K449" s="16"/>
      <c r="L449" s="16">
        <f t="shared" ca="1" si="17"/>
        <v>1782.2000000000003</v>
      </c>
      <c r="M449" s="16">
        <f t="shared" ca="1" si="18"/>
        <v>1863.6000000000001</v>
      </c>
      <c r="N449" s="16">
        <f t="shared" ca="1" si="19"/>
        <v>1761.6000000000001</v>
      </c>
    </row>
    <row r="450" spans="1:14" ht="24.75" customHeight="1" x14ac:dyDescent="0.8">
      <c r="A450" s="18" t="s">
        <v>413</v>
      </c>
      <c r="B450" s="10">
        <f ca="1">IFERROR(__xludf.DUMMYFUNCTION("GOOGLEFINANCE(A450,""PRICE"")"),295.55)</f>
        <v>295.55</v>
      </c>
      <c r="C450" s="11">
        <f ca="1">IFERROR(__xludf.DUMMYFUNCTION("GOOGLEFINANCE(A450,""PRICEOPEN"")"),294.5)</f>
        <v>294.5</v>
      </c>
      <c r="D450" s="11">
        <f ca="1">IFERROR(__xludf.DUMMYFUNCTION("GOOGLEFINANCE(A450,""HIGH"")"),295.9)</f>
        <v>295.89999999999998</v>
      </c>
      <c r="E450" s="11">
        <f ca="1">IFERROR(__xludf.DUMMYFUNCTION("GOOGLEFINANCE(A450,""LOW"")"),292.3)</f>
        <v>292.3</v>
      </c>
      <c r="F450" s="12" t="str">
        <f t="shared" ca="1" si="14"/>
        <v/>
      </c>
      <c r="G450" s="13">
        <f ca="1">IFERROR(__xludf.DUMMYFUNCTION("GOOGLEFINANCE(A450,""CLOSEYEST"")"),294.55)</f>
        <v>294.55</v>
      </c>
      <c r="H450" s="14" t="str">
        <f t="shared" ca="1" si="20"/>
        <v/>
      </c>
      <c r="I450" s="15">
        <f t="shared" ca="1" si="15"/>
        <v>294.25</v>
      </c>
      <c r="J450" s="16">
        <f t="shared" ca="1" si="16"/>
        <v>296.2</v>
      </c>
      <c r="K450" s="16"/>
      <c r="L450" s="16">
        <f t="shared" ca="1" si="17"/>
        <v>292.60000000000002</v>
      </c>
      <c r="M450" s="16">
        <f t="shared" ca="1" si="18"/>
        <v>297.84999999999997</v>
      </c>
      <c r="N450" s="16">
        <f t="shared" ca="1" si="19"/>
        <v>290.65000000000003</v>
      </c>
    </row>
    <row r="451" spans="1:14" ht="24.75" customHeight="1" x14ac:dyDescent="0.8">
      <c r="A451" s="18" t="s">
        <v>414</v>
      </c>
      <c r="B451" s="10">
        <f ca="1">IFERROR(__xludf.DUMMYFUNCTION("GOOGLEFINANCE(A451,""PRICE"")"),81.7)</f>
        <v>81.7</v>
      </c>
      <c r="C451" s="11">
        <f ca="1">IFERROR(__xludf.DUMMYFUNCTION("GOOGLEFINANCE(A451,""PRICEOPEN"")"),79.05)</f>
        <v>79.05</v>
      </c>
      <c r="D451" s="11">
        <f ca="1">IFERROR(__xludf.DUMMYFUNCTION("GOOGLEFINANCE(A451,""HIGH"")"),84.9)</f>
        <v>84.9</v>
      </c>
      <c r="E451" s="11">
        <f ca="1">IFERROR(__xludf.DUMMYFUNCTION("GOOGLEFINANCE(A451,""LOW"")"),79.02)</f>
        <v>79.02</v>
      </c>
      <c r="F451" s="12" t="str">
        <f t="shared" ca="1" si="14"/>
        <v/>
      </c>
      <c r="G451" s="13">
        <f ca="1">IFERROR(__xludf.DUMMYFUNCTION("GOOGLEFINANCE(A451,""CLOSEYEST"")"),79.04)</f>
        <v>79.040000000000006</v>
      </c>
      <c r="H451" s="14" t="str">
        <f t="shared" ca="1" si="20"/>
        <v/>
      </c>
      <c r="I451" s="15">
        <f t="shared" ca="1" si="15"/>
        <v>80.986666666666679</v>
      </c>
      <c r="J451" s="16">
        <f t="shared" ca="1" si="16"/>
        <v>82.953333333333362</v>
      </c>
      <c r="K451" s="16"/>
      <c r="L451" s="16">
        <f t="shared" ca="1" si="17"/>
        <v>77.073333333333352</v>
      </c>
      <c r="M451" s="16">
        <f t="shared" ca="1" si="18"/>
        <v>86.866666666666688</v>
      </c>
      <c r="N451" s="16">
        <f t="shared" ca="1" si="19"/>
        <v>75.106666666666669</v>
      </c>
    </row>
    <row r="452" spans="1:14" ht="24.75" customHeight="1" x14ac:dyDescent="0.8">
      <c r="A452" s="18" t="s">
        <v>415</v>
      </c>
      <c r="B452" s="10">
        <f ca="1">IFERROR(__xludf.DUMMYFUNCTION("GOOGLEFINANCE(A452,""PRICE"")"),341.5)</f>
        <v>341.5</v>
      </c>
      <c r="C452" s="11">
        <f ca="1">IFERROR(__xludf.DUMMYFUNCTION("GOOGLEFINANCE(A452,""PRICEOPEN"")"),323)</f>
        <v>323</v>
      </c>
      <c r="D452" s="11">
        <f ca="1">IFERROR(__xludf.DUMMYFUNCTION("GOOGLEFINANCE(A452,""HIGH"")"),344.35)</f>
        <v>344.35</v>
      </c>
      <c r="E452" s="11">
        <f ca="1">IFERROR(__xludf.DUMMYFUNCTION("GOOGLEFINANCE(A452,""LOW"")"),323)</f>
        <v>323</v>
      </c>
      <c r="F452" s="12" t="str">
        <f t="shared" ca="1" si="14"/>
        <v>BUY</v>
      </c>
      <c r="G452" s="13">
        <f ca="1">IFERROR(__xludf.DUMMYFUNCTION("GOOGLEFINANCE(A452,""CLOSEYEST"")"),325.3)</f>
        <v>325.3</v>
      </c>
      <c r="H452" s="14" t="str">
        <f t="shared" ca="1" si="20"/>
        <v/>
      </c>
      <c r="I452" s="15">
        <f t="shared" ca="1" si="15"/>
        <v>330.88333333333338</v>
      </c>
      <c r="J452" s="16">
        <f t="shared" ca="1" si="16"/>
        <v>338.76666666666677</v>
      </c>
      <c r="K452" s="16"/>
      <c r="L452" s="16">
        <f t="shared" ca="1" si="17"/>
        <v>317.41666666666674</v>
      </c>
      <c r="M452" s="16">
        <f t="shared" ca="1" si="18"/>
        <v>352.23333333333341</v>
      </c>
      <c r="N452" s="16">
        <f t="shared" ca="1" si="19"/>
        <v>309.53333333333336</v>
      </c>
    </row>
    <row r="453" spans="1:14" ht="24.75" customHeight="1" x14ac:dyDescent="0.8">
      <c r="A453" s="18" t="s">
        <v>416</v>
      </c>
      <c r="B453" s="10">
        <f ca="1">IFERROR(__xludf.DUMMYFUNCTION("GOOGLEFINANCE(A453,""PRICE"")"),279)</f>
        <v>279</v>
      </c>
      <c r="C453" s="11">
        <f ca="1">IFERROR(__xludf.DUMMYFUNCTION("GOOGLEFINANCE(A453,""PRICEOPEN"")"),277.25)</f>
        <v>277.25</v>
      </c>
      <c r="D453" s="11">
        <f ca="1">IFERROR(__xludf.DUMMYFUNCTION("GOOGLEFINANCE(A453,""HIGH"")"),281)</f>
        <v>281</v>
      </c>
      <c r="E453" s="11">
        <f ca="1">IFERROR(__xludf.DUMMYFUNCTION("GOOGLEFINANCE(A453,""LOW"")"),273.5)</f>
        <v>273.5</v>
      </c>
      <c r="F453" s="12" t="str">
        <f t="shared" ca="1" si="14"/>
        <v/>
      </c>
      <c r="G453" s="13">
        <f ca="1">IFERROR(__xludf.DUMMYFUNCTION("GOOGLEFINANCE(A453,""CLOSEYEST"")"),277.25)</f>
        <v>277.25</v>
      </c>
      <c r="H453" s="14" t="str">
        <f t="shared" ca="1" si="20"/>
        <v/>
      </c>
      <c r="I453" s="15">
        <f t="shared" ca="1" si="15"/>
        <v>277.25</v>
      </c>
      <c r="J453" s="16">
        <f t="shared" ca="1" si="16"/>
        <v>281</v>
      </c>
      <c r="K453" s="16"/>
      <c r="L453" s="16">
        <f t="shared" ca="1" si="17"/>
        <v>273.5</v>
      </c>
      <c r="M453" s="16">
        <f t="shared" ca="1" si="18"/>
        <v>284.75</v>
      </c>
      <c r="N453" s="16">
        <f t="shared" ca="1" si="19"/>
        <v>269.75</v>
      </c>
    </row>
    <row r="454" spans="1:14" ht="24.75" customHeight="1" x14ac:dyDescent="0.8">
      <c r="A454" s="18" t="s">
        <v>417</v>
      </c>
      <c r="B454" s="10">
        <f ca="1">IFERROR(__xludf.DUMMYFUNCTION("GOOGLEFINANCE(A454,""PRICE"")"),847)</f>
        <v>847</v>
      </c>
      <c r="C454" s="11">
        <f ca="1">IFERROR(__xludf.DUMMYFUNCTION("GOOGLEFINANCE(A454,""PRICEOPEN"")"),779)</f>
        <v>779</v>
      </c>
      <c r="D454" s="11">
        <f ca="1">IFERROR(__xludf.DUMMYFUNCTION("GOOGLEFINANCE(A454,""HIGH"")"),867.4)</f>
        <v>867.4</v>
      </c>
      <c r="E454" s="11">
        <f ca="1">IFERROR(__xludf.DUMMYFUNCTION("GOOGLEFINANCE(A454,""LOW"")"),756.7)</f>
        <v>756.7</v>
      </c>
      <c r="F454" s="12" t="str">
        <f t="shared" ca="1" si="14"/>
        <v/>
      </c>
      <c r="G454" s="13">
        <f ca="1">IFERROR(__xludf.DUMMYFUNCTION("GOOGLEFINANCE(A454,""CLOSEYEST"")"),726.7)</f>
        <v>726.7</v>
      </c>
      <c r="H454" s="14" t="str">
        <f t="shared" ca="1" si="20"/>
        <v>GAP UP</v>
      </c>
      <c r="I454" s="15">
        <f t="shared" ca="1" si="15"/>
        <v>783.6</v>
      </c>
      <c r="J454" s="16">
        <f t="shared" ca="1" si="16"/>
        <v>810.5</v>
      </c>
      <c r="K454" s="16"/>
      <c r="L454" s="16">
        <f t="shared" ca="1" si="17"/>
        <v>699.80000000000007</v>
      </c>
      <c r="M454" s="16">
        <f t="shared" ca="1" si="18"/>
        <v>894.3</v>
      </c>
      <c r="N454" s="16">
        <f t="shared" ca="1" si="19"/>
        <v>672.90000000000009</v>
      </c>
    </row>
    <row r="455" spans="1:14" ht="24.75" customHeight="1" x14ac:dyDescent="0.8">
      <c r="A455" s="18" t="s">
        <v>418</v>
      </c>
      <c r="B455" s="10">
        <f ca="1">IFERROR(__xludf.DUMMYFUNCTION("GOOGLEFINANCE(A455,""PRICE"")"),32.24)</f>
        <v>32.24</v>
      </c>
      <c r="C455" s="11">
        <f ca="1">IFERROR(__xludf.DUMMYFUNCTION("GOOGLEFINANCE(A455,""PRICEOPEN"")"),32.24)</f>
        <v>32.24</v>
      </c>
      <c r="D455" s="11" t="str">
        <f ca="1">IFERROR(__xludf.DUMMYFUNCTION("GOOGLEFINANCE(A455,""HIGH"")"),"#N/A")</f>
        <v>#N/A</v>
      </c>
      <c r="E455" s="11">
        <f ca="1">IFERROR(__xludf.DUMMYFUNCTION("GOOGLEFINANCE(A455,""LOW"")"),32.24)</f>
        <v>32.24</v>
      </c>
      <c r="F455" s="12" t="str">
        <f t="shared" ca="1" si="14"/>
        <v>BUY</v>
      </c>
      <c r="G455" s="13">
        <f ca="1">IFERROR(__xludf.DUMMYFUNCTION("GOOGLEFINANCE(A455,""CLOSEYEST"")"),30.99)</f>
        <v>30.99</v>
      </c>
      <c r="H455" s="14" t="str">
        <f t="shared" ca="1" si="20"/>
        <v>GAP UP</v>
      </c>
      <c r="I455" s="15" t="e">
        <f t="shared" ca="1" si="15"/>
        <v>#VALUE!</v>
      </c>
      <c r="J455" s="16" t="e">
        <f t="shared" ca="1" si="16"/>
        <v>#VALUE!</v>
      </c>
      <c r="K455" s="16"/>
      <c r="L455" s="16" t="e">
        <f t="shared" ca="1" si="17"/>
        <v>#VALUE!</v>
      </c>
      <c r="M455" s="16" t="e">
        <f t="shared" ca="1" si="18"/>
        <v>#VALUE!</v>
      </c>
      <c r="N455" s="16" t="e">
        <f t="shared" ca="1" si="19"/>
        <v>#VALUE!</v>
      </c>
    </row>
    <row r="456" spans="1:14" ht="24.75" customHeight="1" x14ac:dyDescent="0.8">
      <c r="A456" s="18" t="s">
        <v>419</v>
      </c>
      <c r="B456" s="10">
        <f ca="1">IFERROR(__xludf.DUMMYFUNCTION("GOOGLEFINANCE(A456,""PRICE"")"),9339)</f>
        <v>9339</v>
      </c>
      <c r="C456" s="11">
        <f ca="1">IFERROR(__xludf.DUMMYFUNCTION("GOOGLEFINANCE(A456,""PRICEOPEN"")"),9248)</f>
        <v>9248</v>
      </c>
      <c r="D456" s="11">
        <f ca="1">IFERROR(__xludf.DUMMYFUNCTION("GOOGLEFINANCE(A456,""HIGH"")"),9380)</f>
        <v>9380</v>
      </c>
      <c r="E456" s="11">
        <f ca="1">IFERROR(__xludf.DUMMYFUNCTION("GOOGLEFINANCE(A456,""LOW"")"),9156)</f>
        <v>9156</v>
      </c>
      <c r="F456" s="12" t="str">
        <f t="shared" ca="1" si="14"/>
        <v/>
      </c>
      <c r="G456" s="13">
        <f ca="1">IFERROR(__xludf.DUMMYFUNCTION("GOOGLEFINANCE(A456,""CLOSEYEST"")"),9222)</f>
        <v>9222</v>
      </c>
      <c r="H456" s="14" t="str">
        <f t="shared" ca="1" si="20"/>
        <v/>
      </c>
      <c r="I456" s="15">
        <f t="shared" ca="1" si="15"/>
        <v>9252.6666666666661</v>
      </c>
      <c r="J456" s="16">
        <f t="shared" ca="1" si="16"/>
        <v>9349.3333333333321</v>
      </c>
      <c r="K456" s="16"/>
      <c r="L456" s="16">
        <f t="shared" ca="1" si="17"/>
        <v>9125.3333333333321</v>
      </c>
      <c r="M456" s="16">
        <f t="shared" ca="1" si="18"/>
        <v>9476.6666666666661</v>
      </c>
      <c r="N456" s="16">
        <f t="shared" ca="1" si="19"/>
        <v>9028.6666666666661</v>
      </c>
    </row>
    <row r="457" spans="1:14" ht="24.75" customHeight="1" x14ac:dyDescent="0.8">
      <c r="A457" s="18" t="s">
        <v>420</v>
      </c>
      <c r="B457" s="10">
        <f ca="1">IFERROR(__xludf.DUMMYFUNCTION("GOOGLEFINANCE(A457,""PRICE"")"),385.4)</f>
        <v>385.4</v>
      </c>
      <c r="C457" s="11">
        <f ca="1">IFERROR(__xludf.DUMMYFUNCTION("GOOGLEFINANCE(A457,""PRICEOPEN"")"),391.2)</f>
        <v>391.2</v>
      </c>
      <c r="D457" s="11">
        <f ca="1">IFERROR(__xludf.DUMMYFUNCTION("GOOGLEFINANCE(A457,""HIGH"")"),392.95)</f>
        <v>392.95</v>
      </c>
      <c r="E457" s="11">
        <f ca="1">IFERROR(__xludf.DUMMYFUNCTION("GOOGLEFINANCE(A457,""LOW"")"),384.3)</f>
        <v>384.3</v>
      </c>
      <c r="F457" s="12" t="str">
        <f t="shared" ca="1" si="14"/>
        <v/>
      </c>
      <c r="G457" s="13">
        <f ca="1">IFERROR(__xludf.DUMMYFUNCTION("GOOGLEFINANCE(A457,""CLOSEYEST"")"),391.2)</f>
        <v>391.2</v>
      </c>
      <c r="H457" s="14" t="str">
        <f t="shared" ca="1" si="20"/>
        <v/>
      </c>
      <c r="I457" s="15">
        <f t="shared" ca="1" si="15"/>
        <v>389.48333333333335</v>
      </c>
      <c r="J457" s="16">
        <f t="shared" ca="1" si="16"/>
        <v>394.66666666666669</v>
      </c>
      <c r="K457" s="16"/>
      <c r="L457" s="16">
        <f t="shared" ca="1" si="17"/>
        <v>386.01666666666671</v>
      </c>
      <c r="M457" s="16">
        <f t="shared" ca="1" si="18"/>
        <v>398.13333333333333</v>
      </c>
      <c r="N457" s="16">
        <f t="shared" ca="1" si="19"/>
        <v>380.83333333333337</v>
      </c>
    </row>
    <row r="458" spans="1:14" ht="24.75" customHeight="1" x14ac:dyDescent="0.8">
      <c r="A458" s="18" t="s">
        <v>421</v>
      </c>
      <c r="B458" s="10" t="str">
        <f ca="1">IFERROR(__xludf.DUMMYFUNCTION("GOOGLEFINANCE(A458,""PRICE"")"),"#N/A")</f>
        <v>#N/A</v>
      </c>
      <c r="C458" s="11" t="str">
        <f ca="1">IFERROR(__xludf.DUMMYFUNCTION("GOOGLEFINANCE(A458,""PRICEOPEN"")"),"#N/A")</f>
        <v>#N/A</v>
      </c>
      <c r="D458" s="11" t="str">
        <f ca="1">IFERROR(__xludf.DUMMYFUNCTION("GOOGLEFINANCE(A458,""HIGH"")"),"#N/A")</f>
        <v>#N/A</v>
      </c>
      <c r="E458" s="11" t="str">
        <f ca="1">IFERROR(__xludf.DUMMYFUNCTION("GOOGLEFINANCE(A458,""LOW"")"),"#N/A")</f>
        <v>#N/A</v>
      </c>
      <c r="F458" s="12" t="str">
        <f t="shared" ca="1" si="14"/>
        <v>SELL</v>
      </c>
      <c r="G458" s="13" t="str">
        <f ca="1">IFERROR(__xludf.DUMMYFUNCTION("GOOGLEFINANCE(A458,""CLOSEYEST"")"),"#N/A")</f>
        <v>#N/A</v>
      </c>
      <c r="H458" s="14" t="e">
        <f t="shared" ca="1" si="20"/>
        <v>#VALUE!</v>
      </c>
      <c r="I458" s="15" t="e">
        <f t="shared" ca="1" si="15"/>
        <v>#VALUE!</v>
      </c>
      <c r="J458" s="16" t="e">
        <f t="shared" ca="1" si="16"/>
        <v>#VALUE!</v>
      </c>
      <c r="K458" s="16"/>
      <c r="L458" s="16" t="e">
        <f t="shared" ca="1" si="17"/>
        <v>#VALUE!</v>
      </c>
      <c r="M458" s="16" t="e">
        <f t="shared" ca="1" si="18"/>
        <v>#VALUE!</v>
      </c>
      <c r="N458" s="16" t="e">
        <f t="shared" ca="1" si="19"/>
        <v>#VALUE!</v>
      </c>
    </row>
    <row r="459" spans="1:14" ht="24.75" customHeight="1" x14ac:dyDescent="0.8">
      <c r="A459" s="18" t="s">
        <v>422</v>
      </c>
      <c r="B459" s="10">
        <f ca="1">IFERROR(__xludf.DUMMYFUNCTION("GOOGLEFINANCE(A459,""PRICE"")"),1042)</f>
        <v>1042</v>
      </c>
      <c r="C459" s="11">
        <f ca="1">IFERROR(__xludf.DUMMYFUNCTION("GOOGLEFINANCE(A459,""PRICEOPEN"")"),1053.1)</f>
        <v>1053.0999999999999</v>
      </c>
      <c r="D459" s="11">
        <f ca="1">IFERROR(__xludf.DUMMYFUNCTION("GOOGLEFINANCE(A459,""HIGH"")"),1054.9)</f>
        <v>1054.9000000000001</v>
      </c>
      <c r="E459" s="11">
        <f ca="1">IFERROR(__xludf.DUMMYFUNCTION("GOOGLEFINANCE(A459,""LOW"")"),1039.4)</f>
        <v>1039.4000000000001</v>
      </c>
      <c r="F459" s="12" t="str">
        <f t="shared" ca="1" si="14"/>
        <v/>
      </c>
      <c r="G459" s="13">
        <f ca="1">IFERROR(__xludf.DUMMYFUNCTION("GOOGLEFINANCE(A459,""CLOSEYEST"")"),1053.1)</f>
        <v>1053.0999999999999</v>
      </c>
      <c r="H459" s="14" t="str">
        <f t="shared" ca="1" si="20"/>
        <v/>
      </c>
      <c r="I459" s="15">
        <f t="shared" ca="1" si="15"/>
        <v>1049.1333333333334</v>
      </c>
      <c r="J459" s="16">
        <f t="shared" ca="1" si="16"/>
        <v>1058.8666666666668</v>
      </c>
      <c r="K459" s="16"/>
      <c r="L459" s="16">
        <f t="shared" ca="1" si="17"/>
        <v>1043.3666666666668</v>
      </c>
      <c r="M459" s="16">
        <f t="shared" ca="1" si="18"/>
        <v>1064.6333333333334</v>
      </c>
      <c r="N459" s="16">
        <f t="shared" ca="1" si="19"/>
        <v>1033.6333333333334</v>
      </c>
    </row>
    <row r="460" spans="1:14" ht="24.75" customHeight="1" x14ac:dyDescent="0.8">
      <c r="A460" s="18" t="s">
        <v>423</v>
      </c>
      <c r="B460" s="10">
        <f ca="1">IFERROR(__xludf.DUMMYFUNCTION("GOOGLEFINANCE(A460,""PRICE"")"),32.06)</f>
        <v>32.06</v>
      </c>
      <c r="C460" s="11">
        <f ca="1">IFERROR(__xludf.DUMMYFUNCTION("GOOGLEFINANCE(A460,""PRICEOPEN"")"),31.4)</f>
        <v>31.4</v>
      </c>
      <c r="D460" s="11">
        <f ca="1">IFERROR(__xludf.DUMMYFUNCTION("GOOGLEFINANCE(A460,""HIGH"")"),32.31)</f>
        <v>32.31</v>
      </c>
      <c r="E460" s="11">
        <f ca="1">IFERROR(__xludf.DUMMYFUNCTION("GOOGLEFINANCE(A460,""LOW"")"),30.2)</f>
        <v>30.2</v>
      </c>
      <c r="F460" s="12" t="str">
        <f t="shared" ca="1" si="14"/>
        <v/>
      </c>
      <c r="G460" s="13">
        <f ca="1">IFERROR(__xludf.DUMMYFUNCTION("GOOGLEFINANCE(A460,""CLOSEYEST"")"),31.56)</f>
        <v>31.56</v>
      </c>
      <c r="H460" s="14" t="str">
        <f t="shared" ca="1" si="20"/>
        <v/>
      </c>
      <c r="I460" s="15">
        <f t="shared" ca="1" si="15"/>
        <v>31.356666666666669</v>
      </c>
      <c r="J460" s="16">
        <f t="shared" ca="1" si="16"/>
        <v>32.513333333333335</v>
      </c>
      <c r="K460" s="16"/>
      <c r="L460" s="16">
        <f t="shared" ca="1" si="17"/>
        <v>30.403333333333336</v>
      </c>
      <c r="M460" s="16">
        <f t="shared" ca="1" si="18"/>
        <v>33.466666666666669</v>
      </c>
      <c r="N460" s="16">
        <f t="shared" ca="1" si="19"/>
        <v>29.24666666666667</v>
      </c>
    </row>
    <row r="461" spans="1:14" ht="24.75" customHeight="1" x14ac:dyDescent="0.8">
      <c r="A461" s="18" t="s">
        <v>424</v>
      </c>
      <c r="B461" s="10">
        <f ca="1">IFERROR(__xludf.DUMMYFUNCTION("GOOGLEFINANCE(A461,""PRICE"")"),62.8)</f>
        <v>62.8</v>
      </c>
      <c r="C461" s="11">
        <f ca="1">IFERROR(__xludf.DUMMYFUNCTION("GOOGLEFINANCE(A461,""PRICEOPEN"")"),64)</f>
        <v>64</v>
      </c>
      <c r="D461" s="11">
        <f ca="1">IFERROR(__xludf.DUMMYFUNCTION("GOOGLEFINANCE(A461,""HIGH"")"),64.32)</f>
        <v>64.319999999999993</v>
      </c>
      <c r="E461" s="11">
        <f ca="1">IFERROR(__xludf.DUMMYFUNCTION("GOOGLEFINANCE(A461,""LOW"")"),62.13)</f>
        <v>62.13</v>
      </c>
      <c r="F461" s="12" t="str">
        <f t="shared" ca="1" si="14"/>
        <v/>
      </c>
      <c r="G461" s="13">
        <f ca="1">IFERROR(__xludf.DUMMYFUNCTION("GOOGLEFINANCE(A461,""CLOSEYEST"")"),63.61)</f>
        <v>63.61</v>
      </c>
      <c r="H461" s="14" t="str">
        <f t="shared" ca="1" si="20"/>
        <v/>
      </c>
      <c r="I461" s="15">
        <f t="shared" ca="1" si="15"/>
        <v>63.353333333333332</v>
      </c>
      <c r="J461" s="16">
        <f t="shared" ca="1" si="16"/>
        <v>64.576666666666654</v>
      </c>
      <c r="K461" s="16"/>
      <c r="L461" s="16">
        <f t="shared" ca="1" si="17"/>
        <v>62.38666666666667</v>
      </c>
      <c r="M461" s="16">
        <f t="shared" ca="1" si="18"/>
        <v>65.543333333333322</v>
      </c>
      <c r="N461" s="16">
        <f t="shared" ca="1" si="19"/>
        <v>61.163333333333348</v>
      </c>
    </row>
    <row r="462" spans="1:14" ht="24.75" customHeight="1" x14ac:dyDescent="0.8">
      <c r="A462" s="18" t="s">
        <v>425</v>
      </c>
      <c r="B462" s="10">
        <f ca="1">IFERROR(__xludf.DUMMYFUNCTION("GOOGLEFINANCE(A462,""PRICE"")"),168.99)</f>
        <v>168.99</v>
      </c>
      <c r="C462" s="11">
        <f ca="1">IFERROR(__xludf.DUMMYFUNCTION("GOOGLEFINANCE(A462,""PRICEOPEN"")"),164.3)</f>
        <v>164.3</v>
      </c>
      <c r="D462" s="11">
        <f ca="1">IFERROR(__xludf.DUMMYFUNCTION("GOOGLEFINANCE(A462,""HIGH"")"),169.55)</f>
        <v>169.55</v>
      </c>
      <c r="E462" s="11">
        <f ca="1">IFERROR(__xludf.DUMMYFUNCTION("GOOGLEFINANCE(A462,""LOW"")"),162.45)</f>
        <v>162.44999999999999</v>
      </c>
      <c r="F462" s="12" t="str">
        <f t="shared" ca="1" si="14"/>
        <v/>
      </c>
      <c r="G462" s="13">
        <f ca="1">IFERROR(__xludf.DUMMYFUNCTION("GOOGLEFINANCE(A462,""CLOSEYEST"")"),163.2)</f>
        <v>163.19999999999999</v>
      </c>
      <c r="H462" s="14" t="str">
        <f t="shared" ca="1" si="20"/>
        <v/>
      </c>
      <c r="I462" s="15">
        <f t="shared" ca="1" si="15"/>
        <v>165.06666666666666</v>
      </c>
      <c r="J462" s="16">
        <f t="shared" ca="1" si="16"/>
        <v>167.68333333333334</v>
      </c>
      <c r="K462" s="16"/>
      <c r="L462" s="16">
        <f t="shared" ca="1" si="17"/>
        <v>160.58333333333331</v>
      </c>
      <c r="M462" s="16">
        <f t="shared" ca="1" si="18"/>
        <v>172.16666666666669</v>
      </c>
      <c r="N462" s="16">
        <f t="shared" ca="1" si="19"/>
        <v>157.96666666666664</v>
      </c>
    </row>
    <row r="463" spans="1:14" ht="24.75" customHeight="1" x14ac:dyDescent="0.8">
      <c r="A463" s="18" t="s">
        <v>426</v>
      </c>
      <c r="B463" s="10">
        <f ca="1">IFERROR(__xludf.DUMMYFUNCTION("GOOGLEFINANCE(A463,""PRICE"")"),490.55)</f>
        <v>490.55</v>
      </c>
      <c r="C463" s="11">
        <f ca="1">IFERROR(__xludf.DUMMYFUNCTION("GOOGLEFINANCE(A463,""PRICEOPEN"")"),468)</f>
        <v>468</v>
      </c>
      <c r="D463" s="11">
        <f ca="1">IFERROR(__xludf.DUMMYFUNCTION("GOOGLEFINANCE(A463,""HIGH"")"),498.25)</f>
        <v>498.25</v>
      </c>
      <c r="E463" s="11">
        <f ca="1">IFERROR(__xludf.DUMMYFUNCTION("GOOGLEFINANCE(A463,""LOW"")"),462.7)</f>
        <v>462.7</v>
      </c>
      <c r="F463" s="12" t="str">
        <f t="shared" ca="1" si="14"/>
        <v/>
      </c>
      <c r="G463" s="13">
        <f ca="1">IFERROR(__xludf.DUMMYFUNCTION("GOOGLEFINANCE(A463,""CLOSEYEST"")"),465.3)</f>
        <v>465.3</v>
      </c>
      <c r="H463" s="14" t="str">
        <f t="shared" ca="1" si="20"/>
        <v/>
      </c>
      <c r="I463" s="15">
        <f t="shared" ca="1" si="15"/>
        <v>475.41666666666669</v>
      </c>
      <c r="J463" s="16">
        <f t="shared" ca="1" si="16"/>
        <v>488.13333333333338</v>
      </c>
      <c r="K463" s="16"/>
      <c r="L463" s="16">
        <f t="shared" ca="1" si="17"/>
        <v>452.58333333333337</v>
      </c>
      <c r="M463" s="16">
        <f t="shared" ca="1" si="18"/>
        <v>510.9666666666667</v>
      </c>
      <c r="N463" s="16">
        <f t="shared" ca="1" si="19"/>
        <v>439.86666666666667</v>
      </c>
    </row>
    <row r="464" spans="1:14" ht="24.75" customHeight="1" x14ac:dyDescent="0.8">
      <c r="A464" s="18" t="s">
        <v>427</v>
      </c>
      <c r="B464" s="10" t="str">
        <f ca="1">IFERROR(__xludf.DUMMYFUNCTION("GOOGLEFINANCE(A464,""PRICE"")"),"#N/A")</f>
        <v>#N/A</v>
      </c>
      <c r="C464" s="11" t="str">
        <f ca="1">IFERROR(__xludf.DUMMYFUNCTION("GOOGLEFINANCE(A464,""PRICEOPEN"")"),"#N/A")</f>
        <v>#N/A</v>
      </c>
      <c r="D464" s="11" t="str">
        <f ca="1">IFERROR(__xludf.DUMMYFUNCTION("GOOGLEFINANCE(A464,""HIGH"")"),"#N/A")</f>
        <v>#N/A</v>
      </c>
      <c r="E464" s="11" t="str">
        <f ca="1">IFERROR(__xludf.DUMMYFUNCTION("GOOGLEFINANCE(A464,""LOW"")"),"#N/A")</f>
        <v>#N/A</v>
      </c>
      <c r="F464" s="12" t="str">
        <f t="shared" ca="1" si="14"/>
        <v>SELL</v>
      </c>
      <c r="G464" s="13" t="str">
        <f ca="1">IFERROR(__xludf.DUMMYFUNCTION("GOOGLEFINANCE(A464,""CLOSEYEST"")"),"#N/A")</f>
        <v>#N/A</v>
      </c>
      <c r="H464" s="14" t="e">
        <f t="shared" ca="1" si="20"/>
        <v>#VALUE!</v>
      </c>
      <c r="I464" s="15" t="e">
        <f t="shared" ca="1" si="15"/>
        <v>#VALUE!</v>
      </c>
      <c r="J464" s="16" t="e">
        <f t="shared" ca="1" si="16"/>
        <v>#VALUE!</v>
      </c>
      <c r="K464" s="16"/>
      <c r="L464" s="16" t="e">
        <f t="shared" ca="1" si="17"/>
        <v>#VALUE!</v>
      </c>
      <c r="M464" s="16" t="e">
        <f t="shared" ca="1" si="18"/>
        <v>#VALUE!</v>
      </c>
      <c r="N464" s="16" t="e">
        <f t="shared" ca="1" si="19"/>
        <v>#VALUE!</v>
      </c>
    </row>
    <row r="465" spans="1:14" ht="24.75" customHeight="1" x14ac:dyDescent="0.8">
      <c r="A465" s="18" t="s">
        <v>428</v>
      </c>
      <c r="B465" s="10">
        <f ca="1">IFERROR(__xludf.DUMMYFUNCTION("GOOGLEFINANCE(A465,""PRICE"")"),9995)</f>
        <v>9995</v>
      </c>
      <c r="C465" s="11">
        <f ca="1">IFERROR(__xludf.DUMMYFUNCTION("GOOGLEFINANCE(A465,""PRICEOPEN"")"),10600)</f>
        <v>10600</v>
      </c>
      <c r="D465" s="11">
        <f ca="1">IFERROR(__xludf.DUMMYFUNCTION("GOOGLEFINANCE(A465,""HIGH"")"),11847)</f>
        <v>11847</v>
      </c>
      <c r="E465" s="11">
        <f ca="1">IFERROR(__xludf.DUMMYFUNCTION("GOOGLEFINANCE(A465,""LOW"")"),9801)</f>
        <v>9801</v>
      </c>
      <c r="F465" s="12" t="str">
        <f t="shared" ca="1" si="14"/>
        <v/>
      </c>
      <c r="G465" s="13">
        <f ca="1">IFERROR(__xludf.DUMMYFUNCTION("GOOGLEFINANCE(A465,""CLOSEYEST"")"),10580)</f>
        <v>10580</v>
      </c>
      <c r="H465" s="14" t="str">
        <f t="shared" ca="1" si="20"/>
        <v/>
      </c>
      <c r="I465" s="15">
        <f t="shared" ca="1" si="15"/>
        <v>10742.666666666666</v>
      </c>
      <c r="J465" s="16">
        <f t="shared" ca="1" si="16"/>
        <v>11684.333333333332</v>
      </c>
      <c r="K465" s="16"/>
      <c r="L465" s="16">
        <f t="shared" ca="1" si="17"/>
        <v>9638.3333333333321</v>
      </c>
      <c r="M465" s="16">
        <f t="shared" ca="1" si="18"/>
        <v>12788.666666666666</v>
      </c>
      <c r="N465" s="16">
        <f t="shared" ca="1" si="19"/>
        <v>8696.6666666666661</v>
      </c>
    </row>
    <row r="466" spans="1:14" ht="24.75" customHeight="1" x14ac:dyDescent="0.8">
      <c r="A466" s="18" t="s">
        <v>429</v>
      </c>
      <c r="B466" s="10">
        <f ca="1">IFERROR(__xludf.DUMMYFUNCTION("GOOGLEFINANCE(A466,""PRICE"")"),161)</f>
        <v>161</v>
      </c>
      <c r="C466" s="11">
        <f ca="1">IFERROR(__xludf.DUMMYFUNCTION("GOOGLEFINANCE(A466,""PRICEOPEN"")"),158.92)</f>
        <v>158.91999999999999</v>
      </c>
      <c r="D466" s="11">
        <f ca="1">IFERROR(__xludf.DUMMYFUNCTION("GOOGLEFINANCE(A466,""HIGH"")"),161.09)</f>
        <v>161.09</v>
      </c>
      <c r="E466" s="11">
        <f ca="1">IFERROR(__xludf.DUMMYFUNCTION("GOOGLEFINANCE(A466,""LOW"")"),157.24)</f>
        <v>157.24</v>
      </c>
      <c r="F466" s="12" t="str">
        <f t="shared" ca="1" si="14"/>
        <v/>
      </c>
      <c r="G466" s="13">
        <f ca="1">IFERROR(__xludf.DUMMYFUNCTION("GOOGLEFINANCE(A466,""CLOSEYEST"")"),158.92)</f>
        <v>158.91999999999999</v>
      </c>
      <c r="H466" s="14" t="str">
        <f t="shared" ca="1" si="20"/>
        <v/>
      </c>
      <c r="I466" s="15">
        <f t="shared" ca="1" si="15"/>
        <v>159.08333333333334</v>
      </c>
      <c r="J466" s="16">
        <f t="shared" ca="1" si="16"/>
        <v>160.92666666666668</v>
      </c>
      <c r="K466" s="16"/>
      <c r="L466" s="16">
        <f t="shared" ca="1" si="17"/>
        <v>157.07666666666668</v>
      </c>
      <c r="M466" s="16">
        <f t="shared" ca="1" si="18"/>
        <v>162.93333333333334</v>
      </c>
      <c r="N466" s="16">
        <f t="shared" ca="1" si="19"/>
        <v>155.23333333333335</v>
      </c>
    </row>
    <row r="467" spans="1:14" ht="24.75" customHeight="1" x14ac:dyDescent="0.8">
      <c r="A467" s="18" t="s">
        <v>430</v>
      </c>
      <c r="B467" s="10">
        <f ca="1">IFERROR(__xludf.DUMMYFUNCTION("GOOGLEFINANCE(A467,""PRICE"")"),18.59)</f>
        <v>18.59</v>
      </c>
      <c r="C467" s="11">
        <f ca="1">IFERROR(__xludf.DUMMYFUNCTION("GOOGLEFINANCE(A467,""PRICEOPEN"")"),17.8)</f>
        <v>17.8</v>
      </c>
      <c r="D467" s="11">
        <f ca="1">IFERROR(__xludf.DUMMYFUNCTION("GOOGLEFINANCE(A467,""HIGH"")"),18.64)</f>
        <v>18.64</v>
      </c>
      <c r="E467" s="11">
        <f ca="1">IFERROR(__xludf.DUMMYFUNCTION("GOOGLEFINANCE(A467,""LOW"")"),17.74)</f>
        <v>17.739999999999998</v>
      </c>
      <c r="F467" s="12" t="str">
        <f t="shared" ca="1" si="14"/>
        <v/>
      </c>
      <c r="G467" s="13">
        <f ca="1">IFERROR(__xludf.DUMMYFUNCTION("GOOGLEFINANCE(A467,""CLOSEYEST"")"),17.76)</f>
        <v>17.760000000000002</v>
      </c>
      <c r="H467" s="14" t="str">
        <f t="shared" ca="1" si="20"/>
        <v/>
      </c>
      <c r="I467" s="15">
        <f t="shared" ca="1" si="15"/>
        <v>18.046666666666667</v>
      </c>
      <c r="J467" s="16">
        <f t="shared" ca="1" si="16"/>
        <v>18.353333333333335</v>
      </c>
      <c r="K467" s="16"/>
      <c r="L467" s="16">
        <f t="shared" ca="1" si="17"/>
        <v>17.453333333333333</v>
      </c>
      <c r="M467" s="16">
        <f t="shared" ca="1" si="18"/>
        <v>18.946666666666669</v>
      </c>
      <c r="N467" s="16">
        <f t="shared" ca="1" si="19"/>
        <v>17.146666666666665</v>
      </c>
    </row>
    <row r="468" spans="1:14" ht="24.75" customHeight="1" x14ac:dyDescent="0.8">
      <c r="A468" s="18" t="s">
        <v>431</v>
      </c>
      <c r="B468" s="10">
        <f ca="1">IFERROR(__xludf.DUMMYFUNCTION("GOOGLEFINANCE(A468,""PRICE"")"),686)</f>
        <v>686</v>
      </c>
      <c r="C468" s="11">
        <f ca="1">IFERROR(__xludf.DUMMYFUNCTION("GOOGLEFINANCE(A468,""PRICEOPEN"")"),681.5)</f>
        <v>681.5</v>
      </c>
      <c r="D468" s="11">
        <f ca="1">IFERROR(__xludf.DUMMYFUNCTION("GOOGLEFINANCE(A468,""HIGH"")"),688.4)</f>
        <v>688.4</v>
      </c>
      <c r="E468" s="11">
        <f ca="1">IFERROR(__xludf.DUMMYFUNCTION("GOOGLEFINANCE(A468,""LOW"")"),675.95)</f>
        <v>675.95</v>
      </c>
      <c r="F468" s="12" t="str">
        <f t="shared" ca="1" si="14"/>
        <v/>
      </c>
      <c r="G468" s="13">
        <f ca="1">IFERROR(__xludf.DUMMYFUNCTION("GOOGLEFINANCE(A468,""CLOSEYEST"")"),681.35)</f>
        <v>681.35</v>
      </c>
      <c r="H468" s="14" t="str">
        <f t="shared" ca="1" si="20"/>
        <v/>
      </c>
      <c r="I468" s="15">
        <f t="shared" ca="1" si="15"/>
        <v>681.9</v>
      </c>
      <c r="J468" s="16">
        <f t="shared" ca="1" si="16"/>
        <v>687.84999999999991</v>
      </c>
      <c r="K468" s="16"/>
      <c r="L468" s="16">
        <f t="shared" ca="1" si="17"/>
        <v>675.4</v>
      </c>
      <c r="M468" s="16">
        <f t="shared" ca="1" si="18"/>
        <v>694.34999999999991</v>
      </c>
      <c r="N468" s="16">
        <f t="shared" ca="1" si="19"/>
        <v>669.45</v>
      </c>
    </row>
    <row r="469" spans="1:14" ht="24.75" customHeight="1" x14ac:dyDescent="0.8">
      <c r="A469" s="18" t="s">
        <v>432</v>
      </c>
      <c r="B469" s="10">
        <f ca="1">IFERROR(__xludf.DUMMYFUNCTION("GOOGLEFINANCE(A469,""PRICE"")"),30.61)</f>
        <v>30.61</v>
      </c>
      <c r="C469" s="11">
        <f ca="1">IFERROR(__xludf.DUMMYFUNCTION("GOOGLEFINANCE(A469,""PRICEOPEN"")"),30.1)</f>
        <v>30.1</v>
      </c>
      <c r="D469" s="11">
        <f ca="1">IFERROR(__xludf.DUMMYFUNCTION("GOOGLEFINANCE(A469,""HIGH"")"),30.7)</f>
        <v>30.7</v>
      </c>
      <c r="E469" s="11">
        <f ca="1">IFERROR(__xludf.DUMMYFUNCTION("GOOGLEFINANCE(A469,""LOW"")"),29.96)</f>
        <v>29.96</v>
      </c>
      <c r="F469" s="12" t="str">
        <f t="shared" ca="1" si="14"/>
        <v/>
      </c>
      <c r="G469" s="13">
        <f ca="1">IFERROR(__xludf.DUMMYFUNCTION("GOOGLEFINANCE(A469,""CLOSEYEST"")"),30.03)</f>
        <v>30.03</v>
      </c>
      <c r="H469" s="14" t="str">
        <f t="shared" ca="1" si="20"/>
        <v/>
      </c>
      <c r="I469" s="15">
        <f t="shared" ca="1" si="15"/>
        <v>30.23</v>
      </c>
      <c r="J469" s="16">
        <f t="shared" ca="1" si="16"/>
        <v>30.5</v>
      </c>
      <c r="K469" s="16"/>
      <c r="L469" s="16">
        <f t="shared" ca="1" si="17"/>
        <v>29.76</v>
      </c>
      <c r="M469" s="16">
        <f t="shared" ca="1" si="18"/>
        <v>30.97</v>
      </c>
      <c r="N469" s="16">
        <f t="shared" ca="1" si="19"/>
        <v>29.490000000000002</v>
      </c>
    </row>
    <row r="470" spans="1:14" ht="24.75" customHeight="1" x14ac:dyDescent="0.8">
      <c r="A470" s="18" t="s">
        <v>433</v>
      </c>
      <c r="B470" s="10">
        <f ca="1">IFERROR(__xludf.DUMMYFUNCTION("GOOGLEFINANCE(A470,""PRICE"")"),1940.8)</f>
        <v>1940.8</v>
      </c>
      <c r="C470" s="11">
        <f ca="1">IFERROR(__xludf.DUMMYFUNCTION("GOOGLEFINANCE(A470,""PRICEOPEN"")"),1900)</f>
        <v>1900</v>
      </c>
      <c r="D470" s="11">
        <f ca="1">IFERROR(__xludf.DUMMYFUNCTION("GOOGLEFINANCE(A470,""HIGH"")"),1945)</f>
        <v>1945</v>
      </c>
      <c r="E470" s="11">
        <f ca="1">IFERROR(__xludf.DUMMYFUNCTION("GOOGLEFINANCE(A470,""LOW"")"),1890.6)</f>
        <v>1890.6</v>
      </c>
      <c r="F470" s="12" t="str">
        <f t="shared" ca="1" si="14"/>
        <v/>
      </c>
      <c r="G470" s="13">
        <f ca="1">IFERROR(__xludf.DUMMYFUNCTION("GOOGLEFINANCE(A470,""CLOSEYEST"")"),1898.6)</f>
        <v>1898.6</v>
      </c>
      <c r="H470" s="14" t="str">
        <f t="shared" ca="1" si="20"/>
        <v/>
      </c>
      <c r="I470" s="15">
        <f t="shared" ca="1" si="15"/>
        <v>1911.3999999999999</v>
      </c>
      <c r="J470" s="16">
        <f t="shared" ca="1" si="16"/>
        <v>1932.1999999999998</v>
      </c>
      <c r="K470" s="16"/>
      <c r="L470" s="16">
        <f t="shared" ca="1" si="17"/>
        <v>1877.7999999999997</v>
      </c>
      <c r="M470" s="16">
        <f t="shared" ca="1" si="18"/>
        <v>1965.8</v>
      </c>
      <c r="N470" s="16">
        <f t="shared" ca="1" si="19"/>
        <v>1856.9999999999998</v>
      </c>
    </row>
    <row r="471" spans="1:14" ht="24.75" customHeight="1" x14ac:dyDescent="0.8">
      <c r="A471" s="18" t="s">
        <v>434</v>
      </c>
      <c r="B471" s="10">
        <f ca="1">IFERROR(__xludf.DUMMYFUNCTION("GOOGLEFINANCE(A471,""PRICE"")"),832)</f>
        <v>832</v>
      </c>
      <c r="C471" s="11">
        <f ca="1">IFERROR(__xludf.DUMMYFUNCTION("GOOGLEFINANCE(A471,""PRICEOPEN"")"),839.8)</f>
        <v>839.8</v>
      </c>
      <c r="D471" s="11">
        <f ca="1">IFERROR(__xludf.DUMMYFUNCTION("GOOGLEFINANCE(A471,""HIGH"")"),846.2)</f>
        <v>846.2</v>
      </c>
      <c r="E471" s="11">
        <f ca="1">IFERROR(__xludf.DUMMYFUNCTION("GOOGLEFINANCE(A471,""LOW"")"),830.5)</f>
        <v>830.5</v>
      </c>
      <c r="F471" s="12" t="str">
        <f t="shared" ca="1" si="14"/>
        <v/>
      </c>
      <c r="G471" s="13">
        <f ca="1">IFERROR(__xludf.DUMMYFUNCTION("GOOGLEFINANCE(A471,""CLOSEYEST"")"),833.45)</f>
        <v>833.45</v>
      </c>
      <c r="H471" s="14" t="str">
        <f t="shared" ca="1" si="20"/>
        <v/>
      </c>
      <c r="I471" s="15">
        <f t="shared" ca="1" si="15"/>
        <v>836.7166666666667</v>
      </c>
      <c r="J471" s="16">
        <f t="shared" ca="1" si="16"/>
        <v>842.93333333333339</v>
      </c>
      <c r="K471" s="16"/>
      <c r="L471" s="16">
        <f t="shared" ca="1" si="17"/>
        <v>827.23333333333335</v>
      </c>
      <c r="M471" s="16">
        <f t="shared" ca="1" si="18"/>
        <v>852.41666666666674</v>
      </c>
      <c r="N471" s="16">
        <f t="shared" ca="1" si="19"/>
        <v>821.01666666666665</v>
      </c>
    </row>
    <row r="472" spans="1:14" ht="24.75" customHeight="1" x14ac:dyDescent="0.8">
      <c r="A472" s="18" t="s">
        <v>435</v>
      </c>
      <c r="B472" s="10">
        <f ca="1">IFERROR(__xludf.DUMMYFUNCTION("GOOGLEFINANCE(A472,""PRICE"")"),921.5)</f>
        <v>921.5</v>
      </c>
      <c r="C472" s="11">
        <f ca="1">IFERROR(__xludf.DUMMYFUNCTION("GOOGLEFINANCE(A472,""PRICEOPEN"")"),918)</f>
        <v>918</v>
      </c>
      <c r="D472" s="11">
        <f ca="1">IFERROR(__xludf.DUMMYFUNCTION("GOOGLEFINANCE(A472,""HIGH"")"),924.5)</f>
        <v>924.5</v>
      </c>
      <c r="E472" s="11">
        <f ca="1">IFERROR(__xludf.DUMMYFUNCTION("GOOGLEFINANCE(A472,""LOW"")"),905)</f>
        <v>905</v>
      </c>
      <c r="F472" s="12" t="str">
        <f t="shared" ca="1" si="14"/>
        <v/>
      </c>
      <c r="G472" s="13">
        <f ca="1">IFERROR(__xludf.DUMMYFUNCTION("GOOGLEFINANCE(A472,""CLOSEYEST"")"),912.5)</f>
        <v>912.5</v>
      </c>
      <c r="H472" s="14" t="str">
        <f t="shared" ca="1" si="20"/>
        <v/>
      </c>
      <c r="I472" s="15">
        <f t="shared" ca="1" si="15"/>
        <v>914</v>
      </c>
      <c r="J472" s="16">
        <f t="shared" ca="1" si="16"/>
        <v>923</v>
      </c>
      <c r="K472" s="16"/>
      <c r="L472" s="16">
        <f t="shared" ca="1" si="17"/>
        <v>903.5</v>
      </c>
      <c r="M472" s="16">
        <f t="shared" ca="1" si="18"/>
        <v>933.5</v>
      </c>
      <c r="N472" s="16">
        <f t="shared" ca="1" si="19"/>
        <v>894.5</v>
      </c>
    </row>
    <row r="473" spans="1:14" ht="24.75" customHeight="1" x14ac:dyDescent="0.8">
      <c r="A473" s="18" t="s">
        <v>436</v>
      </c>
      <c r="B473" s="10">
        <f ca="1">IFERROR(__xludf.DUMMYFUNCTION("GOOGLEFINANCE(A473,""PRICE"")"),1246.3)</f>
        <v>1246.3</v>
      </c>
      <c r="C473" s="11">
        <f ca="1">IFERROR(__xludf.DUMMYFUNCTION("GOOGLEFINANCE(A473,""PRICEOPEN"")"),1236.9)</f>
        <v>1236.9000000000001</v>
      </c>
      <c r="D473" s="11">
        <f ca="1">IFERROR(__xludf.DUMMYFUNCTION("GOOGLEFINANCE(A473,""HIGH"")"),1264)</f>
        <v>1264</v>
      </c>
      <c r="E473" s="11">
        <f ca="1">IFERROR(__xludf.DUMMYFUNCTION("GOOGLEFINANCE(A473,""LOW"")"),1220.1)</f>
        <v>1220.0999999999999</v>
      </c>
      <c r="F473" s="12" t="str">
        <f t="shared" ca="1" si="14"/>
        <v/>
      </c>
      <c r="G473" s="13">
        <f ca="1">IFERROR(__xludf.DUMMYFUNCTION("GOOGLEFINANCE(A473,""CLOSEYEST"")"),1234.4)</f>
        <v>1234.4000000000001</v>
      </c>
      <c r="H473" s="14" t="str">
        <f t="shared" ca="1" si="20"/>
        <v/>
      </c>
      <c r="I473" s="15">
        <f t="shared" ca="1" si="15"/>
        <v>1239.5</v>
      </c>
      <c r="J473" s="16">
        <f t="shared" ca="1" si="16"/>
        <v>1258.9000000000001</v>
      </c>
      <c r="K473" s="16"/>
      <c r="L473" s="16">
        <f t="shared" ca="1" si="17"/>
        <v>1215</v>
      </c>
      <c r="M473" s="16">
        <f t="shared" ca="1" si="18"/>
        <v>1283.4000000000001</v>
      </c>
      <c r="N473" s="16">
        <f t="shared" ca="1" si="19"/>
        <v>1195.5999999999999</v>
      </c>
    </row>
    <row r="474" spans="1:14" ht="24.75" customHeight="1" x14ac:dyDescent="0.8">
      <c r="A474" s="18" t="s">
        <v>437</v>
      </c>
      <c r="B474" s="10">
        <f ca="1">IFERROR(__xludf.DUMMYFUNCTION("GOOGLEFINANCE(A474,""PRICE"")"),245.7)</f>
        <v>245.7</v>
      </c>
      <c r="C474" s="11">
        <f ca="1">IFERROR(__xludf.DUMMYFUNCTION("GOOGLEFINANCE(A474,""PRICEOPEN"")"),245.9)</f>
        <v>245.9</v>
      </c>
      <c r="D474" s="11">
        <f ca="1">IFERROR(__xludf.DUMMYFUNCTION("GOOGLEFINANCE(A474,""HIGH"")"),248.7)</f>
        <v>248.7</v>
      </c>
      <c r="E474" s="11">
        <f ca="1">IFERROR(__xludf.DUMMYFUNCTION("GOOGLEFINANCE(A474,""LOW"")"),245.05)</f>
        <v>245.05</v>
      </c>
      <c r="F474" s="12" t="str">
        <f t="shared" ca="1" si="14"/>
        <v/>
      </c>
      <c r="G474" s="13">
        <f ca="1">IFERROR(__xludf.DUMMYFUNCTION("GOOGLEFINANCE(A474,""CLOSEYEST"")"),244.95)</f>
        <v>244.95</v>
      </c>
      <c r="H474" s="14" t="str">
        <f t="shared" ca="1" si="20"/>
        <v/>
      </c>
      <c r="I474" s="15">
        <f t="shared" ca="1" si="15"/>
        <v>246.23333333333335</v>
      </c>
      <c r="J474" s="16">
        <f t="shared" ca="1" si="16"/>
        <v>247.41666666666669</v>
      </c>
      <c r="K474" s="16"/>
      <c r="L474" s="16">
        <f t="shared" ca="1" si="17"/>
        <v>243.76666666666671</v>
      </c>
      <c r="M474" s="16">
        <f t="shared" ca="1" si="18"/>
        <v>249.88333333333333</v>
      </c>
      <c r="N474" s="16">
        <f t="shared" ca="1" si="19"/>
        <v>242.58333333333337</v>
      </c>
    </row>
    <row r="475" spans="1:14" ht="24.75" customHeight="1" x14ac:dyDescent="0.8">
      <c r="A475" s="18" t="s">
        <v>438</v>
      </c>
      <c r="B475" s="10">
        <f ca="1">IFERROR(__xludf.DUMMYFUNCTION("GOOGLEFINANCE(A475,""PRICE"")"),516)</f>
        <v>516</v>
      </c>
      <c r="C475" s="11">
        <f ca="1">IFERROR(__xludf.DUMMYFUNCTION("GOOGLEFINANCE(A475,""PRICEOPEN"")"),515)</f>
        <v>515</v>
      </c>
      <c r="D475" s="11">
        <f ca="1">IFERROR(__xludf.DUMMYFUNCTION("GOOGLEFINANCE(A475,""HIGH"")"),521.25)</f>
        <v>521.25</v>
      </c>
      <c r="E475" s="11">
        <f ca="1">IFERROR(__xludf.DUMMYFUNCTION("GOOGLEFINANCE(A475,""LOW"")"),512.3)</f>
        <v>512.29999999999995</v>
      </c>
      <c r="F475" s="12" t="str">
        <f t="shared" ca="1" si="14"/>
        <v/>
      </c>
      <c r="G475" s="13">
        <f ca="1">IFERROR(__xludf.DUMMYFUNCTION("GOOGLEFINANCE(A475,""CLOSEYEST"")"),513.4)</f>
        <v>513.4</v>
      </c>
      <c r="H475" s="14" t="str">
        <f t="shared" ca="1" si="20"/>
        <v/>
      </c>
      <c r="I475" s="15">
        <f t="shared" ca="1" si="15"/>
        <v>515.65</v>
      </c>
      <c r="J475" s="16">
        <f t="shared" ca="1" si="16"/>
        <v>519</v>
      </c>
      <c r="K475" s="16"/>
      <c r="L475" s="16">
        <f t="shared" ca="1" si="17"/>
        <v>510.04999999999995</v>
      </c>
      <c r="M475" s="16">
        <f t="shared" ca="1" si="18"/>
        <v>524.6</v>
      </c>
      <c r="N475" s="16">
        <f t="shared" ca="1" si="19"/>
        <v>506.69999999999993</v>
      </c>
    </row>
    <row r="476" spans="1:14" ht="24.75" customHeight="1" x14ac:dyDescent="0.8">
      <c r="A476" s="18" t="s">
        <v>439</v>
      </c>
      <c r="B476" s="10">
        <f ca="1">IFERROR(__xludf.DUMMYFUNCTION("GOOGLEFINANCE(A476,""PRICE"")"),501.1)</f>
        <v>501.1</v>
      </c>
      <c r="C476" s="11">
        <f ca="1">IFERROR(__xludf.DUMMYFUNCTION("GOOGLEFINANCE(A476,""PRICEOPEN"")"),498)</f>
        <v>498</v>
      </c>
      <c r="D476" s="11">
        <f ca="1">IFERROR(__xludf.DUMMYFUNCTION("GOOGLEFINANCE(A476,""HIGH"")"),503.35)</f>
        <v>503.35</v>
      </c>
      <c r="E476" s="11">
        <f ca="1">IFERROR(__xludf.DUMMYFUNCTION("GOOGLEFINANCE(A476,""LOW"")"),497.15)</f>
        <v>497.15</v>
      </c>
      <c r="F476" s="12" t="str">
        <f t="shared" ca="1" si="14"/>
        <v/>
      </c>
      <c r="G476" s="13">
        <f ca="1">IFERROR(__xludf.DUMMYFUNCTION("GOOGLEFINANCE(A476,""CLOSEYEST"")"),496.2)</f>
        <v>496.2</v>
      </c>
      <c r="H476" s="14" t="str">
        <f t="shared" ca="1" si="20"/>
        <v/>
      </c>
      <c r="I476" s="15">
        <f t="shared" ca="1" si="15"/>
        <v>498.90000000000003</v>
      </c>
      <c r="J476" s="16">
        <f t="shared" ca="1" si="16"/>
        <v>500.65000000000009</v>
      </c>
      <c r="K476" s="16"/>
      <c r="L476" s="16">
        <f t="shared" ca="1" si="17"/>
        <v>494.45000000000005</v>
      </c>
      <c r="M476" s="16">
        <f t="shared" ca="1" si="18"/>
        <v>505.10000000000008</v>
      </c>
      <c r="N476" s="16">
        <f t="shared" ca="1" si="19"/>
        <v>492.7</v>
      </c>
    </row>
    <row r="477" spans="1:14" ht="24.75" customHeight="1" x14ac:dyDescent="0.8">
      <c r="A477" s="18" t="s">
        <v>440</v>
      </c>
      <c r="B477" s="10">
        <f ca="1">IFERROR(__xludf.DUMMYFUNCTION("GOOGLEFINANCE(A477,""PRICE"")"),111.65)</f>
        <v>111.65</v>
      </c>
      <c r="C477" s="11">
        <f ca="1">IFERROR(__xludf.DUMMYFUNCTION("GOOGLEFINANCE(A477,""PRICEOPEN"")"),109.5)</f>
        <v>109.5</v>
      </c>
      <c r="D477" s="11">
        <f ca="1">IFERROR(__xludf.DUMMYFUNCTION("GOOGLEFINANCE(A477,""HIGH"")"),111.78)</f>
        <v>111.78</v>
      </c>
      <c r="E477" s="11">
        <f ca="1">IFERROR(__xludf.DUMMYFUNCTION("GOOGLEFINANCE(A477,""LOW"")"),108.66)</f>
        <v>108.66</v>
      </c>
      <c r="F477" s="12" t="str">
        <f t="shared" ca="1" si="14"/>
        <v/>
      </c>
      <c r="G477" s="13">
        <f ca="1">IFERROR(__xludf.DUMMYFUNCTION("GOOGLEFINANCE(A477,""CLOSEYEST"")"),108.67)</f>
        <v>108.67</v>
      </c>
      <c r="H477" s="14" t="str">
        <f t="shared" ca="1" si="20"/>
        <v/>
      </c>
      <c r="I477" s="15">
        <f t="shared" ca="1" si="15"/>
        <v>109.70333333333333</v>
      </c>
      <c r="J477" s="16">
        <f t="shared" ca="1" si="16"/>
        <v>110.74666666666667</v>
      </c>
      <c r="K477" s="16"/>
      <c r="L477" s="16">
        <f t="shared" ca="1" si="17"/>
        <v>107.62666666666667</v>
      </c>
      <c r="M477" s="16">
        <f t="shared" ca="1" si="18"/>
        <v>112.82333333333334</v>
      </c>
      <c r="N477" s="16">
        <f t="shared" ca="1" si="19"/>
        <v>106.58333333333333</v>
      </c>
    </row>
    <row r="478" spans="1:14" ht="24.75" customHeight="1" x14ac:dyDescent="0.8">
      <c r="A478" s="18" t="s">
        <v>441</v>
      </c>
      <c r="B478" s="10">
        <f ca="1">IFERROR(__xludf.DUMMYFUNCTION("GOOGLEFINANCE(A478,""PRICE"")"),863.85)</f>
        <v>863.85</v>
      </c>
      <c r="C478" s="11">
        <f ca="1">IFERROR(__xludf.DUMMYFUNCTION("GOOGLEFINANCE(A478,""PRICEOPEN"")"),857.6)</f>
        <v>857.6</v>
      </c>
      <c r="D478" s="11">
        <f ca="1">IFERROR(__xludf.DUMMYFUNCTION("GOOGLEFINANCE(A478,""HIGH"")"),866.8)</f>
        <v>866.8</v>
      </c>
      <c r="E478" s="11">
        <f ca="1">IFERROR(__xludf.DUMMYFUNCTION("GOOGLEFINANCE(A478,""LOW"")"),855.65)</f>
        <v>855.65</v>
      </c>
      <c r="F478" s="12" t="str">
        <f t="shared" ca="1" si="14"/>
        <v/>
      </c>
      <c r="G478" s="13">
        <f ca="1">IFERROR(__xludf.DUMMYFUNCTION("GOOGLEFINANCE(A478,""CLOSEYEST"")"),867.8)</f>
        <v>867.8</v>
      </c>
      <c r="H478" s="14" t="str">
        <f t="shared" ca="1" si="20"/>
        <v>GAP DOWN</v>
      </c>
      <c r="I478" s="15">
        <f t="shared" ca="1" si="15"/>
        <v>863.41666666666663</v>
      </c>
      <c r="J478" s="16">
        <f t="shared" ca="1" si="16"/>
        <v>871.18333333333328</v>
      </c>
      <c r="K478" s="16"/>
      <c r="L478" s="16">
        <f t="shared" ca="1" si="17"/>
        <v>860.0333333333333</v>
      </c>
      <c r="M478" s="16">
        <f t="shared" ca="1" si="18"/>
        <v>874.56666666666661</v>
      </c>
      <c r="N478" s="16">
        <f t="shared" ca="1" si="19"/>
        <v>852.26666666666665</v>
      </c>
    </row>
    <row r="479" spans="1:14" ht="24.75" customHeight="1" x14ac:dyDescent="0.8">
      <c r="A479" s="18" t="s">
        <v>442</v>
      </c>
      <c r="B479" s="10">
        <f ca="1">IFERROR(__xludf.DUMMYFUNCTION("GOOGLEFINANCE(A479,""PRICE"")"),1758.5)</f>
        <v>1758.5</v>
      </c>
      <c r="C479" s="11">
        <f ca="1">IFERROR(__xludf.DUMMYFUNCTION("GOOGLEFINANCE(A479,""PRICEOPEN"")"),1757.7)</f>
        <v>1757.7</v>
      </c>
      <c r="D479" s="11">
        <f ca="1">IFERROR(__xludf.DUMMYFUNCTION("GOOGLEFINANCE(A479,""HIGH"")"),1773.4)</f>
        <v>1773.4</v>
      </c>
      <c r="E479" s="11">
        <f ca="1">IFERROR(__xludf.DUMMYFUNCTION("GOOGLEFINANCE(A479,""LOW"")"),1743)</f>
        <v>1743</v>
      </c>
      <c r="F479" s="12" t="str">
        <f t="shared" ca="1" si="14"/>
        <v/>
      </c>
      <c r="G479" s="13">
        <f ca="1">IFERROR(__xludf.DUMMYFUNCTION("GOOGLEFINANCE(A479,""CLOSEYEST"")"),1754)</f>
        <v>1754</v>
      </c>
      <c r="H479" s="14" t="str">
        <f t="shared" ca="1" si="20"/>
        <v/>
      </c>
      <c r="I479" s="15">
        <f t="shared" ca="1" si="15"/>
        <v>1756.8</v>
      </c>
      <c r="J479" s="16">
        <f t="shared" ca="1" si="16"/>
        <v>1770.6</v>
      </c>
      <c r="K479" s="16"/>
      <c r="L479" s="16">
        <f t="shared" ca="1" si="17"/>
        <v>1740.1999999999998</v>
      </c>
      <c r="M479" s="16">
        <f t="shared" ca="1" si="18"/>
        <v>1787.2</v>
      </c>
      <c r="N479" s="16">
        <f t="shared" ca="1" si="19"/>
        <v>1726.3999999999999</v>
      </c>
    </row>
    <row r="480" spans="1:14" ht="24.75" customHeight="1" x14ac:dyDescent="0.8">
      <c r="A480" s="18" t="s">
        <v>443</v>
      </c>
      <c r="B480" s="10">
        <f ca="1">IFERROR(__xludf.DUMMYFUNCTION("GOOGLEFINANCE(A480,""PRICE"")"),641.3)</f>
        <v>641.29999999999995</v>
      </c>
      <c r="C480" s="11">
        <f ca="1">IFERROR(__xludf.DUMMYFUNCTION("GOOGLEFINANCE(A480,""PRICEOPEN"")"),638.9)</f>
        <v>638.9</v>
      </c>
      <c r="D480" s="11">
        <f ca="1">IFERROR(__xludf.DUMMYFUNCTION("GOOGLEFINANCE(A480,""HIGH"")"),646.5)</f>
        <v>646.5</v>
      </c>
      <c r="E480" s="11">
        <f ca="1">IFERROR(__xludf.DUMMYFUNCTION("GOOGLEFINANCE(A480,""LOW"")"),633.1)</f>
        <v>633.1</v>
      </c>
      <c r="F480" s="12" t="str">
        <f t="shared" ca="1" si="14"/>
        <v/>
      </c>
      <c r="G480" s="13">
        <f ca="1">IFERROR(__xludf.DUMMYFUNCTION("GOOGLEFINANCE(A480,""CLOSEYEST"")"),636.15)</f>
        <v>636.15</v>
      </c>
      <c r="H480" s="14" t="str">
        <f t="shared" ca="1" si="20"/>
        <v/>
      </c>
      <c r="I480" s="15">
        <f t="shared" ca="1" si="15"/>
        <v>638.58333333333337</v>
      </c>
      <c r="J480" s="16">
        <f t="shared" ca="1" si="16"/>
        <v>644.06666666666672</v>
      </c>
      <c r="K480" s="16"/>
      <c r="L480" s="16">
        <f t="shared" ca="1" si="17"/>
        <v>630.66666666666674</v>
      </c>
      <c r="M480" s="16">
        <f t="shared" ca="1" si="18"/>
        <v>651.98333333333335</v>
      </c>
      <c r="N480" s="16">
        <f t="shared" ca="1" si="19"/>
        <v>625.18333333333339</v>
      </c>
    </row>
    <row r="481" spans="1:14" ht="24.75" customHeight="1" x14ac:dyDescent="0.8">
      <c r="A481" s="18" t="s">
        <v>444</v>
      </c>
      <c r="B481" s="10">
        <f ca="1">IFERROR(__xludf.DUMMYFUNCTION("GOOGLEFINANCE(A481,""PRICE"")"),760)</f>
        <v>760</v>
      </c>
      <c r="C481" s="11">
        <f ca="1">IFERROR(__xludf.DUMMYFUNCTION("GOOGLEFINANCE(A481,""PRICEOPEN"")"),772.4)</f>
        <v>772.4</v>
      </c>
      <c r="D481" s="11">
        <f ca="1">IFERROR(__xludf.DUMMYFUNCTION("GOOGLEFINANCE(A481,""HIGH"")"),779.4)</f>
        <v>779.4</v>
      </c>
      <c r="E481" s="11">
        <f ca="1">IFERROR(__xludf.DUMMYFUNCTION("GOOGLEFINANCE(A481,""LOW"")"),754)</f>
        <v>754</v>
      </c>
      <c r="F481" s="12" t="str">
        <f t="shared" ca="1" si="14"/>
        <v/>
      </c>
      <c r="G481" s="13">
        <f ca="1">IFERROR(__xludf.DUMMYFUNCTION("GOOGLEFINANCE(A481,""CLOSEYEST"")"),772.2)</f>
        <v>772.2</v>
      </c>
      <c r="H481" s="14" t="str">
        <f t="shared" ca="1" si="20"/>
        <v/>
      </c>
      <c r="I481" s="15">
        <f t="shared" ca="1" si="15"/>
        <v>768.53333333333342</v>
      </c>
      <c r="J481" s="16">
        <f t="shared" ca="1" si="16"/>
        <v>783.06666666666683</v>
      </c>
      <c r="K481" s="16"/>
      <c r="L481" s="16">
        <f t="shared" ca="1" si="17"/>
        <v>757.66666666666686</v>
      </c>
      <c r="M481" s="16">
        <f t="shared" ca="1" si="18"/>
        <v>793.93333333333339</v>
      </c>
      <c r="N481" s="16">
        <f t="shared" ca="1" si="19"/>
        <v>743.13333333333344</v>
      </c>
    </row>
    <row r="482" spans="1:14" ht="24.75" customHeight="1" x14ac:dyDescent="0.8">
      <c r="A482" s="18" t="s">
        <v>445</v>
      </c>
      <c r="B482" s="10" t="str">
        <f ca="1">IFERROR(__xludf.DUMMYFUNCTION("GOOGLEFINANCE(A482,""PRICE"")"),"#N/A")</f>
        <v>#N/A</v>
      </c>
      <c r="C482" s="11" t="str">
        <f ca="1">IFERROR(__xludf.DUMMYFUNCTION("GOOGLEFINANCE(A482,""PRICEOPEN"")"),"#N/A")</f>
        <v>#N/A</v>
      </c>
      <c r="D482" s="11" t="str">
        <f ca="1">IFERROR(__xludf.DUMMYFUNCTION("GOOGLEFINANCE(A482,""HIGH"")"),"#N/A")</f>
        <v>#N/A</v>
      </c>
      <c r="E482" s="11" t="str">
        <f ca="1">IFERROR(__xludf.DUMMYFUNCTION("GOOGLEFINANCE(A482,""LOW"")"),"#N/A")</f>
        <v>#N/A</v>
      </c>
      <c r="F482" s="12" t="str">
        <f t="shared" ca="1" si="14"/>
        <v>SELL</v>
      </c>
      <c r="G482" s="13" t="str">
        <f ca="1">IFERROR(__xludf.DUMMYFUNCTION("GOOGLEFINANCE(A482,""CLOSEYEST"")"),"#N/A")</f>
        <v>#N/A</v>
      </c>
      <c r="H482" s="14" t="e">
        <f t="shared" ca="1" si="20"/>
        <v>#VALUE!</v>
      </c>
      <c r="I482" s="15" t="e">
        <f t="shared" ca="1" si="15"/>
        <v>#VALUE!</v>
      </c>
      <c r="J482" s="16" t="e">
        <f t="shared" ca="1" si="16"/>
        <v>#VALUE!</v>
      </c>
      <c r="K482" s="16"/>
      <c r="L482" s="16" t="e">
        <f t="shared" ca="1" si="17"/>
        <v>#VALUE!</v>
      </c>
      <c r="M482" s="16" t="e">
        <f t="shared" ca="1" si="18"/>
        <v>#VALUE!</v>
      </c>
      <c r="N482" s="16" t="e">
        <f t="shared" ca="1" si="19"/>
        <v>#VALUE!</v>
      </c>
    </row>
    <row r="483" spans="1:14" ht="24.75" customHeight="1" x14ac:dyDescent="0.8">
      <c r="A483" s="18" t="s">
        <v>446</v>
      </c>
      <c r="B483" s="10">
        <f ca="1">IFERROR(__xludf.DUMMYFUNCTION("GOOGLEFINANCE(A483,""PRICE"")"),18.23)</f>
        <v>18.23</v>
      </c>
      <c r="C483" s="11" t="str">
        <f ca="1">IFERROR(__xludf.DUMMYFUNCTION("GOOGLEFINANCE(A483,""PRICEOPEN"")"),"#N/A")</f>
        <v>#N/A</v>
      </c>
      <c r="D483" s="11" t="str">
        <f ca="1">IFERROR(__xludf.DUMMYFUNCTION("GOOGLEFINANCE(A483,""HIGH"")"),"#N/A")</f>
        <v>#N/A</v>
      </c>
      <c r="E483" s="11" t="str">
        <f ca="1">IFERROR(__xludf.DUMMYFUNCTION("GOOGLEFINANCE(A483,""LOW"")"),"#N/A")</f>
        <v>#N/A</v>
      </c>
      <c r="F483" s="12" t="str">
        <f t="shared" ca="1" si="14"/>
        <v>SELL</v>
      </c>
      <c r="G483" s="13">
        <f ca="1">IFERROR(__xludf.DUMMYFUNCTION("GOOGLEFINANCE(A483,""CLOSEYEST"")"),18.21)</f>
        <v>18.21</v>
      </c>
      <c r="H483" s="14" t="str">
        <f t="shared" ca="1" si="20"/>
        <v>GAP UP</v>
      </c>
      <c r="I483" s="15" t="e">
        <f t="shared" ca="1" si="15"/>
        <v>#VALUE!</v>
      </c>
      <c r="J483" s="16" t="e">
        <f t="shared" ca="1" si="16"/>
        <v>#VALUE!</v>
      </c>
      <c r="K483" s="16"/>
      <c r="L483" s="16" t="e">
        <f t="shared" ca="1" si="17"/>
        <v>#VALUE!</v>
      </c>
      <c r="M483" s="16" t="e">
        <f t="shared" ca="1" si="18"/>
        <v>#VALUE!</v>
      </c>
      <c r="N483" s="16" t="e">
        <f t="shared" ca="1" si="19"/>
        <v>#VALUE!</v>
      </c>
    </row>
    <row r="484" spans="1:14" ht="24.75" customHeight="1" x14ac:dyDescent="0.8">
      <c r="A484" s="18" t="s">
        <v>447</v>
      </c>
      <c r="B484" s="10">
        <f ca="1">IFERROR(__xludf.DUMMYFUNCTION("GOOGLEFINANCE(A484,""PRICE"")"),2110)</f>
        <v>2110</v>
      </c>
      <c r="C484" s="11">
        <f ca="1">IFERROR(__xludf.DUMMYFUNCTION("GOOGLEFINANCE(A484,""PRICEOPEN"")"),2055)</f>
        <v>2055</v>
      </c>
      <c r="D484" s="11">
        <f ca="1">IFERROR(__xludf.DUMMYFUNCTION("GOOGLEFINANCE(A484,""HIGH"")"),2120)</f>
        <v>2120</v>
      </c>
      <c r="E484" s="11">
        <f ca="1">IFERROR(__xludf.DUMMYFUNCTION("GOOGLEFINANCE(A484,""LOW"")"),2050)</f>
        <v>2050</v>
      </c>
      <c r="F484" s="12" t="str">
        <f t="shared" ca="1" si="14"/>
        <v/>
      </c>
      <c r="G484" s="13">
        <f ca="1">IFERROR(__xludf.DUMMYFUNCTION("GOOGLEFINANCE(A484,""CLOSEYEST"")"),2075)</f>
        <v>2075</v>
      </c>
      <c r="H484" s="14" t="str">
        <f t="shared" ca="1" si="20"/>
        <v/>
      </c>
      <c r="I484" s="15">
        <f t="shared" ca="1" si="15"/>
        <v>2081.6666666666665</v>
      </c>
      <c r="J484" s="16">
        <f t="shared" ca="1" si="16"/>
        <v>2113.333333333333</v>
      </c>
      <c r="K484" s="16"/>
      <c r="L484" s="16">
        <f t="shared" ca="1" si="17"/>
        <v>2043.333333333333</v>
      </c>
      <c r="M484" s="16">
        <f t="shared" ca="1" si="18"/>
        <v>2151.6666666666665</v>
      </c>
      <c r="N484" s="16">
        <f t="shared" ca="1" si="19"/>
        <v>2011.6666666666665</v>
      </c>
    </row>
    <row r="485" spans="1:14" ht="24.75" customHeight="1" x14ac:dyDescent="0.8">
      <c r="A485" s="18" t="s">
        <v>448</v>
      </c>
      <c r="B485" s="10">
        <f ca="1">IFERROR(__xludf.DUMMYFUNCTION("GOOGLEFINANCE(A485,""PRICE"")"),358.9)</f>
        <v>358.9</v>
      </c>
      <c r="C485" s="11">
        <f ca="1">IFERROR(__xludf.DUMMYFUNCTION("GOOGLEFINANCE(A485,""PRICEOPEN"")"),338)</f>
        <v>338</v>
      </c>
      <c r="D485" s="11">
        <f ca="1">IFERROR(__xludf.DUMMYFUNCTION("GOOGLEFINANCE(A485,""HIGH"")"),363.9)</f>
        <v>363.9</v>
      </c>
      <c r="E485" s="11">
        <f ca="1">IFERROR(__xludf.DUMMYFUNCTION("GOOGLEFINANCE(A485,""LOW"")"),336.65)</f>
        <v>336.65</v>
      </c>
      <c r="F485" s="12" t="str">
        <f t="shared" ca="1" si="14"/>
        <v/>
      </c>
      <c r="G485" s="13">
        <f ca="1">IFERROR(__xludf.DUMMYFUNCTION("GOOGLEFINANCE(A485,""CLOSEYEST"")"),335.2)</f>
        <v>335.2</v>
      </c>
      <c r="H485" s="14" t="str">
        <f t="shared" ca="1" si="20"/>
        <v/>
      </c>
      <c r="I485" s="15">
        <f t="shared" ca="1" si="15"/>
        <v>345.25</v>
      </c>
      <c r="J485" s="16">
        <f t="shared" ca="1" si="16"/>
        <v>353.85</v>
      </c>
      <c r="K485" s="16"/>
      <c r="L485" s="16">
        <f t="shared" ca="1" si="17"/>
        <v>326.60000000000002</v>
      </c>
      <c r="M485" s="16">
        <f t="shared" ca="1" si="18"/>
        <v>372.5</v>
      </c>
      <c r="N485" s="16">
        <f t="shared" ca="1" si="19"/>
        <v>318</v>
      </c>
    </row>
    <row r="486" spans="1:14" ht="24.75" customHeight="1" x14ac:dyDescent="0.8">
      <c r="A486" s="18" t="s">
        <v>449</v>
      </c>
      <c r="B486" s="10">
        <f ca="1">IFERROR(__xludf.DUMMYFUNCTION("GOOGLEFINANCE(A486,""PRICE"")"),0)</f>
        <v>0</v>
      </c>
      <c r="C486" s="11" t="str">
        <f ca="1">IFERROR(__xludf.DUMMYFUNCTION("GOOGLEFINANCE(A486,""PRICEOPEN"")"),"#N/A")</f>
        <v>#N/A</v>
      </c>
      <c r="D486" s="11" t="str">
        <f ca="1">IFERROR(__xludf.DUMMYFUNCTION("GOOGLEFINANCE(A486,""HIGH"")"),"#N/A")</f>
        <v>#N/A</v>
      </c>
      <c r="E486" s="11" t="str">
        <f ca="1">IFERROR(__xludf.DUMMYFUNCTION("GOOGLEFINANCE(A486,""LOW"")"),"#N/A")</f>
        <v>#N/A</v>
      </c>
      <c r="F486" s="12" t="str">
        <f t="shared" ca="1" si="14"/>
        <v>SELL</v>
      </c>
      <c r="G486" s="13">
        <f ca="1">IFERROR(__xludf.DUMMYFUNCTION("GOOGLEFINANCE(A486,""CLOSEYEST"")"),0)</f>
        <v>0</v>
      </c>
      <c r="H486" s="14" t="str">
        <f t="shared" ca="1" si="20"/>
        <v>GAP UP</v>
      </c>
      <c r="I486" s="15" t="e">
        <f t="shared" ca="1" si="15"/>
        <v>#VALUE!</v>
      </c>
      <c r="J486" s="16" t="e">
        <f t="shared" ca="1" si="16"/>
        <v>#VALUE!</v>
      </c>
      <c r="K486" s="16"/>
      <c r="L486" s="16" t="e">
        <f t="shared" ca="1" si="17"/>
        <v>#VALUE!</v>
      </c>
      <c r="M486" s="16" t="e">
        <f t="shared" ca="1" si="18"/>
        <v>#VALUE!</v>
      </c>
      <c r="N486" s="16" t="e">
        <f t="shared" ca="1" si="19"/>
        <v>#VALUE!</v>
      </c>
    </row>
    <row r="487" spans="1:14" ht="24.75" customHeight="1" x14ac:dyDescent="0.8">
      <c r="A487" s="18" t="s">
        <v>450</v>
      </c>
      <c r="B487" s="10">
        <f ca="1">IFERROR(__xludf.DUMMYFUNCTION("GOOGLEFINANCE(A487,""PRICE"")"),57.56)</f>
        <v>57.56</v>
      </c>
      <c r="C487" s="11">
        <f ca="1">IFERROR(__xludf.DUMMYFUNCTION("GOOGLEFINANCE(A487,""PRICEOPEN"")"),56.85)</f>
        <v>56.85</v>
      </c>
      <c r="D487" s="11">
        <f ca="1">IFERROR(__xludf.DUMMYFUNCTION("GOOGLEFINANCE(A487,""HIGH"")"),57.58)</f>
        <v>57.58</v>
      </c>
      <c r="E487" s="11">
        <f ca="1">IFERROR(__xludf.DUMMYFUNCTION("GOOGLEFINANCE(A487,""LOW"")"),56.72)</f>
        <v>56.72</v>
      </c>
      <c r="F487" s="12" t="str">
        <f t="shared" ca="1" si="14"/>
        <v/>
      </c>
      <c r="G487" s="13">
        <f ca="1">IFERROR(__xludf.DUMMYFUNCTION("GOOGLEFINANCE(A487,""CLOSEYEST"")"),56.85)</f>
        <v>56.85</v>
      </c>
      <c r="H487" s="14" t="str">
        <f t="shared" ca="1" si="20"/>
        <v/>
      </c>
      <c r="I487" s="15">
        <f t="shared" ca="1" si="15"/>
        <v>57.050000000000004</v>
      </c>
      <c r="J487" s="16">
        <f t="shared" ca="1" si="16"/>
        <v>57.38000000000001</v>
      </c>
      <c r="K487" s="16"/>
      <c r="L487" s="16">
        <f t="shared" ca="1" si="17"/>
        <v>56.52000000000001</v>
      </c>
      <c r="M487" s="16">
        <f t="shared" ca="1" si="18"/>
        <v>57.910000000000004</v>
      </c>
      <c r="N487" s="16">
        <f t="shared" ca="1" si="19"/>
        <v>56.190000000000005</v>
      </c>
    </row>
    <row r="488" spans="1:14" ht="24.75" customHeight="1" x14ac:dyDescent="0.8">
      <c r="A488" s="18" t="s">
        <v>451</v>
      </c>
      <c r="B488" s="10">
        <f ca="1">IFERROR(__xludf.DUMMYFUNCTION("GOOGLEFINANCE(A488,""PRICE"")"),616.05)</f>
        <v>616.04999999999995</v>
      </c>
      <c r="C488" s="11">
        <f ca="1">IFERROR(__xludf.DUMMYFUNCTION("GOOGLEFINANCE(A488,""PRICEOPEN"")"),618.1)</f>
        <v>618.1</v>
      </c>
      <c r="D488" s="11">
        <f ca="1">IFERROR(__xludf.DUMMYFUNCTION("GOOGLEFINANCE(A488,""HIGH"")"),624.4)</f>
        <v>624.4</v>
      </c>
      <c r="E488" s="11">
        <f ca="1">IFERROR(__xludf.DUMMYFUNCTION("GOOGLEFINANCE(A488,""LOW"")"),603.8)</f>
        <v>603.79999999999995</v>
      </c>
      <c r="F488" s="12" t="str">
        <f t="shared" ca="1" si="14"/>
        <v/>
      </c>
      <c r="G488" s="13">
        <f ca="1">IFERROR(__xludf.DUMMYFUNCTION("GOOGLEFINANCE(A488,""CLOSEYEST"")"),610.15)</f>
        <v>610.15</v>
      </c>
      <c r="H488" s="14" t="str">
        <f t="shared" ca="1" si="20"/>
        <v>GAP UP</v>
      </c>
      <c r="I488" s="15">
        <f t="shared" ca="1" si="15"/>
        <v>612.7833333333333</v>
      </c>
      <c r="J488" s="16">
        <f t="shared" ca="1" si="16"/>
        <v>621.76666666666665</v>
      </c>
      <c r="K488" s="16"/>
      <c r="L488" s="16">
        <f t="shared" ca="1" si="17"/>
        <v>601.16666666666663</v>
      </c>
      <c r="M488" s="16">
        <f t="shared" ca="1" si="18"/>
        <v>633.38333333333333</v>
      </c>
      <c r="N488" s="16">
        <f t="shared" ca="1" si="19"/>
        <v>592.18333333333328</v>
      </c>
    </row>
    <row r="489" spans="1:14" ht="24.75" customHeight="1" x14ac:dyDescent="0.8">
      <c r="A489" s="18" t="s">
        <v>452</v>
      </c>
      <c r="B489" s="10">
        <f ca="1">IFERROR(__xludf.DUMMYFUNCTION("GOOGLEFINANCE(A489,""PRICE"")"),1545.6)</f>
        <v>1545.6</v>
      </c>
      <c r="C489" s="11">
        <f ca="1">IFERROR(__xludf.DUMMYFUNCTION("GOOGLEFINANCE(A489,""PRICEOPEN"")"),1559)</f>
        <v>1559</v>
      </c>
      <c r="D489" s="11">
        <f ca="1">IFERROR(__xludf.DUMMYFUNCTION("GOOGLEFINANCE(A489,""HIGH"")"),1563.8)</f>
        <v>1563.8</v>
      </c>
      <c r="E489" s="11">
        <f ca="1">IFERROR(__xludf.DUMMYFUNCTION("GOOGLEFINANCE(A489,""LOW"")"),1537)</f>
        <v>1537</v>
      </c>
      <c r="F489" s="12" t="str">
        <f t="shared" ca="1" si="14"/>
        <v/>
      </c>
      <c r="G489" s="13">
        <f ca="1">IFERROR(__xludf.DUMMYFUNCTION("GOOGLEFINANCE(A489,""CLOSEYEST"")"),1558)</f>
        <v>1558</v>
      </c>
      <c r="H489" s="14" t="str">
        <f t="shared" ca="1" si="20"/>
        <v/>
      </c>
      <c r="I489" s="15">
        <f t="shared" ca="1" si="15"/>
        <v>1552.9333333333334</v>
      </c>
      <c r="J489" s="16">
        <f t="shared" ca="1" si="16"/>
        <v>1568.8666666666668</v>
      </c>
      <c r="K489" s="16"/>
      <c r="L489" s="16">
        <f t="shared" ca="1" si="17"/>
        <v>1542.0666666666668</v>
      </c>
      <c r="M489" s="16">
        <f t="shared" ca="1" si="18"/>
        <v>1579.7333333333333</v>
      </c>
      <c r="N489" s="16">
        <f t="shared" ca="1" si="19"/>
        <v>1526.1333333333334</v>
      </c>
    </row>
    <row r="490" spans="1:14" ht="24.75" customHeight="1" x14ac:dyDescent="0.8">
      <c r="A490" s="18" t="s">
        <v>453</v>
      </c>
      <c r="B490" s="10">
        <f ca="1">IFERROR(__xludf.DUMMYFUNCTION("GOOGLEFINANCE(A490,""PRICE"")"),253.5)</f>
        <v>253.5</v>
      </c>
      <c r="C490" s="11">
        <f ca="1">IFERROR(__xludf.DUMMYFUNCTION("GOOGLEFINANCE(A490,""PRICEOPEN"")"),253.7)</f>
        <v>253.7</v>
      </c>
      <c r="D490" s="11">
        <f ca="1">IFERROR(__xludf.DUMMYFUNCTION("GOOGLEFINANCE(A490,""HIGH"")"),255)</f>
        <v>255</v>
      </c>
      <c r="E490" s="11">
        <f ca="1">IFERROR(__xludf.DUMMYFUNCTION("GOOGLEFINANCE(A490,""LOW"")"),251.51)</f>
        <v>251.51</v>
      </c>
      <c r="F490" s="12" t="str">
        <f t="shared" ca="1" si="14"/>
        <v/>
      </c>
      <c r="G490" s="13">
        <f ca="1">IFERROR(__xludf.DUMMYFUNCTION("GOOGLEFINANCE(A490,""CLOSEYEST"")"),251.8)</f>
        <v>251.8</v>
      </c>
      <c r="H490" s="14" t="str">
        <f t="shared" ca="1" si="20"/>
        <v/>
      </c>
      <c r="I490" s="15">
        <f t="shared" ca="1" si="15"/>
        <v>252.76999999999998</v>
      </c>
      <c r="J490" s="16">
        <f t="shared" ca="1" si="16"/>
        <v>254.02999999999997</v>
      </c>
      <c r="K490" s="16"/>
      <c r="L490" s="16">
        <f t="shared" ca="1" si="17"/>
        <v>250.53999999999996</v>
      </c>
      <c r="M490" s="16">
        <f t="shared" ca="1" si="18"/>
        <v>256.26</v>
      </c>
      <c r="N490" s="16">
        <f t="shared" ca="1" si="19"/>
        <v>249.27999999999997</v>
      </c>
    </row>
    <row r="491" spans="1:14" ht="24.75" customHeight="1" x14ac:dyDescent="0.8">
      <c r="A491" s="18" t="s">
        <v>454</v>
      </c>
      <c r="B491" s="10">
        <f ca="1">IFERROR(__xludf.DUMMYFUNCTION("GOOGLEFINANCE(A491,""PRICE"")"),20.82)</f>
        <v>20.82</v>
      </c>
      <c r="C491" s="11">
        <f ca="1">IFERROR(__xludf.DUMMYFUNCTION("GOOGLEFINANCE(A491,""PRICEOPEN"")"),20.48)</f>
        <v>20.48</v>
      </c>
      <c r="D491" s="11">
        <f ca="1">IFERROR(__xludf.DUMMYFUNCTION("GOOGLEFINANCE(A491,""HIGH"")"),20.82)</f>
        <v>20.82</v>
      </c>
      <c r="E491" s="11">
        <f ca="1">IFERROR(__xludf.DUMMYFUNCTION("GOOGLEFINANCE(A491,""LOW"")"),20.48)</f>
        <v>20.48</v>
      </c>
      <c r="F491" s="12" t="str">
        <f t="shared" ca="1" si="14"/>
        <v>BUY</v>
      </c>
      <c r="G491" s="13">
        <f ca="1">IFERROR(__xludf.DUMMYFUNCTION("GOOGLEFINANCE(A491,""CLOSEYEST"")"),20.5)</f>
        <v>20.5</v>
      </c>
      <c r="H491" s="14" t="str">
        <f t="shared" ca="1" si="20"/>
        <v/>
      </c>
      <c r="I491" s="15">
        <f t="shared" ca="1" si="15"/>
        <v>20.599999999999998</v>
      </c>
      <c r="J491" s="16">
        <f t="shared" ca="1" si="16"/>
        <v>20.719999999999995</v>
      </c>
      <c r="K491" s="16"/>
      <c r="L491" s="16">
        <f t="shared" ca="1" si="17"/>
        <v>20.379999999999995</v>
      </c>
      <c r="M491" s="16">
        <f t="shared" ca="1" si="18"/>
        <v>20.939999999999998</v>
      </c>
      <c r="N491" s="16">
        <f t="shared" ca="1" si="19"/>
        <v>20.259999999999998</v>
      </c>
    </row>
    <row r="492" spans="1:14" ht="24.75" customHeight="1" x14ac:dyDescent="0.8">
      <c r="A492" s="18" t="s">
        <v>455</v>
      </c>
      <c r="B492" s="10">
        <f ca="1">IFERROR(__xludf.DUMMYFUNCTION("GOOGLEFINANCE(A492,""PRICE"")"),506.25)</f>
        <v>506.25</v>
      </c>
      <c r="C492" s="11">
        <f ca="1">IFERROR(__xludf.DUMMYFUNCTION("GOOGLEFINANCE(A492,""PRICEOPEN"")"),497.6)</f>
        <v>497.6</v>
      </c>
      <c r="D492" s="11">
        <f ca="1">IFERROR(__xludf.DUMMYFUNCTION("GOOGLEFINANCE(A492,""HIGH"")"),507)</f>
        <v>507</v>
      </c>
      <c r="E492" s="11">
        <f ca="1">IFERROR(__xludf.DUMMYFUNCTION("GOOGLEFINANCE(A492,""LOW"")"),497.6)</f>
        <v>497.6</v>
      </c>
      <c r="F492" s="12" t="str">
        <f t="shared" ca="1" si="14"/>
        <v>BUY</v>
      </c>
      <c r="G492" s="13">
        <f ca="1">IFERROR(__xludf.DUMMYFUNCTION("GOOGLEFINANCE(A492,""CLOSEYEST"")"),496.6)</f>
        <v>496.6</v>
      </c>
      <c r="H492" s="14" t="str">
        <f t="shared" ca="1" si="20"/>
        <v/>
      </c>
      <c r="I492" s="15">
        <f t="shared" ca="1" si="15"/>
        <v>500.40000000000003</v>
      </c>
      <c r="J492" s="16">
        <f t="shared" ca="1" si="16"/>
        <v>503.20000000000005</v>
      </c>
      <c r="K492" s="16"/>
      <c r="L492" s="16">
        <f t="shared" ca="1" si="17"/>
        <v>493.80000000000007</v>
      </c>
      <c r="M492" s="16">
        <f t="shared" ca="1" si="18"/>
        <v>509.8</v>
      </c>
      <c r="N492" s="16">
        <f t="shared" ca="1" si="19"/>
        <v>491.00000000000006</v>
      </c>
    </row>
    <row r="493" spans="1:14" ht="24.75" customHeight="1" x14ac:dyDescent="0.8">
      <c r="A493" s="18" t="s">
        <v>456</v>
      </c>
      <c r="B493" s="10">
        <f ca="1">IFERROR(__xludf.DUMMYFUNCTION("GOOGLEFINANCE(A493,""PRICE"")"),8.14)</f>
        <v>8.14</v>
      </c>
      <c r="C493" s="11">
        <f ca="1">IFERROR(__xludf.DUMMYFUNCTION("GOOGLEFINANCE(A493,""PRICEOPEN"")"),8.12)</f>
        <v>8.1199999999999992</v>
      </c>
      <c r="D493" s="11">
        <f ca="1">IFERROR(__xludf.DUMMYFUNCTION("GOOGLEFINANCE(A493,""HIGH"")"),8.17)</f>
        <v>8.17</v>
      </c>
      <c r="E493" s="11">
        <f ca="1">IFERROR(__xludf.DUMMYFUNCTION("GOOGLEFINANCE(A493,""LOW"")"),8.04)</f>
        <v>8.0399999999999991</v>
      </c>
      <c r="F493" s="12" t="str">
        <f t="shared" ca="1" si="14"/>
        <v/>
      </c>
      <c r="G493" s="13">
        <f ca="1">IFERROR(__xludf.DUMMYFUNCTION("GOOGLEFINANCE(A493,""CLOSEYEST"")"),8.12)</f>
        <v>8.1199999999999992</v>
      </c>
      <c r="H493" s="14" t="str">
        <f t="shared" ca="1" si="20"/>
        <v/>
      </c>
      <c r="I493" s="15">
        <f t="shared" ca="1" si="15"/>
        <v>8.11</v>
      </c>
      <c r="J493" s="16">
        <f t="shared" ca="1" si="16"/>
        <v>8.18</v>
      </c>
      <c r="K493" s="16"/>
      <c r="L493" s="16">
        <f t="shared" ca="1" si="17"/>
        <v>8.0499999999999989</v>
      </c>
      <c r="M493" s="16">
        <f t="shared" ca="1" si="18"/>
        <v>8.24</v>
      </c>
      <c r="N493" s="16">
        <f t="shared" ca="1" si="19"/>
        <v>7.9799999999999986</v>
      </c>
    </row>
    <row r="494" spans="1:14" ht="24.75" customHeight="1" x14ac:dyDescent="0.8">
      <c r="A494" s="18" t="s">
        <v>457</v>
      </c>
      <c r="B494" s="10">
        <f ca="1">IFERROR(__xludf.DUMMYFUNCTION("GOOGLEFINANCE(A494,""PRICE"")"),83.86)</f>
        <v>83.86</v>
      </c>
      <c r="C494" s="11">
        <f ca="1">IFERROR(__xludf.DUMMYFUNCTION("GOOGLEFINANCE(A494,""PRICEOPEN"")"),83.06)</f>
        <v>83.06</v>
      </c>
      <c r="D494" s="11">
        <f ca="1">IFERROR(__xludf.DUMMYFUNCTION("GOOGLEFINANCE(A494,""HIGH"")"),84.18)</f>
        <v>84.18</v>
      </c>
      <c r="E494" s="11">
        <f ca="1">IFERROR(__xludf.DUMMYFUNCTION("GOOGLEFINANCE(A494,""LOW"")"),82.89)</f>
        <v>82.89</v>
      </c>
      <c r="F494" s="12" t="str">
        <f t="shared" ca="1" si="14"/>
        <v/>
      </c>
      <c r="G494" s="13">
        <f ca="1">IFERROR(__xludf.DUMMYFUNCTION("GOOGLEFINANCE(A494,""CLOSEYEST"")"),83.18)</f>
        <v>83.18</v>
      </c>
      <c r="H494" s="14" t="str">
        <f t="shared" ca="1" si="20"/>
        <v/>
      </c>
      <c r="I494" s="15">
        <f t="shared" ca="1" si="15"/>
        <v>83.416666666666671</v>
      </c>
      <c r="J494" s="16">
        <f t="shared" ca="1" si="16"/>
        <v>83.943333333333342</v>
      </c>
      <c r="K494" s="16"/>
      <c r="L494" s="16">
        <f t="shared" ca="1" si="17"/>
        <v>82.653333333333336</v>
      </c>
      <c r="M494" s="16">
        <f t="shared" ca="1" si="18"/>
        <v>84.706666666666678</v>
      </c>
      <c r="N494" s="16">
        <f t="shared" ca="1" si="19"/>
        <v>82.126666666666665</v>
      </c>
    </row>
    <row r="495" spans="1:14" ht="24.75" customHeight="1" x14ac:dyDescent="0.8">
      <c r="A495" s="18" t="s">
        <v>458</v>
      </c>
      <c r="B495" s="10">
        <f ca="1">IFERROR(__xludf.DUMMYFUNCTION("GOOGLEFINANCE(A495,""PRICE"")"),254.3)</f>
        <v>254.3</v>
      </c>
      <c r="C495" s="11">
        <f ca="1">IFERROR(__xludf.DUMMYFUNCTION("GOOGLEFINANCE(A495,""PRICEOPEN"")"),255.05)</f>
        <v>255.05</v>
      </c>
      <c r="D495" s="11">
        <f ca="1">IFERROR(__xludf.DUMMYFUNCTION("GOOGLEFINANCE(A495,""HIGH"")"),257.5)</f>
        <v>257.5</v>
      </c>
      <c r="E495" s="11">
        <f ca="1">IFERROR(__xludf.DUMMYFUNCTION("GOOGLEFINANCE(A495,""LOW"")"),252)</f>
        <v>252</v>
      </c>
      <c r="F495" s="12" t="str">
        <f t="shared" ca="1" si="14"/>
        <v/>
      </c>
      <c r="G495" s="13">
        <f ca="1">IFERROR(__xludf.DUMMYFUNCTION("GOOGLEFINANCE(A495,""CLOSEYEST"")"),255)</f>
        <v>255</v>
      </c>
      <c r="H495" s="14" t="str">
        <f t="shared" ca="1" si="20"/>
        <v/>
      </c>
      <c r="I495" s="15">
        <f t="shared" ca="1" si="15"/>
        <v>254.83333333333334</v>
      </c>
      <c r="J495" s="16">
        <f t="shared" ca="1" si="16"/>
        <v>257.66666666666669</v>
      </c>
      <c r="K495" s="16"/>
      <c r="L495" s="16">
        <f t="shared" ca="1" si="17"/>
        <v>252.16666666666669</v>
      </c>
      <c r="M495" s="16">
        <f t="shared" ca="1" si="18"/>
        <v>260.33333333333337</v>
      </c>
      <c r="N495" s="16">
        <f t="shared" ca="1" si="19"/>
        <v>249.33333333333334</v>
      </c>
    </row>
    <row r="496" spans="1:14" ht="24.75" customHeight="1" x14ac:dyDescent="0.8">
      <c r="A496" s="18" t="s">
        <v>459</v>
      </c>
      <c r="B496" s="10">
        <f ca="1">IFERROR(__xludf.DUMMYFUNCTION("GOOGLEFINANCE(A496,""PRICE"")"),109.4)</f>
        <v>109.4</v>
      </c>
      <c r="C496" s="11">
        <f ca="1">IFERROR(__xludf.DUMMYFUNCTION("GOOGLEFINANCE(A496,""PRICEOPEN"")"),105.4)</f>
        <v>105.4</v>
      </c>
      <c r="D496" s="11">
        <f ca="1">IFERROR(__xludf.DUMMYFUNCTION("GOOGLEFINANCE(A496,""HIGH"")"),110.9)</f>
        <v>110.9</v>
      </c>
      <c r="E496" s="11">
        <f ca="1">IFERROR(__xludf.DUMMYFUNCTION("GOOGLEFINANCE(A496,""LOW"")"),105.39)</f>
        <v>105.39</v>
      </c>
      <c r="F496" s="12" t="str">
        <f t="shared" ca="1" si="14"/>
        <v/>
      </c>
      <c r="G496" s="13">
        <f ca="1">IFERROR(__xludf.DUMMYFUNCTION("GOOGLEFINANCE(A496,""CLOSEYEST"")"),105.41)</f>
        <v>105.41</v>
      </c>
      <c r="H496" s="14" t="str">
        <f t="shared" ca="1" si="20"/>
        <v/>
      </c>
      <c r="I496" s="15">
        <f t="shared" ca="1" si="15"/>
        <v>107.23333333333335</v>
      </c>
      <c r="J496" s="16">
        <f t="shared" ca="1" si="16"/>
        <v>109.0766666666667</v>
      </c>
      <c r="K496" s="16"/>
      <c r="L496" s="16">
        <f t="shared" ca="1" si="17"/>
        <v>103.56666666666669</v>
      </c>
      <c r="M496" s="16">
        <f t="shared" ca="1" si="18"/>
        <v>112.74333333333335</v>
      </c>
      <c r="N496" s="16">
        <f t="shared" ca="1" si="19"/>
        <v>101.72333333333334</v>
      </c>
    </row>
    <row r="497" spans="1:14" ht="24.75" customHeight="1" x14ac:dyDescent="0.8">
      <c r="A497" s="18" t="s">
        <v>460</v>
      </c>
      <c r="B497" s="10">
        <f ca="1">IFERROR(__xludf.DUMMYFUNCTION("GOOGLEFINANCE(A497,""PRICE"")"),6120)</f>
        <v>6120</v>
      </c>
      <c r="C497" s="11">
        <f ca="1">IFERROR(__xludf.DUMMYFUNCTION("GOOGLEFINANCE(A497,""PRICEOPEN"")"),6106)</f>
        <v>6106</v>
      </c>
      <c r="D497" s="11">
        <f ca="1">IFERROR(__xludf.DUMMYFUNCTION("GOOGLEFINANCE(A497,""HIGH"")"),6170)</f>
        <v>6170</v>
      </c>
      <c r="E497" s="11">
        <f ca="1">IFERROR(__xludf.DUMMYFUNCTION("GOOGLEFINANCE(A497,""LOW"")"),6066)</f>
        <v>6066</v>
      </c>
      <c r="F497" s="12" t="str">
        <f t="shared" ca="1" si="14"/>
        <v/>
      </c>
      <c r="G497" s="13">
        <f ca="1">IFERROR(__xludf.DUMMYFUNCTION("GOOGLEFINANCE(A497,""CLOSEYEST"")"),6106)</f>
        <v>6106</v>
      </c>
      <c r="H497" s="14" t="str">
        <f t="shared" ca="1" si="20"/>
        <v/>
      </c>
      <c r="I497" s="15">
        <f t="shared" ca="1" si="15"/>
        <v>6114</v>
      </c>
      <c r="J497" s="16">
        <f t="shared" ca="1" si="16"/>
        <v>6162</v>
      </c>
      <c r="K497" s="16"/>
      <c r="L497" s="16">
        <f t="shared" ca="1" si="17"/>
        <v>6058</v>
      </c>
      <c r="M497" s="16">
        <f t="shared" ca="1" si="18"/>
        <v>6218</v>
      </c>
      <c r="N497" s="16">
        <f t="shared" ca="1" si="19"/>
        <v>6010</v>
      </c>
    </row>
    <row r="498" spans="1:14" ht="24.75" customHeight="1" x14ac:dyDescent="0.8">
      <c r="A498" s="18" t="s">
        <v>461</v>
      </c>
      <c r="B498" s="10">
        <f ca="1">IFERROR(__xludf.DUMMYFUNCTION("GOOGLEFINANCE(A498,""PRICE"")"),2031)</f>
        <v>2031</v>
      </c>
      <c r="C498" s="11">
        <f ca="1">IFERROR(__xludf.DUMMYFUNCTION("GOOGLEFINANCE(A498,""PRICEOPEN"")"),2060)</f>
        <v>2060</v>
      </c>
      <c r="D498" s="11">
        <f ca="1">IFERROR(__xludf.DUMMYFUNCTION("GOOGLEFINANCE(A498,""HIGH"")"),2067)</f>
        <v>2067</v>
      </c>
      <c r="E498" s="11">
        <f ca="1">IFERROR(__xludf.DUMMYFUNCTION("GOOGLEFINANCE(A498,""LOW"")"),1995.1)</f>
        <v>1995.1</v>
      </c>
      <c r="F498" s="12" t="str">
        <f t="shared" ca="1" si="14"/>
        <v/>
      </c>
      <c r="G498" s="13">
        <f ca="1">IFERROR(__xludf.DUMMYFUNCTION("GOOGLEFINANCE(A498,""CLOSEYEST"")"),2058.5)</f>
        <v>2058.5</v>
      </c>
      <c r="H498" s="14" t="str">
        <f t="shared" ca="1" si="20"/>
        <v/>
      </c>
      <c r="I498" s="15">
        <f t="shared" ca="1" si="15"/>
        <v>2040.2</v>
      </c>
      <c r="J498" s="16">
        <f t="shared" ca="1" si="16"/>
        <v>2085.3000000000002</v>
      </c>
      <c r="K498" s="16"/>
      <c r="L498" s="16">
        <f t="shared" ca="1" si="17"/>
        <v>2013.4</v>
      </c>
      <c r="M498" s="16">
        <f t="shared" ca="1" si="18"/>
        <v>2112.1000000000004</v>
      </c>
      <c r="N498" s="16">
        <f t="shared" ca="1" si="19"/>
        <v>1968.3</v>
      </c>
    </row>
    <row r="499" spans="1:14" ht="24.75" customHeight="1" x14ac:dyDescent="0.8">
      <c r="A499" s="18" t="s">
        <v>462</v>
      </c>
      <c r="B499" s="10">
        <f ca="1">IFERROR(__xludf.DUMMYFUNCTION("GOOGLEFINANCE(A499,""PRICE"")"),45.86)</f>
        <v>45.86</v>
      </c>
      <c r="C499" s="11" t="str">
        <f ca="1">IFERROR(__xludf.DUMMYFUNCTION("GOOGLEFINANCE(A499,""PRICEOPEN"")"),"#N/A")</f>
        <v>#N/A</v>
      </c>
      <c r="D499" s="11" t="str">
        <f ca="1">IFERROR(__xludf.DUMMYFUNCTION("GOOGLEFINANCE(A499,""HIGH"")"),"#N/A")</f>
        <v>#N/A</v>
      </c>
      <c r="E499" s="11">
        <f ca="1">IFERROR(__xludf.DUMMYFUNCTION("GOOGLEFINANCE(A499,""LOW"")"),45.68)</f>
        <v>45.68</v>
      </c>
      <c r="F499" s="12" t="str">
        <f t="shared" ca="1" si="14"/>
        <v>SELL</v>
      </c>
      <c r="G499" s="13">
        <f ca="1">IFERROR(__xludf.DUMMYFUNCTION("GOOGLEFINANCE(A499,""CLOSEYEST"")"),45.3)</f>
        <v>45.3</v>
      </c>
      <c r="H499" s="14" t="str">
        <f t="shared" ca="1" si="20"/>
        <v>GAP UP</v>
      </c>
      <c r="I499" s="15" t="e">
        <f t="shared" ca="1" si="15"/>
        <v>#VALUE!</v>
      </c>
      <c r="J499" s="16" t="e">
        <f t="shared" ca="1" si="16"/>
        <v>#VALUE!</v>
      </c>
      <c r="K499" s="16"/>
      <c r="L499" s="16" t="e">
        <f t="shared" ca="1" si="17"/>
        <v>#VALUE!</v>
      </c>
      <c r="M499" s="16" t="e">
        <f t="shared" ca="1" si="18"/>
        <v>#VALUE!</v>
      </c>
      <c r="N499" s="16" t="e">
        <f t="shared" ca="1" si="19"/>
        <v>#VALUE!</v>
      </c>
    </row>
    <row r="500" spans="1:14" ht="24.75" customHeight="1" x14ac:dyDescent="0.8">
      <c r="A500" s="18" t="s">
        <v>463</v>
      </c>
      <c r="B500" s="10">
        <f ca="1">IFERROR(__xludf.DUMMYFUNCTION("GOOGLEFINANCE(A500,""PRICE"")"),0.17)</f>
        <v>0.17</v>
      </c>
      <c r="C500" s="11">
        <f ca="1">IFERROR(__xludf.DUMMYFUNCTION("GOOGLEFINANCE(A500,""PRICEOPEN"")"),0.17)</f>
        <v>0.17</v>
      </c>
      <c r="D500" s="11">
        <f ca="1">IFERROR(__xludf.DUMMYFUNCTION("GOOGLEFINANCE(A500,""HIGH"")"),0.17)</f>
        <v>0.17</v>
      </c>
      <c r="E500" s="11">
        <f ca="1">IFERROR(__xludf.DUMMYFUNCTION("GOOGLEFINANCE(A500,""LOW"")"),0.16)</f>
        <v>0.16</v>
      </c>
      <c r="F500" s="12" t="str">
        <f t="shared" ca="1" si="14"/>
        <v>SELL</v>
      </c>
      <c r="G500" s="13">
        <f ca="1">IFERROR(__xludf.DUMMYFUNCTION("GOOGLEFINANCE(A500,""CLOSEYEST"")"),0.17)</f>
        <v>0.17</v>
      </c>
      <c r="H500" s="14" t="str">
        <f t="shared" ca="1" si="20"/>
        <v/>
      </c>
      <c r="I500" s="15">
        <f t="shared" ca="1" si="15"/>
        <v>0.16666666666666666</v>
      </c>
      <c r="J500" s="16">
        <f t="shared" ca="1" si="16"/>
        <v>0.17333333333333331</v>
      </c>
      <c r="K500" s="16"/>
      <c r="L500" s="16">
        <f t="shared" ca="1" si="17"/>
        <v>0.1633333333333333</v>
      </c>
      <c r="M500" s="16">
        <f t="shared" ca="1" si="18"/>
        <v>0.17666666666666667</v>
      </c>
      <c r="N500" s="16">
        <f t="shared" ca="1" si="19"/>
        <v>0.15666666666666665</v>
      </c>
    </row>
    <row r="501" spans="1:14" ht="24.75" customHeight="1" x14ac:dyDescent="0.8">
      <c r="A501" s="18" t="s">
        <v>464</v>
      </c>
      <c r="B501" s="10">
        <f ca="1">IFERROR(__xludf.DUMMYFUNCTION("GOOGLEFINANCE(A501,""PRICE"")"),475.8)</f>
        <v>475.8</v>
      </c>
      <c r="C501" s="11">
        <f ca="1">IFERROR(__xludf.DUMMYFUNCTION("GOOGLEFINANCE(A501,""PRICEOPEN"")"),466.8)</f>
        <v>466.8</v>
      </c>
      <c r="D501" s="11">
        <f ca="1">IFERROR(__xludf.DUMMYFUNCTION("GOOGLEFINANCE(A501,""HIGH"")"),484.8)</f>
        <v>484.8</v>
      </c>
      <c r="E501" s="11">
        <f ca="1">IFERROR(__xludf.DUMMYFUNCTION("GOOGLEFINANCE(A501,""LOW"")"),464.3)</f>
        <v>464.3</v>
      </c>
      <c r="F501" s="12" t="str">
        <f t="shared" ca="1" si="14"/>
        <v/>
      </c>
      <c r="G501" s="13">
        <f ca="1">IFERROR(__xludf.DUMMYFUNCTION("GOOGLEFINANCE(A501,""CLOSEYEST"")"),463.9)</f>
        <v>463.9</v>
      </c>
      <c r="H501" s="14" t="str">
        <f t="shared" ca="1" si="20"/>
        <v/>
      </c>
      <c r="I501" s="15">
        <f t="shared" ca="1" si="15"/>
        <v>471</v>
      </c>
      <c r="J501" s="16">
        <f t="shared" ca="1" si="16"/>
        <v>477.7</v>
      </c>
      <c r="K501" s="16"/>
      <c r="L501" s="16">
        <f t="shared" ca="1" si="17"/>
        <v>457.2</v>
      </c>
      <c r="M501" s="16">
        <f t="shared" ca="1" si="18"/>
        <v>491.5</v>
      </c>
      <c r="N501" s="16">
        <f t="shared" ca="1" si="19"/>
        <v>450.5</v>
      </c>
    </row>
    <row r="502" spans="1:14" ht="24.75" customHeight="1" x14ac:dyDescent="0.8">
      <c r="A502" s="18" t="s">
        <v>465</v>
      </c>
      <c r="B502" s="10">
        <f ca="1">IFERROR(__xludf.DUMMYFUNCTION("GOOGLEFINANCE(A502,""PRICE"")"),348.05)</f>
        <v>348.05</v>
      </c>
      <c r="C502" s="11">
        <f ca="1">IFERROR(__xludf.DUMMYFUNCTION("GOOGLEFINANCE(A502,""PRICEOPEN"")"),352)</f>
        <v>352</v>
      </c>
      <c r="D502" s="11">
        <f ca="1">IFERROR(__xludf.DUMMYFUNCTION("GOOGLEFINANCE(A502,""HIGH"")"),354.95)</f>
        <v>354.95</v>
      </c>
      <c r="E502" s="11">
        <f ca="1">IFERROR(__xludf.DUMMYFUNCTION("GOOGLEFINANCE(A502,""LOW"")"),344.15)</f>
        <v>344.15</v>
      </c>
      <c r="F502" s="12" t="str">
        <f t="shared" ca="1" si="14"/>
        <v/>
      </c>
      <c r="G502" s="13">
        <f ca="1">IFERROR(__xludf.DUMMYFUNCTION("GOOGLEFINANCE(A502,""CLOSEYEST"")"),343.7)</f>
        <v>343.7</v>
      </c>
      <c r="H502" s="14" t="str">
        <f t="shared" ca="1" si="20"/>
        <v>GAP UP</v>
      </c>
      <c r="I502" s="15">
        <f t="shared" ca="1" si="15"/>
        <v>347.59999999999997</v>
      </c>
      <c r="J502" s="16">
        <f t="shared" ca="1" si="16"/>
        <v>351.04999999999995</v>
      </c>
      <c r="K502" s="16"/>
      <c r="L502" s="16">
        <f t="shared" ca="1" si="17"/>
        <v>340.24999999999994</v>
      </c>
      <c r="M502" s="16">
        <f t="shared" ca="1" si="18"/>
        <v>358.4</v>
      </c>
      <c r="N502" s="16">
        <f t="shared" ca="1" si="19"/>
        <v>336.79999999999995</v>
      </c>
    </row>
    <row r="503" spans="1:14" ht="24.75" customHeight="1" x14ac:dyDescent="0.8">
      <c r="A503" s="18" t="s">
        <v>466</v>
      </c>
      <c r="B503" s="10">
        <f ca="1">IFERROR(__xludf.DUMMYFUNCTION("GOOGLEFINANCE(A503,""PRICE"")"),15.48)</f>
        <v>15.48</v>
      </c>
      <c r="C503" s="11">
        <f ca="1">IFERROR(__xludf.DUMMYFUNCTION("GOOGLEFINANCE(A503,""PRICEOPEN"")"),15.48)</f>
        <v>15.48</v>
      </c>
      <c r="D503" s="11">
        <f ca="1">IFERROR(__xludf.DUMMYFUNCTION("GOOGLEFINANCE(A503,""HIGH"")"),15.53)</f>
        <v>15.53</v>
      </c>
      <c r="E503" s="11">
        <f ca="1">IFERROR(__xludf.DUMMYFUNCTION("GOOGLEFINANCE(A503,""LOW"")"),15.48)</f>
        <v>15.48</v>
      </c>
      <c r="F503" s="12" t="str">
        <f t="shared" ca="1" si="14"/>
        <v>BUY</v>
      </c>
      <c r="G503" s="13">
        <f ca="1">IFERROR(__xludf.DUMMYFUNCTION("GOOGLEFINANCE(A503,""CLOSEYEST"")"),15.49)</f>
        <v>15.49</v>
      </c>
      <c r="H503" s="14" t="str">
        <f t="shared" ca="1" si="20"/>
        <v/>
      </c>
      <c r="I503" s="15">
        <f t="shared" ca="1" si="15"/>
        <v>15.5</v>
      </c>
      <c r="J503" s="16">
        <f t="shared" ca="1" si="16"/>
        <v>15.52</v>
      </c>
      <c r="K503" s="16"/>
      <c r="L503" s="16">
        <f t="shared" ca="1" si="17"/>
        <v>15.47</v>
      </c>
      <c r="M503" s="16">
        <f t="shared" ca="1" si="18"/>
        <v>15.549999999999999</v>
      </c>
      <c r="N503" s="16">
        <f t="shared" ca="1" si="19"/>
        <v>15.450000000000001</v>
      </c>
    </row>
    <row r="504" spans="1:14" ht="24.75" customHeight="1" x14ac:dyDescent="0.8">
      <c r="A504" s="18" t="s">
        <v>467</v>
      </c>
      <c r="B504" s="10">
        <f ca="1">IFERROR(__xludf.DUMMYFUNCTION("GOOGLEFINANCE(A504,""PRICE"")"),3406)</f>
        <v>3406</v>
      </c>
      <c r="C504" s="11">
        <f ca="1">IFERROR(__xludf.DUMMYFUNCTION("GOOGLEFINANCE(A504,""PRICEOPEN"")"),3385)</f>
        <v>3385</v>
      </c>
      <c r="D504" s="11">
        <f ca="1">IFERROR(__xludf.DUMMYFUNCTION("GOOGLEFINANCE(A504,""HIGH"")"),3442.5)</f>
        <v>3442.5</v>
      </c>
      <c r="E504" s="11">
        <f ca="1">IFERROR(__xludf.DUMMYFUNCTION("GOOGLEFINANCE(A504,""LOW"")"),3342.7)</f>
        <v>3342.7</v>
      </c>
      <c r="F504" s="12" t="str">
        <f t="shared" ca="1" si="14"/>
        <v/>
      </c>
      <c r="G504" s="13">
        <f ca="1">IFERROR(__xludf.DUMMYFUNCTION("GOOGLEFINANCE(A504,""CLOSEYEST"")"),3376.5)</f>
        <v>3376.5</v>
      </c>
      <c r="H504" s="14" t="str">
        <f t="shared" ca="1" si="20"/>
        <v/>
      </c>
      <c r="I504" s="15">
        <f t="shared" ca="1" si="15"/>
        <v>3387.2333333333336</v>
      </c>
      <c r="J504" s="16">
        <f t="shared" ca="1" si="16"/>
        <v>3431.7666666666673</v>
      </c>
      <c r="K504" s="16"/>
      <c r="L504" s="16">
        <f t="shared" ca="1" si="17"/>
        <v>3331.9666666666672</v>
      </c>
      <c r="M504" s="16">
        <f t="shared" ca="1" si="18"/>
        <v>3487.0333333333338</v>
      </c>
      <c r="N504" s="16">
        <f t="shared" ca="1" si="19"/>
        <v>3287.4333333333334</v>
      </c>
    </row>
    <row r="505" spans="1:14" ht="24.75" customHeight="1" x14ac:dyDescent="0.8">
      <c r="A505" s="18" t="s">
        <v>468</v>
      </c>
      <c r="B505" s="10">
        <f ca="1">IFERROR(__xludf.DUMMYFUNCTION("GOOGLEFINANCE(A505,""PRICE"")"),1039.4)</f>
        <v>1039.4000000000001</v>
      </c>
      <c r="C505" s="11">
        <f ca="1">IFERROR(__xludf.DUMMYFUNCTION("GOOGLEFINANCE(A505,""PRICEOPEN"")"),1036)</f>
        <v>1036</v>
      </c>
      <c r="D505" s="11">
        <f ca="1">IFERROR(__xludf.DUMMYFUNCTION("GOOGLEFINANCE(A505,""HIGH"")"),1061.8)</f>
        <v>1061.8</v>
      </c>
      <c r="E505" s="11">
        <f ca="1">IFERROR(__xludf.DUMMYFUNCTION("GOOGLEFINANCE(A505,""LOW"")"),1026.8)</f>
        <v>1026.8</v>
      </c>
      <c r="F505" s="12" t="str">
        <f t="shared" ca="1" si="14"/>
        <v/>
      </c>
      <c r="G505" s="13">
        <f ca="1">IFERROR(__xludf.DUMMYFUNCTION("GOOGLEFINANCE(A505,""CLOSEYEST"")"),1028.1)</f>
        <v>1028.0999999999999</v>
      </c>
      <c r="H505" s="14" t="str">
        <f t="shared" ca="1" si="20"/>
        <v/>
      </c>
      <c r="I505" s="15">
        <f t="shared" ca="1" si="15"/>
        <v>1038.8999999999999</v>
      </c>
      <c r="J505" s="16">
        <f t="shared" ca="1" si="16"/>
        <v>1050.9999999999998</v>
      </c>
      <c r="K505" s="16"/>
      <c r="L505" s="16">
        <f t="shared" ca="1" si="17"/>
        <v>1015.9999999999998</v>
      </c>
      <c r="M505" s="16">
        <f t="shared" ca="1" si="18"/>
        <v>1073.8999999999999</v>
      </c>
      <c r="N505" s="16">
        <f t="shared" ca="1" si="19"/>
        <v>1003.8999999999999</v>
      </c>
    </row>
    <row r="506" spans="1:14" ht="24.75" customHeight="1" x14ac:dyDescent="0.8">
      <c r="A506" s="18" t="s">
        <v>469</v>
      </c>
      <c r="B506" s="10">
        <f ca="1">IFERROR(__xludf.DUMMYFUNCTION("GOOGLEFINANCE(A506,""PRICE"")"),351.4)</f>
        <v>351.4</v>
      </c>
      <c r="C506" s="11">
        <f ca="1">IFERROR(__xludf.DUMMYFUNCTION("GOOGLEFINANCE(A506,""PRICEOPEN"")"),339.3)</f>
        <v>339.3</v>
      </c>
      <c r="D506" s="11">
        <f ca="1">IFERROR(__xludf.DUMMYFUNCTION("GOOGLEFINANCE(A506,""HIGH"")"),351.7)</f>
        <v>351.7</v>
      </c>
      <c r="E506" s="11">
        <f ca="1">IFERROR(__xludf.DUMMYFUNCTION("GOOGLEFINANCE(A506,""LOW"")"),337.7)</f>
        <v>337.7</v>
      </c>
      <c r="F506" s="12" t="str">
        <f t="shared" ca="1" si="14"/>
        <v/>
      </c>
      <c r="G506" s="13">
        <f ca="1">IFERROR(__xludf.DUMMYFUNCTION("GOOGLEFINANCE(A506,""CLOSEYEST"")"),339.25)</f>
        <v>339.25</v>
      </c>
      <c r="H506" s="14" t="str">
        <f t="shared" ca="1" si="20"/>
        <v/>
      </c>
      <c r="I506" s="15">
        <f t="shared" ca="1" si="15"/>
        <v>342.88333333333338</v>
      </c>
      <c r="J506" s="16">
        <f t="shared" ca="1" si="16"/>
        <v>348.06666666666678</v>
      </c>
      <c r="K506" s="16"/>
      <c r="L506" s="16">
        <f t="shared" ca="1" si="17"/>
        <v>334.06666666666678</v>
      </c>
      <c r="M506" s="16">
        <f t="shared" ca="1" si="18"/>
        <v>356.88333333333338</v>
      </c>
      <c r="N506" s="16">
        <f t="shared" ca="1" si="19"/>
        <v>328.88333333333338</v>
      </c>
    </row>
    <row r="507" spans="1:14" ht="24.75" customHeight="1" x14ac:dyDescent="0.8">
      <c r="A507" s="18" t="s">
        <v>470</v>
      </c>
      <c r="B507" s="10">
        <f ca="1">IFERROR(__xludf.DUMMYFUNCTION("GOOGLEFINANCE(A507,""PRICE"")"),1052)</f>
        <v>1052</v>
      </c>
      <c r="C507" s="11">
        <f ca="1">IFERROR(__xludf.DUMMYFUNCTION("GOOGLEFINANCE(A507,""PRICEOPEN"")"),1053.5)</f>
        <v>1053.5</v>
      </c>
      <c r="D507" s="11">
        <f ca="1">IFERROR(__xludf.DUMMYFUNCTION("GOOGLEFINANCE(A507,""HIGH"")"),1059.1)</f>
        <v>1059.0999999999999</v>
      </c>
      <c r="E507" s="11">
        <f ca="1">IFERROR(__xludf.DUMMYFUNCTION("GOOGLEFINANCE(A507,""LOW"")"),1040)</f>
        <v>1040</v>
      </c>
      <c r="F507" s="12" t="str">
        <f t="shared" ca="1" si="14"/>
        <v/>
      </c>
      <c r="G507" s="13">
        <f ca="1">IFERROR(__xludf.DUMMYFUNCTION("GOOGLEFINANCE(A507,""CLOSEYEST"")"),1053.7)</f>
        <v>1053.7</v>
      </c>
      <c r="H507" s="14" t="str">
        <f t="shared" ca="1" si="20"/>
        <v/>
      </c>
      <c r="I507" s="15">
        <f t="shared" ca="1" si="15"/>
        <v>1050.9333333333334</v>
      </c>
      <c r="J507" s="16">
        <f t="shared" ca="1" si="16"/>
        <v>1061.8666666666668</v>
      </c>
      <c r="K507" s="16"/>
      <c r="L507" s="16">
        <f t="shared" ca="1" si="17"/>
        <v>1042.7666666666669</v>
      </c>
      <c r="M507" s="16">
        <f t="shared" ca="1" si="18"/>
        <v>1070.0333333333333</v>
      </c>
      <c r="N507" s="16">
        <f t="shared" ca="1" si="19"/>
        <v>1031.8333333333335</v>
      </c>
    </row>
    <row r="508" spans="1:14" ht="24.75" customHeight="1" x14ac:dyDescent="0.8">
      <c r="A508" s="18" t="s">
        <v>471</v>
      </c>
      <c r="B508" s="10">
        <f ca="1">IFERROR(__xludf.DUMMYFUNCTION("GOOGLEFINANCE(A508,""PRICE"")"),1565)</f>
        <v>1565</v>
      </c>
      <c r="C508" s="11">
        <f ca="1">IFERROR(__xludf.DUMMYFUNCTION("GOOGLEFINANCE(A508,""PRICEOPEN"")"),1549.1)</f>
        <v>1549.1</v>
      </c>
      <c r="D508" s="11">
        <f ca="1">IFERROR(__xludf.DUMMYFUNCTION("GOOGLEFINANCE(A508,""HIGH"")"),1581.1)</f>
        <v>1581.1</v>
      </c>
      <c r="E508" s="11">
        <f ca="1">IFERROR(__xludf.DUMMYFUNCTION("GOOGLEFINANCE(A508,""LOW"")"),1531.6)</f>
        <v>1531.6</v>
      </c>
      <c r="F508" s="12" t="str">
        <f t="shared" ca="1" si="14"/>
        <v/>
      </c>
      <c r="G508" s="13">
        <f ca="1">IFERROR(__xludf.DUMMYFUNCTION("GOOGLEFINANCE(A508,""CLOSEYEST"")"),1547.1)</f>
        <v>1547.1</v>
      </c>
      <c r="H508" s="14" t="str">
        <f t="shared" ca="1" si="20"/>
        <v/>
      </c>
      <c r="I508" s="15">
        <f t="shared" ca="1" si="15"/>
        <v>1553.2666666666664</v>
      </c>
      <c r="J508" s="16">
        <f t="shared" ca="1" si="16"/>
        <v>1574.9333333333329</v>
      </c>
      <c r="K508" s="16"/>
      <c r="L508" s="16">
        <f t="shared" ca="1" si="17"/>
        <v>1525.4333333333329</v>
      </c>
      <c r="M508" s="16">
        <f t="shared" ca="1" si="18"/>
        <v>1602.7666666666664</v>
      </c>
      <c r="N508" s="16">
        <f t="shared" ca="1" si="19"/>
        <v>1503.7666666666664</v>
      </c>
    </row>
    <row r="509" spans="1:14" ht="24.75" customHeight="1" x14ac:dyDescent="0.8">
      <c r="A509" s="18" t="s">
        <v>472</v>
      </c>
      <c r="B509" s="10">
        <f ca="1">IFERROR(__xludf.DUMMYFUNCTION("GOOGLEFINANCE(A509,""PRICE"")"),524.45)</f>
        <v>524.45000000000005</v>
      </c>
      <c r="C509" s="11">
        <f ca="1">IFERROR(__xludf.DUMMYFUNCTION("GOOGLEFINANCE(A509,""PRICEOPEN"")"),526)</f>
        <v>526</v>
      </c>
      <c r="D509" s="11">
        <f ca="1">IFERROR(__xludf.DUMMYFUNCTION("GOOGLEFINANCE(A509,""HIGH"")"),528.45)</f>
        <v>528.45000000000005</v>
      </c>
      <c r="E509" s="11">
        <f ca="1">IFERROR(__xludf.DUMMYFUNCTION("GOOGLEFINANCE(A509,""LOW"")"),520.1)</f>
        <v>520.1</v>
      </c>
      <c r="F509" s="12" t="str">
        <f t="shared" ca="1" si="14"/>
        <v/>
      </c>
      <c r="G509" s="13">
        <f ca="1">IFERROR(__xludf.DUMMYFUNCTION("GOOGLEFINANCE(A509,""CLOSEYEST"")"),523.6)</f>
        <v>523.6</v>
      </c>
      <c r="H509" s="14" t="str">
        <f t="shared" ca="1" si="20"/>
        <v/>
      </c>
      <c r="I509" s="15">
        <f t="shared" ca="1" si="15"/>
        <v>524.05000000000007</v>
      </c>
      <c r="J509" s="16">
        <f t="shared" ca="1" si="16"/>
        <v>528.00000000000011</v>
      </c>
      <c r="K509" s="16"/>
      <c r="L509" s="16">
        <f t="shared" ca="1" si="17"/>
        <v>519.65000000000009</v>
      </c>
      <c r="M509" s="16">
        <f t="shared" ca="1" si="18"/>
        <v>532.40000000000009</v>
      </c>
      <c r="N509" s="16">
        <f t="shared" ca="1" si="19"/>
        <v>515.70000000000005</v>
      </c>
    </row>
    <row r="510" spans="1:14" ht="24.75" customHeight="1" x14ac:dyDescent="0.8">
      <c r="A510" s="18" t="s">
        <v>473</v>
      </c>
      <c r="B510" s="10">
        <f ca="1">IFERROR(__xludf.DUMMYFUNCTION("GOOGLEFINANCE(A510,""PRICE"")"),28.57)</f>
        <v>28.57</v>
      </c>
      <c r="C510" s="11">
        <f ca="1">IFERROR(__xludf.DUMMYFUNCTION("GOOGLEFINANCE(A510,""PRICEOPEN"")"),29)</f>
        <v>29</v>
      </c>
      <c r="D510" s="11">
        <f ca="1">IFERROR(__xludf.DUMMYFUNCTION("GOOGLEFINANCE(A510,""HIGH"")"),29.24)</f>
        <v>29.24</v>
      </c>
      <c r="E510" s="11">
        <f ca="1">IFERROR(__xludf.DUMMYFUNCTION("GOOGLEFINANCE(A510,""LOW"")"),28.47)</f>
        <v>28.47</v>
      </c>
      <c r="F510" s="12" t="str">
        <f t="shared" ca="1" si="14"/>
        <v/>
      </c>
      <c r="G510" s="13">
        <f ca="1">IFERROR(__xludf.DUMMYFUNCTION("GOOGLEFINANCE(A510,""CLOSEYEST"")"),28.85)</f>
        <v>28.85</v>
      </c>
      <c r="H510" s="14" t="str">
        <f t="shared" ca="1" si="20"/>
        <v/>
      </c>
      <c r="I510" s="15">
        <f t="shared" ca="1" si="15"/>
        <v>28.853333333333335</v>
      </c>
      <c r="J510" s="16">
        <f t="shared" ca="1" si="16"/>
        <v>29.236666666666672</v>
      </c>
      <c r="K510" s="16"/>
      <c r="L510" s="16">
        <f t="shared" ca="1" si="17"/>
        <v>28.466666666666672</v>
      </c>
      <c r="M510" s="16">
        <f t="shared" ca="1" si="18"/>
        <v>29.623333333333335</v>
      </c>
      <c r="N510" s="16">
        <f t="shared" ca="1" si="19"/>
        <v>28.083333333333336</v>
      </c>
    </row>
    <row r="511" spans="1:14" ht="24.75" customHeight="1" x14ac:dyDescent="0.8">
      <c r="A511" s="18" t="s">
        <v>474</v>
      </c>
      <c r="B511" s="10">
        <f ca="1">IFERROR(__xludf.DUMMYFUNCTION("GOOGLEFINANCE(A511,""PRICE"")"),1179)</f>
        <v>1179</v>
      </c>
      <c r="C511" s="11">
        <f ca="1">IFERROR(__xludf.DUMMYFUNCTION("GOOGLEFINANCE(A511,""PRICEOPEN"")"),1150)</f>
        <v>1150</v>
      </c>
      <c r="D511" s="11">
        <f ca="1">IFERROR(__xludf.DUMMYFUNCTION("GOOGLEFINANCE(A511,""HIGH"")"),1190.9)</f>
        <v>1190.9000000000001</v>
      </c>
      <c r="E511" s="11">
        <f ca="1">IFERROR(__xludf.DUMMYFUNCTION("GOOGLEFINANCE(A511,""LOW"")"),1132.5)</f>
        <v>1132.5</v>
      </c>
      <c r="F511" s="12" t="str">
        <f t="shared" ca="1" si="14"/>
        <v/>
      </c>
      <c r="G511" s="13">
        <f ca="1">IFERROR(__xludf.DUMMYFUNCTION("GOOGLEFINANCE(A511,""CLOSEYEST"")"),1148.8)</f>
        <v>1148.8</v>
      </c>
      <c r="H511" s="14" t="str">
        <f t="shared" ca="1" si="20"/>
        <v/>
      </c>
      <c r="I511" s="15">
        <f t="shared" ca="1" si="15"/>
        <v>1157.3999999999999</v>
      </c>
      <c r="J511" s="16">
        <f t="shared" ca="1" si="16"/>
        <v>1182.2999999999997</v>
      </c>
      <c r="K511" s="16"/>
      <c r="L511" s="16">
        <f t="shared" ca="1" si="17"/>
        <v>1123.8999999999996</v>
      </c>
      <c r="M511" s="16">
        <f t="shared" ca="1" si="18"/>
        <v>1215.8</v>
      </c>
      <c r="N511" s="16">
        <f t="shared" ca="1" si="19"/>
        <v>1098.9999999999998</v>
      </c>
    </row>
    <row r="512" spans="1:14" ht="24.75" customHeight="1" x14ac:dyDescent="0.8">
      <c r="A512" s="18" t="s">
        <v>475</v>
      </c>
      <c r="B512" s="10" t="str">
        <f ca="1">IFERROR(__xludf.DUMMYFUNCTION("GOOGLEFINANCE(A512,""PRICE"")"),"#N/A")</f>
        <v>#N/A</v>
      </c>
      <c r="C512" s="11" t="str">
        <f ca="1">IFERROR(__xludf.DUMMYFUNCTION("GOOGLEFINANCE(A512,""PRICEOPEN"")"),"#N/A")</f>
        <v>#N/A</v>
      </c>
      <c r="D512" s="11" t="str">
        <f ca="1">IFERROR(__xludf.DUMMYFUNCTION("GOOGLEFINANCE(A512,""HIGH"")"),"#N/A")</f>
        <v>#N/A</v>
      </c>
      <c r="E512" s="11" t="str">
        <f ca="1">IFERROR(__xludf.DUMMYFUNCTION("GOOGLEFINANCE(A512,""LOW"")"),"#N/A")</f>
        <v>#N/A</v>
      </c>
      <c r="F512" s="12" t="str">
        <f t="shared" ca="1" si="14"/>
        <v>SELL</v>
      </c>
      <c r="G512" s="13" t="str">
        <f ca="1">IFERROR(__xludf.DUMMYFUNCTION("GOOGLEFINANCE(A512,""CLOSEYEST"")"),"#N/A")</f>
        <v>#N/A</v>
      </c>
      <c r="H512" s="14" t="e">
        <f t="shared" ca="1" si="20"/>
        <v>#VALUE!</v>
      </c>
      <c r="I512" s="15" t="e">
        <f t="shared" ca="1" si="15"/>
        <v>#VALUE!</v>
      </c>
      <c r="J512" s="16" t="e">
        <f t="shared" ca="1" si="16"/>
        <v>#VALUE!</v>
      </c>
      <c r="K512" s="16"/>
      <c r="L512" s="16" t="e">
        <f t="shared" ca="1" si="17"/>
        <v>#VALUE!</v>
      </c>
      <c r="M512" s="16" t="e">
        <f t="shared" ca="1" si="18"/>
        <v>#VALUE!</v>
      </c>
      <c r="N512" s="16" t="e">
        <f t="shared" ca="1" si="19"/>
        <v>#VALUE!</v>
      </c>
    </row>
    <row r="513" spans="1:14" ht="24.75" customHeight="1" x14ac:dyDescent="0.8">
      <c r="A513" s="18" t="s">
        <v>476</v>
      </c>
      <c r="B513" s="10">
        <f ca="1">IFERROR(__xludf.DUMMYFUNCTION("GOOGLEFINANCE(A513,""PRICE"")"),1010.5)</f>
        <v>1010.5</v>
      </c>
      <c r="C513" s="11">
        <f ca="1">IFERROR(__xludf.DUMMYFUNCTION("GOOGLEFINANCE(A513,""PRICEOPEN"")"),1022)</f>
        <v>1022</v>
      </c>
      <c r="D513" s="11">
        <f ca="1">IFERROR(__xludf.DUMMYFUNCTION("GOOGLEFINANCE(A513,""HIGH"")"),1027.45)</f>
        <v>1027.45</v>
      </c>
      <c r="E513" s="11">
        <f ca="1">IFERROR(__xludf.DUMMYFUNCTION("GOOGLEFINANCE(A513,""LOW"")"),1005.1)</f>
        <v>1005.1</v>
      </c>
      <c r="F513" s="12" t="str">
        <f t="shared" ca="1" si="14"/>
        <v/>
      </c>
      <c r="G513" s="13">
        <f ca="1">IFERROR(__xludf.DUMMYFUNCTION("GOOGLEFINANCE(A513,""CLOSEYEST"")"),1003.7)</f>
        <v>1003.7</v>
      </c>
      <c r="H513" s="14" t="str">
        <f t="shared" ca="1" si="20"/>
        <v>GAP UP</v>
      </c>
      <c r="I513" s="15">
        <f t="shared" ca="1" si="15"/>
        <v>1012.0833333333334</v>
      </c>
      <c r="J513" s="16">
        <f t="shared" ca="1" si="16"/>
        <v>1019.0666666666667</v>
      </c>
      <c r="K513" s="16"/>
      <c r="L513" s="16">
        <f t="shared" ca="1" si="17"/>
        <v>996.7166666666667</v>
      </c>
      <c r="M513" s="16">
        <f t="shared" ca="1" si="18"/>
        <v>1034.4333333333334</v>
      </c>
      <c r="N513" s="16">
        <f t="shared" ca="1" si="19"/>
        <v>989.73333333333335</v>
      </c>
    </row>
    <row r="514" spans="1:14" ht="24.75" customHeight="1" x14ac:dyDescent="0.8">
      <c r="A514" s="18" t="s">
        <v>477</v>
      </c>
      <c r="B514" s="10">
        <f ca="1">IFERROR(__xludf.DUMMYFUNCTION("GOOGLEFINANCE(A514,""PRICE"")"),2886)</f>
        <v>2886</v>
      </c>
      <c r="C514" s="11">
        <f ca="1">IFERROR(__xludf.DUMMYFUNCTION("GOOGLEFINANCE(A514,""PRICEOPEN"")"),2841)</f>
        <v>2841</v>
      </c>
      <c r="D514" s="11">
        <f ca="1">IFERROR(__xludf.DUMMYFUNCTION("GOOGLEFINANCE(A514,""HIGH"")"),2890)</f>
        <v>2890</v>
      </c>
      <c r="E514" s="11">
        <f ca="1">IFERROR(__xludf.DUMMYFUNCTION("GOOGLEFINANCE(A514,""LOW"")"),2829.3)</f>
        <v>2829.3</v>
      </c>
      <c r="F514" s="12" t="str">
        <f t="shared" ca="1" si="14"/>
        <v/>
      </c>
      <c r="G514" s="13">
        <f ca="1">IFERROR(__xludf.DUMMYFUNCTION("GOOGLEFINANCE(A514,""CLOSEYEST"")"),2841.6)</f>
        <v>2841.6</v>
      </c>
      <c r="H514" s="14" t="str">
        <f t="shared" ca="1" si="20"/>
        <v/>
      </c>
      <c r="I514" s="15">
        <f t="shared" ca="1" si="15"/>
        <v>2853.6333333333332</v>
      </c>
      <c r="J514" s="16">
        <f t="shared" ca="1" si="16"/>
        <v>2877.9666666666662</v>
      </c>
      <c r="K514" s="16"/>
      <c r="L514" s="16">
        <f t="shared" ca="1" si="17"/>
        <v>2817.2666666666664</v>
      </c>
      <c r="M514" s="16">
        <f t="shared" ca="1" si="18"/>
        <v>2914.333333333333</v>
      </c>
      <c r="N514" s="16">
        <f t="shared" ca="1" si="19"/>
        <v>2792.9333333333334</v>
      </c>
    </row>
    <row r="515" spans="1:14" ht="24.75" customHeight="1" x14ac:dyDescent="0.8">
      <c r="A515" s="18" t="s">
        <v>478</v>
      </c>
      <c r="B515" s="10" t="str">
        <f ca="1">IFERROR(__xludf.DUMMYFUNCTION("GOOGLEFINANCE(A515,""PRICE"")"),"#N/A")</f>
        <v>#N/A</v>
      </c>
      <c r="C515" s="11" t="str">
        <f ca="1">IFERROR(__xludf.DUMMYFUNCTION("GOOGLEFINANCE(A515,""PRICEOPEN"")"),"#N/A")</f>
        <v>#N/A</v>
      </c>
      <c r="D515" s="11" t="str">
        <f ca="1">IFERROR(__xludf.DUMMYFUNCTION("GOOGLEFINANCE(A515,""HIGH"")"),"#N/A")</f>
        <v>#N/A</v>
      </c>
      <c r="E515" s="11" t="str">
        <f ca="1">IFERROR(__xludf.DUMMYFUNCTION("GOOGLEFINANCE(A515,""LOW"")"),"#N/A")</f>
        <v>#N/A</v>
      </c>
      <c r="F515" s="12" t="str">
        <f t="shared" ca="1" si="14"/>
        <v>SELL</v>
      </c>
      <c r="G515" s="13" t="str">
        <f ca="1">IFERROR(__xludf.DUMMYFUNCTION("GOOGLEFINANCE(A515,""CLOSEYEST"")"),"#N/A")</f>
        <v>#N/A</v>
      </c>
      <c r="H515" s="14" t="e">
        <f t="shared" ca="1" si="20"/>
        <v>#VALUE!</v>
      </c>
      <c r="I515" s="15" t="e">
        <f t="shared" ca="1" si="15"/>
        <v>#VALUE!</v>
      </c>
      <c r="J515" s="16" t="e">
        <f t="shared" ca="1" si="16"/>
        <v>#VALUE!</v>
      </c>
      <c r="K515" s="16"/>
      <c r="L515" s="16" t="e">
        <f t="shared" ca="1" si="17"/>
        <v>#VALUE!</v>
      </c>
      <c r="M515" s="16" t="e">
        <f t="shared" ca="1" si="18"/>
        <v>#VALUE!</v>
      </c>
      <c r="N515" s="16" t="e">
        <f t="shared" ca="1" si="19"/>
        <v>#VALUE!</v>
      </c>
    </row>
    <row r="516" spans="1:14" ht="24.75" customHeight="1" x14ac:dyDescent="0.8">
      <c r="A516" s="18" t="s">
        <v>479</v>
      </c>
      <c r="B516" s="10">
        <f ca="1">IFERROR(__xludf.DUMMYFUNCTION("GOOGLEFINANCE(A516,""PRICE"")"),16.75)</f>
        <v>16.75</v>
      </c>
      <c r="C516" s="11">
        <f ca="1">IFERROR(__xludf.DUMMYFUNCTION("GOOGLEFINANCE(A516,""PRICEOPEN"")"),16.45)</f>
        <v>16.45</v>
      </c>
      <c r="D516" s="11">
        <f ca="1">IFERROR(__xludf.DUMMYFUNCTION("GOOGLEFINANCE(A516,""HIGH"")"),16.8)</f>
        <v>16.8</v>
      </c>
      <c r="E516" s="11">
        <f ca="1">IFERROR(__xludf.DUMMYFUNCTION("GOOGLEFINANCE(A516,""LOW"")"),16.44)</f>
        <v>16.440000000000001</v>
      </c>
      <c r="F516" s="12" t="str">
        <f t="shared" ca="1" si="14"/>
        <v/>
      </c>
      <c r="G516" s="13">
        <f ca="1">IFERROR(__xludf.DUMMYFUNCTION("GOOGLEFINANCE(A516,""CLOSEYEST"")"),16.45)</f>
        <v>16.45</v>
      </c>
      <c r="H516" s="14" t="str">
        <f t="shared" ca="1" si="20"/>
        <v/>
      </c>
      <c r="I516" s="15">
        <f t="shared" ca="1" si="15"/>
        <v>16.563333333333333</v>
      </c>
      <c r="J516" s="16">
        <f t="shared" ca="1" si="16"/>
        <v>16.686666666666664</v>
      </c>
      <c r="K516" s="16"/>
      <c r="L516" s="16">
        <f t="shared" ca="1" si="17"/>
        <v>16.326666666666664</v>
      </c>
      <c r="M516" s="16">
        <f t="shared" ca="1" si="18"/>
        <v>16.923333333333332</v>
      </c>
      <c r="N516" s="16">
        <f t="shared" ca="1" si="19"/>
        <v>16.203333333333333</v>
      </c>
    </row>
    <row r="517" spans="1:14" ht="24.75" customHeight="1" x14ac:dyDescent="0.8">
      <c r="A517" s="18" t="s">
        <v>480</v>
      </c>
      <c r="B517" s="10">
        <f ca="1">IFERROR(__xludf.DUMMYFUNCTION("GOOGLEFINANCE(A517,""PRICE"")"),313.2)</f>
        <v>313.2</v>
      </c>
      <c r="C517" s="11">
        <f ca="1">IFERROR(__xludf.DUMMYFUNCTION("GOOGLEFINANCE(A517,""PRICEOPEN"")"),313.1)</f>
        <v>313.10000000000002</v>
      </c>
      <c r="D517" s="11">
        <f ca="1">IFERROR(__xludf.DUMMYFUNCTION("GOOGLEFINANCE(A517,""HIGH"")"),313.75)</f>
        <v>313.75</v>
      </c>
      <c r="E517" s="11">
        <f ca="1">IFERROR(__xludf.DUMMYFUNCTION("GOOGLEFINANCE(A517,""LOW"")"),303)</f>
        <v>303</v>
      </c>
      <c r="F517" s="12" t="str">
        <f t="shared" ca="1" si="14"/>
        <v/>
      </c>
      <c r="G517" s="13">
        <f ca="1">IFERROR(__xludf.DUMMYFUNCTION("GOOGLEFINANCE(A517,""CLOSEYEST"")"),309.2)</f>
        <v>309.2</v>
      </c>
      <c r="H517" s="14" t="str">
        <f t="shared" ca="1" si="20"/>
        <v>GAP UP</v>
      </c>
      <c r="I517" s="15">
        <f t="shared" ca="1" si="15"/>
        <v>308.65000000000003</v>
      </c>
      <c r="J517" s="16">
        <f t="shared" ca="1" si="16"/>
        <v>314.30000000000007</v>
      </c>
      <c r="K517" s="16"/>
      <c r="L517" s="16">
        <f t="shared" ca="1" si="17"/>
        <v>303.55000000000007</v>
      </c>
      <c r="M517" s="16">
        <f t="shared" ca="1" si="18"/>
        <v>319.40000000000003</v>
      </c>
      <c r="N517" s="16">
        <f t="shared" ca="1" si="19"/>
        <v>297.90000000000003</v>
      </c>
    </row>
    <row r="518" spans="1:14" ht="24.75" customHeight="1" x14ac:dyDescent="0.8">
      <c r="A518" s="18" t="s">
        <v>481</v>
      </c>
      <c r="B518" s="10">
        <f ca="1">IFERROR(__xludf.DUMMYFUNCTION("GOOGLEFINANCE(A518,""PRICE"")"),300)</f>
        <v>300</v>
      </c>
      <c r="C518" s="11">
        <f ca="1">IFERROR(__xludf.DUMMYFUNCTION("GOOGLEFINANCE(A518,""PRICEOPEN"")"),293.5)</f>
        <v>293.5</v>
      </c>
      <c r="D518" s="11">
        <f ca="1">IFERROR(__xludf.DUMMYFUNCTION("GOOGLEFINANCE(A518,""HIGH"")"),300.75)</f>
        <v>300.75</v>
      </c>
      <c r="E518" s="11">
        <f ca="1">IFERROR(__xludf.DUMMYFUNCTION("GOOGLEFINANCE(A518,""LOW"")"),283.7)</f>
        <v>283.7</v>
      </c>
      <c r="F518" s="12" t="str">
        <f t="shared" ca="1" si="14"/>
        <v/>
      </c>
      <c r="G518" s="13">
        <f ca="1">IFERROR(__xludf.DUMMYFUNCTION("GOOGLEFINANCE(A518,""CLOSEYEST"")"),297.3)</f>
        <v>297.3</v>
      </c>
      <c r="H518" s="14" t="str">
        <f t="shared" ca="1" si="20"/>
        <v>GAP DOWN</v>
      </c>
      <c r="I518" s="15">
        <f t="shared" ca="1" si="15"/>
        <v>293.91666666666669</v>
      </c>
      <c r="J518" s="16">
        <f t="shared" ca="1" si="16"/>
        <v>304.13333333333338</v>
      </c>
      <c r="K518" s="16"/>
      <c r="L518" s="16">
        <f t="shared" ca="1" si="17"/>
        <v>287.08333333333337</v>
      </c>
      <c r="M518" s="16">
        <f t="shared" ca="1" si="18"/>
        <v>310.9666666666667</v>
      </c>
      <c r="N518" s="16">
        <f t="shared" ca="1" si="19"/>
        <v>276.86666666666667</v>
      </c>
    </row>
    <row r="519" spans="1:14" ht="24.75" customHeight="1" x14ac:dyDescent="0.8">
      <c r="A519" s="18" t="s">
        <v>482</v>
      </c>
      <c r="B519" s="10">
        <f ca="1">IFERROR(__xludf.DUMMYFUNCTION("GOOGLEFINANCE(A519,""PRICE"")"),201.85)</f>
        <v>201.85</v>
      </c>
      <c r="C519" s="11">
        <f ca="1">IFERROR(__xludf.DUMMYFUNCTION("GOOGLEFINANCE(A519,""PRICEOPEN"")"),204)</f>
        <v>204</v>
      </c>
      <c r="D519" s="11">
        <f ca="1">IFERROR(__xludf.DUMMYFUNCTION("GOOGLEFINANCE(A519,""HIGH"")"),204.3)</f>
        <v>204.3</v>
      </c>
      <c r="E519" s="11">
        <f ca="1">IFERROR(__xludf.DUMMYFUNCTION("GOOGLEFINANCE(A519,""LOW"")"),199.02)</f>
        <v>199.02</v>
      </c>
      <c r="F519" s="12" t="str">
        <f t="shared" ca="1" si="14"/>
        <v/>
      </c>
      <c r="G519" s="13">
        <f ca="1">IFERROR(__xludf.DUMMYFUNCTION("GOOGLEFINANCE(A519,""CLOSEYEST"")"),203.22)</f>
        <v>203.22</v>
      </c>
      <c r="H519" s="14" t="str">
        <f t="shared" ca="1" si="20"/>
        <v/>
      </c>
      <c r="I519" s="15">
        <f t="shared" ca="1" si="15"/>
        <v>202.18000000000004</v>
      </c>
      <c r="J519" s="16">
        <f t="shared" ca="1" si="16"/>
        <v>205.34000000000006</v>
      </c>
      <c r="K519" s="16"/>
      <c r="L519" s="16">
        <f t="shared" ca="1" si="17"/>
        <v>200.06000000000006</v>
      </c>
      <c r="M519" s="16">
        <f t="shared" ca="1" si="18"/>
        <v>207.46000000000004</v>
      </c>
      <c r="N519" s="16">
        <f t="shared" ca="1" si="19"/>
        <v>196.90000000000003</v>
      </c>
    </row>
    <row r="520" spans="1:14" ht="24.75" customHeight="1" x14ac:dyDescent="0.8">
      <c r="A520" s="18" t="s">
        <v>483</v>
      </c>
      <c r="B520" s="10">
        <f ca="1">IFERROR(__xludf.DUMMYFUNCTION("GOOGLEFINANCE(A520,""PRICE"")"),236.4)</f>
        <v>236.4</v>
      </c>
      <c r="C520" s="11">
        <f ca="1">IFERROR(__xludf.DUMMYFUNCTION("GOOGLEFINANCE(A520,""PRICEOPEN"")"),236.98)</f>
        <v>236.98</v>
      </c>
      <c r="D520" s="11">
        <f ca="1">IFERROR(__xludf.DUMMYFUNCTION("GOOGLEFINANCE(A520,""HIGH"")"),237.8)</f>
        <v>237.8</v>
      </c>
      <c r="E520" s="11">
        <f ca="1">IFERROR(__xludf.DUMMYFUNCTION("GOOGLEFINANCE(A520,""LOW"")"),231.4)</f>
        <v>231.4</v>
      </c>
      <c r="F520" s="12" t="str">
        <f t="shared" ca="1" si="14"/>
        <v/>
      </c>
      <c r="G520" s="13">
        <f ca="1">IFERROR(__xludf.DUMMYFUNCTION("GOOGLEFINANCE(A520,""CLOSEYEST"")"),234.12)</f>
        <v>234.12</v>
      </c>
      <c r="H520" s="14" t="str">
        <f t="shared" ca="1" si="20"/>
        <v>GAP UP</v>
      </c>
      <c r="I520" s="15">
        <f t="shared" ca="1" si="15"/>
        <v>234.44000000000003</v>
      </c>
      <c r="J520" s="16">
        <f t="shared" ca="1" si="16"/>
        <v>237.48000000000005</v>
      </c>
      <c r="K520" s="16"/>
      <c r="L520" s="16">
        <f t="shared" ca="1" si="17"/>
        <v>231.08000000000004</v>
      </c>
      <c r="M520" s="16">
        <f t="shared" ca="1" si="18"/>
        <v>240.84000000000003</v>
      </c>
      <c r="N520" s="16">
        <f t="shared" ca="1" si="19"/>
        <v>228.04000000000002</v>
      </c>
    </row>
    <row r="521" spans="1:14" ht="24.75" customHeight="1" x14ac:dyDescent="0.8">
      <c r="A521" s="18" t="s">
        <v>484</v>
      </c>
      <c r="B521" s="10">
        <f ca="1">IFERROR(__xludf.DUMMYFUNCTION("GOOGLEFINANCE(A521,""PRICE"")"),36)</f>
        <v>36</v>
      </c>
      <c r="C521" s="11">
        <f ca="1">IFERROR(__xludf.DUMMYFUNCTION("GOOGLEFINANCE(A521,""PRICEOPEN"")"),35.69)</f>
        <v>35.69</v>
      </c>
      <c r="D521" s="11">
        <f ca="1">IFERROR(__xludf.DUMMYFUNCTION("GOOGLEFINANCE(A521,""HIGH"")"),36.5)</f>
        <v>36.5</v>
      </c>
      <c r="E521" s="11">
        <f ca="1">IFERROR(__xludf.DUMMYFUNCTION("GOOGLEFINANCE(A521,""LOW"")"),35.52)</f>
        <v>35.520000000000003</v>
      </c>
      <c r="F521" s="12" t="str">
        <f t="shared" ca="1" si="14"/>
        <v/>
      </c>
      <c r="G521" s="13">
        <f ca="1">IFERROR(__xludf.DUMMYFUNCTION("GOOGLEFINANCE(A521,""CLOSEYEST"")"),35.69)</f>
        <v>35.69</v>
      </c>
      <c r="H521" s="14" t="str">
        <f t="shared" ca="1" si="20"/>
        <v/>
      </c>
      <c r="I521" s="15">
        <f t="shared" ca="1" si="15"/>
        <v>35.903333333333336</v>
      </c>
      <c r="J521" s="16">
        <f t="shared" ca="1" si="16"/>
        <v>36.286666666666669</v>
      </c>
      <c r="K521" s="16"/>
      <c r="L521" s="16">
        <f t="shared" ca="1" si="17"/>
        <v>35.306666666666672</v>
      </c>
      <c r="M521" s="16">
        <f t="shared" ca="1" si="18"/>
        <v>36.883333333333333</v>
      </c>
      <c r="N521" s="16">
        <f t="shared" ca="1" si="19"/>
        <v>34.923333333333339</v>
      </c>
    </row>
    <row r="522" spans="1:14" ht="24.75" customHeight="1" x14ac:dyDescent="0.8">
      <c r="A522" s="18" t="s">
        <v>485</v>
      </c>
      <c r="B522" s="10">
        <f ca="1">IFERROR(__xludf.DUMMYFUNCTION("GOOGLEFINANCE(A522,""PRICE"")"),1729.1)</f>
        <v>1729.1</v>
      </c>
      <c r="C522" s="11">
        <f ca="1">IFERROR(__xludf.DUMMYFUNCTION("GOOGLEFINANCE(A522,""PRICEOPEN"")"),1748.9)</f>
        <v>1748.9</v>
      </c>
      <c r="D522" s="11">
        <f ca="1">IFERROR(__xludf.DUMMYFUNCTION("GOOGLEFINANCE(A522,""HIGH"")"),1748.9)</f>
        <v>1748.9</v>
      </c>
      <c r="E522" s="11">
        <f ca="1">IFERROR(__xludf.DUMMYFUNCTION("GOOGLEFINANCE(A522,""LOW"")"),1727.8)</f>
        <v>1727.8</v>
      </c>
      <c r="F522" s="12" t="str">
        <f t="shared" ca="1" si="14"/>
        <v>SELL</v>
      </c>
      <c r="G522" s="13">
        <f ca="1">IFERROR(__xludf.DUMMYFUNCTION("GOOGLEFINANCE(A522,""CLOSEYEST"")"),1740.7)</f>
        <v>1740.7</v>
      </c>
      <c r="H522" s="14" t="str">
        <f t="shared" ca="1" si="20"/>
        <v/>
      </c>
      <c r="I522" s="15">
        <f t="shared" ca="1" si="15"/>
        <v>1739.1333333333332</v>
      </c>
      <c r="J522" s="16">
        <f t="shared" ca="1" si="16"/>
        <v>1750.4666666666665</v>
      </c>
      <c r="K522" s="16"/>
      <c r="L522" s="16">
        <f t="shared" ca="1" si="17"/>
        <v>1729.3666666666663</v>
      </c>
      <c r="M522" s="16">
        <f t="shared" ca="1" si="18"/>
        <v>1760.2333333333333</v>
      </c>
      <c r="N522" s="16">
        <f t="shared" ca="1" si="19"/>
        <v>1718.0333333333331</v>
      </c>
    </row>
    <row r="523" spans="1:14" ht="24.75" customHeight="1" x14ac:dyDescent="0.8">
      <c r="A523" s="18" t="s">
        <v>486</v>
      </c>
      <c r="B523" s="10">
        <f ca="1">IFERROR(__xludf.DUMMYFUNCTION("GOOGLEFINANCE(A523,""PRICE"")"),592.5)</f>
        <v>592.5</v>
      </c>
      <c r="C523" s="11">
        <f ca="1">IFERROR(__xludf.DUMMYFUNCTION("GOOGLEFINANCE(A523,""PRICEOPEN"")"),585.1)</f>
        <v>585.1</v>
      </c>
      <c r="D523" s="11">
        <f ca="1">IFERROR(__xludf.DUMMYFUNCTION("GOOGLEFINANCE(A523,""HIGH"")"),593)</f>
        <v>593</v>
      </c>
      <c r="E523" s="11">
        <f ca="1">IFERROR(__xludf.DUMMYFUNCTION("GOOGLEFINANCE(A523,""LOW"")"),583.65)</f>
        <v>583.65</v>
      </c>
      <c r="F523" s="12" t="str">
        <f t="shared" ca="1" si="14"/>
        <v/>
      </c>
      <c r="G523" s="13">
        <f ca="1">IFERROR(__xludf.DUMMYFUNCTION("GOOGLEFINANCE(A523,""CLOSEYEST"")"),582.35)</f>
        <v>582.35</v>
      </c>
      <c r="H523" s="14" t="str">
        <f t="shared" ca="1" si="20"/>
        <v/>
      </c>
      <c r="I523" s="15">
        <f t="shared" ca="1" si="15"/>
        <v>586.33333333333337</v>
      </c>
      <c r="J523" s="16">
        <f t="shared" ca="1" si="16"/>
        <v>589.01666666666677</v>
      </c>
      <c r="K523" s="16"/>
      <c r="L523" s="16">
        <f t="shared" ca="1" si="17"/>
        <v>579.66666666666674</v>
      </c>
      <c r="M523" s="16">
        <f t="shared" ca="1" si="18"/>
        <v>595.68333333333339</v>
      </c>
      <c r="N523" s="16">
        <f t="shared" ca="1" si="19"/>
        <v>576.98333333333335</v>
      </c>
    </row>
    <row r="524" spans="1:14" ht="24.75" customHeight="1" x14ac:dyDescent="0.8">
      <c r="A524" s="18" t="s">
        <v>487</v>
      </c>
      <c r="B524" s="10">
        <f ca="1">IFERROR(__xludf.DUMMYFUNCTION("GOOGLEFINANCE(A524,""PRICE"")"),10065)</f>
        <v>10065</v>
      </c>
      <c r="C524" s="11">
        <f ca="1">IFERROR(__xludf.DUMMYFUNCTION("GOOGLEFINANCE(A524,""PRICEOPEN"")"),10145)</f>
        <v>10145</v>
      </c>
      <c r="D524" s="11">
        <f ca="1">IFERROR(__xludf.DUMMYFUNCTION("GOOGLEFINANCE(A524,""HIGH"")"),10225)</f>
        <v>10225</v>
      </c>
      <c r="E524" s="11">
        <f ca="1">IFERROR(__xludf.DUMMYFUNCTION("GOOGLEFINANCE(A524,""LOW"")"),9976)</f>
        <v>9976</v>
      </c>
      <c r="F524" s="12" t="str">
        <f t="shared" ca="1" si="14"/>
        <v/>
      </c>
      <c r="G524" s="13">
        <f ca="1">IFERROR(__xludf.DUMMYFUNCTION("GOOGLEFINANCE(A524,""CLOSEYEST"")"),9995)</f>
        <v>9995</v>
      </c>
      <c r="H524" s="14" t="str">
        <f t="shared" ca="1" si="20"/>
        <v>GAP UP</v>
      </c>
      <c r="I524" s="15">
        <f t="shared" ca="1" si="15"/>
        <v>10065.333333333334</v>
      </c>
      <c r="J524" s="16">
        <f t="shared" ca="1" si="16"/>
        <v>10154.666666666668</v>
      </c>
      <c r="K524" s="16"/>
      <c r="L524" s="16">
        <f t="shared" ca="1" si="17"/>
        <v>9905.6666666666679</v>
      </c>
      <c r="M524" s="16">
        <f t="shared" ca="1" si="18"/>
        <v>10314.333333333334</v>
      </c>
      <c r="N524" s="16">
        <f t="shared" ca="1" si="19"/>
        <v>9816.3333333333339</v>
      </c>
    </row>
    <row r="525" spans="1:14" ht="24.75" customHeight="1" x14ac:dyDescent="0.8">
      <c r="A525" s="18" t="s">
        <v>488</v>
      </c>
      <c r="B525" s="10">
        <f ca="1">IFERROR(__xludf.DUMMYFUNCTION("GOOGLEFINANCE(A525,""PRICE"")"),271.5)</f>
        <v>271.5</v>
      </c>
      <c r="C525" s="11">
        <f ca="1">IFERROR(__xludf.DUMMYFUNCTION("GOOGLEFINANCE(A525,""PRICEOPEN"")"),272)</f>
        <v>272</v>
      </c>
      <c r="D525" s="11">
        <f ca="1">IFERROR(__xludf.DUMMYFUNCTION("GOOGLEFINANCE(A525,""HIGH"")"),274.6)</f>
        <v>274.60000000000002</v>
      </c>
      <c r="E525" s="11">
        <f ca="1">IFERROR(__xludf.DUMMYFUNCTION("GOOGLEFINANCE(A525,""LOW"")"),267.65)</f>
        <v>267.64999999999998</v>
      </c>
      <c r="F525" s="12" t="str">
        <f t="shared" ca="1" si="14"/>
        <v/>
      </c>
      <c r="G525" s="13">
        <f ca="1">IFERROR(__xludf.DUMMYFUNCTION("GOOGLEFINANCE(A525,""CLOSEYEST"")"),269.65)</f>
        <v>269.64999999999998</v>
      </c>
      <c r="H525" s="14" t="str">
        <f t="shared" ca="1" si="20"/>
        <v/>
      </c>
      <c r="I525" s="15">
        <f t="shared" ca="1" si="15"/>
        <v>270.63333333333333</v>
      </c>
      <c r="J525" s="16">
        <f t="shared" ca="1" si="16"/>
        <v>273.61666666666667</v>
      </c>
      <c r="K525" s="16"/>
      <c r="L525" s="16">
        <f t="shared" ca="1" si="17"/>
        <v>266.66666666666663</v>
      </c>
      <c r="M525" s="16">
        <f t="shared" ca="1" si="18"/>
        <v>277.58333333333337</v>
      </c>
      <c r="N525" s="16">
        <f t="shared" ca="1" si="19"/>
        <v>263.68333333333328</v>
      </c>
    </row>
    <row r="526" spans="1:14" ht="24.75" customHeight="1" x14ac:dyDescent="0.8">
      <c r="A526" s="18" t="s">
        <v>489</v>
      </c>
      <c r="B526" s="10">
        <f ca="1">IFERROR(__xludf.DUMMYFUNCTION("GOOGLEFINANCE(A526,""PRICE"")"),314)</f>
        <v>314</v>
      </c>
      <c r="C526" s="11">
        <f ca="1">IFERROR(__xludf.DUMMYFUNCTION("GOOGLEFINANCE(A526,""PRICEOPEN"")"),318.05)</f>
        <v>318.05</v>
      </c>
      <c r="D526" s="11">
        <f ca="1">IFERROR(__xludf.DUMMYFUNCTION("GOOGLEFINANCE(A526,""HIGH"")"),323.7)</f>
        <v>323.7</v>
      </c>
      <c r="E526" s="11">
        <f ca="1">IFERROR(__xludf.DUMMYFUNCTION("GOOGLEFINANCE(A526,""LOW"")"),312)</f>
        <v>312</v>
      </c>
      <c r="F526" s="12" t="str">
        <f t="shared" ca="1" si="14"/>
        <v/>
      </c>
      <c r="G526" s="13">
        <f ca="1">IFERROR(__xludf.DUMMYFUNCTION("GOOGLEFINANCE(A526,""CLOSEYEST"")"),318.1)</f>
        <v>318.10000000000002</v>
      </c>
      <c r="H526" s="14" t="str">
        <f t="shared" ca="1" si="20"/>
        <v/>
      </c>
      <c r="I526" s="15">
        <f t="shared" ca="1" si="15"/>
        <v>317.93333333333334</v>
      </c>
      <c r="J526" s="16">
        <f t="shared" ca="1" si="16"/>
        <v>323.86666666666667</v>
      </c>
      <c r="K526" s="16"/>
      <c r="L526" s="16">
        <f t="shared" ca="1" si="17"/>
        <v>312.16666666666669</v>
      </c>
      <c r="M526" s="16">
        <f t="shared" ca="1" si="18"/>
        <v>329.63333333333333</v>
      </c>
      <c r="N526" s="16">
        <f t="shared" ca="1" si="19"/>
        <v>306.23333333333335</v>
      </c>
    </row>
    <row r="527" spans="1:14" ht="24.75" customHeight="1" x14ac:dyDescent="0.8">
      <c r="A527" s="18" t="s">
        <v>490</v>
      </c>
      <c r="B527" s="10">
        <f ca="1">IFERROR(__xludf.DUMMYFUNCTION("GOOGLEFINANCE(A527,""PRICE"")"),4979)</f>
        <v>4979</v>
      </c>
      <c r="C527" s="11">
        <f ca="1">IFERROR(__xludf.DUMMYFUNCTION("GOOGLEFINANCE(A527,""PRICEOPEN"")"),4964)</f>
        <v>4964</v>
      </c>
      <c r="D527" s="11">
        <f ca="1">IFERROR(__xludf.DUMMYFUNCTION("GOOGLEFINANCE(A527,""HIGH"")"),4987.5)</f>
        <v>4987.5</v>
      </c>
      <c r="E527" s="11">
        <f ca="1">IFERROR(__xludf.DUMMYFUNCTION("GOOGLEFINANCE(A527,""LOW"")"),4926)</f>
        <v>4926</v>
      </c>
      <c r="F527" s="12" t="str">
        <f t="shared" ca="1" si="14"/>
        <v/>
      </c>
      <c r="G527" s="13">
        <f ca="1">IFERROR(__xludf.DUMMYFUNCTION("GOOGLEFINANCE(A527,""CLOSEYEST"")"),4946.1)</f>
        <v>4946.1000000000004</v>
      </c>
      <c r="H527" s="14" t="str">
        <f t="shared" ca="1" si="20"/>
        <v/>
      </c>
      <c r="I527" s="15">
        <f t="shared" ca="1" si="15"/>
        <v>4953.2</v>
      </c>
      <c r="J527" s="16">
        <f t="shared" ca="1" si="16"/>
        <v>4980.3999999999996</v>
      </c>
      <c r="K527" s="16"/>
      <c r="L527" s="16">
        <f t="shared" ca="1" si="17"/>
        <v>4918.8999999999996</v>
      </c>
      <c r="M527" s="16">
        <f t="shared" ca="1" si="18"/>
        <v>5014.7</v>
      </c>
      <c r="N527" s="16">
        <f t="shared" ca="1" si="19"/>
        <v>4891.7</v>
      </c>
    </row>
    <row r="528" spans="1:14" ht="24.75" customHeight="1" x14ac:dyDescent="0.8">
      <c r="A528" s="18" t="s">
        <v>491</v>
      </c>
      <c r="B528" s="10" t="str">
        <f ca="1">IFERROR(__xludf.DUMMYFUNCTION("GOOGLEFINANCE(A528,""PRICE"")"),"#N/A")</f>
        <v>#N/A</v>
      </c>
      <c r="C528" s="11" t="str">
        <f ca="1">IFERROR(__xludf.DUMMYFUNCTION("GOOGLEFINANCE(A528,""PRICEOPEN"")"),"#N/A")</f>
        <v>#N/A</v>
      </c>
      <c r="D528" s="11" t="str">
        <f ca="1">IFERROR(__xludf.DUMMYFUNCTION("GOOGLEFINANCE(A528,""HIGH"")"),"#N/A")</f>
        <v>#N/A</v>
      </c>
      <c r="E528" s="11" t="str">
        <f ca="1">IFERROR(__xludf.DUMMYFUNCTION("GOOGLEFINANCE(A528,""LOW"")"),"#N/A")</f>
        <v>#N/A</v>
      </c>
      <c r="F528" s="12" t="str">
        <f t="shared" ca="1" si="14"/>
        <v>SELL</v>
      </c>
      <c r="G528" s="13" t="str">
        <f ca="1">IFERROR(__xludf.DUMMYFUNCTION("GOOGLEFINANCE(A528,""CLOSEYEST"")"),"#N/A")</f>
        <v>#N/A</v>
      </c>
      <c r="H528" s="14" t="e">
        <f t="shared" ca="1" si="20"/>
        <v>#VALUE!</v>
      </c>
      <c r="I528" s="15" t="e">
        <f t="shared" ca="1" si="15"/>
        <v>#VALUE!</v>
      </c>
      <c r="J528" s="16" t="e">
        <f t="shared" ca="1" si="16"/>
        <v>#VALUE!</v>
      </c>
      <c r="K528" s="16"/>
      <c r="L528" s="16" t="e">
        <f t="shared" ca="1" si="17"/>
        <v>#VALUE!</v>
      </c>
      <c r="M528" s="16" t="e">
        <f t="shared" ca="1" si="18"/>
        <v>#VALUE!</v>
      </c>
      <c r="N528" s="16" t="e">
        <f t="shared" ca="1" si="19"/>
        <v>#VALUE!</v>
      </c>
    </row>
    <row r="529" spans="1:14" ht="24.75" customHeight="1" x14ac:dyDescent="0.8">
      <c r="A529" s="18" t="s">
        <v>492</v>
      </c>
      <c r="B529" s="10">
        <f ca="1">IFERROR(__xludf.DUMMYFUNCTION("GOOGLEFINANCE(A529,""PRICE"")"),217.35)</f>
        <v>217.35</v>
      </c>
      <c r="C529" s="11">
        <f ca="1">IFERROR(__xludf.DUMMYFUNCTION("GOOGLEFINANCE(A529,""PRICEOPEN"")"),215.4)</f>
        <v>215.4</v>
      </c>
      <c r="D529" s="11">
        <f ca="1">IFERROR(__xludf.DUMMYFUNCTION("GOOGLEFINANCE(A529,""HIGH"")"),217.69)</f>
        <v>217.69</v>
      </c>
      <c r="E529" s="11">
        <f ca="1">IFERROR(__xludf.DUMMYFUNCTION("GOOGLEFINANCE(A529,""LOW"")"),213.3)</f>
        <v>213.3</v>
      </c>
      <c r="F529" s="12" t="str">
        <f t="shared" ca="1" si="14"/>
        <v/>
      </c>
      <c r="G529" s="13">
        <f ca="1">IFERROR(__xludf.DUMMYFUNCTION("GOOGLEFINANCE(A529,""CLOSEYEST"")"),215.07)</f>
        <v>215.07</v>
      </c>
      <c r="H529" s="14" t="str">
        <f t="shared" ca="1" si="20"/>
        <v/>
      </c>
      <c r="I529" s="15">
        <f t="shared" ca="1" si="15"/>
        <v>215.35333333333332</v>
      </c>
      <c r="J529" s="16">
        <f t="shared" ca="1" si="16"/>
        <v>217.40666666666664</v>
      </c>
      <c r="K529" s="16"/>
      <c r="L529" s="16">
        <f t="shared" ca="1" si="17"/>
        <v>213.01666666666665</v>
      </c>
      <c r="M529" s="16">
        <f t="shared" ca="1" si="18"/>
        <v>219.74333333333331</v>
      </c>
      <c r="N529" s="16">
        <f t="shared" ca="1" si="19"/>
        <v>210.96333333333334</v>
      </c>
    </row>
    <row r="530" spans="1:14" ht="24.75" customHeight="1" x14ac:dyDescent="0.8">
      <c r="A530" s="18" t="s">
        <v>493</v>
      </c>
      <c r="B530" s="10">
        <f ca="1">IFERROR(__xludf.DUMMYFUNCTION("GOOGLEFINANCE(A530,""PRICE"")"),199.1)</f>
        <v>199.1</v>
      </c>
      <c r="C530" s="11">
        <f ca="1">IFERROR(__xludf.DUMMYFUNCTION("GOOGLEFINANCE(A530,""PRICEOPEN"")"),196.6)</f>
        <v>196.6</v>
      </c>
      <c r="D530" s="11">
        <f ca="1">IFERROR(__xludf.DUMMYFUNCTION("GOOGLEFINANCE(A530,""HIGH"")"),199.99)</f>
        <v>199.99</v>
      </c>
      <c r="E530" s="11">
        <f ca="1">IFERROR(__xludf.DUMMYFUNCTION("GOOGLEFINANCE(A530,""LOW"")"),196.6)</f>
        <v>196.6</v>
      </c>
      <c r="F530" s="12" t="str">
        <f t="shared" ca="1" si="14"/>
        <v>BUY</v>
      </c>
      <c r="G530" s="13">
        <f ca="1">IFERROR(__xludf.DUMMYFUNCTION("GOOGLEFINANCE(A530,""CLOSEYEST"")"),196.53)</f>
        <v>196.53</v>
      </c>
      <c r="H530" s="14" t="str">
        <f t="shared" ca="1" si="20"/>
        <v/>
      </c>
      <c r="I530" s="15">
        <f t="shared" ca="1" si="15"/>
        <v>197.70666666666668</v>
      </c>
      <c r="J530" s="16">
        <f t="shared" ca="1" si="16"/>
        <v>198.81333333333336</v>
      </c>
      <c r="K530" s="16"/>
      <c r="L530" s="16">
        <f t="shared" ca="1" si="17"/>
        <v>195.42333333333335</v>
      </c>
      <c r="M530" s="16">
        <f t="shared" ca="1" si="18"/>
        <v>201.09666666666669</v>
      </c>
      <c r="N530" s="16">
        <f t="shared" ca="1" si="19"/>
        <v>194.31666666666666</v>
      </c>
    </row>
    <row r="531" spans="1:14" ht="24.75" customHeight="1" x14ac:dyDescent="0.8">
      <c r="A531" s="18" t="s">
        <v>494</v>
      </c>
      <c r="B531" s="10">
        <f ca="1">IFERROR(__xludf.DUMMYFUNCTION("GOOGLEFINANCE(A531,""PRICE"")"),46.41)</f>
        <v>46.41</v>
      </c>
      <c r="C531" s="11">
        <f ca="1">IFERROR(__xludf.DUMMYFUNCTION("GOOGLEFINANCE(A531,""PRICEOPEN"")"),45.88)</f>
        <v>45.88</v>
      </c>
      <c r="D531" s="11">
        <f ca="1">IFERROR(__xludf.DUMMYFUNCTION("GOOGLEFINANCE(A531,""HIGH"")"),47.4)</f>
        <v>47.4</v>
      </c>
      <c r="E531" s="11">
        <f ca="1">IFERROR(__xludf.DUMMYFUNCTION("GOOGLEFINANCE(A531,""LOW"")"),45.22)</f>
        <v>45.22</v>
      </c>
      <c r="F531" s="12" t="str">
        <f t="shared" ca="1" si="14"/>
        <v/>
      </c>
      <c r="G531" s="13">
        <f ca="1">IFERROR(__xludf.DUMMYFUNCTION("GOOGLEFINANCE(A531,""CLOSEYEST"")"),45.7)</f>
        <v>45.7</v>
      </c>
      <c r="H531" s="14" t="str">
        <f t="shared" ca="1" si="20"/>
        <v/>
      </c>
      <c r="I531" s="15">
        <f t="shared" ca="1" si="15"/>
        <v>46.106666666666662</v>
      </c>
      <c r="J531" s="16">
        <f t="shared" ca="1" si="16"/>
        <v>46.993333333333325</v>
      </c>
      <c r="K531" s="16"/>
      <c r="L531" s="16">
        <f t="shared" ca="1" si="17"/>
        <v>44.813333333333325</v>
      </c>
      <c r="M531" s="16">
        <f t="shared" ca="1" si="18"/>
        <v>48.286666666666662</v>
      </c>
      <c r="N531" s="16">
        <f t="shared" ca="1" si="19"/>
        <v>43.926666666666662</v>
      </c>
    </row>
    <row r="532" spans="1:14" ht="24.75" customHeight="1" x14ac:dyDescent="0.8">
      <c r="A532" s="18" t="s">
        <v>495</v>
      </c>
      <c r="B532" s="10">
        <f ca="1">IFERROR(__xludf.DUMMYFUNCTION("GOOGLEFINANCE(A532,""PRICE"")"),354)</f>
        <v>354</v>
      </c>
      <c r="C532" s="11">
        <f ca="1">IFERROR(__xludf.DUMMYFUNCTION("GOOGLEFINANCE(A532,""PRICEOPEN"")"),348)</f>
        <v>348</v>
      </c>
      <c r="D532" s="11">
        <f ca="1">IFERROR(__xludf.DUMMYFUNCTION("GOOGLEFINANCE(A532,""HIGH"")"),354)</f>
        <v>354</v>
      </c>
      <c r="E532" s="11">
        <f ca="1">IFERROR(__xludf.DUMMYFUNCTION("GOOGLEFINANCE(A532,""LOW"")"),345)</f>
        <v>345</v>
      </c>
      <c r="F532" s="12" t="str">
        <f t="shared" ca="1" si="14"/>
        <v/>
      </c>
      <c r="G532" s="13">
        <f ca="1">IFERROR(__xludf.DUMMYFUNCTION("GOOGLEFINANCE(A532,""CLOSEYEST"")"),348.2)</f>
        <v>348.2</v>
      </c>
      <c r="H532" s="14" t="str">
        <f t="shared" ca="1" si="20"/>
        <v/>
      </c>
      <c r="I532" s="15">
        <f t="shared" ca="1" si="15"/>
        <v>349.06666666666666</v>
      </c>
      <c r="J532" s="16">
        <f t="shared" ca="1" si="16"/>
        <v>353.13333333333333</v>
      </c>
      <c r="K532" s="16"/>
      <c r="L532" s="16">
        <f t="shared" ca="1" si="17"/>
        <v>344.13333333333333</v>
      </c>
      <c r="M532" s="16">
        <f t="shared" ca="1" si="18"/>
        <v>358.06666666666666</v>
      </c>
      <c r="N532" s="16">
        <f t="shared" ca="1" si="19"/>
        <v>340.06666666666666</v>
      </c>
    </row>
    <row r="533" spans="1:14" ht="24.75" customHeight="1" x14ac:dyDescent="0.8">
      <c r="A533" s="18" t="s">
        <v>496</v>
      </c>
      <c r="B533" s="10">
        <f ca="1">IFERROR(__xludf.DUMMYFUNCTION("GOOGLEFINANCE(A533,""PRICE"")"),461)</f>
        <v>461</v>
      </c>
      <c r="C533" s="11">
        <f ca="1">IFERROR(__xludf.DUMMYFUNCTION("GOOGLEFINANCE(A533,""PRICEOPEN"")"),460)</f>
        <v>460</v>
      </c>
      <c r="D533" s="11">
        <f ca="1">IFERROR(__xludf.DUMMYFUNCTION("GOOGLEFINANCE(A533,""HIGH"")"),463.35)</f>
        <v>463.35</v>
      </c>
      <c r="E533" s="11">
        <f ca="1">IFERROR(__xludf.DUMMYFUNCTION("GOOGLEFINANCE(A533,""LOW"")"),453.7)</f>
        <v>453.7</v>
      </c>
      <c r="F533" s="12" t="str">
        <f t="shared" ca="1" si="14"/>
        <v/>
      </c>
      <c r="G533" s="13">
        <f ca="1">IFERROR(__xludf.DUMMYFUNCTION("GOOGLEFINANCE(A533,""CLOSEYEST"")"),457.3)</f>
        <v>457.3</v>
      </c>
      <c r="H533" s="14" t="str">
        <f t="shared" ca="1" si="20"/>
        <v/>
      </c>
      <c r="I533" s="15">
        <f t="shared" ca="1" si="15"/>
        <v>458.11666666666662</v>
      </c>
      <c r="J533" s="16">
        <f t="shared" ca="1" si="16"/>
        <v>462.53333333333325</v>
      </c>
      <c r="K533" s="16"/>
      <c r="L533" s="16">
        <f t="shared" ca="1" si="17"/>
        <v>452.88333333333321</v>
      </c>
      <c r="M533" s="16">
        <f t="shared" ca="1" si="18"/>
        <v>467.76666666666665</v>
      </c>
      <c r="N533" s="16">
        <f t="shared" ca="1" si="19"/>
        <v>448.46666666666658</v>
      </c>
    </row>
    <row r="534" spans="1:14" ht="24.75" customHeight="1" x14ac:dyDescent="0.8">
      <c r="A534" s="18" t="s">
        <v>497</v>
      </c>
      <c r="B534" s="10">
        <f ca="1">IFERROR(__xludf.DUMMYFUNCTION("GOOGLEFINANCE(A534,""PRICE"")"),560.1)</f>
        <v>560.1</v>
      </c>
      <c r="C534" s="11">
        <f ca="1">IFERROR(__xludf.DUMMYFUNCTION("GOOGLEFINANCE(A534,""PRICEOPEN"")"),552.7)</f>
        <v>552.70000000000005</v>
      </c>
      <c r="D534" s="11">
        <f ca="1">IFERROR(__xludf.DUMMYFUNCTION("GOOGLEFINANCE(A534,""HIGH"")"),563.7)</f>
        <v>563.70000000000005</v>
      </c>
      <c r="E534" s="11">
        <f ca="1">IFERROR(__xludf.DUMMYFUNCTION("GOOGLEFINANCE(A534,""LOW"")"),552.7)</f>
        <v>552.70000000000005</v>
      </c>
      <c r="F534" s="12" t="str">
        <f t="shared" ref="F534:F788" ca="1" si="21">IF(C534=D534,"SELL",IF(C534=E534,"BUY", ""))</f>
        <v>BUY</v>
      </c>
      <c r="G534" s="13">
        <f ca="1">IFERROR(__xludf.DUMMYFUNCTION("GOOGLEFINANCE(A534,""CLOSEYEST"")"),552.7)</f>
        <v>552.70000000000005</v>
      </c>
      <c r="H534" s="14" t="str">
        <f t="shared" ca="1" si="20"/>
        <v/>
      </c>
      <c r="I534" s="15">
        <f t="shared" ref="I534:I788" ca="1" si="22">(D534+E534+G534)/3</f>
        <v>556.36666666666667</v>
      </c>
      <c r="J534" s="16">
        <f t="shared" ref="J534:J788" ca="1" si="23">(I534*2)-E534</f>
        <v>560.0333333333333</v>
      </c>
      <c r="K534" s="16"/>
      <c r="L534" s="16">
        <f t="shared" ref="L534:L788" ca="1" si="24">(I534*2)-D534</f>
        <v>549.0333333333333</v>
      </c>
      <c r="M534" s="16">
        <f t="shared" ref="M534:M788" ca="1" si="25">I534+(J534-L534)</f>
        <v>567.36666666666667</v>
      </c>
      <c r="N534" s="16">
        <f t="shared" ref="N534:N788" ca="1" si="26">I534-(J534-L534)</f>
        <v>545.36666666666667</v>
      </c>
    </row>
    <row r="535" spans="1:14" ht="24.75" customHeight="1" x14ac:dyDescent="0.8">
      <c r="A535" s="18" t="s">
        <v>498</v>
      </c>
      <c r="B535" s="10">
        <f ca="1">IFERROR(__xludf.DUMMYFUNCTION("GOOGLEFINANCE(A535,""PRICE"")"),386.4)</f>
        <v>386.4</v>
      </c>
      <c r="C535" s="11">
        <f ca="1">IFERROR(__xludf.DUMMYFUNCTION("GOOGLEFINANCE(A535,""PRICEOPEN"")"),400)</f>
        <v>400</v>
      </c>
      <c r="D535" s="11">
        <f ca="1">IFERROR(__xludf.DUMMYFUNCTION("GOOGLEFINANCE(A535,""HIGH"")"),407.7)</f>
        <v>407.7</v>
      </c>
      <c r="E535" s="11">
        <f ca="1">IFERROR(__xludf.DUMMYFUNCTION("GOOGLEFINANCE(A535,""LOW"")"),379.8)</f>
        <v>379.8</v>
      </c>
      <c r="F535" s="12" t="str">
        <f t="shared" ca="1" si="21"/>
        <v/>
      </c>
      <c r="G535" s="13">
        <f ca="1">IFERROR(__xludf.DUMMYFUNCTION("GOOGLEFINANCE(A535,""CLOSEYEST"")"),389.4)</f>
        <v>389.4</v>
      </c>
      <c r="H535" s="14" t="str">
        <f t="shared" ca="1" si="20"/>
        <v>GAP UP</v>
      </c>
      <c r="I535" s="15">
        <f t="shared" ca="1" si="22"/>
        <v>392.3</v>
      </c>
      <c r="J535" s="16">
        <f t="shared" ca="1" si="23"/>
        <v>404.8</v>
      </c>
      <c r="K535" s="16"/>
      <c r="L535" s="16">
        <f t="shared" ca="1" si="24"/>
        <v>376.90000000000003</v>
      </c>
      <c r="M535" s="16">
        <f t="shared" ca="1" si="25"/>
        <v>420.2</v>
      </c>
      <c r="N535" s="16">
        <f t="shared" ca="1" si="26"/>
        <v>364.40000000000003</v>
      </c>
    </row>
    <row r="536" spans="1:14" ht="24.75" customHeight="1" x14ac:dyDescent="0.8">
      <c r="A536" s="18" t="s">
        <v>499</v>
      </c>
      <c r="B536" s="10">
        <f ca="1">IFERROR(__xludf.DUMMYFUNCTION("GOOGLEFINANCE(A536,""PRICE"")"),6798.5)</f>
        <v>6798.5</v>
      </c>
      <c r="C536" s="11">
        <f ca="1">IFERROR(__xludf.DUMMYFUNCTION("GOOGLEFINANCE(A536,""PRICEOPEN"")"),6747)</f>
        <v>6747</v>
      </c>
      <c r="D536" s="11">
        <f ca="1">IFERROR(__xludf.DUMMYFUNCTION("GOOGLEFINANCE(A536,""HIGH"")"),6800)</f>
        <v>6800</v>
      </c>
      <c r="E536" s="11">
        <f ca="1">IFERROR(__xludf.DUMMYFUNCTION("GOOGLEFINANCE(A536,""LOW"")"),6669.5)</f>
        <v>6669.5</v>
      </c>
      <c r="F536" s="12" t="str">
        <f t="shared" ca="1" si="21"/>
        <v/>
      </c>
      <c r="G536" s="13">
        <f ca="1">IFERROR(__xludf.DUMMYFUNCTION("GOOGLEFINANCE(A536,""CLOSEYEST"")"),6716.5)</f>
        <v>6716.5</v>
      </c>
      <c r="H536" s="14" t="str">
        <f t="shared" ref="H536:H790" ca="1" si="27">IF(C536&gt;=(G536+(G536*1%)),"GAP UP",IF(C536&lt;=(G536-(G536*1%)),"GAP DOWN",""))</f>
        <v/>
      </c>
      <c r="I536" s="15">
        <f t="shared" ca="1" si="22"/>
        <v>6728.666666666667</v>
      </c>
      <c r="J536" s="16">
        <f t="shared" ca="1" si="23"/>
        <v>6787.8333333333339</v>
      </c>
      <c r="K536" s="16"/>
      <c r="L536" s="16">
        <f t="shared" ca="1" si="24"/>
        <v>6657.3333333333339</v>
      </c>
      <c r="M536" s="16">
        <f t="shared" ca="1" si="25"/>
        <v>6859.166666666667</v>
      </c>
      <c r="N536" s="16">
        <f t="shared" ca="1" si="26"/>
        <v>6598.166666666667</v>
      </c>
    </row>
    <row r="537" spans="1:14" ht="24.75" customHeight="1" x14ac:dyDescent="0.8">
      <c r="A537" s="18" t="s">
        <v>500</v>
      </c>
      <c r="B537" s="10">
        <f ca="1">IFERROR(__xludf.DUMMYFUNCTION("GOOGLEFINANCE(A537,""PRICE"")"),490)</f>
        <v>490</v>
      </c>
      <c r="C537" s="11">
        <f ca="1">IFERROR(__xludf.DUMMYFUNCTION("GOOGLEFINANCE(A537,""PRICEOPEN"")"),488)</f>
        <v>488</v>
      </c>
      <c r="D537" s="11">
        <f ca="1">IFERROR(__xludf.DUMMYFUNCTION("GOOGLEFINANCE(A537,""HIGH"")"),493.7)</f>
        <v>493.7</v>
      </c>
      <c r="E537" s="11">
        <f ca="1">IFERROR(__xludf.DUMMYFUNCTION("GOOGLEFINANCE(A537,""LOW"")"),485.25)</f>
        <v>485.25</v>
      </c>
      <c r="F537" s="12" t="str">
        <f t="shared" ca="1" si="21"/>
        <v/>
      </c>
      <c r="G537" s="13">
        <f ca="1">IFERROR(__xludf.DUMMYFUNCTION("GOOGLEFINANCE(A537,""CLOSEYEST"")"),488.05)</f>
        <v>488.05</v>
      </c>
      <c r="H537" s="14" t="str">
        <f t="shared" ca="1" si="27"/>
        <v/>
      </c>
      <c r="I537" s="15">
        <f t="shared" ca="1" si="22"/>
        <v>489</v>
      </c>
      <c r="J537" s="16">
        <f t="shared" ca="1" si="23"/>
        <v>492.75</v>
      </c>
      <c r="K537" s="16"/>
      <c r="L537" s="16">
        <f t="shared" ca="1" si="24"/>
        <v>484.3</v>
      </c>
      <c r="M537" s="16">
        <f t="shared" ca="1" si="25"/>
        <v>497.45</v>
      </c>
      <c r="N537" s="16">
        <f t="shared" ca="1" si="26"/>
        <v>480.55</v>
      </c>
    </row>
    <row r="538" spans="1:14" ht="24.75" customHeight="1" x14ac:dyDescent="0.8">
      <c r="A538" s="18" t="s">
        <v>501</v>
      </c>
      <c r="B538" s="10">
        <f ca="1">IFERROR(__xludf.DUMMYFUNCTION("GOOGLEFINANCE(A538,""PRICE"")"),263)</f>
        <v>263</v>
      </c>
      <c r="C538" s="11">
        <f ca="1">IFERROR(__xludf.DUMMYFUNCTION("GOOGLEFINANCE(A538,""PRICEOPEN"")"),261)</f>
        <v>261</v>
      </c>
      <c r="D538" s="11">
        <f ca="1">IFERROR(__xludf.DUMMYFUNCTION("GOOGLEFINANCE(A538,""HIGH"")"),264)</f>
        <v>264</v>
      </c>
      <c r="E538" s="11">
        <f ca="1">IFERROR(__xludf.DUMMYFUNCTION("GOOGLEFINANCE(A538,""LOW"")"),259.25)</f>
        <v>259.25</v>
      </c>
      <c r="F538" s="12" t="str">
        <f t="shared" ca="1" si="21"/>
        <v/>
      </c>
      <c r="G538" s="13">
        <f ca="1">IFERROR(__xludf.DUMMYFUNCTION("GOOGLEFINANCE(A538,""CLOSEYEST"")"),260.5)</f>
        <v>260.5</v>
      </c>
      <c r="H538" s="14" t="str">
        <f t="shared" ca="1" si="27"/>
        <v/>
      </c>
      <c r="I538" s="15">
        <f t="shared" ca="1" si="22"/>
        <v>261.25</v>
      </c>
      <c r="J538" s="16">
        <f t="shared" ca="1" si="23"/>
        <v>263.25</v>
      </c>
      <c r="K538" s="16"/>
      <c r="L538" s="16">
        <f t="shared" ca="1" si="24"/>
        <v>258.5</v>
      </c>
      <c r="M538" s="16">
        <f t="shared" ca="1" si="25"/>
        <v>266</v>
      </c>
      <c r="N538" s="16">
        <f t="shared" ca="1" si="26"/>
        <v>256.5</v>
      </c>
    </row>
    <row r="539" spans="1:14" ht="24.75" customHeight="1" x14ac:dyDescent="0.8">
      <c r="A539" s="18" t="s">
        <v>502</v>
      </c>
      <c r="B539" s="10">
        <f ca="1">IFERROR(__xludf.DUMMYFUNCTION("GOOGLEFINANCE(A539,""PRICE"")"),898.15)</f>
        <v>898.15</v>
      </c>
      <c r="C539" s="11">
        <f ca="1">IFERROR(__xludf.DUMMYFUNCTION("GOOGLEFINANCE(A539,""PRICEOPEN"")"),894.9)</f>
        <v>894.9</v>
      </c>
      <c r="D539" s="11">
        <f ca="1">IFERROR(__xludf.DUMMYFUNCTION("GOOGLEFINANCE(A539,""HIGH"")"),925)</f>
        <v>925</v>
      </c>
      <c r="E539" s="11">
        <f ca="1">IFERROR(__xludf.DUMMYFUNCTION("GOOGLEFINANCE(A539,""LOW"")"),890)</f>
        <v>890</v>
      </c>
      <c r="F539" s="12" t="str">
        <f t="shared" ca="1" si="21"/>
        <v/>
      </c>
      <c r="G539" s="13">
        <f ca="1">IFERROR(__xludf.DUMMYFUNCTION("GOOGLEFINANCE(A539,""CLOSEYEST"")"),894.25)</f>
        <v>894.25</v>
      </c>
      <c r="H539" s="14" t="str">
        <f t="shared" ca="1" si="27"/>
        <v/>
      </c>
      <c r="I539" s="15">
        <f t="shared" ca="1" si="22"/>
        <v>903.08333333333337</v>
      </c>
      <c r="J539" s="16">
        <f t="shared" ca="1" si="23"/>
        <v>916.16666666666674</v>
      </c>
      <c r="K539" s="16"/>
      <c r="L539" s="16">
        <f t="shared" ca="1" si="24"/>
        <v>881.16666666666674</v>
      </c>
      <c r="M539" s="16">
        <f t="shared" ca="1" si="25"/>
        <v>938.08333333333337</v>
      </c>
      <c r="N539" s="16">
        <f t="shared" ca="1" si="26"/>
        <v>868.08333333333337</v>
      </c>
    </row>
    <row r="540" spans="1:14" ht="24.75" customHeight="1" x14ac:dyDescent="0.8">
      <c r="A540" s="18" t="s">
        <v>503</v>
      </c>
      <c r="B540" s="10">
        <f ca="1">IFERROR(__xludf.DUMMYFUNCTION("GOOGLEFINANCE(A540,""PRICE"")"),967.8)</f>
        <v>967.8</v>
      </c>
      <c r="C540" s="11">
        <f ca="1">IFERROR(__xludf.DUMMYFUNCTION("GOOGLEFINANCE(A540,""PRICEOPEN"")"),961)</f>
        <v>961</v>
      </c>
      <c r="D540" s="11">
        <f ca="1">IFERROR(__xludf.DUMMYFUNCTION("GOOGLEFINANCE(A540,""HIGH"")"),989.45)</f>
        <v>989.45</v>
      </c>
      <c r="E540" s="11">
        <f ca="1">IFERROR(__xludf.DUMMYFUNCTION("GOOGLEFINANCE(A540,""LOW"")"),948.35)</f>
        <v>948.35</v>
      </c>
      <c r="F540" s="12" t="str">
        <f t="shared" ca="1" si="21"/>
        <v/>
      </c>
      <c r="G540" s="13">
        <f ca="1">IFERROR(__xludf.DUMMYFUNCTION("GOOGLEFINANCE(A540,""CLOSEYEST"")"),957.8)</f>
        <v>957.8</v>
      </c>
      <c r="H540" s="14" t="str">
        <f t="shared" ca="1" si="27"/>
        <v/>
      </c>
      <c r="I540" s="15">
        <f t="shared" ca="1" si="22"/>
        <v>965.20000000000016</v>
      </c>
      <c r="J540" s="16">
        <f t="shared" ca="1" si="23"/>
        <v>982.0500000000003</v>
      </c>
      <c r="K540" s="16"/>
      <c r="L540" s="16">
        <f t="shared" ca="1" si="24"/>
        <v>940.95000000000027</v>
      </c>
      <c r="M540" s="16">
        <f t="shared" ca="1" si="25"/>
        <v>1006.3000000000002</v>
      </c>
      <c r="N540" s="16">
        <f t="shared" ca="1" si="26"/>
        <v>924.10000000000014</v>
      </c>
    </row>
    <row r="541" spans="1:14" ht="24.75" customHeight="1" x14ac:dyDescent="0.8">
      <c r="A541" s="18" t="s">
        <v>504</v>
      </c>
      <c r="B541" s="10">
        <f ca="1">IFERROR(__xludf.DUMMYFUNCTION("GOOGLEFINANCE(A541,""PRICE"")"),189.99)</f>
        <v>189.99</v>
      </c>
      <c r="C541" s="11">
        <f ca="1">IFERROR(__xludf.DUMMYFUNCTION("GOOGLEFINANCE(A541,""PRICEOPEN"")"),185.95)</f>
        <v>185.95</v>
      </c>
      <c r="D541" s="11">
        <f ca="1">IFERROR(__xludf.DUMMYFUNCTION("GOOGLEFINANCE(A541,""HIGH"")"),190.51)</f>
        <v>190.51</v>
      </c>
      <c r="E541" s="11">
        <f ca="1">IFERROR(__xludf.DUMMYFUNCTION("GOOGLEFINANCE(A541,""LOW"")"),184.93)</f>
        <v>184.93</v>
      </c>
      <c r="F541" s="12" t="str">
        <f t="shared" ca="1" si="21"/>
        <v/>
      </c>
      <c r="G541" s="13">
        <f ca="1">IFERROR(__xludf.DUMMYFUNCTION("GOOGLEFINANCE(A541,""CLOSEYEST"")"),185.09)</f>
        <v>185.09</v>
      </c>
      <c r="H541" s="14" t="str">
        <f t="shared" ca="1" si="27"/>
        <v/>
      </c>
      <c r="I541" s="15">
        <f t="shared" ca="1" si="22"/>
        <v>186.84333333333333</v>
      </c>
      <c r="J541" s="16">
        <f t="shared" ca="1" si="23"/>
        <v>188.75666666666666</v>
      </c>
      <c r="K541" s="16"/>
      <c r="L541" s="16">
        <f t="shared" ca="1" si="24"/>
        <v>183.17666666666668</v>
      </c>
      <c r="M541" s="16">
        <f t="shared" ca="1" si="25"/>
        <v>192.42333333333332</v>
      </c>
      <c r="N541" s="16">
        <f t="shared" ca="1" si="26"/>
        <v>181.26333333333335</v>
      </c>
    </row>
    <row r="542" spans="1:14" ht="24.75" customHeight="1" x14ac:dyDescent="0.8">
      <c r="A542" s="18" t="s">
        <v>505</v>
      </c>
      <c r="B542" s="10">
        <f ca="1">IFERROR(__xludf.DUMMYFUNCTION("GOOGLEFINANCE(A542,""PRICE"")"),160)</f>
        <v>160</v>
      </c>
      <c r="C542" s="11">
        <f ca="1">IFERROR(__xludf.DUMMYFUNCTION("GOOGLEFINANCE(A542,""PRICEOPEN"")"),159)</f>
        <v>159</v>
      </c>
      <c r="D542" s="11">
        <f ca="1">IFERROR(__xludf.DUMMYFUNCTION("GOOGLEFINANCE(A542,""HIGH"")"),162.68)</f>
        <v>162.68</v>
      </c>
      <c r="E542" s="11">
        <f ca="1">IFERROR(__xludf.DUMMYFUNCTION("GOOGLEFINANCE(A542,""LOW"")"),158.99)</f>
        <v>158.99</v>
      </c>
      <c r="F542" s="12" t="str">
        <f t="shared" ca="1" si="21"/>
        <v/>
      </c>
      <c r="G542" s="13">
        <f ca="1">IFERROR(__xludf.DUMMYFUNCTION("GOOGLEFINANCE(A542,""CLOSEYEST"")"),158.62)</f>
        <v>158.62</v>
      </c>
      <c r="H542" s="14" t="str">
        <f t="shared" ca="1" si="27"/>
        <v/>
      </c>
      <c r="I542" s="15">
        <f t="shared" ca="1" si="22"/>
        <v>160.09666666666666</v>
      </c>
      <c r="J542" s="16">
        <f t="shared" ca="1" si="23"/>
        <v>161.20333333333332</v>
      </c>
      <c r="K542" s="16"/>
      <c r="L542" s="16">
        <f t="shared" ca="1" si="24"/>
        <v>157.51333333333332</v>
      </c>
      <c r="M542" s="16">
        <f t="shared" ca="1" si="25"/>
        <v>163.78666666666666</v>
      </c>
      <c r="N542" s="16">
        <f t="shared" ca="1" si="26"/>
        <v>156.40666666666667</v>
      </c>
    </row>
    <row r="543" spans="1:14" ht="24.75" customHeight="1" x14ac:dyDescent="0.8">
      <c r="A543" s="18" t="s">
        <v>506</v>
      </c>
      <c r="B543" s="10">
        <f ca="1">IFERROR(__xludf.DUMMYFUNCTION("GOOGLEFINANCE(A543,""PRICE"")"),864)</f>
        <v>864</v>
      </c>
      <c r="C543" s="11">
        <f ca="1">IFERROR(__xludf.DUMMYFUNCTION("GOOGLEFINANCE(A543,""PRICEOPEN"")"),852.7)</f>
        <v>852.7</v>
      </c>
      <c r="D543" s="11">
        <f ca="1">IFERROR(__xludf.DUMMYFUNCTION("GOOGLEFINANCE(A543,""HIGH"")"),871.55)</f>
        <v>871.55</v>
      </c>
      <c r="E543" s="11">
        <f ca="1">IFERROR(__xludf.DUMMYFUNCTION("GOOGLEFINANCE(A543,""LOW"")"),852.7)</f>
        <v>852.7</v>
      </c>
      <c r="F543" s="12" t="str">
        <f t="shared" ca="1" si="21"/>
        <v>BUY</v>
      </c>
      <c r="G543" s="13">
        <f ca="1">IFERROR(__xludf.DUMMYFUNCTION("GOOGLEFINANCE(A543,""CLOSEYEST"")"),855.35)</f>
        <v>855.35</v>
      </c>
      <c r="H543" s="14" t="str">
        <f t="shared" ca="1" si="27"/>
        <v/>
      </c>
      <c r="I543" s="15">
        <f t="shared" ca="1" si="22"/>
        <v>859.86666666666667</v>
      </c>
      <c r="J543" s="16">
        <f t="shared" ca="1" si="23"/>
        <v>867.0333333333333</v>
      </c>
      <c r="K543" s="16"/>
      <c r="L543" s="16">
        <f t="shared" ca="1" si="24"/>
        <v>848.18333333333339</v>
      </c>
      <c r="M543" s="16">
        <f t="shared" ca="1" si="25"/>
        <v>878.71666666666658</v>
      </c>
      <c r="N543" s="16">
        <f t="shared" ca="1" si="26"/>
        <v>841.01666666666677</v>
      </c>
    </row>
    <row r="544" spans="1:14" ht="24.75" customHeight="1" x14ac:dyDescent="0.8">
      <c r="A544" s="18" t="s">
        <v>507</v>
      </c>
      <c r="B544" s="10">
        <f ca="1">IFERROR(__xludf.DUMMYFUNCTION("GOOGLEFINANCE(A544,""PRICE"")"),3501)</f>
        <v>3501</v>
      </c>
      <c r="C544" s="11">
        <f ca="1">IFERROR(__xludf.DUMMYFUNCTION("GOOGLEFINANCE(A544,""PRICEOPEN"")"),3479.1)</f>
        <v>3479.1</v>
      </c>
      <c r="D544" s="11">
        <f ca="1">IFERROR(__xludf.DUMMYFUNCTION("GOOGLEFINANCE(A544,""HIGH"")"),3519.7)</f>
        <v>3519.7</v>
      </c>
      <c r="E544" s="11">
        <f ca="1">IFERROR(__xludf.DUMMYFUNCTION("GOOGLEFINANCE(A544,""LOW"")"),3467.3)</f>
        <v>3467.3</v>
      </c>
      <c r="F544" s="12" t="str">
        <f t="shared" ca="1" si="21"/>
        <v/>
      </c>
      <c r="G544" s="13">
        <f ca="1">IFERROR(__xludf.DUMMYFUNCTION("GOOGLEFINANCE(A544,""CLOSEYEST"")"),3488.4)</f>
        <v>3488.4</v>
      </c>
      <c r="H544" s="14" t="str">
        <f t="shared" ca="1" si="27"/>
        <v/>
      </c>
      <c r="I544" s="15">
        <f t="shared" ca="1" si="22"/>
        <v>3491.7999999999997</v>
      </c>
      <c r="J544" s="16">
        <f t="shared" ca="1" si="23"/>
        <v>3516.2999999999993</v>
      </c>
      <c r="K544" s="16"/>
      <c r="L544" s="16">
        <f t="shared" ca="1" si="24"/>
        <v>3463.8999999999996</v>
      </c>
      <c r="M544" s="16">
        <f t="shared" ca="1" si="25"/>
        <v>3544.1999999999994</v>
      </c>
      <c r="N544" s="16">
        <f t="shared" ca="1" si="26"/>
        <v>3439.4</v>
      </c>
    </row>
    <row r="545" spans="1:14" ht="24.75" customHeight="1" x14ac:dyDescent="0.8">
      <c r="A545" s="18" t="s">
        <v>508</v>
      </c>
      <c r="B545" s="10" t="str">
        <f ca="1">IFERROR(__xludf.DUMMYFUNCTION("GOOGLEFINANCE(A545,""PRICE"")"),"#N/A")</f>
        <v>#N/A</v>
      </c>
      <c r="C545" s="11" t="str">
        <f ca="1">IFERROR(__xludf.DUMMYFUNCTION("GOOGLEFINANCE(A545,""PRICEOPEN"")"),"#N/A")</f>
        <v>#N/A</v>
      </c>
      <c r="D545" s="11" t="str">
        <f ca="1">IFERROR(__xludf.DUMMYFUNCTION("GOOGLEFINANCE(A545,""HIGH"")"),"#N/A")</f>
        <v>#N/A</v>
      </c>
      <c r="E545" s="11" t="str">
        <f ca="1">IFERROR(__xludf.DUMMYFUNCTION("GOOGLEFINANCE(A545,""LOW"")"),"#N/A")</f>
        <v>#N/A</v>
      </c>
      <c r="F545" s="12" t="str">
        <f t="shared" ca="1" si="21"/>
        <v>SELL</v>
      </c>
      <c r="G545" s="13" t="str">
        <f ca="1">IFERROR(__xludf.DUMMYFUNCTION("GOOGLEFINANCE(A545,""CLOSEYEST"")"),"#N/A")</f>
        <v>#N/A</v>
      </c>
      <c r="H545" s="14" t="e">
        <f t="shared" ca="1" si="27"/>
        <v>#VALUE!</v>
      </c>
      <c r="I545" s="15" t="e">
        <f t="shared" ca="1" si="22"/>
        <v>#VALUE!</v>
      </c>
      <c r="J545" s="16" t="e">
        <f t="shared" ca="1" si="23"/>
        <v>#VALUE!</v>
      </c>
      <c r="K545" s="16"/>
      <c r="L545" s="16" t="e">
        <f t="shared" ca="1" si="24"/>
        <v>#VALUE!</v>
      </c>
      <c r="M545" s="16" t="e">
        <f t="shared" ca="1" si="25"/>
        <v>#VALUE!</v>
      </c>
      <c r="N545" s="16" t="e">
        <f t="shared" ca="1" si="26"/>
        <v>#VALUE!</v>
      </c>
    </row>
    <row r="546" spans="1:14" ht="24.75" customHeight="1" x14ac:dyDescent="0.8">
      <c r="A546" s="18" t="s">
        <v>509</v>
      </c>
      <c r="B546" s="10">
        <f ca="1">IFERROR(__xludf.DUMMYFUNCTION("GOOGLEFINANCE(A546,""PRICE"")"),1747)</f>
        <v>1747</v>
      </c>
      <c r="C546" s="11">
        <f ca="1">IFERROR(__xludf.DUMMYFUNCTION("GOOGLEFINANCE(A546,""PRICEOPEN"")"),1697)</f>
        <v>1697</v>
      </c>
      <c r="D546" s="11">
        <f ca="1">IFERROR(__xludf.DUMMYFUNCTION("GOOGLEFINANCE(A546,""HIGH"")"),1747)</f>
        <v>1747</v>
      </c>
      <c r="E546" s="11">
        <f ca="1">IFERROR(__xludf.DUMMYFUNCTION("GOOGLEFINANCE(A546,""LOW"")"),1689.1)</f>
        <v>1689.1</v>
      </c>
      <c r="F546" s="12" t="str">
        <f t="shared" ca="1" si="21"/>
        <v/>
      </c>
      <c r="G546" s="13">
        <f ca="1">IFERROR(__xludf.DUMMYFUNCTION("GOOGLEFINANCE(A546,""CLOSEYEST"")"),1700.5)</f>
        <v>1700.5</v>
      </c>
      <c r="H546" s="14" t="str">
        <f t="shared" ca="1" si="27"/>
        <v/>
      </c>
      <c r="I546" s="15">
        <f t="shared" ca="1" si="22"/>
        <v>1712.2</v>
      </c>
      <c r="J546" s="16">
        <f t="shared" ca="1" si="23"/>
        <v>1735.3000000000002</v>
      </c>
      <c r="K546" s="16"/>
      <c r="L546" s="16">
        <f t="shared" ca="1" si="24"/>
        <v>1677.4</v>
      </c>
      <c r="M546" s="16">
        <f t="shared" ca="1" si="25"/>
        <v>1770.1000000000001</v>
      </c>
      <c r="N546" s="16">
        <f t="shared" ca="1" si="26"/>
        <v>1654.3</v>
      </c>
    </row>
    <row r="547" spans="1:14" ht="24.75" customHeight="1" x14ac:dyDescent="0.8">
      <c r="A547" s="18" t="s">
        <v>510</v>
      </c>
      <c r="B547" s="10">
        <f ca="1">IFERROR(__xludf.DUMMYFUNCTION("GOOGLEFINANCE(A547,""PRICE"")"),1455)</f>
        <v>1455</v>
      </c>
      <c r="C547" s="11">
        <f ca="1">IFERROR(__xludf.DUMMYFUNCTION("GOOGLEFINANCE(A547,""PRICEOPEN"")"),1506.2)</f>
        <v>1506.2</v>
      </c>
      <c r="D547" s="11">
        <f ca="1">IFERROR(__xludf.DUMMYFUNCTION("GOOGLEFINANCE(A547,""HIGH"")"),1508.6)</f>
        <v>1508.6</v>
      </c>
      <c r="E547" s="11">
        <f ca="1">IFERROR(__xludf.DUMMYFUNCTION("GOOGLEFINANCE(A547,""LOW"")"),1450.5)</f>
        <v>1450.5</v>
      </c>
      <c r="F547" s="12" t="str">
        <f t="shared" ca="1" si="21"/>
        <v/>
      </c>
      <c r="G547" s="13">
        <f ca="1">IFERROR(__xludf.DUMMYFUNCTION("GOOGLEFINANCE(A547,""CLOSEYEST"")"),1492.8)</f>
        <v>1492.8</v>
      </c>
      <c r="H547" s="14" t="str">
        <f t="shared" ca="1" si="27"/>
        <v/>
      </c>
      <c r="I547" s="15">
        <f t="shared" ca="1" si="22"/>
        <v>1483.9666666666665</v>
      </c>
      <c r="J547" s="16">
        <f t="shared" ca="1" si="23"/>
        <v>1517.4333333333329</v>
      </c>
      <c r="K547" s="16"/>
      <c r="L547" s="16">
        <f t="shared" ca="1" si="24"/>
        <v>1459.333333333333</v>
      </c>
      <c r="M547" s="16">
        <f t="shared" ca="1" si="25"/>
        <v>1542.0666666666664</v>
      </c>
      <c r="N547" s="16">
        <f t="shared" ca="1" si="26"/>
        <v>1425.8666666666666</v>
      </c>
    </row>
    <row r="548" spans="1:14" ht="24.75" customHeight="1" x14ac:dyDescent="0.8">
      <c r="A548" s="18" t="s">
        <v>511</v>
      </c>
      <c r="B548" s="10">
        <f ca="1">IFERROR(__xludf.DUMMYFUNCTION("GOOGLEFINANCE(A548,""PRICE"")"),1500)</f>
        <v>1500</v>
      </c>
      <c r="C548" s="11">
        <f ca="1">IFERROR(__xludf.DUMMYFUNCTION("GOOGLEFINANCE(A548,""PRICEOPEN"")"),1520)</f>
        <v>1520</v>
      </c>
      <c r="D548" s="11">
        <f ca="1">IFERROR(__xludf.DUMMYFUNCTION("GOOGLEFINANCE(A548,""HIGH"")"),1522.2)</f>
        <v>1522.2</v>
      </c>
      <c r="E548" s="11">
        <f ca="1">IFERROR(__xludf.DUMMYFUNCTION("GOOGLEFINANCE(A548,""LOW"")"),1499.3)</f>
        <v>1499.3</v>
      </c>
      <c r="F548" s="12" t="str">
        <f t="shared" ca="1" si="21"/>
        <v/>
      </c>
      <c r="G548" s="13">
        <f ca="1">IFERROR(__xludf.DUMMYFUNCTION("GOOGLEFINANCE(A548,""CLOSEYEST"")"),1511.6)</f>
        <v>1511.6</v>
      </c>
      <c r="H548" s="14" t="str">
        <f t="shared" ca="1" si="27"/>
        <v/>
      </c>
      <c r="I548" s="15">
        <f t="shared" ca="1" si="22"/>
        <v>1511.0333333333335</v>
      </c>
      <c r="J548" s="16">
        <f t="shared" ca="1" si="23"/>
        <v>1522.7666666666671</v>
      </c>
      <c r="K548" s="16"/>
      <c r="L548" s="16">
        <f t="shared" ca="1" si="24"/>
        <v>1499.866666666667</v>
      </c>
      <c r="M548" s="16">
        <f t="shared" ca="1" si="25"/>
        <v>1533.9333333333336</v>
      </c>
      <c r="N548" s="16">
        <f t="shared" ca="1" si="26"/>
        <v>1488.1333333333334</v>
      </c>
    </row>
    <row r="549" spans="1:14" ht="24.75" customHeight="1" x14ac:dyDescent="0.8">
      <c r="A549" s="18" t="s">
        <v>512</v>
      </c>
      <c r="B549" s="10">
        <f ca="1">IFERROR(__xludf.DUMMYFUNCTION("GOOGLEFINANCE(A549,""PRICE"")"),15830)</f>
        <v>15830</v>
      </c>
      <c r="C549" s="11">
        <f ca="1">IFERROR(__xludf.DUMMYFUNCTION("GOOGLEFINANCE(A549,""PRICEOPEN"")"),15494)</f>
        <v>15494</v>
      </c>
      <c r="D549" s="11">
        <f ca="1">IFERROR(__xludf.DUMMYFUNCTION("GOOGLEFINANCE(A549,""HIGH"")"),16180)</f>
        <v>16180</v>
      </c>
      <c r="E549" s="11">
        <f ca="1">IFERROR(__xludf.DUMMYFUNCTION("GOOGLEFINANCE(A549,""LOW"")"),15494)</f>
        <v>15494</v>
      </c>
      <c r="F549" s="12" t="str">
        <f t="shared" ca="1" si="21"/>
        <v>BUY</v>
      </c>
      <c r="G549" s="13">
        <f ca="1">IFERROR(__xludf.DUMMYFUNCTION("GOOGLEFINANCE(A549,""CLOSEYEST"")"),15494)</f>
        <v>15494</v>
      </c>
      <c r="H549" s="14" t="str">
        <f t="shared" ca="1" si="27"/>
        <v/>
      </c>
      <c r="I549" s="15">
        <f t="shared" ca="1" si="22"/>
        <v>15722.666666666666</v>
      </c>
      <c r="J549" s="16">
        <f t="shared" ca="1" si="23"/>
        <v>15951.333333333332</v>
      </c>
      <c r="K549" s="16"/>
      <c r="L549" s="16">
        <f t="shared" ca="1" si="24"/>
        <v>15265.333333333332</v>
      </c>
      <c r="M549" s="16">
        <f t="shared" ca="1" si="25"/>
        <v>16408.666666666664</v>
      </c>
      <c r="N549" s="16">
        <f t="shared" ca="1" si="26"/>
        <v>15036.666666666666</v>
      </c>
    </row>
    <row r="550" spans="1:14" ht="24.75" customHeight="1" x14ac:dyDescent="0.8">
      <c r="A550" s="18" t="s">
        <v>513</v>
      </c>
      <c r="B550" s="10">
        <f ca="1">IFERROR(__xludf.DUMMYFUNCTION("GOOGLEFINANCE(A550,""PRICE"")"),148)</f>
        <v>148</v>
      </c>
      <c r="C550" s="11">
        <f ca="1">IFERROR(__xludf.DUMMYFUNCTION("GOOGLEFINANCE(A550,""PRICEOPEN"")"),146)</f>
        <v>146</v>
      </c>
      <c r="D550" s="11">
        <f ca="1">IFERROR(__xludf.DUMMYFUNCTION("GOOGLEFINANCE(A550,""HIGH"")"),149.2)</f>
        <v>149.19999999999999</v>
      </c>
      <c r="E550" s="11">
        <f ca="1">IFERROR(__xludf.DUMMYFUNCTION("GOOGLEFINANCE(A550,""LOW"")"),146)</f>
        <v>146</v>
      </c>
      <c r="F550" s="12" t="str">
        <f t="shared" ca="1" si="21"/>
        <v>BUY</v>
      </c>
      <c r="G550" s="13">
        <f ca="1">IFERROR(__xludf.DUMMYFUNCTION("GOOGLEFINANCE(A550,""CLOSEYEST"")"),147.4)</f>
        <v>147.4</v>
      </c>
      <c r="H550" s="14" t="str">
        <f t="shared" ca="1" si="27"/>
        <v/>
      </c>
      <c r="I550" s="15">
        <f t="shared" ca="1" si="22"/>
        <v>147.53333333333333</v>
      </c>
      <c r="J550" s="16">
        <f t="shared" ca="1" si="23"/>
        <v>149.06666666666666</v>
      </c>
      <c r="K550" s="16"/>
      <c r="L550" s="16">
        <f t="shared" ca="1" si="24"/>
        <v>145.86666666666667</v>
      </c>
      <c r="M550" s="16">
        <f t="shared" ca="1" si="25"/>
        <v>150.73333333333332</v>
      </c>
      <c r="N550" s="16">
        <f t="shared" ca="1" si="26"/>
        <v>144.33333333333334</v>
      </c>
    </row>
    <row r="551" spans="1:14" ht="24.75" customHeight="1" x14ac:dyDescent="0.8">
      <c r="A551" s="18" t="s">
        <v>514</v>
      </c>
      <c r="B551" s="10">
        <f ca="1">IFERROR(__xludf.DUMMYFUNCTION("GOOGLEFINANCE(A551,""PRICE"")"),1055.5)</f>
        <v>1055.5</v>
      </c>
      <c r="C551" s="11">
        <f ca="1">IFERROR(__xludf.DUMMYFUNCTION("GOOGLEFINANCE(A551,""PRICEOPEN"")"),1003.4)</f>
        <v>1003.4</v>
      </c>
      <c r="D551" s="11">
        <f ca="1">IFERROR(__xludf.DUMMYFUNCTION("GOOGLEFINANCE(A551,""HIGH"")"),1069.95)</f>
        <v>1069.95</v>
      </c>
      <c r="E551" s="11">
        <f ca="1">IFERROR(__xludf.DUMMYFUNCTION("GOOGLEFINANCE(A551,""LOW"")"),1000.3)</f>
        <v>1000.3</v>
      </c>
      <c r="F551" s="12" t="str">
        <f t="shared" ca="1" si="21"/>
        <v/>
      </c>
      <c r="G551" s="13">
        <f ca="1">IFERROR(__xludf.DUMMYFUNCTION("GOOGLEFINANCE(A551,""CLOSEYEST"")"),994.6)</f>
        <v>994.6</v>
      </c>
      <c r="H551" s="14" t="str">
        <f t="shared" ca="1" si="27"/>
        <v/>
      </c>
      <c r="I551" s="15">
        <f t="shared" ca="1" si="22"/>
        <v>1021.6166666666667</v>
      </c>
      <c r="J551" s="16">
        <f t="shared" ca="1" si="23"/>
        <v>1042.9333333333334</v>
      </c>
      <c r="K551" s="16"/>
      <c r="L551" s="16">
        <f t="shared" ca="1" si="24"/>
        <v>973.2833333333333</v>
      </c>
      <c r="M551" s="16">
        <f t="shared" ca="1" si="25"/>
        <v>1091.2666666666669</v>
      </c>
      <c r="N551" s="16">
        <f t="shared" ca="1" si="26"/>
        <v>951.96666666666658</v>
      </c>
    </row>
    <row r="552" spans="1:14" ht="24.75" customHeight="1" x14ac:dyDescent="0.8">
      <c r="A552" s="18" t="s">
        <v>515</v>
      </c>
      <c r="B552" s="10">
        <f ca="1">IFERROR(__xludf.DUMMYFUNCTION("GOOGLEFINANCE(A552,""PRICE"")"),16800)</f>
        <v>16800</v>
      </c>
      <c r="C552" s="11">
        <f ca="1">IFERROR(__xludf.DUMMYFUNCTION("GOOGLEFINANCE(A552,""PRICEOPEN"")"),16900)</f>
        <v>16900</v>
      </c>
      <c r="D552" s="11">
        <f ca="1">IFERROR(__xludf.DUMMYFUNCTION("GOOGLEFINANCE(A552,""HIGH"")"),17109)</f>
        <v>17109</v>
      </c>
      <c r="E552" s="11">
        <f ca="1">IFERROR(__xludf.DUMMYFUNCTION("GOOGLEFINANCE(A552,""LOW"")"),16530)</f>
        <v>16530</v>
      </c>
      <c r="F552" s="12" t="str">
        <f t="shared" ca="1" si="21"/>
        <v/>
      </c>
      <c r="G552" s="13">
        <f ca="1">IFERROR(__xludf.DUMMYFUNCTION("GOOGLEFINANCE(A552,""CLOSEYEST"")"),16899)</f>
        <v>16899</v>
      </c>
      <c r="H552" s="14" t="str">
        <f t="shared" ca="1" si="27"/>
        <v/>
      </c>
      <c r="I552" s="15">
        <f t="shared" ca="1" si="22"/>
        <v>16846</v>
      </c>
      <c r="J552" s="16">
        <f t="shared" ca="1" si="23"/>
        <v>17162</v>
      </c>
      <c r="K552" s="16"/>
      <c r="L552" s="16">
        <f t="shared" ca="1" si="24"/>
        <v>16583</v>
      </c>
      <c r="M552" s="16">
        <f t="shared" ca="1" si="25"/>
        <v>17425</v>
      </c>
      <c r="N552" s="16">
        <f t="shared" ca="1" si="26"/>
        <v>16267</v>
      </c>
    </row>
    <row r="553" spans="1:14" ht="24.75" customHeight="1" x14ac:dyDescent="0.8">
      <c r="A553" s="18" t="s">
        <v>516</v>
      </c>
      <c r="B553" s="10">
        <f ca="1">IFERROR(__xludf.DUMMYFUNCTION("GOOGLEFINANCE(A553,""PRICE"")"),588.65)</f>
        <v>588.65</v>
      </c>
      <c r="C553" s="11">
        <f ca="1">IFERROR(__xludf.DUMMYFUNCTION("GOOGLEFINANCE(A553,""PRICEOPEN"")"),582)</f>
        <v>582</v>
      </c>
      <c r="D553" s="11">
        <f ca="1">IFERROR(__xludf.DUMMYFUNCTION("GOOGLEFINANCE(A553,""HIGH"")"),594)</f>
        <v>594</v>
      </c>
      <c r="E553" s="11">
        <f ca="1">IFERROR(__xludf.DUMMYFUNCTION("GOOGLEFINANCE(A553,""LOW"")"),577.25)</f>
        <v>577.25</v>
      </c>
      <c r="F553" s="12" t="str">
        <f t="shared" ca="1" si="21"/>
        <v/>
      </c>
      <c r="G553" s="13">
        <f ca="1">IFERROR(__xludf.DUMMYFUNCTION("GOOGLEFINANCE(A553,""CLOSEYEST"")"),579.8)</f>
        <v>579.79999999999995</v>
      </c>
      <c r="H553" s="14" t="str">
        <f t="shared" ca="1" si="27"/>
        <v/>
      </c>
      <c r="I553" s="15">
        <f t="shared" ca="1" si="22"/>
        <v>583.68333333333328</v>
      </c>
      <c r="J553" s="16">
        <f t="shared" ca="1" si="23"/>
        <v>590.11666666666656</v>
      </c>
      <c r="K553" s="16"/>
      <c r="L553" s="16">
        <f t="shared" ca="1" si="24"/>
        <v>573.36666666666656</v>
      </c>
      <c r="M553" s="16">
        <f t="shared" ca="1" si="25"/>
        <v>600.43333333333328</v>
      </c>
      <c r="N553" s="16">
        <f t="shared" ca="1" si="26"/>
        <v>566.93333333333328</v>
      </c>
    </row>
    <row r="554" spans="1:14" ht="24.75" customHeight="1" x14ac:dyDescent="0.8">
      <c r="A554" s="18" t="s">
        <v>517</v>
      </c>
      <c r="B554" s="10">
        <f ca="1">IFERROR(__xludf.DUMMYFUNCTION("GOOGLEFINANCE(A554,""PRICE"")"),572)</f>
        <v>572</v>
      </c>
      <c r="C554" s="11">
        <f ca="1">IFERROR(__xludf.DUMMYFUNCTION("GOOGLEFINANCE(A554,""PRICEOPEN"")"),559.55)</f>
        <v>559.54999999999995</v>
      </c>
      <c r="D554" s="11">
        <f ca="1">IFERROR(__xludf.DUMMYFUNCTION("GOOGLEFINANCE(A554,""HIGH"")"),573.2)</f>
        <v>573.20000000000005</v>
      </c>
      <c r="E554" s="11">
        <f ca="1">IFERROR(__xludf.DUMMYFUNCTION("GOOGLEFINANCE(A554,""LOW"")"),556.75)</f>
        <v>556.75</v>
      </c>
      <c r="F554" s="12" t="str">
        <f t="shared" ca="1" si="21"/>
        <v/>
      </c>
      <c r="G554" s="13">
        <f ca="1">IFERROR(__xludf.DUMMYFUNCTION("GOOGLEFINANCE(A554,""CLOSEYEST"")"),557.1)</f>
        <v>557.1</v>
      </c>
      <c r="H554" s="14" t="str">
        <f t="shared" ca="1" si="27"/>
        <v/>
      </c>
      <c r="I554" s="15">
        <f t="shared" ca="1" si="22"/>
        <v>562.35</v>
      </c>
      <c r="J554" s="16">
        <f t="shared" ca="1" si="23"/>
        <v>567.95000000000005</v>
      </c>
      <c r="K554" s="16"/>
      <c r="L554" s="16">
        <f t="shared" ca="1" si="24"/>
        <v>551.5</v>
      </c>
      <c r="M554" s="16">
        <f t="shared" ca="1" si="25"/>
        <v>578.80000000000007</v>
      </c>
      <c r="N554" s="16">
        <f t="shared" ca="1" si="26"/>
        <v>545.9</v>
      </c>
    </row>
    <row r="555" spans="1:14" ht="24.75" customHeight="1" x14ac:dyDescent="0.8">
      <c r="A555" s="18" t="s">
        <v>518</v>
      </c>
      <c r="B555" s="10">
        <f ca="1">IFERROR(__xludf.DUMMYFUNCTION("GOOGLEFINANCE(A555,""PRICE"")"),252)</f>
        <v>252</v>
      </c>
      <c r="C555" s="11">
        <f ca="1">IFERROR(__xludf.DUMMYFUNCTION("GOOGLEFINANCE(A555,""PRICEOPEN"")"),251.02)</f>
        <v>251.02</v>
      </c>
      <c r="D555" s="11">
        <f ca="1">IFERROR(__xludf.DUMMYFUNCTION("GOOGLEFINANCE(A555,""HIGH"")"),259.25)</f>
        <v>259.25</v>
      </c>
      <c r="E555" s="11">
        <f ca="1">IFERROR(__xludf.DUMMYFUNCTION("GOOGLEFINANCE(A555,""LOW"")"),248.63)</f>
        <v>248.63</v>
      </c>
      <c r="F555" s="12" t="str">
        <f t="shared" ca="1" si="21"/>
        <v/>
      </c>
      <c r="G555" s="13">
        <f ca="1">IFERROR(__xludf.DUMMYFUNCTION("GOOGLEFINANCE(A555,""CLOSEYEST"")"),251.02)</f>
        <v>251.02</v>
      </c>
      <c r="H555" s="14" t="str">
        <f t="shared" ca="1" si="27"/>
        <v/>
      </c>
      <c r="I555" s="15">
        <f t="shared" ca="1" si="22"/>
        <v>252.96666666666667</v>
      </c>
      <c r="J555" s="16">
        <f t="shared" ca="1" si="23"/>
        <v>257.30333333333334</v>
      </c>
      <c r="K555" s="16"/>
      <c r="L555" s="16">
        <f t="shared" ca="1" si="24"/>
        <v>246.68333333333334</v>
      </c>
      <c r="M555" s="16">
        <f t="shared" ca="1" si="25"/>
        <v>263.5866666666667</v>
      </c>
      <c r="N555" s="16">
        <f t="shared" ca="1" si="26"/>
        <v>242.34666666666666</v>
      </c>
    </row>
    <row r="556" spans="1:14" ht="24.75" customHeight="1" x14ac:dyDescent="0.8">
      <c r="A556" s="18" t="s">
        <v>519</v>
      </c>
      <c r="B556" s="10">
        <f ca="1">IFERROR(__xludf.DUMMYFUNCTION("GOOGLEFINANCE(A556,""PRICE"")"),249.85)</f>
        <v>249.85</v>
      </c>
      <c r="C556" s="11">
        <f ca="1">IFERROR(__xludf.DUMMYFUNCTION("GOOGLEFINANCE(A556,""PRICEOPEN"")"),239.95)</f>
        <v>239.95</v>
      </c>
      <c r="D556" s="11">
        <f ca="1">IFERROR(__xludf.DUMMYFUNCTION("GOOGLEFINANCE(A556,""HIGH"")"),249.85)</f>
        <v>249.85</v>
      </c>
      <c r="E556" s="11">
        <f ca="1">IFERROR(__xludf.DUMMYFUNCTION("GOOGLEFINANCE(A556,""LOW"")"),239.95)</f>
        <v>239.95</v>
      </c>
      <c r="F556" s="12" t="str">
        <f t="shared" ca="1" si="21"/>
        <v>BUY</v>
      </c>
      <c r="G556" s="13">
        <f ca="1">IFERROR(__xludf.DUMMYFUNCTION("GOOGLEFINANCE(A556,""CLOSEYEST"")"),242.36)</f>
        <v>242.36</v>
      </c>
      <c r="H556" s="14" t="str">
        <f t="shared" ca="1" si="27"/>
        <v/>
      </c>
      <c r="I556" s="15">
        <f t="shared" ca="1" si="22"/>
        <v>244.05333333333331</v>
      </c>
      <c r="J556" s="16">
        <f t="shared" ca="1" si="23"/>
        <v>248.15666666666664</v>
      </c>
      <c r="K556" s="16"/>
      <c r="L556" s="16">
        <f t="shared" ca="1" si="24"/>
        <v>238.25666666666663</v>
      </c>
      <c r="M556" s="16">
        <f t="shared" ca="1" si="25"/>
        <v>253.95333333333332</v>
      </c>
      <c r="N556" s="16">
        <f t="shared" ca="1" si="26"/>
        <v>234.15333333333331</v>
      </c>
    </row>
    <row r="557" spans="1:14" ht="24.75" customHeight="1" x14ac:dyDescent="0.8">
      <c r="A557" s="18" t="s">
        <v>520</v>
      </c>
      <c r="B557" s="10">
        <f ca="1">IFERROR(__xludf.DUMMYFUNCTION("GOOGLEFINANCE(A557,""PRICE"")"),150.45)</f>
        <v>150.44999999999999</v>
      </c>
      <c r="C557" s="11">
        <f ca="1">IFERROR(__xludf.DUMMYFUNCTION("GOOGLEFINANCE(A557,""PRICEOPEN"")"),148.31)</f>
        <v>148.31</v>
      </c>
      <c r="D557" s="11">
        <f ca="1">IFERROR(__xludf.DUMMYFUNCTION("GOOGLEFINANCE(A557,""HIGH"")"),150.86)</f>
        <v>150.86000000000001</v>
      </c>
      <c r="E557" s="11">
        <f ca="1">IFERROR(__xludf.DUMMYFUNCTION("GOOGLEFINANCE(A557,""LOW"")"),147.97)</f>
        <v>147.97</v>
      </c>
      <c r="F557" s="12" t="str">
        <f t="shared" ca="1" si="21"/>
        <v/>
      </c>
      <c r="G557" s="13">
        <f ca="1">IFERROR(__xludf.DUMMYFUNCTION("GOOGLEFINANCE(A557,""CLOSEYEST"")"),148.89)</f>
        <v>148.88999999999999</v>
      </c>
      <c r="H557" s="14" t="str">
        <f t="shared" ca="1" si="27"/>
        <v/>
      </c>
      <c r="I557" s="15">
        <f t="shared" ca="1" si="22"/>
        <v>149.24</v>
      </c>
      <c r="J557" s="16">
        <f t="shared" ca="1" si="23"/>
        <v>150.51000000000002</v>
      </c>
      <c r="K557" s="16"/>
      <c r="L557" s="16">
        <f t="shared" ca="1" si="24"/>
        <v>147.62</v>
      </c>
      <c r="M557" s="16">
        <f t="shared" ca="1" si="25"/>
        <v>152.13000000000002</v>
      </c>
      <c r="N557" s="16">
        <f t="shared" ca="1" si="26"/>
        <v>146.35</v>
      </c>
    </row>
    <row r="558" spans="1:14" ht="24.75" customHeight="1" x14ac:dyDescent="0.8">
      <c r="A558" s="18" t="s">
        <v>521</v>
      </c>
      <c r="B558" s="10">
        <f ca="1">IFERROR(__xludf.DUMMYFUNCTION("GOOGLEFINANCE(A558,""PRICE"")"),1863)</f>
        <v>1863</v>
      </c>
      <c r="C558" s="11">
        <f ca="1">IFERROR(__xludf.DUMMYFUNCTION("GOOGLEFINANCE(A558,""PRICEOPEN"")"),1861.6)</f>
        <v>1861.6</v>
      </c>
      <c r="D558" s="11">
        <f ca="1">IFERROR(__xludf.DUMMYFUNCTION("GOOGLEFINANCE(A558,""HIGH"")"),1890)</f>
        <v>1890</v>
      </c>
      <c r="E558" s="11">
        <f ca="1">IFERROR(__xludf.DUMMYFUNCTION("GOOGLEFINANCE(A558,""LOW"")"),1832)</f>
        <v>1832</v>
      </c>
      <c r="F558" s="12" t="str">
        <f t="shared" ca="1" si="21"/>
        <v/>
      </c>
      <c r="G558" s="13">
        <f ca="1">IFERROR(__xludf.DUMMYFUNCTION("GOOGLEFINANCE(A558,""CLOSEYEST"")"),1861.6)</f>
        <v>1861.6</v>
      </c>
      <c r="H558" s="14" t="str">
        <f t="shared" ca="1" si="27"/>
        <v/>
      </c>
      <c r="I558" s="15">
        <f t="shared" ca="1" si="22"/>
        <v>1861.2</v>
      </c>
      <c r="J558" s="16">
        <f t="shared" ca="1" si="23"/>
        <v>1890.4</v>
      </c>
      <c r="K558" s="16"/>
      <c r="L558" s="16">
        <f t="shared" ca="1" si="24"/>
        <v>1832.4</v>
      </c>
      <c r="M558" s="16">
        <f t="shared" ca="1" si="25"/>
        <v>1919.2</v>
      </c>
      <c r="N558" s="16">
        <f t="shared" ca="1" si="26"/>
        <v>1803.2</v>
      </c>
    </row>
    <row r="559" spans="1:14" ht="24.75" customHeight="1" x14ac:dyDescent="0.8">
      <c r="A559" s="18" t="s">
        <v>522</v>
      </c>
      <c r="B559" s="10" t="str">
        <f ca="1">IFERROR(__xludf.DUMMYFUNCTION("GOOGLEFINANCE(A559,""PRICE"")"),"#N/A")</f>
        <v>#N/A</v>
      </c>
      <c r="C559" s="11" t="str">
        <f ca="1">IFERROR(__xludf.DUMMYFUNCTION("GOOGLEFINANCE(A559,""PRICEOPEN"")"),"#N/A")</f>
        <v>#N/A</v>
      </c>
      <c r="D559" s="11" t="str">
        <f ca="1">IFERROR(__xludf.DUMMYFUNCTION("GOOGLEFINANCE(A559,""HIGH"")"),"#N/A")</f>
        <v>#N/A</v>
      </c>
      <c r="E559" s="11" t="str">
        <f ca="1">IFERROR(__xludf.DUMMYFUNCTION("GOOGLEFINANCE(A559,""LOW"")"),"#N/A")</f>
        <v>#N/A</v>
      </c>
      <c r="F559" s="12" t="str">
        <f t="shared" ca="1" si="21"/>
        <v>SELL</v>
      </c>
      <c r="G559" s="13" t="str">
        <f ca="1">IFERROR(__xludf.DUMMYFUNCTION("GOOGLEFINANCE(A559,""CLOSEYEST"")"),"#N/A")</f>
        <v>#N/A</v>
      </c>
      <c r="H559" s="14" t="e">
        <f t="shared" ca="1" si="27"/>
        <v>#VALUE!</v>
      </c>
      <c r="I559" s="15" t="e">
        <f t="shared" ca="1" si="22"/>
        <v>#VALUE!</v>
      </c>
      <c r="J559" s="16" t="e">
        <f t="shared" ca="1" si="23"/>
        <v>#VALUE!</v>
      </c>
      <c r="K559" s="16"/>
      <c r="L559" s="16" t="e">
        <f t="shared" ca="1" si="24"/>
        <v>#VALUE!</v>
      </c>
      <c r="M559" s="16" t="e">
        <f t="shared" ca="1" si="25"/>
        <v>#VALUE!</v>
      </c>
      <c r="N559" s="16" t="e">
        <f t="shared" ca="1" si="26"/>
        <v>#VALUE!</v>
      </c>
    </row>
    <row r="560" spans="1:14" ht="24.75" customHeight="1" x14ac:dyDescent="0.8">
      <c r="A560" s="18" t="s">
        <v>523</v>
      </c>
      <c r="B560" s="10">
        <f ca="1">IFERROR(__xludf.DUMMYFUNCTION("GOOGLEFINANCE(A560,""PRICE"")"),63.3)</f>
        <v>63.3</v>
      </c>
      <c r="C560" s="11">
        <f ca="1">IFERROR(__xludf.DUMMYFUNCTION("GOOGLEFINANCE(A560,""PRICEOPEN"")"),63.44)</f>
        <v>63.44</v>
      </c>
      <c r="D560" s="11">
        <f ca="1">IFERROR(__xludf.DUMMYFUNCTION("GOOGLEFINANCE(A560,""HIGH"")"),63.44)</f>
        <v>63.44</v>
      </c>
      <c r="E560" s="11">
        <f ca="1">IFERROR(__xludf.DUMMYFUNCTION("GOOGLEFINANCE(A560,""LOW"")"),63.3)</f>
        <v>63.3</v>
      </c>
      <c r="F560" s="12" t="str">
        <f t="shared" ca="1" si="21"/>
        <v>SELL</v>
      </c>
      <c r="G560" s="13">
        <f ca="1">IFERROR(__xludf.DUMMYFUNCTION("GOOGLEFINANCE(A560,""CLOSEYEST"")"),62.6)</f>
        <v>62.6</v>
      </c>
      <c r="H560" s="14" t="str">
        <f t="shared" ca="1" si="27"/>
        <v>GAP UP</v>
      </c>
      <c r="I560" s="15">
        <f t="shared" ca="1" si="22"/>
        <v>63.113333333333337</v>
      </c>
      <c r="J560" s="16">
        <f t="shared" ca="1" si="23"/>
        <v>62.926666666666677</v>
      </c>
      <c r="K560" s="16"/>
      <c r="L560" s="16">
        <f t="shared" ca="1" si="24"/>
        <v>62.786666666666676</v>
      </c>
      <c r="M560" s="16">
        <f t="shared" ca="1" si="25"/>
        <v>63.253333333333337</v>
      </c>
      <c r="N560" s="16">
        <f t="shared" ca="1" si="26"/>
        <v>62.973333333333336</v>
      </c>
    </row>
    <row r="561" spans="1:14" ht="24.75" customHeight="1" x14ac:dyDescent="0.8">
      <c r="A561" s="18" t="s">
        <v>524</v>
      </c>
      <c r="B561" s="10">
        <f ca="1">IFERROR(__xludf.DUMMYFUNCTION("GOOGLEFINANCE(A561,""PRICE"")"),200.1)</f>
        <v>200.1</v>
      </c>
      <c r="C561" s="11">
        <f ca="1">IFERROR(__xludf.DUMMYFUNCTION("GOOGLEFINANCE(A561,""PRICEOPEN"")"),194.9)</f>
        <v>194.9</v>
      </c>
      <c r="D561" s="11">
        <f ca="1">IFERROR(__xludf.DUMMYFUNCTION("GOOGLEFINANCE(A561,""HIGH"")"),203.38)</f>
        <v>203.38</v>
      </c>
      <c r="E561" s="11">
        <f ca="1">IFERROR(__xludf.DUMMYFUNCTION("GOOGLEFINANCE(A561,""LOW"")"),193.84)</f>
        <v>193.84</v>
      </c>
      <c r="F561" s="12" t="str">
        <f t="shared" ca="1" si="21"/>
        <v/>
      </c>
      <c r="G561" s="13">
        <f ca="1">IFERROR(__xludf.DUMMYFUNCTION("GOOGLEFINANCE(A561,""CLOSEYEST"")"),194.9)</f>
        <v>194.9</v>
      </c>
      <c r="H561" s="14" t="str">
        <f t="shared" ca="1" si="27"/>
        <v/>
      </c>
      <c r="I561" s="15">
        <f t="shared" ca="1" si="22"/>
        <v>197.37333333333333</v>
      </c>
      <c r="J561" s="16">
        <f t="shared" ca="1" si="23"/>
        <v>200.90666666666667</v>
      </c>
      <c r="K561" s="16"/>
      <c r="L561" s="16">
        <f t="shared" ca="1" si="24"/>
        <v>191.36666666666667</v>
      </c>
      <c r="M561" s="16">
        <f t="shared" ca="1" si="25"/>
        <v>206.91333333333333</v>
      </c>
      <c r="N561" s="16">
        <f t="shared" ca="1" si="26"/>
        <v>187.83333333333334</v>
      </c>
    </row>
    <row r="562" spans="1:14" ht="24.75" customHeight="1" x14ac:dyDescent="0.8">
      <c r="A562" s="18" t="s">
        <v>525</v>
      </c>
      <c r="B562" s="10">
        <f ca="1">IFERROR(__xludf.DUMMYFUNCTION("GOOGLEFINANCE(A562,""PRICE"")"),891)</f>
        <v>891</v>
      </c>
      <c r="C562" s="11">
        <f ca="1">IFERROR(__xludf.DUMMYFUNCTION("GOOGLEFINANCE(A562,""PRICEOPEN"")"),900.8)</f>
        <v>900.8</v>
      </c>
      <c r="D562" s="11">
        <f ca="1">IFERROR(__xludf.DUMMYFUNCTION("GOOGLEFINANCE(A562,""HIGH"")"),903.65)</f>
        <v>903.65</v>
      </c>
      <c r="E562" s="11">
        <f ca="1">IFERROR(__xludf.DUMMYFUNCTION("GOOGLEFINANCE(A562,""LOW"")"),888.15)</f>
        <v>888.15</v>
      </c>
      <c r="F562" s="12" t="str">
        <f t="shared" ca="1" si="21"/>
        <v/>
      </c>
      <c r="G562" s="13">
        <f ca="1">IFERROR(__xludf.DUMMYFUNCTION("GOOGLEFINANCE(A562,""CLOSEYEST"")"),899.8)</f>
        <v>899.8</v>
      </c>
      <c r="H562" s="14" t="str">
        <f t="shared" ca="1" si="27"/>
        <v/>
      </c>
      <c r="I562" s="15">
        <f t="shared" ca="1" si="22"/>
        <v>897.19999999999993</v>
      </c>
      <c r="J562" s="16">
        <f t="shared" ca="1" si="23"/>
        <v>906.24999999999989</v>
      </c>
      <c r="K562" s="16"/>
      <c r="L562" s="16">
        <f t="shared" ca="1" si="24"/>
        <v>890.74999999999989</v>
      </c>
      <c r="M562" s="16">
        <f t="shared" ca="1" si="25"/>
        <v>912.69999999999993</v>
      </c>
      <c r="N562" s="16">
        <f t="shared" ca="1" si="26"/>
        <v>881.69999999999993</v>
      </c>
    </row>
    <row r="563" spans="1:14" ht="24.75" customHeight="1" x14ac:dyDescent="0.8">
      <c r="A563" s="18" t="s">
        <v>526</v>
      </c>
      <c r="B563" s="10">
        <f ca="1">IFERROR(__xludf.DUMMYFUNCTION("GOOGLEFINANCE(A563,""PRICE"")"),384)</f>
        <v>384</v>
      </c>
      <c r="C563" s="11">
        <f ca="1">IFERROR(__xludf.DUMMYFUNCTION("GOOGLEFINANCE(A563,""PRICEOPEN"")"),391.5)</f>
        <v>391.5</v>
      </c>
      <c r="D563" s="11">
        <f ca="1">IFERROR(__xludf.DUMMYFUNCTION("GOOGLEFINANCE(A563,""HIGH"")"),394.65)</f>
        <v>394.65</v>
      </c>
      <c r="E563" s="11">
        <f ca="1">IFERROR(__xludf.DUMMYFUNCTION("GOOGLEFINANCE(A563,""LOW"")"),378.45)</f>
        <v>378.45</v>
      </c>
      <c r="F563" s="12" t="str">
        <f t="shared" ca="1" si="21"/>
        <v/>
      </c>
      <c r="G563" s="13">
        <f ca="1">IFERROR(__xludf.DUMMYFUNCTION("GOOGLEFINANCE(A563,""CLOSEYEST"")"),380.6)</f>
        <v>380.6</v>
      </c>
      <c r="H563" s="14" t="str">
        <f t="shared" ca="1" si="27"/>
        <v>GAP UP</v>
      </c>
      <c r="I563" s="15">
        <f t="shared" ca="1" si="22"/>
        <v>384.56666666666661</v>
      </c>
      <c r="J563" s="16">
        <f t="shared" ca="1" si="23"/>
        <v>390.68333333333322</v>
      </c>
      <c r="K563" s="16"/>
      <c r="L563" s="16">
        <f t="shared" ca="1" si="24"/>
        <v>374.48333333333323</v>
      </c>
      <c r="M563" s="16">
        <f t="shared" ca="1" si="25"/>
        <v>400.76666666666659</v>
      </c>
      <c r="N563" s="16">
        <f t="shared" ca="1" si="26"/>
        <v>368.36666666666662</v>
      </c>
    </row>
    <row r="564" spans="1:14" ht="24.75" customHeight="1" x14ac:dyDescent="0.8">
      <c r="A564" s="18" t="s">
        <v>527</v>
      </c>
      <c r="B564" s="10">
        <f ca="1">IFERROR(__xludf.DUMMYFUNCTION("GOOGLEFINANCE(A564,""PRICE"")"),101.7)</f>
        <v>101.7</v>
      </c>
      <c r="C564" s="11">
        <f ca="1">IFERROR(__xludf.DUMMYFUNCTION("GOOGLEFINANCE(A564,""PRICEOPEN"")"),100.92)</f>
        <v>100.92</v>
      </c>
      <c r="D564" s="11">
        <f ca="1">IFERROR(__xludf.DUMMYFUNCTION("GOOGLEFINANCE(A564,""HIGH"")"),101.9)</f>
        <v>101.9</v>
      </c>
      <c r="E564" s="11">
        <f ca="1">IFERROR(__xludf.DUMMYFUNCTION("GOOGLEFINANCE(A564,""LOW"")"),100.61)</f>
        <v>100.61</v>
      </c>
      <c r="F564" s="12" t="str">
        <f t="shared" ca="1" si="21"/>
        <v/>
      </c>
      <c r="G564" s="13">
        <f ca="1">IFERROR(__xludf.DUMMYFUNCTION("GOOGLEFINANCE(A564,""CLOSEYEST"")"),100.92)</f>
        <v>100.92</v>
      </c>
      <c r="H564" s="14" t="str">
        <f t="shared" ca="1" si="27"/>
        <v/>
      </c>
      <c r="I564" s="15">
        <f t="shared" ca="1" si="22"/>
        <v>101.14333333333333</v>
      </c>
      <c r="J564" s="16">
        <f t="shared" ca="1" si="23"/>
        <v>101.67666666666666</v>
      </c>
      <c r="K564" s="16"/>
      <c r="L564" s="16">
        <f t="shared" ca="1" si="24"/>
        <v>100.38666666666666</v>
      </c>
      <c r="M564" s="16">
        <f t="shared" ca="1" si="25"/>
        <v>102.43333333333334</v>
      </c>
      <c r="N564" s="16">
        <f t="shared" ca="1" si="26"/>
        <v>99.853333333333325</v>
      </c>
    </row>
    <row r="565" spans="1:14" ht="24.75" customHeight="1" x14ac:dyDescent="0.8">
      <c r="A565" s="18" t="s">
        <v>528</v>
      </c>
      <c r="B565" s="10">
        <f ca="1">IFERROR(__xludf.DUMMYFUNCTION("GOOGLEFINANCE(A565,""PRICE"")"),940)</f>
        <v>940</v>
      </c>
      <c r="C565" s="11">
        <f ca="1">IFERROR(__xludf.DUMMYFUNCTION("GOOGLEFINANCE(A565,""PRICEOPEN"")"),925)</f>
        <v>925</v>
      </c>
      <c r="D565" s="11">
        <f ca="1">IFERROR(__xludf.DUMMYFUNCTION("GOOGLEFINANCE(A565,""HIGH"")"),940)</f>
        <v>940</v>
      </c>
      <c r="E565" s="11">
        <f ca="1">IFERROR(__xludf.DUMMYFUNCTION("GOOGLEFINANCE(A565,""LOW"")"),920)</f>
        <v>920</v>
      </c>
      <c r="F565" s="12" t="str">
        <f t="shared" ca="1" si="21"/>
        <v/>
      </c>
      <c r="G565" s="13">
        <f ca="1">IFERROR(__xludf.DUMMYFUNCTION("GOOGLEFINANCE(A565,""CLOSEYEST"")"),920)</f>
        <v>920</v>
      </c>
      <c r="H565" s="14" t="str">
        <f t="shared" ca="1" si="27"/>
        <v/>
      </c>
      <c r="I565" s="15">
        <f t="shared" ca="1" si="22"/>
        <v>926.66666666666663</v>
      </c>
      <c r="J565" s="16">
        <f t="shared" ca="1" si="23"/>
        <v>933.33333333333326</v>
      </c>
      <c r="K565" s="16"/>
      <c r="L565" s="16">
        <f t="shared" ca="1" si="24"/>
        <v>913.33333333333326</v>
      </c>
      <c r="M565" s="16">
        <f t="shared" ca="1" si="25"/>
        <v>946.66666666666663</v>
      </c>
      <c r="N565" s="16">
        <f t="shared" ca="1" si="26"/>
        <v>906.66666666666663</v>
      </c>
    </row>
    <row r="566" spans="1:14" ht="24.75" customHeight="1" x14ac:dyDescent="0.8">
      <c r="A566" s="18" t="s">
        <v>529</v>
      </c>
      <c r="B566" s="10">
        <f ca="1">IFERROR(__xludf.DUMMYFUNCTION("GOOGLEFINANCE(A566,""PRICE"")"),174.3)</f>
        <v>174.3</v>
      </c>
      <c r="C566" s="11">
        <f ca="1">IFERROR(__xludf.DUMMYFUNCTION("GOOGLEFINANCE(A566,""PRICEOPEN"")"),173.99)</f>
        <v>173.99</v>
      </c>
      <c r="D566" s="11">
        <f ca="1">IFERROR(__xludf.DUMMYFUNCTION("GOOGLEFINANCE(A566,""HIGH"")"),175.44)</f>
        <v>175.44</v>
      </c>
      <c r="E566" s="11">
        <f ca="1">IFERROR(__xludf.DUMMYFUNCTION("GOOGLEFINANCE(A566,""LOW"")"),172.15)</f>
        <v>172.15</v>
      </c>
      <c r="F566" s="12" t="str">
        <f t="shared" ca="1" si="21"/>
        <v/>
      </c>
      <c r="G566" s="13">
        <f ca="1">IFERROR(__xludf.DUMMYFUNCTION("GOOGLEFINANCE(A566,""CLOSEYEST"")"),173.62)</f>
        <v>173.62</v>
      </c>
      <c r="H566" s="14" t="str">
        <f t="shared" ca="1" si="27"/>
        <v/>
      </c>
      <c r="I566" s="15">
        <f t="shared" ca="1" si="22"/>
        <v>173.73666666666668</v>
      </c>
      <c r="J566" s="16">
        <f t="shared" ca="1" si="23"/>
        <v>175.32333333333335</v>
      </c>
      <c r="K566" s="16"/>
      <c r="L566" s="16">
        <f t="shared" ca="1" si="24"/>
        <v>172.03333333333336</v>
      </c>
      <c r="M566" s="16">
        <f t="shared" ca="1" si="25"/>
        <v>177.02666666666667</v>
      </c>
      <c r="N566" s="16">
        <f t="shared" ca="1" si="26"/>
        <v>170.44666666666669</v>
      </c>
    </row>
    <row r="567" spans="1:14" ht="24.75" customHeight="1" x14ac:dyDescent="0.8">
      <c r="A567" s="18" t="s">
        <v>530</v>
      </c>
      <c r="B567" s="10" t="str">
        <f ca="1">IFERROR(__xludf.DUMMYFUNCTION("GOOGLEFINANCE(A567,""PRICE"")"),"#N/A")</f>
        <v>#N/A</v>
      </c>
      <c r="C567" s="11" t="str">
        <f ca="1">IFERROR(__xludf.DUMMYFUNCTION("GOOGLEFINANCE(A567,""PRICEOPEN"")"),"#N/A")</f>
        <v>#N/A</v>
      </c>
      <c r="D567" s="11" t="str">
        <f ca="1">IFERROR(__xludf.DUMMYFUNCTION("GOOGLEFINANCE(A567,""HIGH"")"),"#N/A")</f>
        <v>#N/A</v>
      </c>
      <c r="E567" s="11" t="str">
        <f ca="1">IFERROR(__xludf.DUMMYFUNCTION("GOOGLEFINANCE(A567,""LOW"")"),"#N/A")</f>
        <v>#N/A</v>
      </c>
      <c r="F567" s="12" t="str">
        <f t="shared" ca="1" si="21"/>
        <v>SELL</v>
      </c>
      <c r="G567" s="13" t="str">
        <f ca="1">IFERROR(__xludf.DUMMYFUNCTION("GOOGLEFINANCE(A567,""CLOSEYEST"")"),"#N/A")</f>
        <v>#N/A</v>
      </c>
      <c r="H567" s="14" t="e">
        <f t="shared" ca="1" si="27"/>
        <v>#VALUE!</v>
      </c>
      <c r="I567" s="15" t="e">
        <f t="shared" ca="1" si="22"/>
        <v>#VALUE!</v>
      </c>
      <c r="J567" s="16" t="e">
        <f t="shared" ca="1" si="23"/>
        <v>#VALUE!</v>
      </c>
      <c r="K567" s="16"/>
      <c r="L567" s="16" t="e">
        <f t="shared" ca="1" si="24"/>
        <v>#VALUE!</v>
      </c>
      <c r="M567" s="16" t="e">
        <f t="shared" ca="1" si="25"/>
        <v>#VALUE!</v>
      </c>
      <c r="N567" s="16" t="e">
        <f t="shared" ca="1" si="26"/>
        <v>#VALUE!</v>
      </c>
    </row>
    <row r="568" spans="1:14" ht="24.75" customHeight="1" x14ac:dyDescent="0.8">
      <c r="A568" s="18" t="s">
        <v>531</v>
      </c>
      <c r="B568" s="10">
        <f ca="1">IFERROR(__xludf.DUMMYFUNCTION("GOOGLEFINANCE(A568,""PRICE"")"),352.5)</f>
        <v>352.5</v>
      </c>
      <c r="C568" s="11">
        <f ca="1">IFERROR(__xludf.DUMMYFUNCTION("GOOGLEFINANCE(A568,""PRICEOPEN"")"),349.85)</f>
        <v>349.85</v>
      </c>
      <c r="D568" s="11">
        <f ca="1">IFERROR(__xludf.DUMMYFUNCTION("GOOGLEFINANCE(A568,""HIGH"")"),353.85)</f>
        <v>353.85</v>
      </c>
      <c r="E568" s="11">
        <f ca="1">IFERROR(__xludf.DUMMYFUNCTION("GOOGLEFINANCE(A568,""LOW"")"),348)</f>
        <v>348</v>
      </c>
      <c r="F568" s="12" t="str">
        <f t="shared" ca="1" si="21"/>
        <v/>
      </c>
      <c r="G568" s="13">
        <f ca="1">IFERROR(__xludf.DUMMYFUNCTION("GOOGLEFINANCE(A568,""CLOSEYEST"")"),349.85)</f>
        <v>349.85</v>
      </c>
      <c r="H568" s="14" t="str">
        <f t="shared" ca="1" si="27"/>
        <v/>
      </c>
      <c r="I568" s="15">
        <f t="shared" ca="1" si="22"/>
        <v>350.56666666666666</v>
      </c>
      <c r="J568" s="16">
        <f t="shared" ca="1" si="23"/>
        <v>353.13333333333333</v>
      </c>
      <c r="K568" s="16"/>
      <c r="L568" s="16">
        <f t="shared" ca="1" si="24"/>
        <v>347.2833333333333</v>
      </c>
      <c r="M568" s="16">
        <f t="shared" ca="1" si="25"/>
        <v>356.41666666666669</v>
      </c>
      <c r="N568" s="16">
        <f t="shared" ca="1" si="26"/>
        <v>344.71666666666664</v>
      </c>
    </row>
    <row r="569" spans="1:14" ht="24.75" customHeight="1" x14ac:dyDescent="0.8">
      <c r="A569" s="18" t="s">
        <v>532</v>
      </c>
      <c r="B569" s="10">
        <f ca="1">IFERROR(__xludf.DUMMYFUNCTION("GOOGLEFINANCE(A569,""PRICE"")"),272.5)</f>
        <v>272.5</v>
      </c>
      <c r="C569" s="11">
        <f ca="1">IFERROR(__xludf.DUMMYFUNCTION("GOOGLEFINANCE(A569,""PRICEOPEN"")"),274)</f>
        <v>274</v>
      </c>
      <c r="D569" s="11">
        <f ca="1">IFERROR(__xludf.DUMMYFUNCTION("GOOGLEFINANCE(A569,""HIGH"")"),280.95)</f>
        <v>280.95</v>
      </c>
      <c r="E569" s="11">
        <f ca="1">IFERROR(__xludf.DUMMYFUNCTION("GOOGLEFINANCE(A569,""LOW"")"),270.1)</f>
        <v>270.10000000000002</v>
      </c>
      <c r="F569" s="12" t="str">
        <f t="shared" ca="1" si="21"/>
        <v/>
      </c>
      <c r="G569" s="13">
        <f ca="1">IFERROR(__xludf.DUMMYFUNCTION("GOOGLEFINANCE(A569,""CLOSEYEST"")"),273.85)</f>
        <v>273.85000000000002</v>
      </c>
      <c r="H569" s="14" t="str">
        <f t="shared" ca="1" si="27"/>
        <v/>
      </c>
      <c r="I569" s="15">
        <f t="shared" ca="1" si="22"/>
        <v>274.96666666666664</v>
      </c>
      <c r="J569" s="16">
        <f t="shared" ca="1" si="23"/>
        <v>279.83333333333326</v>
      </c>
      <c r="K569" s="16"/>
      <c r="L569" s="16">
        <f t="shared" ca="1" si="24"/>
        <v>268.98333333333329</v>
      </c>
      <c r="M569" s="16">
        <f t="shared" ca="1" si="25"/>
        <v>285.81666666666661</v>
      </c>
      <c r="N569" s="16">
        <f t="shared" ca="1" si="26"/>
        <v>264.11666666666667</v>
      </c>
    </row>
    <row r="570" spans="1:14" ht="24.75" customHeight="1" x14ac:dyDescent="0.8">
      <c r="A570" s="18" t="s">
        <v>533</v>
      </c>
      <c r="B570" s="10">
        <f ca="1">IFERROR(__xludf.DUMMYFUNCTION("GOOGLEFINANCE(A570,""PRICE"")"),8.18)</f>
        <v>8.18</v>
      </c>
      <c r="C570" s="11">
        <f ca="1">IFERROR(__xludf.DUMMYFUNCTION("GOOGLEFINANCE(A570,""PRICEOPEN"")"),8.17)</f>
        <v>8.17</v>
      </c>
      <c r="D570" s="11">
        <f ca="1">IFERROR(__xludf.DUMMYFUNCTION("GOOGLEFINANCE(A570,""HIGH"")"),8.22)</f>
        <v>8.2200000000000006</v>
      </c>
      <c r="E570" s="11">
        <f ca="1">IFERROR(__xludf.DUMMYFUNCTION("GOOGLEFINANCE(A570,""LOW"")"),8.05)</f>
        <v>8.0500000000000007</v>
      </c>
      <c r="F570" s="12" t="str">
        <f t="shared" ca="1" si="21"/>
        <v/>
      </c>
      <c r="G570" s="13">
        <f ca="1">IFERROR(__xludf.DUMMYFUNCTION("GOOGLEFINANCE(A570,""CLOSEYEST"")"),8.13)</f>
        <v>8.1300000000000008</v>
      </c>
      <c r="H570" s="14" t="str">
        <f t="shared" ca="1" si="27"/>
        <v/>
      </c>
      <c r="I570" s="15">
        <f t="shared" ca="1" si="22"/>
        <v>8.1333333333333346</v>
      </c>
      <c r="J570" s="16">
        <f t="shared" ca="1" si="23"/>
        <v>8.2166666666666686</v>
      </c>
      <c r="K570" s="16"/>
      <c r="L570" s="16">
        <f t="shared" ca="1" si="24"/>
        <v>8.0466666666666686</v>
      </c>
      <c r="M570" s="16">
        <f t="shared" ca="1" si="25"/>
        <v>8.3033333333333346</v>
      </c>
      <c r="N570" s="16">
        <f t="shared" ca="1" si="26"/>
        <v>7.9633333333333347</v>
      </c>
    </row>
    <row r="571" spans="1:14" ht="24.75" customHeight="1" x14ac:dyDescent="0.8">
      <c r="A571" s="18" t="s">
        <v>534</v>
      </c>
      <c r="B571" s="10">
        <f ca="1">IFERROR(__xludf.DUMMYFUNCTION("GOOGLEFINANCE(A571,""PRICE"")"),539)</f>
        <v>539</v>
      </c>
      <c r="C571" s="11">
        <f ca="1">IFERROR(__xludf.DUMMYFUNCTION("GOOGLEFINANCE(A571,""PRICEOPEN"")"),536.8)</f>
        <v>536.79999999999995</v>
      </c>
      <c r="D571" s="11">
        <f ca="1">IFERROR(__xludf.DUMMYFUNCTION("GOOGLEFINANCE(A571,""HIGH"")"),539)</f>
        <v>539</v>
      </c>
      <c r="E571" s="11">
        <f ca="1">IFERROR(__xludf.DUMMYFUNCTION("GOOGLEFINANCE(A571,""LOW"")"),528)</f>
        <v>528</v>
      </c>
      <c r="F571" s="12" t="str">
        <f t="shared" ca="1" si="21"/>
        <v/>
      </c>
      <c r="G571" s="13">
        <f ca="1">IFERROR(__xludf.DUMMYFUNCTION("GOOGLEFINANCE(A571,""CLOSEYEST"")"),536.8)</f>
        <v>536.79999999999995</v>
      </c>
      <c r="H571" s="14" t="str">
        <f t="shared" ca="1" si="27"/>
        <v/>
      </c>
      <c r="I571" s="15">
        <f t="shared" ca="1" si="22"/>
        <v>534.6</v>
      </c>
      <c r="J571" s="16">
        <f t="shared" ca="1" si="23"/>
        <v>541.20000000000005</v>
      </c>
      <c r="K571" s="16"/>
      <c r="L571" s="16">
        <f t="shared" ca="1" si="24"/>
        <v>530.20000000000005</v>
      </c>
      <c r="M571" s="16">
        <f t="shared" ca="1" si="25"/>
        <v>545.6</v>
      </c>
      <c r="N571" s="16">
        <f t="shared" ca="1" si="26"/>
        <v>523.6</v>
      </c>
    </row>
    <row r="572" spans="1:14" ht="24.75" customHeight="1" x14ac:dyDescent="0.8">
      <c r="A572" s="18" t="s">
        <v>535</v>
      </c>
      <c r="B572" s="10">
        <f ca="1">IFERROR(__xludf.DUMMYFUNCTION("GOOGLEFINANCE(A572,""PRICE"")"),11.7)</f>
        <v>11.7</v>
      </c>
      <c r="C572" s="11">
        <f ca="1">IFERROR(__xludf.DUMMYFUNCTION("GOOGLEFINANCE(A572,""PRICEOPEN"")"),11.55)</f>
        <v>11.55</v>
      </c>
      <c r="D572" s="11">
        <f ca="1">IFERROR(__xludf.DUMMYFUNCTION("GOOGLEFINANCE(A572,""HIGH"")"),11.7)</f>
        <v>11.7</v>
      </c>
      <c r="E572" s="11">
        <f ca="1">IFERROR(__xludf.DUMMYFUNCTION("GOOGLEFINANCE(A572,""LOW"")"),11.47)</f>
        <v>11.47</v>
      </c>
      <c r="F572" s="12" t="str">
        <f t="shared" ca="1" si="21"/>
        <v/>
      </c>
      <c r="G572" s="13">
        <f ca="1">IFERROR(__xludf.DUMMYFUNCTION("GOOGLEFINANCE(A572,""CLOSEYEST"")"),11.53)</f>
        <v>11.53</v>
      </c>
      <c r="H572" s="14" t="str">
        <f t="shared" ca="1" si="27"/>
        <v/>
      </c>
      <c r="I572" s="15">
        <f t="shared" ca="1" si="22"/>
        <v>11.566666666666668</v>
      </c>
      <c r="J572" s="16">
        <f t="shared" ca="1" si="23"/>
        <v>11.663333333333336</v>
      </c>
      <c r="K572" s="16"/>
      <c r="L572" s="16">
        <f t="shared" ca="1" si="24"/>
        <v>11.433333333333337</v>
      </c>
      <c r="M572" s="16">
        <f t="shared" ca="1" si="25"/>
        <v>11.796666666666667</v>
      </c>
      <c r="N572" s="16">
        <f t="shared" ca="1" si="26"/>
        <v>11.33666666666667</v>
      </c>
    </row>
    <row r="573" spans="1:14" ht="24.75" customHeight="1" x14ac:dyDescent="0.8">
      <c r="A573" s="18" t="s">
        <v>536</v>
      </c>
      <c r="B573" s="10">
        <f ca="1">IFERROR(__xludf.DUMMYFUNCTION("GOOGLEFINANCE(A573,""PRICE"")"),1070)</f>
        <v>1070</v>
      </c>
      <c r="C573" s="11">
        <f ca="1">IFERROR(__xludf.DUMMYFUNCTION("GOOGLEFINANCE(A573,""PRICEOPEN"")"),1063)</f>
        <v>1063</v>
      </c>
      <c r="D573" s="11">
        <f ca="1">IFERROR(__xludf.DUMMYFUNCTION("GOOGLEFINANCE(A573,""HIGH"")"),1071.8)</f>
        <v>1071.8</v>
      </c>
      <c r="E573" s="11">
        <f ca="1">IFERROR(__xludf.DUMMYFUNCTION("GOOGLEFINANCE(A573,""LOW"")"),1056.2)</f>
        <v>1056.2</v>
      </c>
      <c r="F573" s="12" t="str">
        <f t="shared" ca="1" si="21"/>
        <v/>
      </c>
      <c r="G573" s="13">
        <f ca="1">IFERROR(__xludf.DUMMYFUNCTION("GOOGLEFINANCE(A573,""CLOSEYEST"")"),1063.7)</f>
        <v>1063.7</v>
      </c>
      <c r="H573" s="14" t="str">
        <f t="shared" ca="1" si="27"/>
        <v/>
      </c>
      <c r="I573" s="15">
        <f t="shared" ca="1" si="22"/>
        <v>1063.8999999999999</v>
      </c>
      <c r="J573" s="16">
        <f t="shared" ca="1" si="23"/>
        <v>1071.5999999999997</v>
      </c>
      <c r="K573" s="16"/>
      <c r="L573" s="16">
        <f t="shared" ca="1" si="24"/>
        <v>1055.9999999999998</v>
      </c>
      <c r="M573" s="16">
        <f t="shared" ca="1" si="25"/>
        <v>1079.4999999999998</v>
      </c>
      <c r="N573" s="16">
        <f t="shared" ca="1" si="26"/>
        <v>1048.3</v>
      </c>
    </row>
    <row r="574" spans="1:14" ht="24.75" customHeight="1" x14ac:dyDescent="0.8">
      <c r="A574" s="18" t="s">
        <v>537</v>
      </c>
      <c r="B574" s="10">
        <f ca="1">IFERROR(__xludf.DUMMYFUNCTION("GOOGLEFINANCE(A574,""PRICE"")"),251.8)</f>
        <v>251.8</v>
      </c>
      <c r="C574" s="11">
        <f ca="1">IFERROR(__xludf.DUMMYFUNCTION("GOOGLEFINANCE(A574,""PRICEOPEN"")"),250.45)</f>
        <v>250.45</v>
      </c>
      <c r="D574" s="11">
        <f ca="1">IFERROR(__xludf.DUMMYFUNCTION("GOOGLEFINANCE(A574,""HIGH"")"),252.9)</f>
        <v>252.9</v>
      </c>
      <c r="E574" s="11">
        <f ca="1">IFERROR(__xludf.DUMMYFUNCTION("GOOGLEFINANCE(A574,""LOW"")"),248.75)</f>
        <v>248.75</v>
      </c>
      <c r="F574" s="12" t="str">
        <f t="shared" ca="1" si="21"/>
        <v/>
      </c>
      <c r="G574" s="13">
        <f ca="1">IFERROR(__xludf.DUMMYFUNCTION("GOOGLEFINANCE(A574,""CLOSEYEST"")"),250.45)</f>
        <v>250.45</v>
      </c>
      <c r="H574" s="14" t="str">
        <f t="shared" ca="1" si="27"/>
        <v/>
      </c>
      <c r="I574" s="15">
        <f t="shared" ca="1" si="22"/>
        <v>250.69999999999996</v>
      </c>
      <c r="J574" s="16">
        <f t="shared" ca="1" si="23"/>
        <v>252.64999999999992</v>
      </c>
      <c r="K574" s="16"/>
      <c r="L574" s="16">
        <f t="shared" ca="1" si="24"/>
        <v>248.49999999999991</v>
      </c>
      <c r="M574" s="16">
        <f t="shared" ca="1" si="25"/>
        <v>254.84999999999997</v>
      </c>
      <c r="N574" s="16">
        <f t="shared" ca="1" si="26"/>
        <v>246.54999999999995</v>
      </c>
    </row>
    <row r="575" spans="1:14" ht="24.75" customHeight="1" x14ac:dyDescent="0.8">
      <c r="A575" s="18" t="s">
        <v>538</v>
      </c>
      <c r="B575" s="10">
        <f ca="1">IFERROR(__xludf.DUMMYFUNCTION("GOOGLEFINANCE(A575,""PRICE"")"),586.8)</f>
        <v>586.79999999999995</v>
      </c>
      <c r="C575" s="11">
        <f ca="1">IFERROR(__xludf.DUMMYFUNCTION("GOOGLEFINANCE(A575,""PRICEOPEN"")"),594)</f>
        <v>594</v>
      </c>
      <c r="D575" s="11">
        <f ca="1">IFERROR(__xludf.DUMMYFUNCTION("GOOGLEFINANCE(A575,""HIGH"")"),595)</f>
        <v>595</v>
      </c>
      <c r="E575" s="11">
        <f ca="1">IFERROR(__xludf.DUMMYFUNCTION("GOOGLEFINANCE(A575,""LOW"")"),579.5)</f>
        <v>579.5</v>
      </c>
      <c r="F575" s="12" t="str">
        <f t="shared" ca="1" si="21"/>
        <v/>
      </c>
      <c r="G575" s="13">
        <f ca="1">IFERROR(__xludf.DUMMYFUNCTION("GOOGLEFINANCE(A575,""CLOSEYEST"")"),582.55)</f>
        <v>582.54999999999995</v>
      </c>
      <c r="H575" s="14" t="str">
        <f t="shared" ca="1" si="27"/>
        <v>GAP UP</v>
      </c>
      <c r="I575" s="15">
        <f t="shared" ca="1" si="22"/>
        <v>585.68333333333328</v>
      </c>
      <c r="J575" s="16">
        <f t="shared" ca="1" si="23"/>
        <v>591.86666666666656</v>
      </c>
      <c r="K575" s="16"/>
      <c r="L575" s="16">
        <f t="shared" ca="1" si="24"/>
        <v>576.36666666666656</v>
      </c>
      <c r="M575" s="16">
        <f t="shared" ca="1" si="25"/>
        <v>601.18333333333328</v>
      </c>
      <c r="N575" s="16">
        <f t="shared" ca="1" si="26"/>
        <v>570.18333333333328</v>
      </c>
    </row>
    <row r="576" spans="1:14" ht="24.75" customHeight="1" x14ac:dyDescent="0.8">
      <c r="A576" s="18" t="s">
        <v>539</v>
      </c>
      <c r="B576" s="10">
        <f ca="1">IFERROR(__xludf.DUMMYFUNCTION("GOOGLEFINANCE(A576,""PRICE"")"),180.5)</f>
        <v>180.5</v>
      </c>
      <c r="C576" s="11">
        <f ca="1">IFERROR(__xludf.DUMMYFUNCTION("GOOGLEFINANCE(A576,""PRICEOPEN"")"),174)</f>
        <v>174</v>
      </c>
      <c r="D576" s="11">
        <f ca="1">IFERROR(__xludf.DUMMYFUNCTION("GOOGLEFINANCE(A576,""HIGH"")"),181.39)</f>
        <v>181.39</v>
      </c>
      <c r="E576" s="11">
        <f ca="1">IFERROR(__xludf.DUMMYFUNCTION("GOOGLEFINANCE(A576,""LOW"")"),174)</f>
        <v>174</v>
      </c>
      <c r="F576" s="12" t="str">
        <f t="shared" ca="1" si="21"/>
        <v>BUY</v>
      </c>
      <c r="G576" s="13">
        <f ca="1">IFERROR(__xludf.DUMMYFUNCTION("GOOGLEFINANCE(A576,""CLOSEYEST"")"),173.97)</f>
        <v>173.97</v>
      </c>
      <c r="H576" s="14" t="str">
        <f t="shared" ca="1" si="27"/>
        <v/>
      </c>
      <c r="I576" s="15">
        <f t="shared" ca="1" si="22"/>
        <v>176.45333333333335</v>
      </c>
      <c r="J576" s="16">
        <f t="shared" ca="1" si="23"/>
        <v>178.90666666666669</v>
      </c>
      <c r="K576" s="16"/>
      <c r="L576" s="16">
        <f t="shared" ca="1" si="24"/>
        <v>171.51666666666671</v>
      </c>
      <c r="M576" s="16">
        <f t="shared" ca="1" si="25"/>
        <v>183.84333333333333</v>
      </c>
      <c r="N576" s="16">
        <f t="shared" ca="1" si="26"/>
        <v>169.06333333333336</v>
      </c>
    </row>
    <row r="577" spans="1:14" ht="24.75" customHeight="1" x14ac:dyDescent="0.8">
      <c r="A577" s="18" t="s">
        <v>540</v>
      </c>
      <c r="B577" s="10" t="str">
        <f ca="1">IFERROR(__xludf.DUMMYFUNCTION("GOOGLEFINANCE(A577,""PRICE"")"),"#N/A")</f>
        <v>#N/A</v>
      </c>
      <c r="C577" s="11" t="str">
        <f ca="1">IFERROR(__xludf.DUMMYFUNCTION("GOOGLEFINANCE(A577,""PRICEOPEN"")"),"#N/A")</f>
        <v>#N/A</v>
      </c>
      <c r="D577" s="11" t="str">
        <f ca="1">IFERROR(__xludf.DUMMYFUNCTION("GOOGLEFINANCE(A577,""HIGH"")"),"#N/A")</f>
        <v>#N/A</v>
      </c>
      <c r="E577" s="11" t="str">
        <f ca="1">IFERROR(__xludf.DUMMYFUNCTION("GOOGLEFINANCE(A577,""LOW"")"),"#N/A")</f>
        <v>#N/A</v>
      </c>
      <c r="F577" s="12" t="str">
        <f t="shared" ca="1" si="21"/>
        <v>SELL</v>
      </c>
      <c r="G577" s="13" t="str">
        <f ca="1">IFERROR(__xludf.DUMMYFUNCTION("GOOGLEFINANCE(A577,""CLOSEYEST"")"),"#N/A")</f>
        <v>#N/A</v>
      </c>
      <c r="H577" s="14" t="e">
        <f t="shared" ca="1" si="27"/>
        <v>#VALUE!</v>
      </c>
      <c r="I577" s="15" t="e">
        <f t="shared" ca="1" si="22"/>
        <v>#VALUE!</v>
      </c>
      <c r="J577" s="16" t="e">
        <f t="shared" ca="1" si="23"/>
        <v>#VALUE!</v>
      </c>
      <c r="K577" s="16"/>
      <c r="L577" s="16" t="e">
        <f t="shared" ca="1" si="24"/>
        <v>#VALUE!</v>
      </c>
      <c r="M577" s="16" t="e">
        <f t="shared" ca="1" si="25"/>
        <v>#VALUE!</v>
      </c>
      <c r="N577" s="16" t="e">
        <f t="shared" ca="1" si="26"/>
        <v>#VALUE!</v>
      </c>
    </row>
    <row r="578" spans="1:14" ht="24.75" customHeight="1" x14ac:dyDescent="0.8">
      <c r="A578" s="18" t="s">
        <v>541</v>
      </c>
      <c r="B578" s="10" t="str">
        <f ca="1">IFERROR(__xludf.DUMMYFUNCTION("GOOGLEFINANCE(A578,""PRICE"")"),"#N/A")</f>
        <v>#N/A</v>
      </c>
      <c r="C578" s="11" t="str">
        <f ca="1">IFERROR(__xludf.DUMMYFUNCTION("GOOGLEFINANCE(A578,""PRICEOPEN"")"),"#N/A")</f>
        <v>#N/A</v>
      </c>
      <c r="D578" s="11" t="str">
        <f ca="1">IFERROR(__xludf.DUMMYFUNCTION("GOOGLEFINANCE(A578,""HIGH"")"),"#N/A")</f>
        <v>#N/A</v>
      </c>
      <c r="E578" s="11" t="str">
        <f ca="1">IFERROR(__xludf.DUMMYFUNCTION("GOOGLEFINANCE(A578,""LOW"")"),"#N/A")</f>
        <v>#N/A</v>
      </c>
      <c r="F578" s="12" t="str">
        <f t="shared" ca="1" si="21"/>
        <v>SELL</v>
      </c>
      <c r="G578" s="13" t="str">
        <f ca="1">IFERROR(__xludf.DUMMYFUNCTION("GOOGLEFINANCE(A578,""CLOSEYEST"")"),"#N/A")</f>
        <v>#N/A</v>
      </c>
      <c r="H578" s="14" t="e">
        <f t="shared" ca="1" si="27"/>
        <v>#VALUE!</v>
      </c>
      <c r="I578" s="15" t="e">
        <f t="shared" ca="1" si="22"/>
        <v>#VALUE!</v>
      </c>
      <c r="J578" s="16" t="e">
        <f t="shared" ca="1" si="23"/>
        <v>#VALUE!</v>
      </c>
      <c r="K578" s="16"/>
      <c r="L578" s="16" t="e">
        <f t="shared" ca="1" si="24"/>
        <v>#VALUE!</v>
      </c>
      <c r="M578" s="16" t="e">
        <f t="shared" ca="1" si="25"/>
        <v>#VALUE!</v>
      </c>
      <c r="N578" s="16" t="e">
        <f t="shared" ca="1" si="26"/>
        <v>#VALUE!</v>
      </c>
    </row>
    <row r="579" spans="1:14" ht="24.75" customHeight="1" x14ac:dyDescent="0.8">
      <c r="A579" s="18" t="s">
        <v>542</v>
      </c>
      <c r="B579" s="10" t="str">
        <f ca="1">IFERROR(__xludf.DUMMYFUNCTION("GOOGLEFINANCE(A579,""PRICE"")"),"#N/A")</f>
        <v>#N/A</v>
      </c>
      <c r="C579" s="11" t="str">
        <f ca="1">IFERROR(__xludf.DUMMYFUNCTION("GOOGLEFINANCE(A579,""PRICEOPEN"")"),"#N/A")</f>
        <v>#N/A</v>
      </c>
      <c r="D579" s="11" t="str">
        <f ca="1">IFERROR(__xludf.DUMMYFUNCTION("GOOGLEFINANCE(A579,""HIGH"")"),"#N/A")</f>
        <v>#N/A</v>
      </c>
      <c r="E579" s="11" t="str">
        <f ca="1">IFERROR(__xludf.DUMMYFUNCTION("GOOGLEFINANCE(A579,""LOW"")"),"#N/A")</f>
        <v>#N/A</v>
      </c>
      <c r="F579" s="12" t="str">
        <f t="shared" ca="1" si="21"/>
        <v>SELL</v>
      </c>
      <c r="G579" s="13" t="str">
        <f ca="1">IFERROR(__xludf.DUMMYFUNCTION("GOOGLEFINANCE(A579,""CLOSEYEST"")"),"#N/A")</f>
        <v>#N/A</v>
      </c>
      <c r="H579" s="14" t="e">
        <f t="shared" ca="1" si="27"/>
        <v>#VALUE!</v>
      </c>
      <c r="I579" s="15" t="e">
        <f t="shared" ca="1" si="22"/>
        <v>#VALUE!</v>
      </c>
      <c r="J579" s="16" t="e">
        <f t="shared" ca="1" si="23"/>
        <v>#VALUE!</v>
      </c>
      <c r="K579" s="16"/>
      <c r="L579" s="16" t="e">
        <f t="shared" ca="1" si="24"/>
        <v>#VALUE!</v>
      </c>
      <c r="M579" s="16" t="e">
        <f t="shared" ca="1" si="25"/>
        <v>#VALUE!</v>
      </c>
      <c r="N579" s="16" t="e">
        <f t="shared" ca="1" si="26"/>
        <v>#VALUE!</v>
      </c>
    </row>
    <row r="580" spans="1:14" ht="24.75" customHeight="1" x14ac:dyDescent="0.8">
      <c r="A580" s="18" t="s">
        <v>543</v>
      </c>
      <c r="B580" s="10">
        <f ca="1">IFERROR(__xludf.DUMMYFUNCTION("GOOGLEFINANCE(A580,""PRICE"")"),381.9)</f>
        <v>381.9</v>
      </c>
      <c r="C580" s="11">
        <f ca="1">IFERROR(__xludf.DUMMYFUNCTION("GOOGLEFINANCE(A580,""PRICEOPEN"")"),375.45)</f>
        <v>375.45</v>
      </c>
      <c r="D580" s="11">
        <f ca="1">IFERROR(__xludf.DUMMYFUNCTION("GOOGLEFINANCE(A580,""HIGH"")"),385.75)</f>
        <v>385.75</v>
      </c>
      <c r="E580" s="11">
        <f ca="1">IFERROR(__xludf.DUMMYFUNCTION("GOOGLEFINANCE(A580,""LOW"")"),373)</f>
        <v>373</v>
      </c>
      <c r="F580" s="12" t="str">
        <f t="shared" ca="1" si="21"/>
        <v/>
      </c>
      <c r="G580" s="13">
        <f ca="1">IFERROR(__xludf.DUMMYFUNCTION("GOOGLEFINANCE(A580,""CLOSEYEST"")"),372.15)</f>
        <v>372.15</v>
      </c>
      <c r="H580" s="14" t="str">
        <f t="shared" ca="1" si="27"/>
        <v/>
      </c>
      <c r="I580" s="15">
        <f t="shared" ca="1" si="22"/>
        <v>376.9666666666667</v>
      </c>
      <c r="J580" s="16">
        <f t="shared" ca="1" si="23"/>
        <v>380.93333333333339</v>
      </c>
      <c r="K580" s="16"/>
      <c r="L580" s="16">
        <f t="shared" ca="1" si="24"/>
        <v>368.18333333333339</v>
      </c>
      <c r="M580" s="16">
        <f t="shared" ca="1" si="25"/>
        <v>389.7166666666667</v>
      </c>
      <c r="N580" s="16">
        <f t="shared" ca="1" si="26"/>
        <v>364.2166666666667</v>
      </c>
    </row>
    <row r="581" spans="1:14" ht="24.75" customHeight="1" x14ac:dyDescent="0.8">
      <c r="A581" s="18" t="s">
        <v>544</v>
      </c>
      <c r="B581" s="10" t="str">
        <f ca="1">IFERROR(__xludf.DUMMYFUNCTION("GOOGLEFINANCE(A581,""PRICE"")"),"#N/A")</f>
        <v>#N/A</v>
      </c>
      <c r="C581" s="11" t="str">
        <f ca="1">IFERROR(__xludf.DUMMYFUNCTION("GOOGLEFINANCE(A581,""PRICEOPEN"")"),"#N/A")</f>
        <v>#N/A</v>
      </c>
      <c r="D581" s="11" t="str">
        <f ca="1">IFERROR(__xludf.DUMMYFUNCTION("GOOGLEFINANCE(A581,""HIGH"")"),"#N/A")</f>
        <v>#N/A</v>
      </c>
      <c r="E581" s="11" t="str">
        <f ca="1">IFERROR(__xludf.DUMMYFUNCTION("GOOGLEFINANCE(A581,""LOW"")"),"#N/A")</f>
        <v>#N/A</v>
      </c>
      <c r="F581" s="12" t="str">
        <f t="shared" ca="1" si="21"/>
        <v>SELL</v>
      </c>
      <c r="G581" s="13" t="str">
        <f ca="1">IFERROR(__xludf.DUMMYFUNCTION("GOOGLEFINANCE(A581,""CLOSEYEST"")"),"#N/A")</f>
        <v>#N/A</v>
      </c>
      <c r="H581" s="14" t="e">
        <f t="shared" ca="1" si="27"/>
        <v>#VALUE!</v>
      </c>
      <c r="I581" s="15" t="e">
        <f t="shared" ca="1" si="22"/>
        <v>#VALUE!</v>
      </c>
      <c r="J581" s="16" t="e">
        <f t="shared" ca="1" si="23"/>
        <v>#VALUE!</v>
      </c>
      <c r="K581" s="16"/>
      <c r="L581" s="16" t="e">
        <f t="shared" ca="1" si="24"/>
        <v>#VALUE!</v>
      </c>
      <c r="M581" s="16" t="e">
        <f t="shared" ca="1" si="25"/>
        <v>#VALUE!</v>
      </c>
      <c r="N581" s="16" t="e">
        <f t="shared" ca="1" si="26"/>
        <v>#VALUE!</v>
      </c>
    </row>
    <row r="582" spans="1:14" ht="24.75" customHeight="1" x14ac:dyDescent="0.8">
      <c r="A582" s="18" t="s">
        <v>545</v>
      </c>
      <c r="B582" s="10">
        <f ca="1">IFERROR(__xludf.DUMMYFUNCTION("GOOGLEFINANCE(A582,""PRICE"")"),368)</f>
        <v>368</v>
      </c>
      <c r="C582" s="11">
        <f ca="1">IFERROR(__xludf.DUMMYFUNCTION("GOOGLEFINANCE(A582,""PRICEOPEN"")"),363.8)</f>
        <v>363.8</v>
      </c>
      <c r="D582" s="11">
        <f ca="1">IFERROR(__xludf.DUMMYFUNCTION("GOOGLEFINANCE(A582,""HIGH"")"),375)</f>
        <v>375</v>
      </c>
      <c r="E582" s="11">
        <f ca="1">IFERROR(__xludf.DUMMYFUNCTION("GOOGLEFINANCE(A582,""LOW"")"),360.7)</f>
        <v>360.7</v>
      </c>
      <c r="F582" s="12" t="str">
        <f t="shared" ca="1" si="21"/>
        <v/>
      </c>
      <c r="G582" s="13">
        <f ca="1">IFERROR(__xludf.DUMMYFUNCTION("GOOGLEFINANCE(A582,""CLOSEYEST"")"),361.1)</f>
        <v>361.1</v>
      </c>
      <c r="H582" s="14" t="str">
        <f t="shared" ca="1" si="27"/>
        <v/>
      </c>
      <c r="I582" s="15">
        <f t="shared" ca="1" si="22"/>
        <v>365.60000000000008</v>
      </c>
      <c r="J582" s="16">
        <f t="shared" ca="1" si="23"/>
        <v>370.50000000000017</v>
      </c>
      <c r="K582" s="16"/>
      <c r="L582" s="16">
        <f t="shared" ca="1" si="24"/>
        <v>356.20000000000016</v>
      </c>
      <c r="M582" s="16">
        <f t="shared" ca="1" si="25"/>
        <v>379.90000000000009</v>
      </c>
      <c r="N582" s="16">
        <f t="shared" ca="1" si="26"/>
        <v>351.30000000000007</v>
      </c>
    </row>
    <row r="583" spans="1:14" ht="24.75" customHeight="1" x14ac:dyDescent="0.8">
      <c r="A583" s="18" t="s">
        <v>546</v>
      </c>
      <c r="B583" s="10" t="str">
        <f ca="1">IFERROR(__xludf.DUMMYFUNCTION("GOOGLEFINANCE(A583,""PRICE"")"),"#N/A")</f>
        <v>#N/A</v>
      </c>
      <c r="C583" s="11" t="str">
        <f ca="1">IFERROR(__xludf.DUMMYFUNCTION("GOOGLEFINANCE(A583,""PRICEOPEN"")"),"#N/A")</f>
        <v>#N/A</v>
      </c>
      <c r="D583" s="11" t="str">
        <f ca="1">IFERROR(__xludf.DUMMYFUNCTION("GOOGLEFINANCE(A583,""HIGH"")"),"#N/A")</f>
        <v>#N/A</v>
      </c>
      <c r="E583" s="11" t="str">
        <f ca="1">IFERROR(__xludf.DUMMYFUNCTION("GOOGLEFINANCE(A583,""LOW"")"),"#N/A")</f>
        <v>#N/A</v>
      </c>
      <c r="F583" s="12" t="str">
        <f t="shared" ca="1" si="21"/>
        <v>SELL</v>
      </c>
      <c r="G583" s="13" t="str">
        <f ca="1">IFERROR(__xludf.DUMMYFUNCTION("GOOGLEFINANCE(A583,""CLOSEYEST"")"),"#N/A")</f>
        <v>#N/A</v>
      </c>
      <c r="H583" s="14" t="e">
        <f t="shared" ca="1" si="27"/>
        <v>#VALUE!</v>
      </c>
      <c r="I583" s="15" t="e">
        <f t="shared" ca="1" si="22"/>
        <v>#VALUE!</v>
      </c>
      <c r="J583" s="16" t="e">
        <f t="shared" ca="1" si="23"/>
        <v>#VALUE!</v>
      </c>
      <c r="K583" s="16"/>
      <c r="L583" s="16" t="e">
        <f t="shared" ca="1" si="24"/>
        <v>#VALUE!</v>
      </c>
      <c r="M583" s="16" t="e">
        <f t="shared" ca="1" si="25"/>
        <v>#VALUE!</v>
      </c>
      <c r="N583" s="16" t="e">
        <f t="shared" ca="1" si="26"/>
        <v>#VALUE!</v>
      </c>
    </row>
    <row r="584" spans="1:14" ht="24.75" customHeight="1" x14ac:dyDescent="0.8">
      <c r="A584" s="18" t="s">
        <v>547</v>
      </c>
      <c r="B584" s="10">
        <f ca="1">IFERROR(__xludf.DUMMYFUNCTION("GOOGLEFINANCE(A584,""PRICE"")"),389.5)</f>
        <v>389.5</v>
      </c>
      <c r="C584" s="11">
        <f ca="1">IFERROR(__xludf.DUMMYFUNCTION("GOOGLEFINANCE(A584,""PRICEOPEN"")"),368.45)</f>
        <v>368.45</v>
      </c>
      <c r="D584" s="11">
        <f ca="1">IFERROR(__xludf.DUMMYFUNCTION("GOOGLEFINANCE(A584,""HIGH"")"),395.7)</f>
        <v>395.7</v>
      </c>
      <c r="E584" s="11">
        <f ca="1">IFERROR(__xludf.DUMMYFUNCTION("GOOGLEFINANCE(A584,""LOW"")"),365.8)</f>
        <v>365.8</v>
      </c>
      <c r="F584" s="12" t="str">
        <f t="shared" ca="1" si="21"/>
        <v/>
      </c>
      <c r="G584" s="13">
        <f ca="1">IFERROR(__xludf.DUMMYFUNCTION("GOOGLEFINANCE(A584,""CLOSEYEST"")"),368.4)</f>
        <v>368.4</v>
      </c>
      <c r="H584" s="14" t="str">
        <f t="shared" ca="1" si="27"/>
        <v/>
      </c>
      <c r="I584" s="15">
        <f t="shared" ca="1" si="22"/>
        <v>376.63333333333338</v>
      </c>
      <c r="J584" s="16">
        <f t="shared" ca="1" si="23"/>
        <v>387.46666666666675</v>
      </c>
      <c r="K584" s="16"/>
      <c r="L584" s="16">
        <f t="shared" ca="1" si="24"/>
        <v>357.56666666666678</v>
      </c>
      <c r="M584" s="16">
        <f t="shared" ca="1" si="25"/>
        <v>406.53333333333336</v>
      </c>
      <c r="N584" s="16">
        <f t="shared" ca="1" si="26"/>
        <v>346.73333333333341</v>
      </c>
    </row>
    <row r="585" spans="1:14" ht="24.75" customHeight="1" x14ac:dyDescent="0.8">
      <c r="A585" s="18" t="s">
        <v>548</v>
      </c>
      <c r="B585" s="10" t="str">
        <f ca="1">IFERROR(__xludf.DUMMYFUNCTION("GOOGLEFINANCE(A585,""PRICE"")"),"#N/A")</f>
        <v>#N/A</v>
      </c>
      <c r="C585" s="11" t="str">
        <f ca="1">IFERROR(__xludf.DUMMYFUNCTION("GOOGLEFINANCE(A585,""PRICEOPEN"")"),"#N/A")</f>
        <v>#N/A</v>
      </c>
      <c r="D585" s="11" t="str">
        <f ca="1">IFERROR(__xludf.DUMMYFUNCTION("GOOGLEFINANCE(A585,""HIGH"")"),"#N/A")</f>
        <v>#N/A</v>
      </c>
      <c r="E585" s="11" t="str">
        <f ca="1">IFERROR(__xludf.DUMMYFUNCTION("GOOGLEFINANCE(A585,""LOW"")"),"#N/A")</f>
        <v>#N/A</v>
      </c>
      <c r="F585" s="12" t="str">
        <f t="shared" ca="1" si="21"/>
        <v>SELL</v>
      </c>
      <c r="G585" s="13" t="str">
        <f ca="1">IFERROR(__xludf.DUMMYFUNCTION("GOOGLEFINANCE(A585,""CLOSEYEST"")"),"#N/A")</f>
        <v>#N/A</v>
      </c>
      <c r="H585" s="14" t="e">
        <f t="shared" ca="1" si="27"/>
        <v>#VALUE!</v>
      </c>
      <c r="I585" s="15" t="e">
        <f t="shared" ca="1" si="22"/>
        <v>#VALUE!</v>
      </c>
      <c r="J585" s="16" t="e">
        <f t="shared" ca="1" si="23"/>
        <v>#VALUE!</v>
      </c>
      <c r="K585" s="16"/>
      <c r="L585" s="16" t="e">
        <f t="shared" ca="1" si="24"/>
        <v>#VALUE!</v>
      </c>
      <c r="M585" s="16" t="e">
        <f t="shared" ca="1" si="25"/>
        <v>#VALUE!</v>
      </c>
      <c r="N585" s="16" t="e">
        <f t="shared" ca="1" si="26"/>
        <v>#VALUE!</v>
      </c>
    </row>
    <row r="586" spans="1:14" ht="24.75" customHeight="1" x14ac:dyDescent="0.8">
      <c r="A586" s="18" t="s">
        <v>549</v>
      </c>
      <c r="B586" s="10">
        <f ca="1">IFERROR(__xludf.DUMMYFUNCTION("GOOGLEFINANCE(A586,""PRICE"")"),1300.7)</f>
        <v>1300.7</v>
      </c>
      <c r="C586" s="11">
        <f ca="1">IFERROR(__xludf.DUMMYFUNCTION("GOOGLEFINANCE(A586,""PRICEOPEN"")"),1324.9)</f>
        <v>1324.9</v>
      </c>
      <c r="D586" s="11">
        <f ca="1">IFERROR(__xludf.DUMMYFUNCTION("GOOGLEFINANCE(A586,""HIGH"")"),1324.9)</f>
        <v>1324.9</v>
      </c>
      <c r="E586" s="11">
        <f ca="1">IFERROR(__xludf.DUMMYFUNCTION("GOOGLEFINANCE(A586,""LOW"")"),1283)</f>
        <v>1283</v>
      </c>
      <c r="F586" s="12" t="str">
        <f t="shared" ca="1" si="21"/>
        <v>SELL</v>
      </c>
      <c r="G586" s="13">
        <f ca="1">IFERROR(__xludf.DUMMYFUNCTION("GOOGLEFINANCE(A586,""CLOSEYEST"")"),1314.4)</f>
        <v>1314.4</v>
      </c>
      <c r="H586" s="14" t="str">
        <f t="shared" ca="1" si="27"/>
        <v/>
      </c>
      <c r="I586" s="15">
        <f t="shared" ca="1" si="22"/>
        <v>1307.4333333333334</v>
      </c>
      <c r="J586" s="16">
        <f t="shared" ca="1" si="23"/>
        <v>1331.8666666666668</v>
      </c>
      <c r="K586" s="16"/>
      <c r="L586" s="16">
        <f t="shared" ca="1" si="24"/>
        <v>1289.9666666666667</v>
      </c>
      <c r="M586" s="16">
        <f t="shared" ca="1" si="25"/>
        <v>1349.3333333333335</v>
      </c>
      <c r="N586" s="16">
        <f t="shared" ca="1" si="26"/>
        <v>1265.5333333333333</v>
      </c>
    </row>
    <row r="587" spans="1:14" ht="24.75" customHeight="1" x14ac:dyDescent="0.8">
      <c r="A587" s="18" t="s">
        <v>550</v>
      </c>
      <c r="B587" s="10">
        <f ca="1">IFERROR(__xludf.DUMMYFUNCTION("GOOGLEFINANCE(A587,""PRICE"")"),252.4)</f>
        <v>252.4</v>
      </c>
      <c r="C587" s="11">
        <f ca="1">IFERROR(__xludf.DUMMYFUNCTION("GOOGLEFINANCE(A587,""PRICEOPEN"")"),252.2)</f>
        <v>252.2</v>
      </c>
      <c r="D587" s="11">
        <f ca="1">IFERROR(__xludf.DUMMYFUNCTION("GOOGLEFINANCE(A587,""HIGH"")"),255.65)</f>
        <v>255.65</v>
      </c>
      <c r="E587" s="11">
        <f ca="1">IFERROR(__xludf.DUMMYFUNCTION("GOOGLEFINANCE(A587,""LOW"")"),250.05)</f>
        <v>250.05</v>
      </c>
      <c r="F587" s="12" t="str">
        <f t="shared" ca="1" si="21"/>
        <v/>
      </c>
      <c r="G587" s="13">
        <f ca="1">IFERROR(__xludf.DUMMYFUNCTION("GOOGLEFINANCE(A587,""CLOSEYEST"")"),252.8)</f>
        <v>252.8</v>
      </c>
      <c r="H587" s="14" t="str">
        <f t="shared" ca="1" si="27"/>
        <v/>
      </c>
      <c r="I587" s="15">
        <f t="shared" ca="1" si="22"/>
        <v>252.83333333333334</v>
      </c>
      <c r="J587" s="16">
        <f t="shared" ca="1" si="23"/>
        <v>255.61666666666667</v>
      </c>
      <c r="K587" s="16"/>
      <c r="L587" s="16">
        <f t="shared" ca="1" si="24"/>
        <v>250.01666666666668</v>
      </c>
      <c r="M587" s="16">
        <f t="shared" ca="1" si="25"/>
        <v>258.43333333333334</v>
      </c>
      <c r="N587" s="16">
        <f t="shared" ca="1" si="26"/>
        <v>247.23333333333335</v>
      </c>
    </row>
    <row r="588" spans="1:14" ht="24.75" customHeight="1" x14ac:dyDescent="0.8">
      <c r="A588" s="18" t="s">
        <v>551</v>
      </c>
      <c r="B588" s="10">
        <f ca="1">IFERROR(__xludf.DUMMYFUNCTION("GOOGLEFINANCE(A588,""PRICE"")"),0.2)</f>
        <v>0.2</v>
      </c>
      <c r="C588" s="11" t="str">
        <f ca="1">IFERROR(__xludf.DUMMYFUNCTION("GOOGLEFINANCE(A588,""PRICEOPEN"")"),"#N/A")</f>
        <v>#N/A</v>
      </c>
      <c r="D588" s="11" t="str">
        <f ca="1">IFERROR(__xludf.DUMMYFUNCTION("GOOGLEFINANCE(A588,""HIGH"")"),"#N/A")</f>
        <v>#N/A</v>
      </c>
      <c r="E588" s="11" t="str">
        <f ca="1">IFERROR(__xludf.DUMMYFUNCTION("GOOGLEFINANCE(A588,""LOW"")"),"#N/A")</f>
        <v>#N/A</v>
      </c>
      <c r="F588" s="12" t="str">
        <f t="shared" ca="1" si="21"/>
        <v>SELL</v>
      </c>
      <c r="G588" s="13">
        <f ca="1">IFERROR(__xludf.DUMMYFUNCTION("GOOGLEFINANCE(A588,""CLOSEYEST"")"),0.2)</f>
        <v>0.2</v>
      </c>
      <c r="H588" s="14" t="str">
        <f t="shared" ca="1" si="27"/>
        <v>GAP UP</v>
      </c>
      <c r="I588" s="15" t="e">
        <f t="shared" ca="1" si="22"/>
        <v>#VALUE!</v>
      </c>
      <c r="J588" s="16" t="e">
        <f t="shared" ca="1" si="23"/>
        <v>#VALUE!</v>
      </c>
      <c r="K588" s="16"/>
      <c r="L588" s="16" t="e">
        <f t="shared" ca="1" si="24"/>
        <v>#VALUE!</v>
      </c>
      <c r="M588" s="16" t="e">
        <f t="shared" ca="1" si="25"/>
        <v>#VALUE!</v>
      </c>
      <c r="N588" s="16" t="e">
        <f t="shared" ca="1" si="26"/>
        <v>#VALUE!</v>
      </c>
    </row>
    <row r="589" spans="1:14" ht="24.75" customHeight="1" x14ac:dyDescent="0.8">
      <c r="A589" s="18" t="s">
        <v>552</v>
      </c>
      <c r="B589" s="10">
        <f ca="1">IFERROR(__xludf.DUMMYFUNCTION("GOOGLEFINANCE(A589,""PRICE"")"),4160)</f>
        <v>4160</v>
      </c>
      <c r="C589" s="11">
        <f ca="1">IFERROR(__xludf.DUMMYFUNCTION("GOOGLEFINANCE(A589,""PRICEOPEN"")"),4127.4)</f>
        <v>4127.3999999999996</v>
      </c>
      <c r="D589" s="11">
        <f ca="1">IFERROR(__xludf.DUMMYFUNCTION("GOOGLEFINANCE(A589,""HIGH"")"),4162.4)</f>
        <v>4162.3999999999996</v>
      </c>
      <c r="E589" s="11">
        <f ca="1">IFERROR(__xludf.DUMMYFUNCTION("GOOGLEFINANCE(A589,""LOW"")"),4063.6)</f>
        <v>4063.6</v>
      </c>
      <c r="F589" s="12" t="str">
        <f t="shared" ca="1" si="21"/>
        <v/>
      </c>
      <c r="G589" s="13">
        <f ca="1">IFERROR(__xludf.DUMMYFUNCTION("GOOGLEFINANCE(A589,""CLOSEYEST"")"),4127.4)</f>
        <v>4127.3999999999996</v>
      </c>
      <c r="H589" s="14" t="str">
        <f t="shared" ca="1" si="27"/>
        <v/>
      </c>
      <c r="I589" s="15">
        <f t="shared" ca="1" si="22"/>
        <v>4117.8</v>
      </c>
      <c r="J589" s="16">
        <f t="shared" ca="1" si="23"/>
        <v>4172</v>
      </c>
      <c r="K589" s="16"/>
      <c r="L589" s="16">
        <f t="shared" ca="1" si="24"/>
        <v>4073.2000000000007</v>
      </c>
      <c r="M589" s="16">
        <f t="shared" ca="1" si="25"/>
        <v>4216.5999999999995</v>
      </c>
      <c r="N589" s="16">
        <f t="shared" ca="1" si="26"/>
        <v>4019.0000000000009</v>
      </c>
    </row>
    <row r="590" spans="1:14" ht="24.75" customHeight="1" x14ac:dyDescent="0.8">
      <c r="A590" s="18" t="s">
        <v>553</v>
      </c>
      <c r="B590" s="10">
        <f ca="1">IFERROR(__xludf.DUMMYFUNCTION("GOOGLEFINANCE(A590,""PRICE"")"),353)</f>
        <v>353</v>
      </c>
      <c r="C590" s="11">
        <f ca="1">IFERROR(__xludf.DUMMYFUNCTION("GOOGLEFINANCE(A590,""PRICEOPEN"")"),349.1)</f>
        <v>349.1</v>
      </c>
      <c r="D590" s="11">
        <f ca="1">IFERROR(__xludf.DUMMYFUNCTION("GOOGLEFINANCE(A590,""HIGH"")"),353.7)</f>
        <v>353.7</v>
      </c>
      <c r="E590" s="11">
        <f ca="1">IFERROR(__xludf.DUMMYFUNCTION("GOOGLEFINANCE(A590,""LOW"")"),346.75)</f>
        <v>346.75</v>
      </c>
      <c r="F590" s="12" t="str">
        <f t="shared" ca="1" si="21"/>
        <v/>
      </c>
      <c r="G590" s="13">
        <f ca="1">IFERROR(__xludf.DUMMYFUNCTION("GOOGLEFINANCE(A590,""CLOSEYEST"")"),348.35)</f>
        <v>348.35</v>
      </c>
      <c r="H590" s="14" t="str">
        <f t="shared" ca="1" si="27"/>
        <v/>
      </c>
      <c r="I590" s="15">
        <f t="shared" ca="1" si="22"/>
        <v>349.60000000000008</v>
      </c>
      <c r="J590" s="16">
        <f t="shared" ca="1" si="23"/>
        <v>352.45000000000016</v>
      </c>
      <c r="K590" s="16"/>
      <c r="L590" s="16">
        <f t="shared" ca="1" si="24"/>
        <v>345.50000000000017</v>
      </c>
      <c r="M590" s="16">
        <f t="shared" ca="1" si="25"/>
        <v>356.55000000000007</v>
      </c>
      <c r="N590" s="16">
        <f t="shared" ca="1" si="26"/>
        <v>342.65000000000009</v>
      </c>
    </row>
    <row r="591" spans="1:14" ht="24.75" customHeight="1" x14ac:dyDescent="0.8">
      <c r="A591" s="18" t="s">
        <v>554</v>
      </c>
      <c r="B591" s="10">
        <f ca="1">IFERROR(__xludf.DUMMYFUNCTION("GOOGLEFINANCE(A591,""PRICE"")"),14.25)</f>
        <v>14.25</v>
      </c>
      <c r="C591" s="11">
        <f ca="1">IFERROR(__xludf.DUMMYFUNCTION("GOOGLEFINANCE(A591,""PRICEOPEN"")"),14.04)</f>
        <v>14.04</v>
      </c>
      <c r="D591" s="11">
        <f ca="1">IFERROR(__xludf.DUMMYFUNCTION("GOOGLEFINANCE(A591,""HIGH"")"),14.3)</f>
        <v>14.3</v>
      </c>
      <c r="E591" s="11">
        <f ca="1">IFERROR(__xludf.DUMMYFUNCTION("GOOGLEFINANCE(A591,""LOW"")"),14.02)</f>
        <v>14.02</v>
      </c>
      <c r="F591" s="12" t="str">
        <f t="shared" ca="1" si="21"/>
        <v/>
      </c>
      <c r="G591" s="13">
        <f ca="1">IFERROR(__xludf.DUMMYFUNCTION("GOOGLEFINANCE(A591,""CLOSEYEST"")"),14.03)</f>
        <v>14.03</v>
      </c>
      <c r="H591" s="14" t="str">
        <f t="shared" ca="1" si="27"/>
        <v/>
      </c>
      <c r="I591" s="15">
        <f t="shared" ca="1" si="22"/>
        <v>14.116666666666667</v>
      </c>
      <c r="J591" s="16">
        <f t="shared" ca="1" si="23"/>
        <v>14.213333333333335</v>
      </c>
      <c r="K591" s="16"/>
      <c r="L591" s="16">
        <f t="shared" ca="1" si="24"/>
        <v>13.933333333333334</v>
      </c>
      <c r="M591" s="16">
        <f t="shared" ca="1" si="25"/>
        <v>14.396666666666668</v>
      </c>
      <c r="N591" s="16">
        <f t="shared" ca="1" si="26"/>
        <v>13.836666666666666</v>
      </c>
    </row>
    <row r="592" spans="1:14" ht="24.75" customHeight="1" x14ac:dyDescent="0.8">
      <c r="A592" s="18" t="s">
        <v>555</v>
      </c>
      <c r="B592" s="10">
        <f ca="1">IFERROR(__xludf.DUMMYFUNCTION("GOOGLEFINANCE(A592,""PRICE"")"),1335)</f>
        <v>1335</v>
      </c>
      <c r="C592" s="11">
        <f ca="1">IFERROR(__xludf.DUMMYFUNCTION("GOOGLEFINANCE(A592,""PRICEOPEN"")"),1347)</f>
        <v>1347</v>
      </c>
      <c r="D592" s="11">
        <f ca="1">IFERROR(__xludf.DUMMYFUNCTION("GOOGLEFINANCE(A592,""HIGH"")"),1356.6)</f>
        <v>1356.6</v>
      </c>
      <c r="E592" s="11">
        <f ca="1">IFERROR(__xludf.DUMMYFUNCTION("GOOGLEFINANCE(A592,""LOW"")"),1322)</f>
        <v>1322</v>
      </c>
      <c r="F592" s="12" t="str">
        <f t="shared" ca="1" si="21"/>
        <v/>
      </c>
      <c r="G592" s="13">
        <f ca="1">IFERROR(__xludf.DUMMYFUNCTION("GOOGLEFINANCE(A592,""CLOSEYEST"")"),1345.9)</f>
        <v>1345.9</v>
      </c>
      <c r="H592" s="14" t="str">
        <f t="shared" ca="1" si="27"/>
        <v/>
      </c>
      <c r="I592" s="15">
        <f t="shared" ca="1" si="22"/>
        <v>1341.5</v>
      </c>
      <c r="J592" s="16">
        <f t="shared" ca="1" si="23"/>
        <v>1361</v>
      </c>
      <c r="K592" s="16"/>
      <c r="L592" s="16">
        <f t="shared" ca="1" si="24"/>
        <v>1326.4</v>
      </c>
      <c r="M592" s="16">
        <f t="shared" ca="1" si="25"/>
        <v>1376.1</v>
      </c>
      <c r="N592" s="16">
        <f t="shared" ca="1" si="26"/>
        <v>1306.9000000000001</v>
      </c>
    </row>
    <row r="593" spans="1:14" ht="24.75" customHeight="1" x14ac:dyDescent="0.8">
      <c r="A593" s="18" t="s">
        <v>556</v>
      </c>
      <c r="B593" s="10">
        <f ca="1">IFERROR(__xludf.DUMMYFUNCTION("GOOGLEFINANCE(A593,""PRICE"")"),201.1)</f>
        <v>201.1</v>
      </c>
      <c r="C593" s="11">
        <f ca="1">IFERROR(__xludf.DUMMYFUNCTION("GOOGLEFINANCE(A593,""PRICEOPEN"")"),201.66)</f>
        <v>201.66</v>
      </c>
      <c r="D593" s="11">
        <f ca="1">IFERROR(__xludf.DUMMYFUNCTION("GOOGLEFINANCE(A593,""HIGH"")"),202.79)</f>
        <v>202.79</v>
      </c>
      <c r="E593" s="11">
        <f ca="1">IFERROR(__xludf.DUMMYFUNCTION("GOOGLEFINANCE(A593,""LOW"")"),199.01)</f>
        <v>199.01</v>
      </c>
      <c r="F593" s="12" t="str">
        <f t="shared" ca="1" si="21"/>
        <v/>
      </c>
      <c r="G593" s="13">
        <f ca="1">IFERROR(__xludf.DUMMYFUNCTION("GOOGLEFINANCE(A593,""CLOSEYEST"")"),201.66)</f>
        <v>201.66</v>
      </c>
      <c r="H593" s="14" t="str">
        <f t="shared" ca="1" si="27"/>
        <v/>
      </c>
      <c r="I593" s="15">
        <f t="shared" ca="1" si="22"/>
        <v>201.15333333333331</v>
      </c>
      <c r="J593" s="16">
        <f t="shared" ca="1" si="23"/>
        <v>203.29666666666662</v>
      </c>
      <c r="K593" s="16"/>
      <c r="L593" s="16">
        <f t="shared" ca="1" si="24"/>
        <v>199.51666666666662</v>
      </c>
      <c r="M593" s="16">
        <f t="shared" ca="1" si="25"/>
        <v>204.93333333333331</v>
      </c>
      <c r="N593" s="16">
        <f t="shared" ca="1" si="26"/>
        <v>197.37333333333331</v>
      </c>
    </row>
    <row r="594" spans="1:14" ht="24.75" customHeight="1" x14ac:dyDescent="0.8">
      <c r="A594" s="18" t="s">
        <v>557</v>
      </c>
      <c r="B594" s="10">
        <f ca="1">IFERROR(__xludf.DUMMYFUNCTION("GOOGLEFINANCE(A594,""PRICE"")"),107)</f>
        <v>107</v>
      </c>
      <c r="C594" s="11">
        <f ca="1">IFERROR(__xludf.DUMMYFUNCTION("GOOGLEFINANCE(A594,""PRICEOPEN"")"),106.62)</f>
        <v>106.62</v>
      </c>
      <c r="D594" s="11">
        <f ca="1">IFERROR(__xludf.DUMMYFUNCTION("GOOGLEFINANCE(A594,""HIGH"")"),107.12)</f>
        <v>107.12</v>
      </c>
      <c r="E594" s="11">
        <f ca="1">IFERROR(__xludf.DUMMYFUNCTION("GOOGLEFINANCE(A594,""LOW"")"),105.35)</f>
        <v>105.35</v>
      </c>
      <c r="F594" s="12" t="str">
        <f t="shared" ca="1" si="21"/>
        <v/>
      </c>
      <c r="G594" s="13">
        <f ca="1">IFERROR(__xludf.DUMMYFUNCTION("GOOGLEFINANCE(A594,""CLOSEYEST"")"),106.63)</f>
        <v>106.63</v>
      </c>
      <c r="H594" s="14" t="str">
        <f t="shared" ca="1" si="27"/>
        <v/>
      </c>
      <c r="I594" s="15">
        <f t="shared" ca="1" si="22"/>
        <v>106.36666666666667</v>
      </c>
      <c r="J594" s="16">
        <f t="shared" ca="1" si="23"/>
        <v>107.38333333333335</v>
      </c>
      <c r="K594" s="16"/>
      <c r="L594" s="16">
        <f t="shared" ca="1" si="24"/>
        <v>105.61333333333334</v>
      </c>
      <c r="M594" s="16">
        <f t="shared" ca="1" si="25"/>
        <v>108.13666666666668</v>
      </c>
      <c r="N594" s="16">
        <f t="shared" ca="1" si="26"/>
        <v>104.59666666666666</v>
      </c>
    </row>
    <row r="595" spans="1:14" ht="24.75" customHeight="1" x14ac:dyDescent="0.8">
      <c r="A595" s="18" t="s">
        <v>558</v>
      </c>
      <c r="B595" s="10">
        <f ca="1">IFERROR(__xludf.DUMMYFUNCTION("GOOGLEFINANCE(A595,""PRICE"")"),207.1)</f>
        <v>207.1</v>
      </c>
      <c r="C595" s="11">
        <f ca="1">IFERROR(__xludf.DUMMYFUNCTION("GOOGLEFINANCE(A595,""PRICEOPEN"")"),205.34)</f>
        <v>205.34</v>
      </c>
      <c r="D595" s="11">
        <f ca="1">IFERROR(__xludf.DUMMYFUNCTION("GOOGLEFINANCE(A595,""HIGH"")"),209.9)</f>
        <v>209.9</v>
      </c>
      <c r="E595" s="11">
        <f ca="1">IFERROR(__xludf.DUMMYFUNCTION("GOOGLEFINANCE(A595,""LOW"")"),203.51)</f>
        <v>203.51</v>
      </c>
      <c r="F595" s="12" t="str">
        <f t="shared" ca="1" si="21"/>
        <v/>
      </c>
      <c r="G595" s="13">
        <f ca="1">IFERROR(__xludf.DUMMYFUNCTION("GOOGLEFINANCE(A595,""CLOSEYEST"")"),205.34)</f>
        <v>205.34</v>
      </c>
      <c r="H595" s="14" t="str">
        <f t="shared" ca="1" si="27"/>
        <v/>
      </c>
      <c r="I595" s="15">
        <f t="shared" ca="1" si="22"/>
        <v>206.25</v>
      </c>
      <c r="J595" s="16">
        <f t="shared" ca="1" si="23"/>
        <v>208.99</v>
      </c>
      <c r="K595" s="16"/>
      <c r="L595" s="16">
        <f t="shared" ca="1" si="24"/>
        <v>202.6</v>
      </c>
      <c r="M595" s="16">
        <f t="shared" ca="1" si="25"/>
        <v>212.64000000000001</v>
      </c>
      <c r="N595" s="16">
        <f t="shared" ca="1" si="26"/>
        <v>199.85999999999999</v>
      </c>
    </row>
    <row r="596" spans="1:14" ht="24.75" customHeight="1" x14ac:dyDescent="0.8">
      <c r="A596" s="18" t="s">
        <v>559</v>
      </c>
      <c r="B596" s="10">
        <f ca="1">IFERROR(__xludf.DUMMYFUNCTION("GOOGLEFINANCE(A596,""PRICE"")"),1400.1)</f>
        <v>1400.1</v>
      </c>
      <c r="C596" s="11">
        <f ca="1">IFERROR(__xludf.DUMMYFUNCTION("GOOGLEFINANCE(A596,""PRICEOPEN"")"),1408.9)</f>
        <v>1408.9</v>
      </c>
      <c r="D596" s="11">
        <f ca="1">IFERROR(__xludf.DUMMYFUNCTION("GOOGLEFINANCE(A596,""HIGH"")"),1409.3)</f>
        <v>1409.3</v>
      </c>
      <c r="E596" s="11">
        <f ca="1">IFERROR(__xludf.DUMMYFUNCTION("GOOGLEFINANCE(A596,""LOW"")"),1391.9)</f>
        <v>1391.9</v>
      </c>
      <c r="F596" s="12" t="str">
        <f t="shared" ca="1" si="21"/>
        <v/>
      </c>
      <c r="G596" s="13">
        <f ca="1">IFERROR(__xludf.DUMMYFUNCTION("GOOGLEFINANCE(A596,""CLOSEYEST"")"),1402.3)</f>
        <v>1402.3</v>
      </c>
      <c r="H596" s="14" t="str">
        <f t="shared" ca="1" si="27"/>
        <v/>
      </c>
      <c r="I596" s="15">
        <f t="shared" ca="1" si="22"/>
        <v>1401.1666666666667</v>
      </c>
      <c r="J596" s="16">
        <f t="shared" ca="1" si="23"/>
        <v>1410.4333333333334</v>
      </c>
      <c r="K596" s="16"/>
      <c r="L596" s="16">
        <f t="shared" ca="1" si="24"/>
        <v>1393.0333333333335</v>
      </c>
      <c r="M596" s="16">
        <f t="shared" ca="1" si="25"/>
        <v>1418.5666666666666</v>
      </c>
      <c r="N596" s="16">
        <f t="shared" ca="1" si="26"/>
        <v>1383.7666666666669</v>
      </c>
    </row>
    <row r="597" spans="1:14" ht="24.75" customHeight="1" x14ac:dyDescent="0.8">
      <c r="A597" s="18" t="s">
        <v>560</v>
      </c>
      <c r="B597" s="10">
        <f ca="1">IFERROR(__xludf.DUMMYFUNCTION("GOOGLEFINANCE(A597,""PRICE"")"),2830)</f>
        <v>2830</v>
      </c>
      <c r="C597" s="11">
        <f ca="1">IFERROR(__xludf.DUMMYFUNCTION("GOOGLEFINANCE(A597,""PRICEOPEN"")"),2644.1)</f>
        <v>2644.1</v>
      </c>
      <c r="D597" s="11">
        <f ca="1">IFERROR(__xludf.DUMMYFUNCTION("GOOGLEFINANCE(A597,""HIGH"")"),2873.9)</f>
        <v>2873.9</v>
      </c>
      <c r="E597" s="11">
        <f ca="1">IFERROR(__xludf.DUMMYFUNCTION("GOOGLEFINANCE(A597,""LOW"")"),2632)</f>
        <v>2632</v>
      </c>
      <c r="F597" s="12" t="str">
        <f t="shared" ca="1" si="21"/>
        <v/>
      </c>
      <c r="G597" s="13">
        <f ca="1">IFERROR(__xludf.DUMMYFUNCTION("GOOGLEFINANCE(A597,""CLOSEYEST"")"),2630.9)</f>
        <v>2630.9</v>
      </c>
      <c r="H597" s="14" t="str">
        <f t="shared" ca="1" si="27"/>
        <v/>
      </c>
      <c r="I597" s="15">
        <f t="shared" ca="1" si="22"/>
        <v>2712.2666666666664</v>
      </c>
      <c r="J597" s="16">
        <f t="shared" ca="1" si="23"/>
        <v>2792.5333333333328</v>
      </c>
      <c r="K597" s="16"/>
      <c r="L597" s="16">
        <f t="shared" ca="1" si="24"/>
        <v>2550.6333333333328</v>
      </c>
      <c r="M597" s="16">
        <f t="shared" ca="1" si="25"/>
        <v>2954.1666666666665</v>
      </c>
      <c r="N597" s="16">
        <f t="shared" ca="1" si="26"/>
        <v>2470.3666666666663</v>
      </c>
    </row>
    <row r="598" spans="1:14" ht="24.75" customHeight="1" x14ac:dyDescent="0.8">
      <c r="A598" s="18" t="s">
        <v>561</v>
      </c>
      <c r="B598" s="10">
        <f ca="1">IFERROR(__xludf.DUMMYFUNCTION("GOOGLEFINANCE(A598,""PRICE"")"),291.15)</f>
        <v>291.14999999999998</v>
      </c>
      <c r="C598" s="11">
        <f ca="1">IFERROR(__xludf.DUMMYFUNCTION("GOOGLEFINANCE(A598,""PRICEOPEN"")"),291.6)</f>
        <v>291.60000000000002</v>
      </c>
      <c r="D598" s="11">
        <f ca="1">IFERROR(__xludf.DUMMYFUNCTION("GOOGLEFINANCE(A598,""HIGH"")"),292.35)</f>
        <v>292.35000000000002</v>
      </c>
      <c r="E598" s="11">
        <f ca="1">IFERROR(__xludf.DUMMYFUNCTION("GOOGLEFINANCE(A598,""LOW"")"),289.05)</f>
        <v>289.05</v>
      </c>
      <c r="F598" s="12" t="str">
        <f t="shared" ca="1" si="21"/>
        <v/>
      </c>
      <c r="G598" s="13">
        <f ca="1">IFERROR(__xludf.DUMMYFUNCTION("GOOGLEFINANCE(A598,""CLOSEYEST"")"),290.15)</f>
        <v>290.14999999999998</v>
      </c>
      <c r="H598" s="14" t="str">
        <f t="shared" ca="1" si="27"/>
        <v/>
      </c>
      <c r="I598" s="15">
        <f t="shared" ca="1" si="22"/>
        <v>290.51666666666671</v>
      </c>
      <c r="J598" s="16">
        <f t="shared" ca="1" si="23"/>
        <v>291.98333333333341</v>
      </c>
      <c r="K598" s="16"/>
      <c r="L598" s="16">
        <f t="shared" ca="1" si="24"/>
        <v>288.68333333333339</v>
      </c>
      <c r="M598" s="16">
        <f t="shared" ca="1" si="25"/>
        <v>293.81666666666672</v>
      </c>
      <c r="N598" s="16">
        <f t="shared" ca="1" si="26"/>
        <v>287.2166666666667</v>
      </c>
    </row>
    <row r="599" spans="1:14" ht="24.75" customHeight="1" x14ac:dyDescent="0.8">
      <c r="A599" s="18" t="s">
        <v>562</v>
      </c>
      <c r="B599" s="10">
        <f ca="1">IFERROR(__xludf.DUMMYFUNCTION("GOOGLEFINANCE(A599,""PRICE"")"),173.4)</f>
        <v>173.4</v>
      </c>
      <c r="C599" s="11">
        <f ca="1">IFERROR(__xludf.DUMMYFUNCTION("GOOGLEFINANCE(A599,""PRICEOPEN"")"),168.4)</f>
        <v>168.4</v>
      </c>
      <c r="D599" s="11">
        <f ca="1">IFERROR(__xludf.DUMMYFUNCTION("GOOGLEFINANCE(A599,""HIGH"")"),173.68)</f>
        <v>173.68</v>
      </c>
      <c r="E599" s="11">
        <f ca="1">IFERROR(__xludf.DUMMYFUNCTION("GOOGLEFINANCE(A599,""LOW"")"),167)</f>
        <v>167</v>
      </c>
      <c r="F599" s="12" t="str">
        <f t="shared" ca="1" si="21"/>
        <v/>
      </c>
      <c r="G599" s="13">
        <f ca="1">IFERROR(__xludf.DUMMYFUNCTION("GOOGLEFINANCE(A599,""CLOSEYEST"")"),166.28)</f>
        <v>166.28</v>
      </c>
      <c r="H599" s="14" t="str">
        <f t="shared" ca="1" si="27"/>
        <v>GAP UP</v>
      </c>
      <c r="I599" s="15">
        <f t="shared" ca="1" si="22"/>
        <v>168.98666666666668</v>
      </c>
      <c r="J599" s="16">
        <f t="shared" ca="1" si="23"/>
        <v>170.97333333333336</v>
      </c>
      <c r="K599" s="16"/>
      <c r="L599" s="16">
        <f t="shared" ca="1" si="24"/>
        <v>164.29333333333335</v>
      </c>
      <c r="M599" s="16">
        <f t="shared" ca="1" si="25"/>
        <v>175.66666666666669</v>
      </c>
      <c r="N599" s="16">
        <f t="shared" ca="1" si="26"/>
        <v>162.30666666666667</v>
      </c>
    </row>
    <row r="600" spans="1:14" ht="24.75" customHeight="1" x14ac:dyDescent="0.8">
      <c r="A600" s="18" t="s">
        <v>563</v>
      </c>
      <c r="B600" s="10">
        <f ca="1">IFERROR(__xludf.DUMMYFUNCTION("GOOGLEFINANCE(A600,""PRICE"")"),537.05)</f>
        <v>537.04999999999995</v>
      </c>
      <c r="C600" s="11">
        <f ca="1">IFERROR(__xludf.DUMMYFUNCTION("GOOGLEFINANCE(A600,""PRICEOPEN"")"),532.5)</f>
        <v>532.5</v>
      </c>
      <c r="D600" s="11">
        <f ca="1">IFERROR(__xludf.DUMMYFUNCTION("GOOGLEFINANCE(A600,""HIGH"")"),543.6)</f>
        <v>543.6</v>
      </c>
      <c r="E600" s="11">
        <f ca="1">IFERROR(__xludf.DUMMYFUNCTION("GOOGLEFINANCE(A600,""LOW"")"),524.1)</f>
        <v>524.1</v>
      </c>
      <c r="F600" s="12" t="str">
        <f t="shared" ca="1" si="21"/>
        <v/>
      </c>
      <c r="G600" s="13">
        <f ca="1">IFERROR(__xludf.DUMMYFUNCTION("GOOGLEFINANCE(A600,""CLOSEYEST"")"),530.4)</f>
        <v>530.4</v>
      </c>
      <c r="H600" s="14" t="str">
        <f t="shared" ca="1" si="27"/>
        <v/>
      </c>
      <c r="I600" s="15">
        <f t="shared" ca="1" si="22"/>
        <v>532.69999999999993</v>
      </c>
      <c r="J600" s="16">
        <f t="shared" ca="1" si="23"/>
        <v>541.29999999999984</v>
      </c>
      <c r="K600" s="16"/>
      <c r="L600" s="16">
        <f t="shared" ca="1" si="24"/>
        <v>521.79999999999984</v>
      </c>
      <c r="M600" s="16">
        <f t="shared" ca="1" si="25"/>
        <v>552.19999999999993</v>
      </c>
      <c r="N600" s="16">
        <f t="shared" ca="1" si="26"/>
        <v>513.19999999999993</v>
      </c>
    </row>
    <row r="601" spans="1:14" ht="24.75" customHeight="1" x14ac:dyDescent="0.8">
      <c r="A601" s="18" t="s">
        <v>564</v>
      </c>
      <c r="B601" s="10">
        <f ca="1">IFERROR(__xludf.DUMMYFUNCTION("GOOGLEFINANCE(A601,""PRICE"")"),184.2)</f>
        <v>184.2</v>
      </c>
      <c r="C601" s="11">
        <f ca="1">IFERROR(__xludf.DUMMYFUNCTION("GOOGLEFINANCE(A601,""PRICEOPEN"")"),184.25)</f>
        <v>184.25</v>
      </c>
      <c r="D601" s="11">
        <f ca="1">IFERROR(__xludf.DUMMYFUNCTION("GOOGLEFINANCE(A601,""HIGH"")"),190.69)</f>
        <v>190.69</v>
      </c>
      <c r="E601" s="11">
        <f ca="1">IFERROR(__xludf.DUMMYFUNCTION("GOOGLEFINANCE(A601,""LOW"")"),180.1)</f>
        <v>180.1</v>
      </c>
      <c r="F601" s="12" t="str">
        <f t="shared" ca="1" si="21"/>
        <v/>
      </c>
      <c r="G601" s="13">
        <f ca="1">IFERROR(__xludf.DUMMYFUNCTION("GOOGLEFINANCE(A601,""CLOSEYEST"")"),182.86)</f>
        <v>182.86</v>
      </c>
      <c r="H601" s="14" t="str">
        <f t="shared" ca="1" si="27"/>
        <v/>
      </c>
      <c r="I601" s="15">
        <f t="shared" ca="1" si="22"/>
        <v>184.54999999999998</v>
      </c>
      <c r="J601" s="16">
        <f t="shared" ca="1" si="23"/>
        <v>188.99999999999997</v>
      </c>
      <c r="K601" s="16"/>
      <c r="L601" s="16">
        <f t="shared" ca="1" si="24"/>
        <v>178.40999999999997</v>
      </c>
      <c r="M601" s="16">
        <f t="shared" ca="1" si="25"/>
        <v>195.14</v>
      </c>
      <c r="N601" s="16">
        <f t="shared" ca="1" si="26"/>
        <v>173.95999999999998</v>
      </c>
    </row>
    <row r="602" spans="1:14" ht="24.75" customHeight="1" x14ac:dyDescent="0.8">
      <c r="A602" s="18" t="s">
        <v>565</v>
      </c>
      <c r="B602" s="10">
        <f ca="1">IFERROR(__xludf.DUMMYFUNCTION("GOOGLEFINANCE(A602,""PRICE"")"),464.9)</f>
        <v>464.9</v>
      </c>
      <c r="C602" s="11">
        <f ca="1">IFERROR(__xludf.DUMMYFUNCTION("GOOGLEFINANCE(A602,""PRICEOPEN"")"),460)</f>
        <v>460</v>
      </c>
      <c r="D602" s="11">
        <f ca="1">IFERROR(__xludf.DUMMYFUNCTION("GOOGLEFINANCE(A602,""HIGH"")"),464.9)</f>
        <v>464.9</v>
      </c>
      <c r="E602" s="11">
        <f ca="1">IFERROR(__xludf.DUMMYFUNCTION("GOOGLEFINANCE(A602,""LOW"")"),454.55)</f>
        <v>454.55</v>
      </c>
      <c r="F602" s="12" t="str">
        <f t="shared" ca="1" si="21"/>
        <v/>
      </c>
      <c r="G602" s="13">
        <f ca="1">IFERROR(__xludf.DUMMYFUNCTION("GOOGLEFINANCE(A602,""CLOSEYEST"")"),457.95)</f>
        <v>457.95</v>
      </c>
      <c r="H602" s="14" t="str">
        <f t="shared" ca="1" si="27"/>
        <v/>
      </c>
      <c r="I602" s="15">
        <f t="shared" ca="1" si="22"/>
        <v>459.13333333333338</v>
      </c>
      <c r="J602" s="16">
        <f t="shared" ca="1" si="23"/>
        <v>463.71666666666675</v>
      </c>
      <c r="K602" s="16"/>
      <c r="L602" s="16">
        <f t="shared" ca="1" si="24"/>
        <v>453.36666666666679</v>
      </c>
      <c r="M602" s="16">
        <f t="shared" ca="1" si="25"/>
        <v>469.48333333333335</v>
      </c>
      <c r="N602" s="16">
        <f t="shared" ca="1" si="26"/>
        <v>448.78333333333342</v>
      </c>
    </row>
    <row r="603" spans="1:14" ht="24.75" customHeight="1" x14ac:dyDescent="0.8">
      <c r="A603" s="18" t="s">
        <v>566</v>
      </c>
      <c r="B603" s="10">
        <f ca="1">IFERROR(__xludf.DUMMYFUNCTION("GOOGLEFINANCE(A603,""PRICE"")"),105.3)</f>
        <v>105.3</v>
      </c>
      <c r="C603" s="11">
        <f ca="1">IFERROR(__xludf.DUMMYFUNCTION("GOOGLEFINANCE(A603,""PRICEOPEN"")"),104.31)</f>
        <v>104.31</v>
      </c>
      <c r="D603" s="11">
        <f ca="1">IFERROR(__xludf.DUMMYFUNCTION("GOOGLEFINANCE(A603,""HIGH"")"),105.64)</f>
        <v>105.64</v>
      </c>
      <c r="E603" s="11">
        <f ca="1">IFERROR(__xludf.DUMMYFUNCTION("GOOGLEFINANCE(A603,""LOW"")"),103.75)</f>
        <v>103.75</v>
      </c>
      <c r="F603" s="12" t="str">
        <f t="shared" ca="1" si="21"/>
        <v/>
      </c>
      <c r="G603" s="13">
        <f ca="1">IFERROR(__xludf.DUMMYFUNCTION("GOOGLEFINANCE(A603,""CLOSEYEST"")"),104.15)</f>
        <v>104.15</v>
      </c>
      <c r="H603" s="14" t="str">
        <f t="shared" ca="1" si="27"/>
        <v/>
      </c>
      <c r="I603" s="15">
        <f t="shared" ca="1" si="22"/>
        <v>104.51333333333332</v>
      </c>
      <c r="J603" s="16">
        <f t="shared" ca="1" si="23"/>
        <v>105.27666666666664</v>
      </c>
      <c r="K603" s="16"/>
      <c r="L603" s="16">
        <f t="shared" ca="1" si="24"/>
        <v>103.38666666666664</v>
      </c>
      <c r="M603" s="16">
        <f t="shared" ca="1" si="25"/>
        <v>106.40333333333332</v>
      </c>
      <c r="N603" s="16">
        <f t="shared" ca="1" si="26"/>
        <v>102.62333333333332</v>
      </c>
    </row>
    <row r="604" spans="1:14" ht="24.75" customHeight="1" x14ac:dyDescent="0.8">
      <c r="A604" s="18" t="s">
        <v>567</v>
      </c>
      <c r="B604" s="10">
        <f ca="1">IFERROR(__xludf.DUMMYFUNCTION("GOOGLEFINANCE(A604,""PRICE"")"),387.7)</f>
        <v>387.7</v>
      </c>
      <c r="C604" s="11">
        <f ca="1">IFERROR(__xludf.DUMMYFUNCTION("GOOGLEFINANCE(A604,""PRICEOPEN"")"),385)</f>
        <v>385</v>
      </c>
      <c r="D604" s="11">
        <f ca="1">IFERROR(__xludf.DUMMYFUNCTION("GOOGLEFINANCE(A604,""HIGH"")"),392)</f>
        <v>392</v>
      </c>
      <c r="E604" s="11">
        <f ca="1">IFERROR(__xludf.DUMMYFUNCTION("GOOGLEFINANCE(A604,""LOW"")"),381.85)</f>
        <v>381.85</v>
      </c>
      <c r="F604" s="12" t="str">
        <f t="shared" ca="1" si="21"/>
        <v/>
      </c>
      <c r="G604" s="13">
        <f ca="1">IFERROR(__xludf.DUMMYFUNCTION("GOOGLEFINANCE(A604,""CLOSEYEST"")"),383.75)</f>
        <v>383.75</v>
      </c>
      <c r="H604" s="14" t="str">
        <f t="shared" ca="1" si="27"/>
        <v/>
      </c>
      <c r="I604" s="15">
        <f t="shared" ca="1" si="22"/>
        <v>385.86666666666662</v>
      </c>
      <c r="J604" s="16">
        <f t="shared" ca="1" si="23"/>
        <v>389.88333333333321</v>
      </c>
      <c r="K604" s="16"/>
      <c r="L604" s="16">
        <f t="shared" ca="1" si="24"/>
        <v>379.73333333333323</v>
      </c>
      <c r="M604" s="16">
        <f t="shared" ca="1" si="25"/>
        <v>396.01666666666659</v>
      </c>
      <c r="N604" s="16">
        <f t="shared" ca="1" si="26"/>
        <v>375.71666666666664</v>
      </c>
    </row>
    <row r="605" spans="1:14" ht="24.75" customHeight="1" x14ac:dyDescent="0.8">
      <c r="A605" s="18" t="s">
        <v>568</v>
      </c>
      <c r="B605" s="10">
        <f ca="1">IFERROR(__xludf.DUMMYFUNCTION("GOOGLEFINANCE(A605,""PRICE"")"),955)</f>
        <v>955</v>
      </c>
      <c r="C605" s="11">
        <f ca="1">IFERROR(__xludf.DUMMYFUNCTION("GOOGLEFINANCE(A605,""PRICEOPEN"")"),964.9)</f>
        <v>964.9</v>
      </c>
      <c r="D605" s="11">
        <f ca="1">IFERROR(__xludf.DUMMYFUNCTION("GOOGLEFINANCE(A605,""HIGH"")"),976.45)</f>
        <v>976.45</v>
      </c>
      <c r="E605" s="11">
        <f ca="1">IFERROR(__xludf.DUMMYFUNCTION("GOOGLEFINANCE(A605,""LOW"")"),952.55)</f>
        <v>952.55</v>
      </c>
      <c r="F605" s="12" t="str">
        <f t="shared" ca="1" si="21"/>
        <v/>
      </c>
      <c r="G605" s="13">
        <f ca="1">IFERROR(__xludf.DUMMYFUNCTION("GOOGLEFINANCE(A605,""CLOSEYEST"")"),960.85)</f>
        <v>960.85</v>
      </c>
      <c r="H605" s="14" t="str">
        <f t="shared" ca="1" si="27"/>
        <v/>
      </c>
      <c r="I605" s="15">
        <f t="shared" ca="1" si="22"/>
        <v>963.2833333333333</v>
      </c>
      <c r="J605" s="16">
        <f t="shared" ca="1" si="23"/>
        <v>974.01666666666665</v>
      </c>
      <c r="K605" s="16"/>
      <c r="L605" s="16">
        <f t="shared" ca="1" si="24"/>
        <v>950.11666666666656</v>
      </c>
      <c r="M605" s="16">
        <f t="shared" ca="1" si="25"/>
        <v>987.18333333333339</v>
      </c>
      <c r="N605" s="16">
        <f t="shared" ca="1" si="26"/>
        <v>939.38333333333321</v>
      </c>
    </row>
    <row r="606" spans="1:14" ht="24.75" customHeight="1" x14ac:dyDescent="0.8">
      <c r="A606" s="18" t="s">
        <v>569</v>
      </c>
      <c r="B606" s="10" t="str">
        <f ca="1">IFERROR(__xludf.DUMMYFUNCTION("GOOGLEFINANCE(A606,""PRICE"")"),"#N/A")</f>
        <v>#N/A</v>
      </c>
      <c r="C606" s="11" t="str">
        <f ca="1">IFERROR(__xludf.DUMMYFUNCTION("GOOGLEFINANCE(A606,""PRICEOPEN"")"),"#N/A")</f>
        <v>#N/A</v>
      </c>
      <c r="D606" s="11" t="str">
        <f ca="1">IFERROR(__xludf.DUMMYFUNCTION("GOOGLEFINANCE(A606,""HIGH"")"),"#N/A")</f>
        <v>#N/A</v>
      </c>
      <c r="E606" s="11" t="str">
        <f ca="1">IFERROR(__xludf.DUMMYFUNCTION("GOOGLEFINANCE(A606,""LOW"")"),"#N/A")</f>
        <v>#N/A</v>
      </c>
      <c r="F606" s="12" t="str">
        <f t="shared" ca="1" si="21"/>
        <v>SELL</v>
      </c>
      <c r="G606" s="13" t="str">
        <f ca="1">IFERROR(__xludf.DUMMYFUNCTION("GOOGLEFINANCE(A606,""CLOSEYEST"")"),"#N/A")</f>
        <v>#N/A</v>
      </c>
      <c r="H606" s="14" t="e">
        <f t="shared" ca="1" si="27"/>
        <v>#VALUE!</v>
      </c>
      <c r="I606" s="15" t="e">
        <f t="shared" ca="1" si="22"/>
        <v>#VALUE!</v>
      </c>
      <c r="J606" s="16" t="e">
        <f t="shared" ca="1" si="23"/>
        <v>#VALUE!</v>
      </c>
      <c r="K606" s="16"/>
      <c r="L606" s="16" t="e">
        <f t="shared" ca="1" si="24"/>
        <v>#VALUE!</v>
      </c>
      <c r="M606" s="16" t="e">
        <f t="shared" ca="1" si="25"/>
        <v>#VALUE!</v>
      </c>
      <c r="N606" s="16" t="e">
        <f t="shared" ca="1" si="26"/>
        <v>#VALUE!</v>
      </c>
    </row>
    <row r="607" spans="1:14" ht="24.75" customHeight="1" x14ac:dyDescent="0.8">
      <c r="A607" s="18" t="s">
        <v>570</v>
      </c>
      <c r="B607" s="10">
        <f ca="1">IFERROR(__xludf.DUMMYFUNCTION("GOOGLEFINANCE(A607,""PRICE"")"),209.4)</f>
        <v>209.4</v>
      </c>
      <c r="C607" s="11">
        <f ca="1">IFERROR(__xludf.DUMMYFUNCTION("GOOGLEFINANCE(A607,""PRICEOPEN"")"),211.5)</f>
        <v>211.5</v>
      </c>
      <c r="D607" s="11">
        <f ca="1">IFERROR(__xludf.DUMMYFUNCTION("GOOGLEFINANCE(A607,""HIGH"")"),212.66)</f>
        <v>212.66</v>
      </c>
      <c r="E607" s="11">
        <f ca="1">IFERROR(__xludf.DUMMYFUNCTION("GOOGLEFINANCE(A607,""LOW"")"),208.5)</f>
        <v>208.5</v>
      </c>
      <c r="F607" s="12" t="str">
        <f t="shared" ca="1" si="21"/>
        <v/>
      </c>
      <c r="G607" s="13">
        <f ca="1">IFERROR(__xludf.DUMMYFUNCTION("GOOGLEFINANCE(A607,""CLOSEYEST"")"),210.61)</f>
        <v>210.61</v>
      </c>
      <c r="H607" s="14" t="str">
        <f t="shared" ca="1" si="27"/>
        <v/>
      </c>
      <c r="I607" s="15">
        <f t="shared" ca="1" si="22"/>
        <v>210.59</v>
      </c>
      <c r="J607" s="16">
        <f t="shared" ca="1" si="23"/>
        <v>212.68</v>
      </c>
      <c r="K607" s="16"/>
      <c r="L607" s="16">
        <f t="shared" ca="1" si="24"/>
        <v>208.52</v>
      </c>
      <c r="M607" s="16">
        <f t="shared" ca="1" si="25"/>
        <v>214.75</v>
      </c>
      <c r="N607" s="16">
        <f t="shared" ca="1" si="26"/>
        <v>206.43</v>
      </c>
    </row>
    <row r="608" spans="1:14" ht="24.75" customHeight="1" x14ac:dyDescent="0.8">
      <c r="A608" s="18" t="s">
        <v>571</v>
      </c>
      <c r="B608" s="10">
        <f ca="1">IFERROR(__xludf.DUMMYFUNCTION("GOOGLEFINANCE(A608,""PRICE"")"),413.85)</f>
        <v>413.85</v>
      </c>
      <c r="C608" s="11">
        <f ca="1">IFERROR(__xludf.DUMMYFUNCTION("GOOGLEFINANCE(A608,""PRICEOPEN"")"),410.9)</f>
        <v>410.9</v>
      </c>
      <c r="D608" s="11">
        <f ca="1">IFERROR(__xludf.DUMMYFUNCTION("GOOGLEFINANCE(A608,""HIGH"")"),419.15)</f>
        <v>419.15</v>
      </c>
      <c r="E608" s="11">
        <f ca="1">IFERROR(__xludf.DUMMYFUNCTION("GOOGLEFINANCE(A608,""LOW"")"),409.25)</f>
        <v>409.25</v>
      </c>
      <c r="F608" s="12" t="str">
        <f t="shared" ca="1" si="21"/>
        <v/>
      </c>
      <c r="G608" s="13">
        <f ca="1">IFERROR(__xludf.DUMMYFUNCTION("GOOGLEFINANCE(A608,""CLOSEYEST"")"),410.9)</f>
        <v>410.9</v>
      </c>
      <c r="H608" s="14" t="str">
        <f t="shared" ca="1" si="27"/>
        <v/>
      </c>
      <c r="I608" s="15">
        <f t="shared" ca="1" si="22"/>
        <v>413.09999999999997</v>
      </c>
      <c r="J608" s="16">
        <f t="shared" ca="1" si="23"/>
        <v>416.94999999999993</v>
      </c>
      <c r="K608" s="16"/>
      <c r="L608" s="16">
        <f t="shared" ca="1" si="24"/>
        <v>407.04999999999995</v>
      </c>
      <c r="M608" s="16">
        <f t="shared" ca="1" si="25"/>
        <v>422.99999999999994</v>
      </c>
      <c r="N608" s="16">
        <f t="shared" ca="1" si="26"/>
        <v>403.2</v>
      </c>
    </row>
    <row r="609" spans="1:14" ht="24.75" customHeight="1" x14ac:dyDescent="0.8">
      <c r="A609" s="18" t="s">
        <v>572</v>
      </c>
      <c r="B609" s="10">
        <f ca="1">IFERROR(__xludf.DUMMYFUNCTION("GOOGLEFINANCE(A609,""PRICE"")"),1578.5)</f>
        <v>1578.5</v>
      </c>
      <c r="C609" s="11">
        <f ca="1">IFERROR(__xludf.DUMMYFUNCTION("GOOGLEFINANCE(A609,""PRICEOPEN"")"),1568)</f>
        <v>1568</v>
      </c>
      <c r="D609" s="11">
        <f ca="1">IFERROR(__xludf.DUMMYFUNCTION("GOOGLEFINANCE(A609,""HIGH"")"),1580)</f>
        <v>1580</v>
      </c>
      <c r="E609" s="11">
        <f ca="1">IFERROR(__xludf.DUMMYFUNCTION("GOOGLEFINANCE(A609,""LOW"")"),1565.3)</f>
        <v>1565.3</v>
      </c>
      <c r="F609" s="12" t="str">
        <f t="shared" ca="1" si="21"/>
        <v/>
      </c>
      <c r="G609" s="13">
        <f ca="1">IFERROR(__xludf.DUMMYFUNCTION("GOOGLEFINANCE(A609,""CLOSEYEST"")"),1559.6)</f>
        <v>1559.6</v>
      </c>
      <c r="H609" s="14" t="str">
        <f t="shared" ca="1" si="27"/>
        <v/>
      </c>
      <c r="I609" s="15">
        <f t="shared" ca="1" si="22"/>
        <v>1568.3</v>
      </c>
      <c r="J609" s="16">
        <f t="shared" ca="1" si="23"/>
        <v>1571.3</v>
      </c>
      <c r="K609" s="16"/>
      <c r="L609" s="16">
        <f t="shared" ca="1" si="24"/>
        <v>1556.6</v>
      </c>
      <c r="M609" s="16">
        <f t="shared" ca="1" si="25"/>
        <v>1583</v>
      </c>
      <c r="N609" s="16">
        <f t="shared" ca="1" si="26"/>
        <v>1553.6</v>
      </c>
    </row>
    <row r="610" spans="1:14" ht="24.75" customHeight="1" x14ac:dyDescent="0.8">
      <c r="A610" s="18" t="s">
        <v>573</v>
      </c>
      <c r="B610" s="10">
        <f ca="1">IFERROR(__xludf.DUMMYFUNCTION("GOOGLEFINANCE(A610,""PRICE"")"),602.1)</f>
        <v>602.1</v>
      </c>
      <c r="C610" s="11">
        <f ca="1">IFERROR(__xludf.DUMMYFUNCTION("GOOGLEFINANCE(A610,""PRICEOPEN"")"),607.15)</f>
        <v>607.15</v>
      </c>
      <c r="D610" s="11">
        <f ca="1">IFERROR(__xludf.DUMMYFUNCTION("GOOGLEFINANCE(A610,""HIGH"")"),625)</f>
        <v>625</v>
      </c>
      <c r="E610" s="11">
        <f ca="1">IFERROR(__xludf.DUMMYFUNCTION("GOOGLEFINANCE(A610,""LOW"")"),599.8)</f>
        <v>599.79999999999995</v>
      </c>
      <c r="F610" s="12" t="str">
        <f t="shared" ca="1" si="21"/>
        <v/>
      </c>
      <c r="G610" s="13">
        <f ca="1">IFERROR(__xludf.DUMMYFUNCTION("GOOGLEFINANCE(A610,""CLOSEYEST"")"),607.15)</f>
        <v>607.15</v>
      </c>
      <c r="H610" s="14" t="str">
        <f t="shared" ca="1" si="27"/>
        <v/>
      </c>
      <c r="I610" s="15">
        <f t="shared" ca="1" si="22"/>
        <v>610.65</v>
      </c>
      <c r="J610" s="16">
        <f t="shared" ca="1" si="23"/>
        <v>621.5</v>
      </c>
      <c r="K610" s="16"/>
      <c r="L610" s="16">
        <f t="shared" ca="1" si="24"/>
        <v>596.29999999999995</v>
      </c>
      <c r="M610" s="16">
        <f t="shared" ca="1" si="25"/>
        <v>635.85</v>
      </c>
      <c r="N610" s="16">
        <f t="shared" ca="1" si="26"/>
        <v>585.44999999999993</v>
      </c>
    </row>
    <row r="611" spans="1:14" ht="24.75" customHeight="1" x14ac:dyDescent="0.8">
      <c r="A611" s="18" t="s">
        <v>574</v>
      </c>
      <c r="B611" s="10">
        <f ca="1">IFERROR(__xludf.DUMMYFUNCTION("GOOGLEFINANCE(A611,""PRICE"")"),2489)</f>
        <v>2489</v>
      </c>
      <c r="C611" s="11">
        <f ca="1">IFERROR(__xludf.DUMMYFUNCTION("GOOGLEFINANCE(A611,""PRICEOPEN"")"),2450)</f>
        <v>2450</v>
      </c>
      <c r="D611" s="11">
        <f ca="1">IFERROR(__xludf.DUMMYFUNCTION("GOOGLEFINANCE(A611,""HIGH"")"),2509)</f>
        <v>2509</v>
      </c>
      <c r="E611" s="11">
        <f ca="1">IFERROR(__xludf.DUMMYFUNCTION("GOOGLEFINANCE(A611,""LOW"")"),2432.1)</f>
        <v>2432.1</v>
      </c>
      <c r="F611" s="12" t="str">
        <f t="shared" ca="1" si="21"/>
        <v/>
      </c>
      <c r="G611" s="13">
        <f ca="1">IFERROR(__xludf.DUMMYFUNCTION("GOOGLEFINANCE(A611,""CLOSEYEST"")"),2443.8)</f>
        <v>2443.8000000000002</v>
      </c>
      <c r="H611" s="14" t="str">
        <f t="shared" ca="1" si="27"/>
        <v/>
      </c>
      <c r="I611" s="15">
        <f t="shared" ca="1" si="22"/>
        <v>2461.6333333333337</v>
      </c>
      <c r="J611" s="16">
        <f t="shared" ca="1" si="23"/>
        <v>2491.1666666666674</v>
      </c>
      <c r="K611" s="16"/>
      <c r="L611" s="16">
        <f t="shared" ca="1" si="24"/>
        <v>2414.2666666666673</v>
      </c>
      <c r="M611" s="16">
        <f t="shared" ca="1" si="25"/>
        <v>2538.5333333333338</v>
      </c>
      <c r="N611" s="16">
        <f t="shared" ca="1" si="26"/>
        <v>2384.7333333333336</v>
      </c>
    </row>
    <row r="612" spans="1:14" ht="24.75" customHeight="1" x14ac:dyDescent="0.8">
      <c r="A612" s="18" t="s">
        <v>575</v>
      </c>
      <c r="B612" s="10" t="str">
        <f ca="1">IFERROR(__xludf.DUMMYFUNCTION("GOOGLEFINANCE(A612,""PRICE"")"),"#N/A")</f>
        <v>#N/A</v>
      </c>
      <c r="C612" s="11" t="str">
        <f ca="1">IFERROR(__xludf.DUMMYFUNCTION("GOOGLEFINANCE(A612,""PRICEOPEN"")"),"#N/A")</f>
        <v>#N/A</v>
      </c>
      <c r="D612" s="11" t="str">
        <f ca="1">IFERROR(__xludf.DUMMYFUNCTION("GOOGLEFINANCE(A612,""HIGH"")"),"#N/A")</f>
        <v>#N/A</v>
      </c>
      <c r="E612" s="11" t="str">
        <f ca="1">IFERROR(__xludf.DUMMYFUNCTION("GOOGLEFINANCE(A612,""LOW"")"),"#N/A")</f>
        <v>#N/A</v>
      </c>
      <c r="F612" s="12" t="str">
        <f t="shared" ca="1" si="21"/>
        <v>SELL</v>
      </c>
      <c r="G612" s="13" t="str">
        <f ca="1">IFERROR(__xludf.DUMMYFUNCTION("GOOGLEFINANCE(A612,""CLOSEYEST"")"),"#N/A")</f>
        <v>#N/A</v>
      </c>
      <c r="H612" s="14" t="e">
        <f t="shared" ca="1" si="27"/>
        <v>#VALUE!</v>
      </c>
      <c r="I612" s="15" t="e">
        <f t="shared" ca="1" si="22"/>
        <v>#VALUE!</v>
      </c>
      <c r="J612" s="16" t="e">
        <f t="shared" ca="1" si="23"/>
        <v>#VALUE!</v>
      </c>
      <c r="K612" s="16"/>
      <c r="L612" s="16" t="e">
        <f t="shared" ca="1" si="24"/>
        <v>#VALUE!</v>
      </c>
      <c r="M612" s="16" t="e">
        <f t="shared" ca="1" si="25"/>
        <v>#VALUE!</v>
      </c>
      <c r="N612" s="16" t="e">
        <f t="shared" ca="1" si="26"/>
        <v>#VALUE!</v>
      </c>
    </row>
    <row r="613" spans="1:14" ht="24.75" customHeight="1" x14ac:dyDescent="0.8">
      <c r="A613" s="18" t="s">
        <v>576</v>
      </c>
      <c r="B613" s="10">
        <f ca="1">IFERROR(__xludf.DUMMYFUNCTION("GOOGLEFINANCE(A613,""PRICE"")"),618)</f>
        <v>618</v>
      </c>
      <c r="C613" s="11">
        <f ca="1">IFERROR(__xludf.DUMMYFUNCTION("GOOGLEFINANCE(A613,""PRICEOPEN"")"),605.1)</f>
        <v>605.1</v>
      </c>
      <c r="D613" s="11">
        <f ca="1">IFERROR(__xludf.DUMMYFUNCTION("GOOGLEFINANCE(A613,""HIGH"")"),621)</f>
        <v>621</v>
      </c>
      <c r="E613" s="11">
        <f ca="1">IFERROR(__xludf.DUMMYFUNCTION("GOOGLEFINANCE(A613,""LOW"")"),604)</f>
        <v>604</v>
      </c>
      <c r="F613" s="12" t="str">
        <f t="shared" ca="1" si="21"/>
        <v/>
      </c>
      <c r="G613" s="13">
        <f ca="1">IFERROR(__xludf.DUMMYFUNCTION("GOOGLEFINANCE(A613,""CLOSEYEST"")"),605.35)</f>
        <v>605.35</v>
      </c>
      <c r="H613" s="14" t="str">
        <f t="shared" ca="1" si="27"/>
        <v/>
      </c>
      <c r="I613" s="15">
        <f t="shared" ca="1" si="22"/>
        <v>610.11666666666667</v>
      </c>
      <c r="J613" s="16">
        <f t="shared" ca="1" si="23"/>
        <v>616.23333333333335</v>
      </c>
      <c r="K613" s="16"/>
      <c r="L613" s="16">
        <f t="shared" ca="1" si="24"/>
        <v>599.23333333333335</v>
      </c>
      <c r="M613" s="16">
        <f t="shared" ca="1" si="25"/>
        <v>627.11666666666667</v>
      </c>
      <c r="N613" s="16">
        <f t="shared" ca="1" si="26"/>
        <v>593.11666666666667</v>
      </c>
    </row>
    <row r="614" spans="1:14" ht="24.75" customHeight="1" x14ac:dyDescent="0.8">
      <c r="A614" s="18" t="s">
        <v>577</v>
      </c>
      <c r="B614" s="10">
        <f ca="1">IFERROR(__xludf.DUMMYFUNCTION("GOOGLEFINANCE(A614,""PRICE"")"),599.9)</f>
        <v>599.9</v>
      </c>
      <c r="C614" s="11">
        <f ca="1">IFERROR(__xludf.DUMMYFUNCTION("GOOGLEFINANCE(A614,""PRICEOPEN"")"),597.9)</f>
        <v>597.9</v>
      </c>
      <c r="D614" s="11">
        <f ca="1">IFERROR(__xludf.DUMMYFUNCTION("GOOGLEFINANCE(A614,""HIGH"")"),610.55)</f>
        <v>610.54999999999995</v>
      </c>
      <c r="E614" s="11">
        <f ca="1">IFERROR(__xludf.DUMMYFUNCTION("GOOGLEFINANCE(A614,""LOW"")"),595.7)</f>
        <v>595.70000000000005</v>
      </c>
      <c r="F614" s="12" t="str">
        <f t="shared" ca="1" si="21"/>
        <v/>
      </c>
      <c r="G614" s="13">
        <f ca="1">IFERROR(__xludf.DUMMYFUNCTION("GOOGLEFINANCE(A614,""CLOSEYEST"")"),593.2)</f>
        <v>593.20000000000005</v>
      </c>
      <c r="H614" s="14" t="str">
        <f t="shared" ca="1" si="27"/>
        <v/>
      </c>
      <c r="I614" s="15">
        <f t="shared" ca="1" si="22"/>
        <v>599.81666666666672</v>
      </c>
      <c r="J614" s="16">
        <f t="shared" ca="1" si="23"/>
        <v>603.93333333333339</v>
      </c>
      <c r="K614" s="16"/>
      <c r="L614" s="16">
        <f t="shared" ca="1" si="24"/>
        <v>589.08333333333348</v>
      </c>
      <c r="M614" s="16">
        <f t="shared" ca="1" si="25"/>
        <v>614.66666666666663</v>
      </c>
      <c r="N614" s="16">
        <f t="shared" ca="1" si="26"/>
        <v>584.96666666666681</v>
      </c>
    </row>
    <row r="615" spans="1:14" ht="24.75" customHeight="1" x14ac:dyDescent="0.8">
      <c r="A615" s="18" t="s">
        <v>578</v>
      </c>
      <c r="B615" s="10">
        <f ca="1">IFERROR(__xludf.DUMMYFUNCTION("GOOGLEFINANCE(A615,""PRICE"")"),1505)</f>
        <v>1505</v>
      </c>
      <c r="C615" s="11">
        <f ca="1">IFERROR(__xludf.DUMMYFUNCTION("GOOGLEFINANCE(A615,""PRICEOPEN"")"),1494.9)</f>
        <v>1494.9</v>
      </c>
      <c r="D615" s="11">
        <f ca="1">IFERROR(__xludf.DUMMYFUNCTION("GOOGLEFINANCE(A615,""HIGH"")"),1505)</f>
        <v>1505</v>
      </c>
      <c r="E615" s="11">
        <f ca="1">IFERROR(__xludf.DUMMYFUNCTION("GOOGLEFINANCE(A615,""LOW"")"),1490)</f>
        <v>1490</v>
      </c>
      <c r="F615" s="12" t="str">
        <f t="shared" ca="1" si="21"/>
        <v/>
      </c>
      <c r="G615" s="13">
        <f ca="1">IFERROR(__xludf.DUMMYFUNCTION("GOOGLEFINANCE(A615,""CLOSEYEST"")"),1495.6)</f>
        <v>1495.6</v>
      </c>
      <c r="H615" s="14" t="str">
        <f t="shared" ca="1" si="27"/>
        <v/>
      </c>
      <c r="I615" s="15">
        <f t="shared" ca="1" si="22"/>
        <v>1496.8666666666668</v>
      </c>
      <c r="J615" s="16">
        <f t="shared" ca="1" si="23"/>
        <v>1503.7333333333336</v>
      </c>
      <c r="K615" s="16"/>
      <c r="L615" s="16">
        <f t="shared" ca="1" si="24"/>
        <v>1488.7333333333336</v>
      </c>
      <c r="M615" s="16">
        <f t="shared" ca="1" si="25"/>
        <v>1511.8666666666668</v>
      </c>
      <c r="N615" s="16">
        <f t="shared" ca="1" si="26"/>
        <v>1481.8666666666668</v>
      </c>
    </row>
    <row r="616" spans="1:14" ht="24.75" customHeight="1" x14ac:dyDescent="0.8">
      <c r="A616" s="18" t="s">
        <v>579</v>
      </c>
      <c r="B616" s="10">
        <f ca="1">IFERROR(__xludf.DUMMYFUNCTION("GOOGLEFINANCE(A616,""PRICE"")"),554)</f>
        <v>554</v>
      </c>
      <c r="C616" s="11">
        <f ca="1">IFERROR(__xludf.DUMMYFUNCTION("GOOGLEFINANCE(A616,""PRICEOPEN"")"),554.9)</f>
        <v>554.9</v>
      </c>
      <c r="D616" s="11">
        <f ca="1">IFERROR(__xludf.DUMMYFUNCTION("GOOGLEFINANCE(A616,""HIGH"")"),558.8)</f>
        <v>558.79999999999995</v>
      </c>
      <c r="E616" s="11">
        <f ca="1">IFERROR(__xludf.DUMMYFUNCTION("GOOGLEFINANCE(A616,""LOW"")"),551.5)</f>
        <v>551.5</v>
      </c>
      <c r="F616" s="12" t="str">
        <f t="shared" ca="1" si="21"/>
        <v/>
      </c>
      <c r="G616" s="13">
        <f ca="1">IFERROR(__xludf.DUMMYFUNCTION("GOOGLEFINANCE(A616,""CLOSEYEST"")"),550.6)</f>
        <v>550.6</v>
      </c>
      <c r="H616" s="14" t="str">
        <f t="shared" ca="1" si="27"/>
        <v/>
      </c>
      <c r="I616" s="15">
        <f t="shared" ca="1" si="22"/>
        <v>553.63333333333333</v>
      </c>
      <c r="J616" s="16">
        <f t="shared" ca="1" si="23"/>
        <v>555.76666666666665</v>
      </c>
      <c r="K616" s="16"/>
      <c r="L616" s="16">
        <f t="shared" ca="1" si="24"/>
        <v>548.4666666666667</v>
      </c>
      <c r="M616" s="16">
        <f t="shared" ca="1" si="25"/>
        <v>560.93333333333328</v>
      </c>
      <c r="N616" s="16">
        <f t="shared" ca="1" si="26"/>
        <v>546.33333333333337</v>
      </c>
    </row>
    <row r="617" spans="1:14" ht="24.75" customHeight="1" x14ac:dyDescent="0.8">
      <c r="A617" s="18" t="s">
        <v>580</v>
      </c>
      <c r="B617" s="10">
        <f ca="1">IFERROR(__xludf.DUMMYFUNCTION("GOOGLEFINANCE(A617,""PRICE"")"),212.2)</f>
        <v>212.2</v>
      </c>
      <c r="C617" s="11">
        <f ca="1">IFERROR(__xludf.DUMMYFUNCTION("GOOGLEFINANCE(A617,""PRICEOPEN"")"),213)</f>
        <v>213</v>
      </c>
      <c r="D617" s="11">
        <f ca="1">IFERROR(__xludf.DUMMYFUNCTION("GOOGLEFINANCE(A617,""HIGH"")"),213.96)</f>
        <v>213.96</v>
      </c>
      <c r="E617" s="11">
        <f ca="1">IFERROR(__xludf.DUMMYFUNCTION("GOOGLEFINANCE(A617,""LOW"")"),209.9)</f>
        <v>209.9</v>
      </c>
      <c r="F617" s="12" t="str">
        <f t="shared" ca="1" si="21"/>
        <v/>
      </c>
      <c r="G617" s="13">
        <f ca="1">IFERROR(__xludf.DUMMYFUNCTION("GOOGLEFINANCE(A617,""CLOSEYEST"")"),210.18)</f>
        <v>210.18</v>
      </c>
      <c r="H617" s="14" t="str">
        <f t="shared" ca="1" si="27"/>
        <v>GAP UP</v>
      </c>
      <c r="I617" s="15">
        <f t="shared" ca="1" si="22"/>
        <v>211.34666666666666</v>
      </c>
      <c r="J617" s="16">
        <f t="shared" ca="1" si="23"/>
        <v>212.79333333333332</v>
      </c>
      <c r="K617" s="16"/>
      <c r="L617" s="16">
        <f t="shared" ca="1" si="24"/>
        <v>208.73333333333332</v>
      </c>
      <c r="M617" s="16">
        <f t="shared" ca="1" si="25"/>
        <v>215.40666666666667</v>
      </c>
      <c r="N617" s="16">
        <f t="shared" ca="1" si="26"/>
        <v>207.28666666666666</v>
      </c>
    </row>
    <row r="618" spans="1:14" ht="24.75" customHeight="1" x14ac:dyDescent="0.8">
      <c r="A618" s="18" t="s">
        <v>581</v>
      </c>
      <c r="B618" s="10">
        <f ca="1">IFERROR(__xludf.DUMMYFUNCTION("GOOGLEFINANCE(A618,""PRICE"")"),259.99)</f>
        <v>259.99</v>
      </c>
      <c r="C618" s="11">
        <f ca="1">IFERROR(__xludf.DUMMYFUNCTION("GOOGLEFINANCE(A618,""PRICEOPEN"")"),254.42)</f>
        <v>254.42</v>
      </c>
      <c r="D618" s="11">
        <f ca="1">IFERROR(__xludf.DUMMYFUNCTION("GOOGLEFINANCE(A618,""HIGH"")"),264.96)</f>
        <v>264.95999999999998</v>
      </c>
      <c r="E618" s="11">
        <f ca="1">IFERROR(__xludf.DUMMYFUNCTION("GOOGLEFINANCE(A618,""LOW"")"),248)</f>
        <v>248</v>
      </c>
      <c r="F618" s="12" t="str">
        <f t="shared" ca="1" si="21"/>
        <v/>
      </c>
      <c r="G618" s="13">
        <f ca="1">IFERROR(__xludf.DUMMYFUNCTION("GOOGLEFINANCE(A618,""CLOSEYEST"")"),253.29)</f>
        <v>253.29</v>
      </c>
      <c r="H618" s="14" t="str">
        <f t="shared" ca="1" si="27"/>
        <v/>
      </c>
      <c r="I618" s="15">
        <f t="shared" ca="1" si="22"/>
        <v>255.41666666666666</v>
      </c>
      <c r="J618" s="16">
        <f t="shared" ca="1" si="23"/>
        <v>262.83333333333331</v>
      </c>
      <c r="K618" s="16"/>
      <c r="L618" s="16">
        <f t="shared" ca="1" si="24"/>
        <v>245.87333333333333</v>
      </c>
      <c r="M618" s="16">
        <f t="shared" ca="1" si="25"/>
        <v>272.37666666666667</v>
      </c>
      <c r="N618" s="16">
        <f t="shared" ca="1" si="26"/>
        <v>238.45666666666668</v>
      </c>
    </row>
    <row r="619" spans="1:14" ht="24.75" customHeight="1" x14ac:dyDescent="0.8">
      <c r="A619" s="18" t="s">
        <v>582</v>
      </c>
      <c r="B619" s="10">
        <f ca="1">IFERROR(__xludf.DUMMYFUNCTION("GOOGLEFINANCE(A619,""PRICE"")"),330.25)</f>
        <v>330.25</v>
      </c>
      <c r="C619" s="11">
        <f ca="1">IFERROR(__xludf.DUMMYFUNCTION("GOOGLEFINANCE(A619,""PRICEOPEN"")"),328.6)</f>
        <v>328.6</v>
      </c>
      <c r="D619" s="11">
        <f ca="1">IFERROR(__xludf.DUMMYFUNCTION("GOOGLEFINANCE(A619,""HIGH"")"),334.45)</f>
        <v>334.45</v>
      </c>
      <c r="E619" s="11">
        <f ca="1">IFERROR(__xludf.DUMMYFUNCTION("GOOGLEFINANCE(A619,""LOW"")"),326.65)</f>
        <v>326.64999999999998</v>
      </c>
      <c r="F619" s="12" t="str">
        <f t="shared" ca="1" si="21"/>
        <v/>
      </c>
      <c r="G619" s="13">
        <f ca="1">IFERROR(__xludf.DUMMYFUNCTION("GOOGLEFINANCE(A619,""CLOSEYEST"")"),331.6)</f>
        <v>331.6</v>
      </c>
      <c r="H619" s="14" t="str">
        <f t="shared" ca="1" si="27"/>
        <v/>
      </c>
      <c r="I619" s="15">
        <f t="shared" ca="1" si="22"/>
        <v>330.9</v>
      </c>
      <c r="J619" s="16">
        <f t="shared" ca="1" si="23"/>
        <v>335.15</v>
      </c>
      <c r="K619" s="16"/>
      <c r="L619" s="16">
        <f t="shared" ca="1" si="24"/>
        <v>327.34999999999997</v>
      </c>
      <c r="M619" s="16">
        <f t="shared" ca="1" si="25"/>
        <v>338.7</v>
      </c>
      <c r="N619" s="16">
        <f t="shared" ca="1" si="26"/>
        <v>323.09999999999997</v>
      </c>
    </row>
    <row r="620" spans="1:14" ht="24.75" customHeight="1" x14ac:dyDescent="0.8">
      <c r="A620" s="18" t="s">
        <v>583</v>
      </c>
      <c r="B620" s="10">
        <f ca="1">IFERROR(__xludf.DUMMYFUNCTION("GOOGLEFINANCE(A620,""PRICE"")"),247.99)</f>
        <v>247.99</v>
      </c>
      <c r="C620" s="11">
        <f ca="1">IFERROR(__xludf.DUMMYFUNCTION("GOOGLEFINANCE(A620,""PRICEOPEN"")"),249.99)</f>
        <v>249.99</v>
      </c>
      <c r="D620" s="11">
        <f ca="1">IFERROR(__xludf.DUMMYFUNCTION("GOOGLEFINANCE(A620,""HIGH"")"),251.7)</f>
        <v>251.7</v>
      </c>
      <c r="E620" s="11">
        <f ca="1">IFERROR(__xludf.DUMMYFUNCTION("GOOGLEFINANCE(A620,""LOW"")"),245.52)</f>
        <v>245.52</v>
      </c>
      <c r="F620" s="12" t="str">
        <f t="shared" ca="1" si="21"/>
        <v/>
      </c>
      <c r="G620" s="13">
        <f ca="1">IFERROR(__xludf.DUMMYFUNCTION("GOOGLEFINANCE(A620,""CLOSEYEST"")"),246.64)</f>
        <v>246.64</v>
      </c>
      <c r="H620" s="14" t="str">
        <f t="shared" ca="1" si="27"/>
        <v>GAP UP</v>
      </c>
      <c r="I620" s="15">
        <f t="shared" ca="1" si="22"/>
        <v>247.95333333333335</v>
      </c>
      <c r="J620" s="16">
        <f t="shared" ca="1" si="23"/>
        <v>250.38666666666668</v>
      </c>
      <c r="K620" s="16"/>
      <c r="L620" s="16">
        <f t="shared" ca="1" si="24"/>
        <v>244.20666666666671</v>
      </c>
      <c r="M620" s="16">
        <f t="shared" ca="1" si="25"/>
        <v>254.13333333333333</v>
      </c>
      <c r="N620" s="16">
        <f t="shared" ca="1" si="26"/>
        <v>241.77333333333337</v>
      </c>
    </row>
    <row r="621" spans="1:14" ht="24.75" customHeight="1" x14ac:dyDescent="0.8">
      <c r="A621" s="18" t="s">
        <v>584</v>
      </c>
      <c r="B621" s="10">
        <f ca="1">IFERROR(__xludf.DUMMYFUNCTION("GOOGLEFINANCE(A621,""PRICE"")"),520)</f>
        <v>520</v>
      </c>
      <c r="C621" s="11">
        <f ca="1">IFERROR(__xludf.DUMMYFUNCTION("GOOGLEFINANCE(A621,""PRICEOPEN"")"),520.7)</f>
        <v>520.70000000000005</v>
      </c>
      <c r="D621" s="11">
        <f ca="1">IFERROR(__xludf.DUMMYFUNCTION("GOOGLEFINANCE(A621,""HIGH"")"),525.85)</f>
        <v>525.85</v>
      </c>
      <c r="E621" s="11">
        <f ca="1">IFERROR(__xludf.DUMMYFUNCTION("GOOGLEFINANCE(A621,""LOW"")"),514.8)</f>
        <v>514.79999999999995</v>
      </c>
      <c r="F621" s="12" t="str">
        <f t="shared" ca="1" si="21"/>
        <v/>
      </c>
      <c r="G621" s="13">
        <f ca="1">IFERROR(__xludf.DUMMYFUNCTION("GOOGLEFINANCE(A621,""CLOSEYEST"")"),520.7)</f>
        <v>520.70000000000005</v>
      </c>
      <c r="H621" s="14" t="str">
        <f t="shared" ca="1" si="27"/>
        <v/>
      </c>
      <c r="I621" s="15">
        <f t="shared" ca="1" si="22"/>
        <v>520.45000000000005</v>
      </c>
      <c r="J621" s="16">
        <f t="shared" ca="1" si="23"/>
        <v>526.10000000000014</v>
      </c>
      <c r="K621" s="16"/>
      <c r="L621" s="16">
        <f t="shared" ca="1" si="24"/>
        <v>515.05000000000007</v>
      </c>
      <c r="M621" s="16">
        <f t="shared" ca="1" si="25"/>
        <v>531.50000000000011</v>
      </c>
      <c r="N621" s="16">
        <f t="shared" ca="1" si="26"/>
        <v>509.4</v>
      </c>
    </row>
    <row r="622" spans="1:14" ht="24.75" customHeight="1" x14ac:dyDescent="0.8">
      <c r="A622" s="18" t="s">
        <v>585</v>
      </c>
      <c r="B622" s="10">
        <f ca="1">IFERROR(__xludf.DUMMYFUNCTION("GOOGLEFINANCE(A622,""PRICE"")"),139.4)</f>
        <v>139.4</v>
      </c>
      <c r="C622" s="11">
        <f ca="1">IFERROR(__xludf.DUMMYFUNCTION("GOOGLEFINANCE(A622,""PRICEOPEN"")"),135.49)</f>
        <v>135.49</v>
      </c>
      <c r="D622" s="11">
        <f ca="1">IFERROR(__xludf.DUMMYFUNCTION("GOOGLEFINANCE(A622,""HIGH"")"),139.86)</f>
        <v>139.86000000000001</v>
      </c>
      <c r="E622" s="11">
        <f ca="1">IFERROR(__xludf.DUMMYFUNCTION("GOOGLEFINANCE(A622,""LOW"")"),134)</f>
        <v>134</v>
      </c>
      <c r="F622" s="12" t="str">
        <f t="shared" ca="1" si="21"/>
        <v/>
      </c>
      <c r="G622" s="13">
        <f ca="1">IFERROR(__xludf.DUMMYFUNCTION("GOOGLEFINANCE(A622,""CLOSEYEST"")"),134.75)</f>
        <v>134.75</v>
      </c>
      <c r="H622" s="14" t="str">
        <f t="shared" ca="1" si="27"/>
        <v/>
      </c>
      <c r="I622" s="15">
        <f t="shared" ca="1" si="22"/>
        <v>136.20333333333335</v>
      </c>
      <c r="J622" s="16">
        <f t="shared" ca="1" si="23"/>
        <v>138.40666666666669</v>
      </c>
      <c r="K622" s="16"/>
      <c r="L622" s="16">
        <f t="shared" ca="1" si="24"/>
        <v>132.54666666666668</v>
      </c>
      <c r="M622" s="16">
        <f t="shared" ca="1" si="25"/>
        <v>142.06333333333336</v>
      </c>
      <c r="N622" s="16">
        <f t="shared" ca="1" si="26"/>
        <v>130.34333333333333</v>
      </c>
    </row>
    <row r="623" spans="1:14" ht="24.75" customHeight="1" x14ac:dyDescent="0.8">
      <c r="A623" s="18" t="s">
        <v>586</v>
      </c>
      <c r="B623" s="10">
        <f ca="1">IFERROR(__xludf.DUMMYFUNCTION("GOOGLEFINANCE(A623,""PRICE"")"),8885)</f>
        <v>8885</v>
      </c>
      <c r="C623" s="11">
        <f ca="1">IFERROR(__xludf.DUMMYFUNCTION("GOOGLEFINANCE(A623,""PRICEOPEN"")"),9049.5)</f>
        <v>9049.5</v>
      </c>
      <c r="D623" s="11">
        <f ca="1">IFERROR(__xludf.DUMMYFUNCTION("GOOGLEFINANCE(A623,""HIGH"")"),9049.5)</f>
        <v>9049.5</v>
      </c>
      <c r="E623" s="11">
        <f ca="1">IFERROR(__xludf.DUMMYFUNCTION("GOOGLEFINANCE(A623,""LOW"")"),8790)</f>
        <v>8790</v>
      </c>
      <c r="F623" s="12" t="str">
        <f t="shared" ca="1" si="21"/>
        <v>SELL</v>
      </c>
      <c r="G623" s="13">
        <f ca="1">IFERROR(__xludf.DUMMYFUNCTION("GOOGLEFINANCE(A623,""CLOSEYEST"")"),8905)</f>
        <v>8905</v>
      </c>
      <c r="H623" s="14" t="str">
        <f t="shared" ca="1" si="27"/>
        <v>GAP UP</v>
      </c>
      <c r="I623" s="15">
        <f t="shared" ca="1" si="22"/>
        <v>8914.8333333333339</v>
      </c>
      <c r="J623" s="16">
        <f t="shared" ca="1" si="23"/>
        <v>9039.6666666666679</v>
      </c>
      <c r="K623" s="16"/>
      <c r="L623" s="16">
        <f t="shared" ca="1" si="24"/>
        <v>8780.1666666666679</v>
      </c>
      <c r="M623" s="16">
        <f t="shared" ca="1" si="25"/>
        <v>9174.3333333333339</v>
      </c>
      <c r="N623" s="16">
        <f t="shared" ca="1" si="26"/>
        <v>8655.3333333333339</v>
      </c>
    </row>
    <row r="624" spans="1:14" ht="24.75" customHeight="1" x14ac:dyDescent="0.8">
      <c r="A624" s="18" t="s">
        <v>587</v>
      </c>
      <c r="B624" s="10">
        <f ca="1">IFERROR(__xludf.DUMMYFUNCTION("GOOGLEFINANCE(A624,""PRICE"")"),224.9)</f>
        <v>224.9</v>
      </c>
      <c r="C624" s="11">
        <f ca="1">IFERROR(__xludf.DUMMYFUNCTION("GOOGLEFINANCE(A624,""PRICEOPEN"")"),223.03)</f>
        <v>223.03</v>
      </c>
      <c r="D624" s="11">
        <f ca="1">IFERROR(__xludf.DUMMYFUNCTION("GOOGLEFINANCE(A624,""HIGH"")"),225.53)</f>
        <v>225.53</v>
      </c>
      <c r="E624" s="11">
        <f ca="1">IFERROR(__xludf.DUMMYFUNCTION("GOOGLEFINANCE(A624,""LOW"")"),222.21)</f>
        <v>222.21</v>
      </c>
      <c r="F624" s="12" t="str">
        <f t="shared" ca="1" si="21"/>
        <v/>
      </c>
      <c r="G624" s="13">
        <f ca="1">IFERROR(__xludf.DUMMYFUNCTION("GOOGLEFINANCE(A624,""CLOSEYEST"")"),223.03)</f>
        <v>223.03</v>
      </c>
      <c r="H624" s="14" t="str">
        <f t="shared" ca="1" si="27"/>
        <v/>
      </c>
      <c r="I624" s="15">
        <f t="shared" ca="1" si="22"/>
        <v>223.59</v>
      </c>
      <c r="J624" s="16">
        <f t="shared" ca="1" si="23"/>
        <v>224.97</v>
      </c>
      <c r="K624" s="16"/>
      <c r="L624" s="16">
        <f t="shared" ca="1" si="24"/>
        <v>221.65</v>
      </c>
      <c r="M624" s="16">
        <f t="shared" ca="1" si="25"/>
        <v>226.91</v>
      </c>
      <c r="N624" s="16">
        <f t="shared" ca="1" si="26"/>
        <v>220.27</v>
      </c>
    </row>
    <row r="625" spans="1:14" ht="24.75" customHeight="1" x14ac:dyDescent="0.8">
      <c r="A625" s="18" t="s">
        <v>588</v>
      </c>
      <c r="B625" s="10">
        <f ca="1">IFERROR(__xludf.DUMMYFUNCTION("GOOGLEFINANCE(A625,""PRICE"")"),48.25)</f>
        <v>48.25</v>
      </c>
      <c r="C625" s="11">
        <f ca="1">IFERROR(__xludf.DUMMYFUNCTION("GOOGLEFINANCE(A625,""PRICEOPEN"")"),48.23)</f>
        <v>48.23</v>
      </c>
      <c r="D625" s="11">
        <f ca="1">IFERROR(__xludf.DUMMYFUNCTION("GOOGLEFINANCE(A625,""HIGH"")"),48.6)</f>
        <v>48.6</v>
      </c>
      <c r="E625" s="11">
        <f ca="1">IFERROR(__xludf.DUMMYFUNCTION("GOOGLEFINANCE(A625,""LOW"")"),47.83)</f>
        <v>47.83</v>
      </c>
      <c r="F625" s="12" t="str">
        <f t="shared" ca="1" si="21"/>
        <v/>
      </c>
      <c r="G625" s="13">
        <f ca="1">IFERROR(__xludf.DUMMYFUNCTION("GOOGLEFINANCE(A625,""CLOSEYEST"")"),48.23)</f>
        <v>48.23</v>
      </c>
      <c r="H625" s="14" t="str">
        <f t="shared" ca="1" si="27"/>
        <v/>
      </c>
      <c r="I625" s="15">
        <f t="shared" ca="1" si="22"/>
        <v>48.22</v>
      </c>
      <c r="J625" s="16">
        <f t="shared" ca="1" si="23"/>
        <v>48.61</v>
      </c>
      <c r="K625" s="16"/>
      <c r="L625" s="16">
        <f t="shared" ca="1" si="24"/>
        <v>47.839999999999996</v>
      </c>
      <c r="M625" s="16">
        <f t="shared" ca="1" si="25"/>
        <v>48.99</v>
      </c>
      <c r="N625" s="16">
        <f t="shared" ca="1" si="26"/>
        <v>47.449999999999996</v>
      </c>
    </row>
    <row r="626" spans="1:14" ht="24.75" customHeight="1" x14ac:dyDescent="0.8">
      <c r="A626" s="18" t="s">
        <v>589</v>
      </c>
      <c r="B626" s="10">
        <f ca="1">IFERROR(__xludf.DUMMYFUNCTION("GOOGLEFINANCE(A626,""PRICE"")"),3502)</f>
        <v>3502</v>
      </c>
      <c r="C626" s="11">
        <f ca="1">IFERROR(__xludf.DUMMYFUNCTION("GOOGLEFINANCE(A626,""PRICEOPEN"")"),3700)</f>
        <v>3700</v>
      </c>
      <c r="D626" s="11">
        <f ca="1">IFERROR(__xludf.DUMMYFUNCTION("GOOGLEFINANCE(A626,""HIGH"")"),3700)</f>
        <v>3700</v>
      </c>
      <c r="E626" s="11">
        <f ca="1">IFERROR(__xludf.DUMMYFUNCTION("GOOGLEFINANCE(A626,""LOW"")"),3501)</f>
        <v>3501</v>
      </c>
      <c r="F626" s="12" t="str">
        <f t="shared" ca="1" si="21"/>
        <v>SELL</v>
      </c>
      <c r="G626" s="13">
        <f ca="1">IFERROR(__xludf.DUMMYFUNCTION("GOOGLEFINANCE(A626,""CLOSEYEST"")"),3653.5)</f>
        <v>3653.5</v>
      </c>
      <c r="H626" s="14" t="str">
        <f t="shared" ca="1" si="27"/>
        <v>GAP UP</v>
      </c>
      <c r="I626" s="15">
        <f t="shared" ca="1" si="22"/>
        <v>3618.1666666666665</v>
      </c>
      <c r="J626" s="16">
        <f t="shared" ca="1" si="23"/>
        <v>3735.333333333333</v>
      </c>
      <c r="K626" s="16"/>
      <c r="L626" s="16">
        <f t="shared" ca="1" si="24"/>
        <v>3536.333333333333</v>
      </c>
      <c r="M626" s="16">
        <f t="shared" ca="1" si="25"/>
        <v>3817.1666666666665</v>
      </c>
      <c r="N626" s="16">
        <f t="shared" ca="1" si="26"/>
        <v>3419.1666666666665</v>
      </c>
    </row>
    <row r="627" spans="1:14" ht="24.75" customHeight="1" x14ac:dyDescent="0.8">
      <c r="A627" s="18" t="s">
        <v>590</v>
      </c>
      <c r="B627" s="10">
        <f ca="1">IFERROR(__xludf.DUMMYFUNCTION("GOOGLEFINANCE(A627,""PRICE"")"),8.55)</f>
        <v>8.5500000000000007</v>
      </c>
      <c r="C627" s="11">
        <f ca="1">IFERROR(__xludf.DUMMYFUNCTION("GOOGLEFINANCE(A627,""PRICEOPEN"")"),8.51)</f>
        <v>8.51</v>
      </c>
      <c r="D627" s="11">
        <f ca="1">IFERROR(__xludf.DUMMYFUNCTION("GOOGLEFINANCE(A627,""HIGH"")"),8.55)</f>
        <v>8.5500000000000007</v>
      </c>
      <c r="E627" s="11">
        <f ca="1">IFERROR(__xludf.DUMMYFUNCTION("GOOGLEFINANCE(A627,""LOW"")"),8.51)</f>
        <v>8.51</v>
      </c>
      <c r="F627" s="12" t="str">
        <f t="shared" ca="1" si="21"/>
        <v>BUY</v>
      </c>
      <c r="G627" s="13">
        <f ca="1">IFERROR(__xludf.DUMMYFUNCTION("GOOGLEFINANCE(A627,""CLOSEYEST"")"),8.55)</f>
        <v>8.5500000000000007</v>
      </c>
      <c r="H627" s="14" t="str">
        <f t="shared" ca="1" si="27"/>
        <v/>
      </c>
      <c r="I627" s="15">
        <f t="shared" ca="1" si="22"/>
        <v>8.5366666666666671</v>
      </c>
      <c r="J627" s="16">
        <f t="shared" ca="1" si="23"/>
        <v>8.5633333333333344</v>
      </c>
      <c r="K627" s="16"/>
      <c r="L627" s="16">
        <f t="shared" ca="1" si="24"/>
        <v>8.5233333333333334</v>
      </c>
      <c r="M627" s="16">
        <f t="shared" ca="1" si="25"/>
        <v>8.576666666666668</v>
      </c>
      <c r="N627" s="16">
        <f t="shared" ca="1" si="26"/>
        <v>8.4966666666666661</v>
      </c>
    </row>
    <row r="628" spans="1:14" ht="24.75" customHeight="1" x14ac:dyDescent="0.8">
      <c r="A628" s="18" t="s">
        <v>591</v>
      </c>
      <c r="B628" s="10">
        <f ca="1">IFERROR(__xludf.DUMMYFUNCTION("GOOGLEFINANCE(A628,""PRICE"")"),300)</f>
        <v>300</v>
      </c>
      <c r="C628" s="11">
        <f ca="1">IFERROR(__xludf.DUMMYFUNCTION("GOOGLEFINANCE(A628,""PRICEOPEN"")"),297.15)</f>
        <v>297.14999999999998</v>
      </c>
      <c r="D628" s="11">
        <f ca="1">IFERROR(__xludf.DUMMYFUNCTION("GOOGLEFINANCE(A628,""HIGH"")"),301.3)</f>
        <v>301.3</v>
      </c>
      <c r="E628" s="11">
        <f ca="1">IFERROR(__xludf.DUMMYFUNCTION("GOOGLEFINANCE(A628,""LOW"")"),297.15)</f>
        <v>297.14999999999998</v>
      </c>
      <c r="F628" s="12" t="str">
        <f t="shared" ca="1" si="21"/>
        <v>BUY</v>
      </c>
      <c r="G628" s="13">
        <f ca="1">IFERROR(__xludf.DUMMYFUNCTION("GOOGLEFINANCE(A628,""CLOSEYEST"")"),297.9)</f>
        <v>297.89999999999998</v>
      </c>
      <c r="H628" s="14" t="str">
        <f t="shared" ca="1" si="27"/>
        <v/>
      </c>
      <c r="I628" s="15">
        <f t="shared" ca="1" si="22"/>
        <v>298.78333333333336</v>
      </c>
      <c r="J628" s="16">
        <f t="shared" ca="1" si="23"/>
        <v>300.41666666666674</v>
      </c>
      <c r="K628" s="16"/>
      <c r="L628" s="16">
        <f t="shared" ca="1" si="24"/>
        <v>296.26666666666671</v>
      </c>
      <c r="M628" s="16">
        <f t="shared" ca="1" si="25"/>
        <v>302.93333333333339</v>
      </c>
      <c r="N628" s="16">
        <f t="shared" ca="1" si="26"/>
        <v>294.63333333333333</v>
      </c>
    </row>
    <row r="629" spans="1:14" ht="24.75" customHeight="1" x14ac:dyDescent="0.8">
      <c r="A629" s="18" t="s">
        <v>592</v>
      </c>
      <c r="B629" s="10">
        <f ca="1">IFERROR(__xludf.DUMMYFUNCTION("GOOGLEFINANCE(A629,""PRICE"")"),1300)</f>
        <v>1300</v>
      </c>
      <c r="C629" s="11">
        <f ca="1">IFERROR(__xludf.DUMMYFUNCTION("GOOGLEFINANCE(A629,""PRICEOPEN"")"),1310)</f>
        <v>1310</v>
      </c>
      <c r="D629" s="11">
        <f ca="1">IFERROR(__xludf.DUMMYFUNCTION("GOOGLEFINANCE(A629,""HIGH"")"),1310)</f>
        <v>1310</v>
      </c>
      <c r="E629" s="11">
        <f ca="1">IFERROR(__xludf.DUMMYFUNCTION("GOOGLEFINANCE(A629,""LOW"")"),1294)</f>
        <v>1294</v>
      </c>
      <c r="F629" s="12" t="str">
        <f t="shared" ca="1" si="21"/>
        <v>SELL</v>
      </c>
      <c r="G629" s="13">
        <f ca="1">IFERROR(__xludf.DUMMYFUNCTION("GOOGLEFINANCE(A629,""CLOSEYEST"")"),1298.8)</f>
        <v>1298.8</v>
      </c>
      <c r="H629" s="14" t="str">
        <f t="shared" ca="1" si="27"/>
        <v/>
      </c>
      <c r="I629" s="15">
        <f t="shared" ca="1" si="22"/>
        <v>1300.9333333333334</v>
      </c>
      <c r="J629" s="16">
        <f t="shared" ca="1" si="23"/>
        <v>1307.8666666666668</v>
      </c>
      <c r="K629" s="16"/>
      <c r="L629" s="16">
        <f t="shared" ca="1" si="24"/>
        <v>1291.8666666666668</v>
      </c>
      <c r="M629" s="16">
        <f t="shared" ca="1" si="25"/>
        <v>1316.9333333333334</v>
      </c>
      <c r="N629" s="16">
        <f t="shared" ca="1" si="26"/>
        <v>1284.9333333333334</v>
      </c>
    </row>
    <row r="630" spans="1:14" ht="24.75" customHeight="1" x14ac:dyDescent="0.8">
      <c r="A630" s="18" t="s">
        <v>593</v>
      </c>
      <c r="B630" s="10">
        <f ca="1">IFERROR(__xludf.DUMMYFUNCTION("GOOGLEFINANCE(A630,""PRICE"")"),425.5)</f>
        <v>425.5</v>
      </c>
      <c r="C630" s="11">
        <f ca="1">IFERROR(__xludf.DUMMYFUNCTION("GOOGLEFINANCE(A630,""PRICEOPEN"")"),394.8)</f>
        <v>394.8</v>
      </c>
      <c r="D630" s="11">
        <f ca="1">IFERROR(__xludf.DUMMYFUNCTION("GOOGLEFINANCE(A630,""HIGH"")"),444.8)</f>
        <v>444.8</v>
      </c>
      <c r="E630" s="11">
        <f ca="1">IFERROR(__xludf.DUMMYFUNCTION("GOOGLEFINANCE(A630,""LOW"")"),391.85)</f>
        <v>391.85</v>
      </c>
      <c r="F630" s="12" t="str">
        <f t="shared" ca="1" si="21"/>
        <v/>
      </c>
      <c r="G630" s="13">
        <f ca="1">IFERROR(__xludf.DUMMYFUNCTION("GOOGLEFINANCE(A630,""CLOSEYEST"")"),392.9)</f>
        <v>392.9</v>
      </c>
      <c r="H630" s="14" t="str">
        <f t="shared" ca="1" si="27"/>
        <v/>
      </c>
      <c r="I630" s="15">
        <f t="shared" ca="1" si="22"/>
        <v>409.85000000000008</v>
      </c>
      <c r="J630" s="16">
        <f t="shared" ca="1" si="23"/>
        <v>427.85000000000014</v>
      </c>
      <c r="K630" s="16"/>
      <c r="L630" s="16">
        <f t="shared" ca="1" si="24"/>
        <v>374.90000000000015</v>
      </c>
      <c r="M630" s="16">
        <f t="shared" ca="1" si="25"/>
        <v>462.80000000000007</v>
      </c>
      <c r="N630" s="16">
        <f t="shared" ca="1" si="26"/>
        <v>356.90000000000009</v>
      </c>
    </row>
    <row r="631" spans="1:14" ht="24.75" customHeight="1" x14ac:dyDescent="0.8">
      <c r="A631" s="18" t="s">
        <v>594</v>
      </c>
      <c r="B631" s="10">
        <f ca="1">IFERROR(__xludf.DUMMYFUNCTION("GOOGLEFINANCE(A631,""PRICE"")"),0)</f>
        <v>0</v>
      </c>
      <c r="C631" s="11">
        <f ca="1">IFERROR(__xludf.DUMMYFUNCTION("GOOGLEFINANCE(A631,""PRICEOPEN"")"),0)</f>
        <v>0</v>
      </c>
      <c r="D631" s="11">
        <f ca="1">IFERROR(__xludf.DUMMYFUNCTION("GOOGLEFINANCE(A631,""HIGH"")"),0)</f>
        <v>0</v>
      </c>
      <c r="E631" s="11">
        <f ca="1">IFERROR(__xludf.DUMMYFUNCTION("GOOGLEFINANCE(A631,""LOW"")"),0)</f>
        <v>0</v>
      </c>
      <c r="F631" s="12" t="str">
        <f t="shared" ca="1" si="21"/>
        <v>SELL</v>
      </c>
      <c r="G631" s="13">
        <f ca="1">IFERROR(__xludf.DUMMYFUNCTION("GOOGLEFINANCE(A631,""CLOSEYEST"")"),0)</f>
        <v>0</v>
      </c>
      <c r="H631" s="14" t="str">
        <f t="shared" ca="1" si="27"/>
        <v>GAP UP</v>
      </c>
      <c r="I631" s="15">
        <f t="shared" ca="1" si="22"/>
        <v>0</v>
      </c>
      <c r="J631" s="16">
        <f t="shared" ca="1" si="23"/>
        <v>0</v>
      </c>
      <c r="K631" s="16"/>
      <c r="L631" s="16">
        <f t="shared" ca="1" si="24"/>
        <v>0</v>
      </c>
      <c r="M631" s="16">
        <f t="shared" ca="1" si="25"/>
        <v>0</v>
      </c>
      <c r="N631" s="16">
        <f t="shared" ca="1" si="26"/>
        <v>0</v>
      </c>
    </row>
    <row r="632" spans="1:14" ht="24.75" customHeight="1" x14ac:dyDescent="0.8">
      <c r="A632" s="18" t="s">
        <v>595</v>
      </c>
      <c r="B632" s="10">
        <f ca="1">IFERROR(__xludf.DUMMYFUNCTION("GOOGLEFINANCE(A632,""PRICE"")"),58.41)</f>
        <v>58.41</v>
      </c>
      <c r="C632" s="11">
        <f ca="1">IFERROR(__xludf.DUMMYFUNCTION("GOOGLEFINANCE(A632,""PRICEOPEN"")"),55.2)</f>
        <v>55.2</v>
      </c>
      <c r="D632" s="11">
        <f ca="1">IFERROR(__xludf.DUMMYFUNCTION("GOOGLEFINANCE(A632,""HIGH"")"),58.61)</f>
        <v>58.61</v>
      </c>
      <c r="E632" s="11">
        <f ca="1">IFERROR(__xludf.DUMMYFUNCTION("GOOGLEFINANCE(A632,""LOW"")"),55.05)</f>
        <v>55.05</v>
      </c>
      <c r="F632" s="12" t="str">
        <f t="shared" ca="1" si="21"/>
        <v/>
      </c>
      <c r="G632" s="13">
        <f ca="1">IFERROR(__xludf.DUMMYFUNCTION("GOOGLEFINANCE(A632,""CLOSEYEST"")"),55.34)</f>
        <v>55.34</v>
      </c>
      <c r="H632" s="14" t="str">
        <f t="shared" ca="1" si="27"/>
        <v/>
      </c>
      <c r="I632" s="15">
        <f t="shared" ca="1" si="22"/>
        <v>56.333333333333336</v>
      </c>
      <c r="J632" s="16">
        <f t="shared" ca="1" si="23"/>
        <v>57.616666666666674</v>
      </c>
      <c r="K632" s="16"/>
      <c r="L632" s="16">
        <f t="shared" ca="1" si="24"/>
        <v>54.056666666666672</v>
      </c>
      <c r="M632" s="16">
        <f t="shared" ca="1" si="25"/>
        <v>59.893333333333338</v>
      </c>
      <c r="N632" s="16">
        <f t="shared" ca="1" si="26"/>
        <v>52.773333333333333</v>
      </c>
    </row>
    <row r="633" spans="1:14" ht="24.75" customHeight="1" x14ac:dyDescent="0.8">
      <c r="A633" s="18" t="s">
        <v>596</v>
      </c>
      <c r="B633" s="10">
        <f ca="1">IFERROR(__xludf.DUMMYFUNCTION("GOOGLEFINANCE(A633,""PRICE"")"),366)</f>
        <v>366</v>
      </c>
      <c r="C633" s="11">
        <f ca="1">IFERROR(__xludf.DUMMYFUNCTION("GOOGLEFINANCE(A633,""PRICEOPEN"")"),356.5)</f>
        <v>356.5</v>
      </c>
      <c r="D633" s="11">
        <f ca="1">IFERROR(__xludf.DUMMYFUNCTION("GOOGLEFINANCE(A633,""HIGH"")"),368)</f>
        <v>368</v>
      </c>
      <c r="E633" s="11">
        <f ca="1">IFERROR(__xludf.DUMMYFUNCTION("GOOGLEFINANCE(A633,""LOW"")"),353.8)</f>
        <v>353.8</v>
      </c>
      <c r="F633" s="12" t="str">
        <f t="shared" ca="1" si="21"/>
        <v/>
      </c>
      <c r="G633" s="13">
        <f ca="1">IFERROR(__xludf.DUMMYFUNCTION("GOOGLEFINANCE(A633,""CLOSEYEST"")"),352.7)</f>
        <v>352.7</v>
      </c>
      <c r="H633" s="14" t="str">
        <f t="shared" ca="1" si="27"/>
        <v>GAP UP</v>
      </c>
      <c r="I633" s="15">
        <f t="shared" ca="1" si="22"/>
        <v>358.16666666666669</v>
      </c>
      <c r="J633" s="16">
        <f t="shared" ca="1" si="23"/>
        <v>362.53333333333336</v>
      </c>
      <c r="K633" s="16"/>
      <c r="L633" s="16">
        <f t="shared" ca="1" si="24"/>
        <v>348.33333333333337</v>
      </c>
      <c r="M633" s="16">
        <f t="shared" ca="1" si="25"/>
        <v>372.36666666666667</v>
      </c>
      <c r="N633" s="16">
        <f t="shared" ca="1" si="26"/>
        <v>343.9666666666667</v>
      </c>
    </row>
    <row r="634" spans="1:14" ht="24.75" customHeight="1" x14ac:dyDescent="0.8">
      <c r="A634" s="18" t="s">
        <v>597</v>
      </c>
      <c r="B634" s="10">
        <f ca="1">IFERROR(__xludf.DUMMYFUNCTION("GOOGLEFINANCE(A634,""PRICE"")"),1524.6)</f>
        <v>1524.6</v>
      </c>
      <c r="C634" s="11">
        <f ca="1">IFERROR(__xludf.DUMMYFUNCTION("GOOGLEFINANCE(A634,""PRICEOPEN"")"),1537.5)</f>
        <v>1537.5</v>
      </c>
      <c r="D634" s="11">
        <f ca="1">IFERROR(__xludf.DUMMYFUNCTION("GOOGLEFINANCE(A634,""HIGH"")"),1568.8)</f>
        <v>1568.8</v>
      </c>
      <c r="E634" s="11">
        <f ca="1">IFERROR(__xludf.DUMMYFUNCTION("GOOGLEFINANCE(A634,""LOW"")"),1510.2)</f>
        <v>1510.2</v>
      </c>
      <c r="F634" s="12" t="str">
        <f t="shared" ca="1" si="21"/>
        <v/>
      </c>
      <c r="G634" s="13">
        <f ca="1">IFERROR(__xludf.DUMMYFUNCTION("GOOGLEFINANCE(A634,""CLOSEYEST"")"),1537.5)</f>
        <v>1537.5</v>
      </c>
      <c r="H634" s="14" t="str">
        <f t="shared" ca="1" si="27"/>
        <v/>
      </c>
      <c r="I634" s="15">
        <f t="shared" ca="1" si="22"/>
        <v>1538.8333333333333</v>
      </c>
      <c r="J634" s="16">
        <f t="shared" ca="1" si="23"/>
        <v>1567.4666666666665</v>
      </c>
      <c r="K634" s="16"/>
      <c r="L634" s="16">
        <f t="shared" ca="1" si="24"/>
        <v>1508.8666666666666</v>
      </c>
      <c r="M634" s="16">
        <f t="shared" ca="1" si="25"/>
        <v>1597.4333333333332</v>
      </c>
      <c r="N634" s="16">
        <f t="shared" ca="1" si="26"/>
        <v>1480.2333333333333</v>
      </c>
    </row>
    <row r="635" spans="1:14" ht="24.75" customHeight="1" x14ac:dyDescent="0.8">
      <c r="A635" s="18" t="s">
        <v>598</v>
      </c>
      <c r="B635" s="10">
        <f ca="1">IFERROR(__xludf.DUMMYFUNCTION("GOOGLEFINANCE(A635,""PRICE"")"),269)</f>
        <v>269</v>
      </c>
      <c r="C635" s="11">
        <f ca="1">IFERROR(__xludf.DUMMYFUNCTION("GOOGLEFINANCE(A635,""PRICEOPEN"")"),265.55)</f>
        <v>265.55</v>
      </c>
      <c r="D635" s="11">
        <f ca="1">IFERROR(__xludf.DUMMYFUNCTION("GOOGLEFINANCE(A635,""HIGH"")"),269.25)</f>
        <v>269.25</v>
      </c>
      <c r="E635" s="11">
        <f ca="1">IFERROR(__xludf.DUMMYFUNCTION("GOOGLEFINANCE(A635,""LOW"")"),265)</f>
        <v>265</v>
      </c>
      <c r="F635" s="12" t="str">
        <f t="shared" ca="1" si="21"/>
        <v/>
      </c>
      <c r="G635" s="13">
        <f ca="1">IFERROR(__xludf.DUMMYFUNCTION("GOOGLEFINANCE(A635,""CLOSEYEST"")"),268.55)</f>
        <v>268.55</v>
      </c>
      <c r="H635" s="14" t="str">
        <f t="shared" ca="1" si="27"/>
        <v>GAP DOWN</v>
      </c>
      <c r="I635" s="15">
        <f t="shared" ca="1" si="22"/>
        <v>267.59999999999997</v>
      </c>
      <c r="J635" s="16">
        <f t="shared" ca="1" si="23"/>
        <v>270.19999999999993</v>
      </c>
      <c r="K635" s="16"/>
      <c r="L635" s="16">
        <f t="shared" ca="1" si="24"/>
        <v>265.94999999999993</v>
      </c>
      <c r="M635" s="16">
        <f t="shared" ca="1" si="25"/>
        <v>271.84999999999997</v>
      </c>
      <c r="N635" s="16">
        <f t="shared" ca="1" si="26"/>
        <v>263.34999999999997</v>
      </c>
    </row>
    <row r="636" spans="1:14" ht="24.75" customHeight="1" x14ac:dyDescent="0.8">
      <c r="A636" s="18" t="s">
        <v>599</v>
      </c>
      <c r="B636" s="10">
        <f ca="1">IFERROR(__xludf.DUMMYFUNCTION("GOOGLEFINANCE(A636,""PRICE"")"),399.05)</f>
        <v>399.05</v>
      </c>
      <c r="C636" s="11">
        <f ca="1">IFERROR(__xludf.DUMMYFUNCTION("GOOGLEFINANCE(A636,""PRICEOPEN"")"),383.8)</f>
        <v>383.8</v>
      </c>
      <c r="D636" s="11">
        <f ca="1">IFERROR(__xludf.DUMMYFUNCTION("GOOGLEFINANCE(A636,""HIGH"")"),403.3)</f>
        <v>403.3</v>
      </c>
      <c r="E636" s="11">
        <f ca="1">IFERROR(__xludf.DUMMYFUNCTION("GOOGLEFINANCE(A636,""LOW"")"),382.65)</f>
        <v>382.65</v>
      </c>
      <c r="F636" s="12" t="str">
        <f t="shared" ca="1" si="21"/>
        <v/>
      </c>
      <c r="G636" s="13">
        <f ca="1">IFERROR(__xludf.DUMMYFUNCTION("GOOGLEFINANCE(A636,""CLOSEYEST"")"),382.9)</f>
        <v>382.9</v>
      </c>
      <c r="H636" s="14" t="str">
        <f t="shared" ca="1" si="27"/>
        <v/>
      </c>
      <c r="I636" s="15">
        <f t="shared" ca="1" si="22"/>
        <v>389.61666666666662</v>
      </c>
      <c r="J636" s="16">
        <f t="shared" ca="1" si="23"/>
        <v>396.58333333333326</v>
      </c>
      <c r="K636" s="16"/>
      <c r="L636" s="16">
        <f t="shared" ca="1" si="24"/>
        <v>375.93333333333322</v>
      </c>
      <c r="M636" s="16">
        <f t="shared" ca="1" si="25"/>
        <v>410.26666666666665</v>
      </c>
      <c r="N636" s="16">
        <f t="shared" ca="1" si="26"/>
        <v>368.96666666666658</v>
      </c>
    </row>
    <row r="637" spans="1:14" ht="24.75" customHeight="1" x14ac:dyDescent="0.8">
      <c r="A637" s="18" t="s">
        <v>600</v>
      </c>
      <c r="B637" s="10">
        <f ca="1">IFERROR(__xludf.DUMMYFUNCTION("GOOGLEFINANCE(A637,""PRICE"")"),341.45)</f>
        <v>341.45</v>
      </c>
      <c r="C637" s="11">
        <f ca="1">IFERROR(__xludf.DUMMYFUNCTION("GOOGLEFINANCE(A637,""PRICEOPEN"")"),328.7)</f>
        <v>328.7</v>
      </c>
      <c r="D637" s="11">
        <f ca="1">IFERROR(__xludf.DUMMYFUNCTION("GOOGLEFINANCE(A637,""HIGH"")"),341.7)</f>
        <v>341.7</v>
      </c>
      <c r="E637" s="11">
        <f ca="1">IFERROR(__xludf.DUMMYFUNCTION("GOOGLEFINANCE(A637,""LOW"")"),328.7)</f>
        <v>328.7</v>
      </c>
      <c r="F637" s="12" t="str">
        <f t="shared" ca="1" si="21"/>
        <v>BUY</v>
      </c>
      <c r="G637" s="13">
        <f ca="1">IFERROR(__xludf.DUMMYFUNCTION("GOOGLEFINANCE(A637,""CLOSEYEST"")"),334)</f>
        <v>334</v>
      </c>
      <c r="H637" s="14" t="str">
        <f t="shared" ca="1" si="27"/>
        <v>GAP DOWN</v>
      </c>
      <c r="I637" s="15">
        <f t="shared" ca="1" si="22"/>
        <v>334.8</v>
      </c>
      <c r="J637" s="16">
        <f t="shared" ca="1" si="23"/>
        <v>340.90000000000003</v>
      </c>
      <c r="K637" s="16"/>
      <c r="L637" s="16">
        <f t="shared" ca="1" si="24"/>
        <v>327.90000000000003</v>
      </c>
      <c r="M637" s="16">
        <f t="shared" ca="1" si="25"/>
        <v>347.8</v>
      </c>
      <c r="N637" s="16">
        <f t="shared" ca="1" si="26"/>
        <v>321.8</v>
      </c>
    </row>
    <row r="638" spans="1:14" ht="24.75" customHeight="1" x14ac:dyDescent="0.8">
      <c r="A638" s="18" t="s">
        <v>601</v>
      </c>
      <c r="B638" s="10">
        <f ca="1">IFERROR(__xludf.DUMMYFUNCTION("GOOGLEFINANCE(A638,""PRICE"")"),0.73)</f>
        <v>0.73</v>
      </c>
      <c r="C638" s="11">
        <f ca="1">IFERROR(__xludf.DUMMYFUNCTION("GOOGLEFINANCE(A638,""PRICEOPEN"")"),0.73)</f>
        <v>0.73</v>
      </c>
      <c r="D638" s="11">
        <f ca="1">IFERROR(__xludf.DUMMYFUNCTION("GOOGLEFINANCE(A638,""HIGH"")"),0.73)</f>
        <v>0.73</v>
      </c>
      <c r="E638" s="11">
        <f ca="1">IFERROR(__xludf.DUMMYFUNCTION("GOOGLEFINANCE(A638,""LOW"")"),0.73)</f>
        <v>0.73</v>
      </c>
      <c r="F638" s="12" t="str">
        <f t="shared" ca="1" si="21"/>
        <v>SELL</v>
      </c>
      <c r="G638" s="13">
        <f ca="1">IFERROR(__xludf.DUMMYFUNCTION("GOOGLEFINANCE(A638,""CLOSEYEST"")"),0.73)</f>
        <v>0.73</v>
      </c>
      <c r="H638" s="14" t="str">
        <f t="shared" ca="1" si="27"/>
        <v/>
      </c>
      <c r="I638" s="15">
        <f t="shared" ca="1" si="22"/>
        <v>0.73</v>
      </c>
      <c r="J638" s="16">
        <f t="shared" ca="1" si="23"/>
        <v>0.73</v>
      </c>
      <c r="K638" s="16"/>
      <c r="L638" s="16">
        <f t="shared" ca="1" si="24"/>
        <v>0.73</v>
      </c>
      <c r="M638" s="16">
        <f t="shared" ca="1" si="25"/>
        <v>0.73</v>
      </c>
      <c r="N638" s="16">
        <f t="shared" ca="1" si="26"/>
        <v>0.73</v>
      </c>
    </row>
    <row r="639" spans="1:14" ht="24.75" customHeight="1" x14ac:dyDescent="0.8">
      <c r="A639" s="18" t="s">
        <v>602</v>
      </c>
      <c r="B639" s="10">
        <f ca="1">IFERROR(__xludf.DUMMYFUNCTION("GOOGLEFINANCE(A639,""PRICE"")"),373.5)</f>
        <v>373.5</v>
      </c>
      <c r="C639" s="11">
        <f ca="1">IFERROR(__xludf.DUMMYFUNCTION("GOOGLEFINANCE(A639,""PRICEOPEN"")"),366.2)</f>
        <v>366.2</v>
      </c>
      <c r="D639" s="11">
        <f ca="1">IFERROR(__xludf.DUMMYFUNCTION("GOOGLEFINANCE(A639,""HIGH"")"),375.6)</f>
        <v>375.6</v>
      </c>
      <c r="E639" s="11">
        <f ca="1">IFERROR(__xludf.DUMMYFUNCTION("GOOGLEFINANCE(A639,""LOW"")"),363.7)</f>
        <v>363.7</v>
      </c>
      <c r="F639" s="12" t="str">
        <f t="shared" ca="1" si="21"/>
        <v/>
      </c>
      <c r="G639" s="13">
        <f ca="1">IFERROR(__xludf.DUMMYFUNCTION("GOOGLEFINANCE(A639,""CLOSEYEST"")"),366.45)</f>
        <v>366.45</v>
      </c>
      <c r="H639" s="14" t="str">
        <f t="shared" ca="1" si="27"/>
        <v/>
      </c>
      <c r="I639" s="15">
        <f t="shared" ca="1" si="22"/>
        <v>368.58333333333331</v>
      </c>
      <c r="J639" s="16">
        <f t="shared" ca="1" si="23"/>
        <v>373.46666666666664</v>
      </c>
      <c r="K639" s="16"/>
      <c r="L639" s="16">
        <f t="shared" ca="1" si="24"/>
        <v>361.56666666666661</v>
      </c>
      <c r="M639" s="16">
        <f t="shared" ca="1" si="25"/>
        <v>380.48333333333335</v>
      </c>
      <c r="N639" s="16">
        <f t="shared" ca="1" si="26"/>
        <v>356.68333333333328</v>
      </c>
    </row>
    <row r="640" spans="1:14" ht="24.75" customHeight="1" x14ac:dyDescent="0.8">
      <c r="A640" s="18" t="s">
        <v>603</v>
      </c>
      <c r="B640" s="10" t="str">
        <f ca="1">IFERROR(__xludf.DUMMYFUNCTION("GOOGLEFINANCE(A640,""PRICE"")"),"#N/A")</f>
        <v>#N/A</v>
      </c>
      <c r="C640" s="11" t="str">
        <f ca="1">IFERROR(__xludf.DUMMYFUNCTION("GOOGLEFINANCE(A640,""PRICEOPEN"")"),"#N/A")</f>
        <v>#N/A</v>
      </c>
      <c r="D640" s="11" t="str">
        <f ca="1">IFERROR(__xludf.DUMMYFUNCTION("GOOGLEFINANCE(A640,""HIGH"")"),"#N/A")</f>
        <v>#N/A</v>
      </c>
      <c r="E640" s="11" t="str">
        <f ca="1">IFERROR(__xludf.DUMMYFUNCTION("GOOGLEFINANCE(A640,""LOW"")"),"#N/A")</f>
        <v>#N/A</v>
      </c>
      <c r="F640" s="12" t="str">
        <f t="shared" ca="1" si="21"/>
        <v>SELL</v>
      </c>
      <c r="G640" s="13" t="str">
        <f ca="1">IFERROR(__xludf.DUMMYFUNCTION("GOOGLEFINANCE(A640,""CLOSEYEST"")"),"#N/A")</f>
        <v>#N/A</v>
      </c>
      <c r="H640" s="14" t="e">
        <f t="shared" ca="1" si="27"/>
        <v>#VALUE!</v>
      </c>
      <c r="I640" s="15" t="e">
        <f t="shared" ca="1" si="22"/>
        <v>#VALUE!</v>
      </c>
      <c r="J640" s="16" t="e">
        <f t="shared" ca="1" si="23"/>
        <v>#VALUE!</v>
      </c>
      <c r="K640" s="16"/>
      <c r="L640" s="16" t="e">
        <f t="shared" ca="1" si="24"/>
        <v>#VALUE!</v>
      </c>
      <c r="M640" s="16" t="e">
        <f t="shared" ca="1" si="25"/>
        <v>#VALUE!</v>
      </c>
      <c r="N640" s="16" t="e">
        <f t="shared" ca="1" si="26"/>
        <v>#VALUE!</v>
      </c>
    </row>
    <row r="641" spans="1:14" ht="24.75" customHeight="1" x14ac:dyDescent="0.8">
      <c r="A641" s="18" t="s">
        <v>604</v>
      </c>
      <c r="B641" s="10">
        <f ca="1">IFERROR(__xludf.DUMMYFUNCTION("GOOGLEFINANCE(A641,""PRICE"")"),5)</f>
        <v>5</v>
      </c>
      <c r="C641" s="11">
        <f ca="1">IFERROR(__xludf.DUMMYFUNCTION("GOOGLEFINANCE(A641,""PRICEOPEN"")"),4.99)</f>
        <v>4.99</v>
      </c>
      <c r="D641" s="11">
        <f ca="1">IFERROR(__xludf.DUMMYFUNCTION("GOOGLEFINANCE(A641,""HIGH"")"),5.01)</f>
        <v>5.01</v>
      </c>
      <c r="E641" s="11">
        <f ca="1">IFERROR(__xludf.DUMMYFUNCTION("GOOGLEFINANCE(A641,""LOW"")"),4.92)</f>
        <v>4.92</v>
      </c>
      <c r="F641" s="12" t="str">
        <f t="shared" ca="1" si="21"/>
        <v/>
      </c>
      <c r="G641" s="13">
        <f ca="1">IFERROR(__xludf.DUMMYFUNCTION("GOOGLEFINANCE(A641,""CLOSEYEST"")"),4.95)</f>
        <v>4.95</v>
      </c>
      <c r="H641" s="14" t="str">
        <f t="shared" ca="1" si="27"/>
        <v/>
      </c>
      <c r="I641" s="15">
        <f t="shared" ca="1" si="22"/>
        <v>4.96</v>
      </c>
      <c r="J641" s="16">
        <f t="shared" ca="1" si="23"/>
        <v>5</v>
      </c>
      <c r="K641" s="16"/>
      <c r="L641" s="16">
        <f t="shared" ca="1" si="24"/>
        <v>4.91</v>
      </c>
      <c r="M641" s="16">
        <f t="shared" ca="1" si="25"/>
        <v>5.05</v>
      </c>
      <c r="N641" s="16">
        <f t="shared" ca="1" si="26"/>
        <v>4.87</v>
      </c>
    </row>
    <row r="642" spans="1:14" ht="24.75" customHeight="1" x14ac:dyDescent="0.8">
      <c r="A642" s="18" t="s">
        <v>605</v>
      </c>
      <c r="B642" s="10" t="str">
        <f ca="1">IFERROR(__xludf.DUMMYFUNCTION("GOOGLEFINANCE(A642,""PRICE"")"),"#N/A")</f>
        <v>#N/A</v>
      </c>
      <c r="C642" s="11" t="str">
        <f ca="1">IFERROR(__xludf.DUMMYFUNCTION("GOOGLEFINANCE(A642,""PRICEOPEN"")"),"#N/A")</f>
        <v>#N/A</v>
      </c>
      <c r="D642" s="11" t="str">
        <f ca="1">IFERROR(__xludf.DUMMYFUNCTION("GOOGLEFINANCE(A642,""HIGH"")"),"#N/A")</f>
        <v>#N/A</v>
      </c>
      <c r="E642" s="11" t="str">
        <f ca="1">IFERROR(__xludf.DUMMYFUNCTION("GOOGLEFINANCE(A642,""LOW"")"),"#N/A")</f>
        <v>#N/A</v>
      </c>
      <c r="F642" s="12" t="str">
        <f t="shared" ca="1" si="21"/>
        <v>SELL</v>
      </c>
      <c r="G642" s="13" t="str">
        <f ca="1">IFERROR(__xludf.DUMMYFUNCTION("GOOGLEFINANCE(A642,""CLOSEYEST"")"),"#N/A")</f>
        <v>#N/A</v>
      </c>
      <c r="H642" s="14" t="e">
        <f t="shared" ca="1" si="27"/>
        <v>#VALUE!</v>
      </c>
      <c r="I642" s="15" t="e">
        <f t="shared" ca="1" si="22"/>
        <v>#VALUE!</v>
      </c>
      <c r="J642" s="16" t="e">
        <f t="shared" ca="1" si="23"/>
        <v>#VALUE!</v>
      </c>
      <c r="K642" s="16"/>
      <c r="L642" s="16" t="e">
        <f t="shared" ca="1" si="24"/>
        <v>#VALUE!</v>
      </c>
      <c r="M642" s="16" t="e">
        <f t="shared" ca="1" si="25"/>
        <v>#VALUE!</v>
      </c>
      <c r="N642" s="16" t="e">
        <f t="shared" ca="1" si="26"/>
        <v>#VALUE!</v>
      </c>
    </row>
    <row r="643" spans="1:14" ht="24.75" customHeight="1" x14ac:dyDescent="0.8">
      <c r="A643" s="18" t="s">
        <v>606</v>
      </c>
      <c r="B643" s="10">
        <f ca="1">IFERROR(__xludf.DUMMYFUNCTION("GOOGLEFINANCE(A643,""PRICE"")"),1339)</f>
        <v>1339</v>
      </c>
      <c r="C643" s="11">
        <f ca="1">IFERROR(__xludf.DUMMYFUNCTION("GOOGLEFINANCE(A643,""PRICEOPEN"")"),1332)</f>
        <v>1332</v>
      </c>
      <c r="D643" s="11">
        <f ca="1">IFERROR(__xludf.DUMMYFUNCTION("GOOGLEFINANCE(A643,""HIGH"")"),1343.7)</f>
        <v>1343.7</v>
      </c>
      <c r="E643" s="11">
        <f ca="1">IFERROR(__xludf.DUMMYFUNCTION("GOOGLEFINANCE(A643,""LOW"")"),1323)</f>
        <v>1323</v>
      </c>
      <c r="F643" s="12" t="str">
        <f t="shared" ca="1" si="21"/>
        <v/>
      </c>
      <c r="G643" s="13">
        <f ca="1">IFERROR(__xludf.DUMMYFUNCTION("GOOGLEFINANCE(A643,""CLOSEYEST"")"),1335.7)</f>
        <v>1335.7</v>
      </c>
      <c r="H643" s="14" t="str">
        <f t="shared" ca="1" si="27"/>
        <v/>
      </c>
      <c r="I643" s="15">
        <f t="shared" ca="1" si="22"/>
        <v>1334.1333333333332</v>
      </c>
      <c r="J643" s="16">
        <f t="shared" ca="1" si="23"/>
        <v>1345.2666666666664</v>
      </c>
      <c r="K643" s="16"/>
      <c r="L643" s="16">
        <f t="shared" ca="1" si="24"/>
        <v>1324.5666666666664</v>
      </c>
      <c r="M643" s="16">
        <f t="shared" ca="1" si="25"/>
        <v>1354.8333333333333</v>
      </c>
      <c r="N643" s="16">
        <f t="shared" ca="1" si="26"/>
        <v>1313.4333333333332</v>
      </c>
    </row>
    <row r="644" spans="1:14" ht="24.75" customHeight="1" x14ac:dyDescent="0.8">
      <c r="A644" s="18" t="s">
        <v>607</v>
      </c>
      <c r="B644" s="10">
        <f ca="1">IFERROR(__xludf.DUMMYFUNCTION("GOOGLEFINANCE(A644,""PRICE"")"),283.1)</f>
        <v>283.10000000000002</v>
      </c>
      <c r="C644" s="11">
        <f ca="1">IFERROR(__xludf.DUMMYFUNCTION("GOOGLEFINANCE(A644,""PRICEOPEN"")"),278.9)</f>
        <v>278.89999999999998</v>
      </c>
      <c r="D644" s="11">
        <f ca="1">IFERROR(__xludf.DUMMYFUNCTION("GOOGLEFINANCE(A644,""HIGH"")"),285.9)</f>
        <v>285.89999999999998</v>
      </c>
      <c r="E644" s="11">
        <f ca="1">IFERROR(__xludf.DUMMYFUNCTION("GOOGLEFINANCE(A644,""LOW"")"),276.3)</f>
        <v>276.3</v>
      </c>
      <c r="F644" s="12" t="str">
        <f t="shared" ca="1" si="21"/>
        <v/>
      </c>
      <c r="G644" s="13">
        <f ca="1">IFERROR(__xludf.DUMMYFUNCTION("GOOGLEFINANCE(A644,""CLOSEYEST"")"),276.4)</f>
        <v>276.39999999999998</v>
      </c>
      <c r="H644" s="14" t="str">
        <f t="shared" ca="1" si="27"/>
        <v/>
      </c>
      <c r="I644" s="15">
        <f t="shared" ca="1" si="22"/>
        <v>279.53333333333336</v>
      </c>
      <c r="J644" s="16">
        <f t="shared" ca="1" si="23"/>
        <v>282.76666666666671</v>
      </c>
      <c r="K644" s="16"/>
      <c r="L644" s="16">
        <f t="shared" ca="1" si="24"/>
        <v>273.16666666666674</v>
      </c>
      <c r="M644" s="16">
        <f t="shared" ca="1" si="25"/>
        <v>289.13333333333333</v>
      </c>
      <c r="N644" s="16">
        <f t="shared" ca="1" si="26"/>
        <v>269.93333333333339</v>
      </c>
    </row>
    <row r="645" spans="1:14" ht="24.75" customHeight="1" x14ac:dyDescent="0.8">
      <c r="A645" s="18" t="s">
        <v>608</v>
      </c>
      <c r="B645" s="10">
        <f ca="1">IFERROR(__xludf.DUMMYFUNCTION("GOOGLEFINANCE(A645,""PRICE"")"),206.5)</f>
        <v>206.5</v>
      </c>
      <c r="C645" s="11">
        <f ca="1">IFERROR(__xludf.DUMMYFUNCTION("GOOGLEFINANCE(A645,""PRICEOPEN"")"),204.6)</f>
        <v>204.6</v>
      </c>
      <c r="D645" s="11">
        <f ca="1">IFERROR(__xludf.DUMMYFUNCTION("GOOGLEFINANCE(A645,""HIGH"")"),206.9)</f>
        <v>206.9</v>
      </c>
      <c r="E645" s="11">
        <f ca="1">IFERROR(__xludf.DUMMYFUNCTION("GOOGLEFINANCE(A645,""LOW"")"),202.76)</f>
        <v>202.76</v>
      </c>
      <c r="F645" s="12" t="str">
        <f t="shared" ca="1" si="21"/>
        <v/>
      </c>
      <c r="G645" s="13">
        <f ca="1">IFERROR(__xludf.DUMMYFUNCTION("GOOGLEFINANCE(A645,""CLOSEYEST"")"),204.48)</f>
        <v>204.48</v>
      </c>
      <c r="H645" s="14" t="str">
        <f t="shared" ca="1" si="27"/>
        <v/>
      </c>
      <c r="I645" s="15">
        <f t="shared" ca="1" si="22"/>
        <v>204.71333333333334</v>
      </c>
      <c r="J645" s="16">
        <f t="shared" ca="1" si="23"/>
        <v>206.66666666666669</v>
      </c>
      <c r="K645" s="16"/>
      <c r="L645" s="16">
        <f t="shared" ca="1" si="24"/>
        <v>202.52666666666667</v>
      </c>
      <c r="M645" s="16">
        <f t="shared" ca="1" si="25"/>
        <v>208.85333333333335</v>
      </c>
      <c r="N645" s="16">
        <f t="shared" ca="1" si="26"/>
        <v>200.57333333333332</v>
      </c>
    </row>
    <row r="646" spans="1:14" ht="24.75" customHeight="1" x14ac:dyDescent="0.8">
      <c r="A646" s="18" t="s">
        <v>609</v>
      </c>
      <c r="B646" s="10">
        <f ca="1">IFERROR(__xludf.DUMMYFUNCTION("GOOGLEFINANCE(A646,""PRICE"")"),6253)</f>
        <v>6253</v>
      </c>
      <c r="C646" s="11">
        <f ca="1">IFERROR(__xludf.DUMMYFUNCTION("GOOGLEFINANCE(A646,""PRICEOPEN"")"),6236)</f>
        <v>6236</v>
      </c>
      <c r="D646" s="11">
        <f ca="1">IFERROR(__xludf.DUMMYFUNCTION("GOOGLEFINANCE(A646,""HIGH"")"),6350)</f>
        <v>6350</v>
      </c>
      <c r="E646" s="11">
        <f ca="1">IFERROR(__xludf.DUMMYFUNCTION("GOOGLEFINANCE(A646,""LOW"")"),6151)</f>
        <v>6151</v>
      </c>
      <c r="F646" s="12" t="str">
        <f t="shared" ca="1" si="21"/>
        <v/>
      </c>
      <c r="G646" s="13">
        <f ca="1">IFERROR(__xludf.DUMMYFUNCTION("GOOGLEFINANCE(A646,""CLOSEYEST"")"),6299.5)</f>
        <v>6299.5</v>
      </c>
      <c r="H646" s="14" t="str">
        <f t="shared" ca="1" si="27"/>
        <v>GAP DOWN</v>
      </c>
      <c r="I646" s="15">
        <f t="shared" ca="1" si="22"/>
        <v>6266.833333333333</v>
      </c>
      <c r="J646" s="16">
        <f t="shared" ca="1" si="23"/>
        <v>6382.6666666666661</v>
      </c>
      <c r="K646" s="16"/>
      <c r="L646" s="16">
        <f t="shared" ca="1" si="24"/>
        <v>6183.6666666666661</v>
      </c>
      <c r="M646" s="16">
        <f t="shared" ca="1" si="25"/>
        <v>6465.833333333333</v>
      </c>
      <c r="N646" s="16">
        <f t="shared" ca="1" si="26"/>
        <v>6067.833333333333</v>
      </c>
    </row>
    <row r="647" spans="1:14" ht="24.75" customHeight="1" x14ac:dyDescent="0.8">
      <c r="A647" s="18" t="s">
        <v>610</v>
      </c>
      <c r="B647" s="10" t="str">
        <f ca="1">IFERROR(__xludf.DUMMYFUNCTION("GOOGLEFINANCE(A647,""PRICE"")"),"#N/A")</f>
        <v>#N/A</v>
      </c>
      <c r="C647" s="11" t="str">
        <f ca="1">IFERROR(__xludf.DUMMYFUNCTION("GOOGLEFINANCE(A647,""PRICEOPEN"")"),"#N/A")</f>
        <v>#N/A</v>
      </c>
      <c r="D647" s="11" t="str">
        <f ca="1">IFERROR(__xludf.DUMMYFUNCTION("GOOGLEFINANCE(A647,""HIGH"")"),"#N/A")</f>
        <v>#N/A</v>
      </c>
      <c r="E647" s="11" t="str">
        <f ca="1">IFERROR(__xludf.DUMMYFUNCTION("GOOGLEFINANCE(A647,""LOW"")"),"#N/A")</f>
        <v>#N/A</v>
      </c>
      <c r="F647" s="12" t="str">
        <f t="shared" ca="1" si="21"/>
        <v>SELL</v>
      </c>
      <c r="G647" s="13" t="str">
        <f ca="1">IFERROR(__xludf.DUMMYFUNCTION("GOOGLEFINANCE(A647,""CLOSEYEST"")"),"#N/A")</f>
        <v>#N/A</v>
      </c>
      <c r="H647" s="14" t="e">
        <f t="shared" ca="1" si="27"/>
        <v>#VALUE!</v>
      </c>
      <c r="I647" s="15" t="e">
        <f t="shared" ca="1" si="22"/>
        <v>#VALUE!</v>
      </c>
      <c r="J647" s="16" t="e">
        <f t="shared" ca="1" si="23"/>
        <v>#VALUE!</v>
      </c>
      <c r="K647" s="16"/>
      <c r="L647" s="16" t="e">
        <f t="shared" ca="1" si="24"/>
        <v>#VALUE!</v>
      </c>
      <c r="M647" s="16" t="e">
        <f t="shared" ca="1" si="25"/>
        <v>#VALUE!</v>
      </c>
      <c r="N647" s="16" t="e">
        <f t="shared" ca="1" si="26"/>
        <v>#VALUE!</v>
      </c>
    </row>
    <row r="648" spans="1:14" ht="24.75" customHeight="1" x14ac:dyDescent="0.8">
      <c r="A648" s="18" t="s">
        <v>611</v>
      </c>
      <c r="B648" s="10">
        <f ca="1">IFERROR(__xludf.DUMMYFUNCTION("GOOGLEFINANCE(A648,""PRICE"")"),302.1)</f>
        <v>302.10000000000002</v>
      </c>
      <c r="C648" s="11">
        <f ca="1">IFERROR(__xludf.DUMMYFUNCTION("GOOGLEFINANCE(A648,""PRICEOPEN"")"),308.5)</f>
        <v>308.5</v>
      </c>
      <c r="D648" s="11">
        <f ca="1">IFERROR(__xludf.DUMMYFUNCTION("GOOGLEFINANCE(A648,""HIGH"")"),308.5)</f>
        <v>308.5</v>
      </c>
      <c r="E648" s="11">
        <f ca="1">IFERROR(__xludf.DUMMYFUNCTION("GOOGLEFINANCE(A648,""LOW"")"),300.5)</f>
        <v>300.5</v>
      </c>
      <c r="F648" s="12" t="str">
        <f t="shared" ca="1" si="21"/>
        <v>SELL</v>
      </c>
      <c r="G648" s="13">
        <f ca="1">IFERROR(__xludf.DUMMYFUNCTION("GOOGLEFINANCE(A648,""CLOSEYEST"")"),306.85)</f>
        <v>306.85000000000002</v>
      </c>
      <c r="H648" s="14" t="str">
        <f t="shared" ca="1" si="27"/>
        <v/>
      </c>
      <c r="I648" s="15">
        <f t="shared" ca="1" si="22"/>
        <v>305.28333333333336</v>
      </c>
      <c r="J648" s="16">
        <f t="shared" ca="1" si="23"/>
        <v>310.06666666666672</v>
      </c>
      <c r="K648" s="16"/>
      <c r="L648" s="16">
        <f t="shared" ca="1" si="24"/>
        <v>302.06666666666672</v>
      </c>
      <c r="M648" s="16">
        <f t="shared" ca="1" si="25"/>
        <v>313.28333333333336</v>
      </c>
      <c r="N648" s="16">
        <f t="shared" ca="1" si="26"/>
        <v>297.28333333333336</v>
      </c>
    </row>
    <row r="649" spans="1:14" ht="24.75" customHeight="1" x14ac:dyDescent="0.8">
      <c r="A649" s="18" t="s">
        <v>612</v>
      </c>
      <c r="B649" s="10">
        <f ca="1">IFERROR(__xludf.DUMMYFUNCTION("GOOGLEFINANCE(A649,""PRICE"")"),372.8)</f>
        <v>372.8</v>
      </c>
      <c r="C649" s="11">
        <f ca="1">IFERROR(__xludf.DUMMYFUNCTION("GOOGLEFINANCE(A649,""PRICEOPEN"")"),373)</f>
        <v>373</v>
      </c>
      <c r="D649" s="11">
        <f ca="1">IFERROR(__xludf.DUMMYFUNCTION("GOOGLEFINANCE(A649,""HIGH"")"),374.45)</f>
        <v>374.45</v>
      </c>
      <c r="E649" s="11">
        <f ca="1">IFERROR(__xludf.DUMMYFUNCTION("GOOGLEFINANCE(A649,""LOW"")"),368.55)</f>
        <v>368.55</v>
      </c>
      <c r="F649" s="12" t="str">
        <f t="shared" ca="1" si="21"/>
        <v/>
      </c>
      <c r="G649" s="13">
        <f ca="1">IFERROR(__xludf.DUMMYFUNCTION("GOOGLEFINANCE(A649,""CLOSEYEST"")"),372.35)</f>
        <v>372.35</v>
      </c>
      <c r="H649" s="14" t="str">
        <f t="shared" ca="1" si="27"/>
        <v/>
      </c>
      <c r="I649" s="15">
        <f t="shared" ca="1" si="22"/>
        <v>371.7833333333333</v>
      </c>
      <c r="J649" s="16">
        <f t="shared" ca="1" si="23"/>
        <v>375.01666666666659</v>
      </c>
      <c r="K649" s="16"/>
      <c r="L649" s="16">
        <f t="shared" ca="1" si="24"/>
        <v>369.11666666666662</v>
      </c>
      <c r="M649" s="16">
        <f t="shared" ca="1" si="25"/>
        <v>377.68333333333328</v>
      </c>
      <c r="N649" s="16">
        <f t="shared" ca="1" si="26"/>
        <v>365.88333333333333</v>
      </c>
    </row>
    <row r="650" spans="1:14" ht="24.75" customHeight="1" x14ac:dyDescent="0.8">
      <c r="A650" s="18" t="s">
        <v>613</v>
      </c>
      <c r="B650" s="10">
        <f ca="1">IFERROR(__xludf.DUMMYFUNCTION("GOOGLEFINANCE(A650,""PRICE"")"),203)</f>
        <v>203</v>
      </c>
      <c r="C650" s="11">
        <f ca="1">IFERROR(__xludf.DUMMYFUNCTION("GOOGLEFINANCE(A650,""PRICEOPEN"")"),203.2)</f>
        <v>203.2</v>
      </c>
      <c r="D650" s="11">
        <f ca="1">IFERROR(__xludf.DUMMYFUNCTION("GOOGLEFINANCE(A650,""HIGH"")"),204.54)</f>
        <v>204.54</v>
      </c>
      <c r="E650" s="11">
        <f ca="1">IFERROR(__xludf.DUMMYFUNCTION("GOOGLEFINANCE(A650,""LOW"")"),202.57)</f>
        <v>202.57</v>
      </c>
      <c r="F650" s="12" t="str">
        <f t="shared" ca="1" si="21"/>
        <v/>
      </c>
      <c r="G650" s="13">
        <f ca="1">IFERROR(__xludf.DUMMYFUNCTION("GOOGLEFINANCE(A650,""CLOSEYEST"")"),203.02)</f>
        <v>203.02</v>
      </c>
      <c r="H650" s="14" t="str">
        <f t="shared" ca="1" si="27"/>
        <v/>
      </c>
      <c r="I650" s="15">
        <f t="shared" ca="1" si="22"/>
        <v>203.37666666666667</v>
      </c>
      <c r="J650" s="16">
        <f t="shared" ca="1" si="23"/>
        <v>204.18333333333334</v>
      </c>
      <c r="K650" s="16"/>
      <c r="L650" s="16">
        <f t="shared" ca="1" si="24"/>
        <v>202.21333333333334</v>
      </c>
      <c r="M650" s="16">
        <f t="shared" ca="1" si="25"/>
        <v>205.34666666666666</v>
      </c>
      <c r="N650" s="16">
        <f t="shared" ca="1" si="26"/>
        <v>201.40666666666667</v>
      </c>
    </row>
    <row r="651" spans="1:14" ht="24.75" customHeight="1" x14ac:dyDescent="0.8">
      <c r="A651" s="18" t="s">
        <v>614</v>
      </c>
      <c r="B651" s="10">
        <f ca="1">IFERROR(__xludf.DUMMYFUNCTION("GOOGLEFINANCE(A651,""PRICE"")"),34.15)</f>
        <v>34.15</v>
      </c>
      <c r="C651" s="11">
        <f ca="1">IFERROR(__xludf.DUMMYFUNCTION("GOOGLEFINANCE(A651,""PRICEOPEN"")"),34.11)</f>
        <v>34.11</v>
      </c>
      <c r="D651" s="11">
        <f ca="1">IFERROR(__xludf.DUMMYFUNCTION("GOOGLEFINANCE(A651,""HIGH"")"),34.24)</f>
        <v>34.24</v>
      </c>
      <c r="E651" s="11">
        <f ca="1">IFERROR(__xludf.DUMMYFUNCTION("GOOGLEFINANCE(A651,""LOW"")"),34.11)</f>
        <v>34.11</v>
      </c>
      <c r="F651" s="12" t="str">
        <f t="shared" ca="1" si="21"/>
        <v>BUY</v>
      </c>
      <c r="G651" s="13">
        <f ca="1">IFERROR(__xludf.DUMMYFUNCTION("GOOGLEFINANCE(A651,""CLOSEYEST"")"),34.11)</f>
        <v>34.11</v>
      </c>
      <c r="H651" s="14" t="str">
        <f t="shared" ca="1" si="27"/>
        <v/>
      </c>
      <c r="I651" s="15">
        <f t="shared" ca="1" si="22"/>
        <v>34.153333333333329</v>
      </c>
      <c r="J651" s="16">
        <f t="shared" ca="1" si="23"/>
        <v>34.196666666666658</v>
      </c>
      <c r="K651" s="16"/>
      <c r="L651" s="16">
        <f t="shared" ca="1" si="24"/>
        <v>34.066666666666656</v>
      </c>
      <c r="M651" s="16">
        <f t="shared" ca="1" si="25"/>
        <v>34.283333333333331</v>
      </c>
      <c r="N651" s="16">
        <f t="shared" ca="1" si="26"/>
        <v>34.023333333333326</v>
      </c>
    </row>
    <row r="652" spans="1:14" ht="24.75" customHeight="1" x14ac:dyDescent="0.8">
      <c r="A652" s="18" t="s">
        <v>615</v>
      </c>
      <c r="B652" s="10">
        <f ca="1">IFERROR(__xludf.DUMMYFUNCTION("GOOGLEFINANCE(A652,""PRICE"")"),795)</f>
        <v>795</v>
      </c>
      <c r="C652" s="11">
        <f ca="1">IFERROR(__xludf.DUMMYFUNCTION("GOOGLEFINANCE(A652,""PRICEOPEN"")"),809.1)</f>
        <v>809.1</v>
      </c>
      <c r="D652" s="11">
        <f ca="1">IFERROR(__xludf.DUMMYFUNCTION("GOOGLEFINANCE(A652,""HIGH"")"),815.9)</f>
        <v>815.9</v>
      </c>
      <c r="E652" s="11">
        <f ca="1">IFERROR(__xludf.DUMMYFUNCTION("GOOGLEFINANCE(A652,""LOW"")"),790)</f>
        <v>790</v>
      </c>
      <c r="F652" s="12" t="str">
        <f t="shared" ca="1" si="21"/>
        <v/>
      </c>
      <c r="G652" s="13">
        <f ca="1">IFERROR(__xludf.DUMMYFUNCTION("GOOGLEFINANCE(A652,""CLOSEYEST"")"),802.45)</f>
        <v>802.45</v>
      </c>
      <c r="H652" s="14" t="str">
        <f t="shared" ca="1" si="27"/>
        <v/>
      </c>
      <c r="I652" s="15">
        <f t="shared" ca="1" si="22"/>
        <v>802.78333333333342</v>
      </c>
      <c r="J652" s="16">
        <f t="shared" ca="1" si="23"/>
        <v>815.56666666666683</v>
      </c>
      <c r="K652" s="16"/>
      <c r="L652" s="16">
        <f t="shared" ca="1" si="24"/>
        <v>789.66666666666686</v>
      </c>
      <c r="M652" s="16">
        <f t="shared" ca="1" si="25"/>
        <v>828.68333333333339</v>
      </c>
      <c r="N652" s="16">
        <f t="shared" ca="1" si="26"/>
        <v>776.88333333333344</v>
      </c>
    </row>
    <row r="653" spans="1:14" ht="24.75" customHeight="1" x14ac:dyDescent="0.8">
      <c r="A653" s="18" t="s">
        <v>616</v>
      </c>
      <c r="B653" s="10">
        <f ca="1">IFERROR(__xludf.DUMMYFUNCTION("GOOGLEFINANCE(A653,""PRICE"")"),108.15)</f>
        <v>108.15</v>
      </c>
      <c r="C653" s="11">
        <f ca="1">IFERROR(__xludf.DUMMYFUNCTION("GOOGLEFINANCE(A653,""PRICEOPEN"")"),108.8)</f>
        <v>108.8</v>
      </c>
      <c r="D653" s="11">
        <f ca="1">IFERROR(__xludf.DUMMYFUNCTION("GOOGLEFINANCE(A653,""HIGH"")"),109.39)</f>
        <v>109.39</v>
      </c>
      <c r="E653" s="11">
        <f ca="1">IFERROR(__xludf.DUMMYFUNCTION("GOOGLEFINANCE(A653,""LOW"")"),107.5)</f>
        <v>107.5</v>
      </c>
      <c r="F653" s="12" t="str">
        <f t="shared" ca="1" si="21"/>
        <v/>
      </c>
      <c r="G653" s="13">
        <f ca="1">IFERROR(__xludf.DUMMYFUNCTION("GOOGLEFINANCE(A653,""CLOSEYEST"")"),107.99)</f>
        <v>107.99</v>
      </c>
      <c r="H653" s="14" t="str">
        <f t="shared" ca="1" si="27"/>
        <v/>
      </c>
      <c r="I653" s="15">
        <f t="shared" ca="1" si="22"/>
        <v>108.29333333333334</v>
      </c>
      <c r="J653" s="16">
        <f t="shared" ca="1" si="23"/>
        <v>109.08666666666667</v>
      </c>
      <c r="K653" s="16"/>
      <c r="L653" s="16">
        <f t="shared" ca="1" si="24"/>
        <v>107.19666666666667</v>
      </c>
      <c r="M653" s="16">
        <f t="shared" ca="1" si="25"/>
        <v>110.18333333333334</v>
      </c>
      <c r="N653" s="16">
        <f t="shared" ca="1" si="26"/>
        <v>106.40333333333334</v>
      </c>
    </row>
    <row r="654" spans="1:14" ht="24.75" customHeight="1" x14ac:dyDescent="0.8">
      <c r="A654" s="18" t="s">
        <v>617</v>
      </c>
      <c r="B654" s="10">
        <f ca="1">IFERROR(__xludf.DUMMYFUNCTION("GOOGLEFINANCE(A654,""PRICE"")"),844.9)</f>
        <v>844.9</v>
      </c>
      <c r="C654" s="11">
        <f ca="1">IFERROR(__xludf.DUMMYFUNCTION("GOOGLEFINANCE(A654,""PRICEOPEN"")"),819.95)</f>
        <v>819.95</v>
      </c>
      <c r="D654" s="11">
        <f ca="1">IFERROR(__xludf.DUMMYFUNCTION("GOOGLEFINANCE(A654,""HIGH"")"),856)</f>
        <v>856</v>
      </c>
      <c r="E654" s="11">
        <f ca="1">IFERROR(__xludf.DUMMYFUNCTION("GOOGLEFINANCE(A654,""LOW"")"),816.7)</f>
        <v>816.7</v>
      </c>
      <c r="F654" s="12" t="str">
        <f t="shared" ca="1" si="21"/>
        <v/>
      </c>
      <c r="G654" s="13">
        <f ca="1">IFERROR(__xludf.DUMMYFUNCTION("GOOGLEFINANCE(A654,""CLOSEYEST"")"),815.8)</f>
        <v>815.8</v>
      </c>
      <c r="H654" s="14" t="str">
        <f t="shared" ca="1" si="27"/>
        <v/>
      </c>
      <c r="I654" s="15">
        <f t="shared" ca="1" si="22"/>
        <v>829.5</v>
      </c>
      <c r="J654" s="16">
        <f t="shared" ca="1" si="23"/>
        <v>842.3</v>
      </c>
      <c r="K654" s="16"/>
      <c r="L654" s="16">
        <f t="shared" ca="1" si="24"/>
        <v>803</v>
      </c>
      <c r="M654" s="16">
        <f t="shared" ca="1" si="25"/>
        <v>868.8</v>
      </c>
      <c r="N654" s="16">
        <f t="shared" ca="1" si="26"/>
        <v>790.2</v>
      </c>
    </row>
    <row r="655" spans="1:14" ht="24.75" customHeight="1" x14ac:dyDescent="0.8">
      <c r="A655" s="18" t="s">
        <v>618</v>
      </c>
      <c r="B655" s="10">
        <f ca="1">IFERROR(__xludf.DUMMYFUNCTION("GOOGLEFINANCE(A655,""PRICE"")"),252.34)</f>
        <v>252.34</v>
      </c>
      <c r="C655" s="11">
        <f ca="1">IFERROR(__xludf.DUMMYFUNCTION("GOOGLEFINANCE(A655,""PRICEOPEN"")"),258.1)</f>
        <v>258.10000000000002</v>
      </c>
      <c r="D655" s="11">
        <f ca="1">IFERROR(__xludf.DUMMYFUNCTION("GOOGLEFINANCE(A655,""HIGH"")"),258.1)</f>
        <v>258.10000000000002</v>
      </c>
      <c r="E655" s="11">
        <f ca="1">IFERROR(__xludf.DUMMYFUNCTION("GOOGLEFINANCE(A655,""LOW"")"),250)</f>
        <v>250</v>
      </c>
      <c r="F655" s="12" t="str">
        <f t="shared" ca="1" si="21"/>
        <v>SELL</v>
      </c>
      <c r="G655" s="13">
        <f ca="1">IFERROR(__xludf.DUMMYFUNCTION("GOOGLEFINANCE(A655,""CLOSEYEST"")"),254.8)</f>
        <v>254.8</v>
      </c>
      <c r="H655" s="14" t="str">
        <f t="shared" ca="1" si="27"/>
        <v>GAP UP</v>
      </c>
      <c r="I655" s="15">
        <f t="shared" ca="1" si="22"/>
        <v>254.30000000000004</v>
      </c>
      <c r="J655" s="16">
        <f t="shared" ca="1" si="23"/>
        <v>258.60000000000008</v>
      </c>
      <c r="K655" s="16"/>
      <c r="L655" s="16">
        <f t="shared" ca="1" si="24"/>
        <v>250.50000000000006</v>
      </c>
      <c r="M655" s="16">
        <f t="shared" ca="1" si="25"/>
        <v>262.40000000000009</v>
      </c>
      <c r="N655" s="16">
        <f t="shared" ca="1" si="26"/>
        <v>246.20000000000002</v>
      </c>
    </row>
    <row r="656" spans="1:14" ht="24.75" customHeight="1" x14ac:dyDescent="0.8">
      <c r="A656" s="18" t="s">
        <v>619</v>
      </c>
      <c r="B656" s="10">
        <f ca="1">IFERROR(__xludf.DUMMYFUNCTION("GOOGLEFINANCE(A656,""PRICE"")"),678)</f>
        <v>678</v>
      </c>
      <c r="C656" s="11">
        <f ca="1">IFERROR(__xludf.DUMMYFUNCTION("GOOGLEFINANCE(A656,""PRICEOPEN"")"),666.2)</f>
        <v>666.2</v>
      </c>
      <c r="D656" s="11">
        <f ca="1">IFERROR(__xludf.DUMMYFUNCTION("GOOGLEFINANCE(A656,""HIGH"")"),680.35)</f>
        <v>680.35</v>
      </c>
      <c r="E656" s="11">
        <f ca="1">IFERROR(__xludf.DUMMYFUNCTION("GOOGLEFINANCE(A656,""LOW"")"),662.3)</f>
        <v>662.3</v>
      </c>
      <c r="F656" s="12" t="str">
        <f t="shared" ca="1" si="21"/>
        <v/>
      </c>
      <c r="G656" s="13">
        <f ca="1">IFERROR(__xludf.DUMMYFUNCTION("GOOGLEFINANCE(A656,""CLOSEYEST"")"),660.9)</f>
        <v>660.9</v>
      </c>
      <c r="H656" s="14" t="str">
        <f t="shared" ca="1" si="27"/>
        <v/>
      </c>
      <c r="I656" s="15">
        <f t="shared" ca="1" si="22"/>
        <v>667.85</v>
      </c>
      <c r="J656" s="16">
        <f t="shared" ca="1" si="23"/>
        <v>673.40000000000009</v>
      </c>
      <c r="K656" s="16"/>
      <c r="L656" s="16">
        <f t="shared" ca="1" si="24"/>
        <v>655.35</v>
      </c>
      <c r="M656" s="16">
        <f t="shared" ca="1" si="25"/>
        <v>685.90000000000009</v>
      </c>
      <c r="N656" s="16">
        <f t="shared" ca="1" si="26"/>
        <v>649.79999999999995</v>
      </c>
    </row>
    <row r="657" spans="1:14" ht="24.75" customHeight="1" x14ac:dyDescent="0.8">
      <c r="A657" s="18" t="s">
        <v>620</v>
      </c>
      <c r="B657" s="10">
        <f ca="1">IFERROR(__xludf.DUMMYFUNCTION("GOOGLEFINANCE(A657,""PRICE"")"),3.53)</f>
        <v>3.53</v>
      </c>
      <c r="C657" s="11">
        <f ca="1">IFERROR(__xludf.DUMMYFUNCTION("GOOGLEFINANCE(A657,""PRICEOPEN"")"),3.45)</f>
        <v>3.45</v>
      </c>
      <c r="D657" s="11">
        <f ca="1">IFERROR(__xludf.DUMMYFUNCTION("GOOGLEFINANCE(A657,""HIGH"")"),3.53)</f>
        <v>3.53</v>
      </c>
      <c r="E657" s="11">
        <f ca="1">IFERROR(__xludf.DUMMYFUNCTION("GOOGLEFINANCE(A657,""LOW"")"),3.4)</f>
        <v>3.4</v>
      </c>
      <c r="F657" s="12" t="str">
        <f t="shared" ca="1" si="21"/>
        <v/>
      </c>
      <c r="G657" s="13">
        <f ca="1">IFERROR(__xludf.DUMMYFUNCTION("GOOGLEFINANCE(A657,""CLOSEYEST"")"),3.45)</f>
        <v>3.45</v>
      </c>
      <c r="H657" s="14" t="str">
        <f t="shared" ca="1" si="27"/>
        <v/>
      </c>
      <c r="I657" s="15">
        <f t="shared" ca="1" si="22"/>
        <v>3.4599999999999995</v>
      </c>
      <c r="J657" s="16">
        <f t="shared" ca="1" si="23"/>
        <v>3.5199999999999991</v>
      </c>
      <c r="K657" s="16"/>
      <c r="L657" s="16">
        <f t="shared" ca="1" si="24"/>
        <v>3.3899999999999992</v>
      </c>
      <c r="M657" s="16">
        <f t="shared" ca="1" si="25"/>
        <v>3.5899999999999994</v>
      </c>
      <c r="N657" s="16">
        <f t="shared" ca="1" si="26"/>
        <v>3.3299999999999996</v>
      </c>
    </row>
    <row r="658" spans="1:14" ht="24.75" customHeight="1" x14ac:dyDescent="0.8">
      <c r="A658" s="18" t="s">
        <v>621</v>
      </c>
      <c r="B658" s="10">
        <f ca="1">IFERROR(__xludf.DUMMYFUNCTION("GOOGLEFINANCE(A658,""PRICE"")"),925)</f>
        <v>925</v>
      </c>
      <c r="C658" s="11">
        <f ca="1">IFERROR(__xludf.DUMMYFUNCTION("GOOGLEFINANCE(A658,""PRICEOPEN"")"),867)</f>
        <v>867</v>
      </c>
      <c r="D658" s="11">
        <f ca="1">IFERROR(__xludf.DUMMYFUNCTION("GOOGLEFINANCE(A658,""HIGH"")"),934)</f>
        <v>934</v>
      </c>
      <c r="E658" s="11">
        <f ca="1">IFERROR(__xludf.DUMMYFUNCTION("GOOGLEFINANCE(A658,""LOW"")"),867)</f>
        <v>867</v>
      </c>
      <c r="F658" s="12" t="str">
        <f t="shared" ca="1" si="21"/>
        <v>BUY</v>
      </c>
      <c r="G658" s="13">
        <f ca="1">IFERROR(__xludf.DUMMYFUNCTION("GOOGLEFINANCE(A658,""CLOSEYEST"")"),868.3)</f>
        <v>868.3</v>
      </c>
      <c r="H658" s="14" t="str">
        <f t="shared" ca="1" si="27"/>
        <v/>
      </c>
      <c r="I658" s="15">
        <f t="shared" ca="1" si="22"/>
        <v>889.76666666666677</v>
      </c>
      <c r="J658" s="16">
        <f t="shared" ca="1" si="23"/>
        <v>912.53333333333353</v>
      </c>
      <c r="K658" s="16"/>
      <c r="L658" s="16">
        <f t="shared" ca="1" si="24"/>
        <v>845.53333333333353</v>
      </c>
      <c r="M658" s="16">
        <f t="shared" ca="1" si="25"/>
        <v>956.76666666666677</v>
      </c>
      <c r="N658" s="16">
        <f t="shared" ca="1" si="26"/>
        <v>822.76666666666677</v>
      </c>
    </row>
    <row r="659" spans="1:14" ht="24.75" customHeight="1" x14ac:dyDescent="0.8">
      <c r="A659" s="18" t="s">
        <v>622</v>
      </c>
      <c r="B659" s="10">
        <f ca="1">IFERROR(__xludf.DUMMYFUNCTION("GOOGLEFINANCE(A659,""PRICE"")"),552.2)</f>
        <v>552.20000000000005</v>
      </c>
      <c r="C659" s="11">
        <f ca="1">IFERROR(__xludf.DUMMYFUNCTION("GOOGLEFINANCE(A659,""PRICEOPEN"")"),540.8)</f>
        <v>540.79999999999995</v>
      </c>
      <c r="D659" s="11">
        <f ca="1">IFERROR(__xludf.DUMMYFUNCTION("GOOGLEFINANCE(A659,""HIGH"")"),561.9)</f>
        <v>561.9</v>
      </c>
      <c r="E659" s="11">
        <f ca="1">IFERROR(__xludf.DUMMYFUNCTION("GOOGLEFINANCE(A659,""LOW"")"),540.55)</f>
        <v>540.54999999999995</v>
      </c>
      <c r="F659" s="12" t="str">
        <f t="shared" ca="1" si="21"/>
        <v/>
      </c>
      <c r="G659" s="13">
        <f ca="1">IFERROR(__xludf.DUMMYFUNCTION("GOOGLEFINANCE(A659,""CLOSEYEST"")"),539.3)</f>
        <v>539.29999999999995</v>
      </c>
      <c r="H659" s="14" t="str">
        <f t="shared" ca="1" si="27"/>
        <v/>
      </c>
      <c r="I659" s="15">
        <f t="shared" ca="1" si="22"/>
        <v>547.24999999999989</v>
      </c>
      <c r="J659" s="16">
        <f t="shared" ca="1" si="23"/>
        <v>553.94999999999982</v>
      </c>
      <c r="K659" s="16"/>
      <c r="L659" s="16">
        <f t="shared" ca="1" si="24"/>
        <v>532.5999999999998</v>
      </c>
      <c r="M659" s="16">
        <f t="shared" ca="1" si="25"/>
        <v>568.59999999999991</v>
      </c>
      <c r="N659" s="16">
        <f t="shared" ca="1" si="26"/>
        <v>525.89999999999986</v>
      </c>
    </row>
    <row r="660" spans="1:14" ht="24.75" customHeight="1" x14ac:dyDescent="0.8">
      <c r="A660" s="18" t="s">
        <v>623</v>
      </c>
      <c r="B660" s="10">
        <f ca="1">IFERROR(__xludf.DUMMYFUNCTION("GOOGLEFINANCE(A660,""PRICE"")"),1041.5)</f>
        <v>1041.5</v>
      </c>
      <c r="C660" s="11">
        <f ca="1">IFERROR(__xludf.DUMMYFUNCTION("GOOGLEFINANCE(A660,""PRICEOPEN"")"),1051.2)</f>
        <v>1051.2</v>
      </c>
      <c r="D660" s="11">
        <f ca="1">IFERROR(__xludf.DUMMYFUNCTION("GOOGLEFINANCE(A660,""HIGH"")"),1058.9)</f>
        <v>1058.9000000000001</v>
      </c>
      <c r="E660" s="11">
        <f ca="1">IFERROR(__xludf.DUMMYFUNCTION("GOOGLEFINANCE(A660,""LOW"")"),1036)</f>
        <v>1036</v>
      </c>
      <c r="F660" s="12" t="str">
        <f t="shared" ca="1" si="21"/>
        <v/>
      </c>
      <c r="G660" s="13">
        <f ca="1">IFERROR(__xludf.DUMMYFUNCTION("GOOGLEFINANCE(A660,""CLOSEYEST"")"),1055.7)</f>
        <v>1055.7</v>
      </c>
      <c r="H660" s="14" t="str">
        <f t="shared" ca="1" si="27"/>
        <v/>
      </c>
      <c r="I660" s="15">
        <f t="shared" ca="1" si="22"/>
        <v>1050.2</v>
      </c>
      <c r="J660" s="16">
        <f t="shared" ca="1" si="23"/>
        <v>1064.4000000000001</v>
      </c>
      <c r="K660" s="16"/>
      <c r="L660" s="16">
        <f t="shared" ca="1" si="24"/>
        <v>1041.5</v>
      </c>
      <c r="M660" s="16">
        <f t="shared" ca="1" si="25"/>
        <v>1073.1000000000001</v>
      </c>
      <c r="N660" s="16">
        <f t="shared" ca="1" si="26"/>
        <v>1027.3</v>
      </c>
    </row>
    <row r="661" spans="1:14" ht="24.75" customHeight="1" x14ac:dyDescent="0.8">
      <c r="A661" s="18" t="s">
        <v>624</v>
      </c>
      <c r="B661" s="10">
        <f ca="1">IFERROR(__xludf.DUMMYFUNCTION("GOOGLEFINANCE(A661,""PRICE"")"),294.4)</f>
        <v>294.39999999999998</v>
      </c>
      <c r="C661" s="11">
        <f ca="1">IFERROR(__xludf.DUMMYFUNCTION("GOOGLEFINANCE(A661,""PRICEOPEN"")"),285.1)</f>
        <v>285.10000000000002</v>
      </c>
      <c r="D661" s="11">
        <f ca="1">IFERROR(__xludf.DUMMYFUNCTION("GOOGLEFINANCE(A661,""HIGH"")"),295)</f>
        <v>295</v>
      </c>
      <c r="E661" s="11">
        <f ca="1">IFERROR(__xludf.DUMMYFUNCTION("GOOGLEFINANCE(A661,""LOW"")"),285.1)</f>
        <v>285.10000000000002</v>
      </c>
      <c r="F661" s="12" t="str">
        <f t="shared" ca="1" si="21"/>
        <v>BUY</v>
      </c>
      <c r="G661" s="13">
        <f ca="1">IFERROR(__xludf.DUMMYFUNCTION("GOOGLEFINANCE(A661,""CLOSEYEST"")"),286.8)</f>
        <v>286.8</v>
      </c>
      <c r="H661" s="14" t="str">
        <f t="shared" ca="1" si="27"/>
        <v/>
      </c>
      <c r="I661" s="15">
        <f t="shared" ca="1" si="22"/>
        <v>288.9666666666667</v>
      </c>
      <c r="J661" s="16">
        <f t="shared" ca="1" si="23"/>
        <v>292.83333333333337</v>
      </c>
      <c r="K661" s="16"/>
      <c r="L661" s="16">
        <f t="shared" ca="1" si="24"/>
        <v>282.93333333333339</v>
      </c>
      <c r="M661" s="16">
        <f t="shared" ca="1" si="25"/>
        <v>298.86666666666667</v>
      </c>
      <c r="N661" s="16">
        <f t="shared" ca="1" si="26"/>
        <v>279.06666666666672</v>
      </c>
    </row>
    <row r="662" spans="1:14" ht="24.75" customHeight="1" x14ac:dyDescent="0.8">
      <c r="A662" s="18" t="s">
        <v>625</v>
      </c>
      <c r="B662" s="10">
        <f ca="1">IFERROR(__xludf.DUMMYFUNCTION("GOOGLEFINANCE(A662,""PRICE"")"),2000.5)</f>
        <v>2000.5</v>
      </c>
      <c r="C662" s="11">
        <f ca="1">IFERROR(__xludf.DUMMYFUNCTION("GOOGLEFINANCE(A662,""PRICEOPEN"")"),1992)</f>
        <v>1992</v>
      </c>
      <c r="D662" s="11">
        <f ca="1">IFERROR(__xludf.DUMMYFUNCTION("GOOGLEFINANCE(A662,""HIGH"")"),2010)</f>
        <v>2010</v>
      </c>
      <c r="E662" s="11">
        <f ca="1">IFERROR(__xludf.DUMMYFUNCTION("GOOGLEFINANCE(A662,""LOW"")"),1974)</f>
        <v>1974</v>
      </c>
      <c r="F662" s="12" t="str">
        <f t="shared" ca="1" si="21"/>
        <v/>
      </c>
      <c r="G662" s="13">
        <f ca="1">IFERROR(__xludf.DUMMYFUNCTION("GOOGLEFINANCE(A662,""CLOSEYEST"")"),2004.4)</f>
        <v>2004.4</v>
      </c>
      <c r="H662" s="14" t="str">
        <f t="shared" ca="1" si="27"/>
        <v/>
      </c>
      <c r="I662" s="15">
        <f t="shared" ca="1" si="22"/>
        <v>1996.1333333333332</v>
      </c>
      <c r="J662" s="16">
        <f t="shared" ca="1" si="23"/>
        <v>2018.2666666666664</v>
      </c>
      <c r="K662" s="16"/>
      <c r="L662" s="16">
        <f t="shared" ca="1" si="24"/>
        <v>1982.2666666666664</v>
      </c>
      <c r="M662" s="16">
        <f t="shared" ca="1" si="25"/>
        <v>2032.1333333333332</v>
      </c>
      <c r="N662" s="16">
        <f t="shared" ca="1" si="26"/>
        <v>1960.1333333333332</v>
      </c>
    </row>
    <row r="663" spans="1:14" ht="24.75" customHeight="1" x14ac:dyDescent="0.8">
      <c r="A663" s="18" t="s">
        <v>626</v>
      </c>
      <c r="B663" s="10">
        <f ca="1">IFERROR(__xludf.DUMMYFUNCTION("GOOGLEFINANCE(A663,""PRICE"")"),1174.5)</f>
        <v>1174.5</v>
      </c>
      <c r="C663" s="11">
        <f ca="1">IFERROR(__xludf.DUMMYFUNCTION("GOOGLEFINANCE(A663,""PRICEOPEN"")"),1125)</f>
        <v>1125</v>
      </c>
      <c r="D663" s="11">
        <f ca="1">IFERROR(__xludf.DUMMYFUNCTION("GOOGLEFINANCE(A663,""HIGH"")"),1178.9)</f>
        <v>1178.9000000000001</v>
      </c>
      <c r="E663" s="11">
        <f ca="1">IFERROR(__xludf.DUMMYFUNCTION("GOOGLEFINANCE(A663,""LOW"")"),1123.4)</f>
        <v>1123.4000000000001</v>
      </c>
      <c r="F663" s="12" t="str">
        <f t="shared" ca="1" si="21"/>
        <v/>
      </c>
      <c r="G663" s="13">
        <f ca="1">IFERROR(__xludf.DUMMYFUNCTION("GOOGLEFINANCE(A663,""CLOSEYEST"")"),1122.8)</f>
        <v>1122.8</v>
      </c>
      <c r="H663" s="14" t="str">
        <f t="shared" ca="1" si="27"/>
        <v/>
      </c>
      <c r="I663" s="15">
        <f t="shared" ca="1" si="22"/>
        <v>1141.7</v>
      </c>
      <c r="J663" s="16">
        <f t="shared" ca="1" si="23"/>
        <v>1160</v>
      </c>
      <c r="K663" s="16"/>
      <c r="L663" s="16">
        <f t="shared" ca="1" si="24"/>
        <v>1104.5</v>
      </c>
      <c r="M663" s="16">
        <f t="shared" ca="1" si="25"/>
        <v>1197.2</v>
      </c>
      <c r="N663" s="16">
        <f t="shared" ca="1" si="26"/>
        <v>1086.2</v>
      </c>
    </row>
    <row r="664" spans="1:14" ht="24.75" customHeight="1" x14ac:dyDescent="0.8">
      <c r="A664" s="18" t="s">
        <v>627</v>
      </c>
      <c r="B664" s="10" t="str">
        <f ca="1">IFERROR(__xludf.DUMMYFUNCTION("GOOGLEFINANCE(A664,""PRICE"")"),"#N/A")</f>
        <v>#N/A</v>
      </c>
      <c r="C664" s="11" t="str">
        <f ca="1">IFERROR(__xludf.DUMMYFUNCTION("GOOGLEFINANCE(A664,""PRICEOPEN"")"),"#N/A")</f>
        <v>#N/A</v>
      </c>
      <c r="D664" s="11" t="str">
        <f ca="1">IFERROR(__xludf.DUMMYFUNCTION("GOOGLEFINANCE(A664,""HIGH"")"),"#N/A")</f>
        <v>#N/A</v>
      </c>
      <c r="E664" s="11" t="str">
        <f ca="1">IFERROR(__xludf.DUMMYFUNCTION("GOOGLEFINANCE(A664,""LOW"")"),"#N/A")</f>
        <v>#N/A</v>
      </c>
      <c r="F664" s="12" t="str">
        <f t="shared" ca="1" si="21"/>
        <v>SELL</v>
      </c>
      <c r="G664" s="13" t="str">
        <f ca="1">IFERROR(__xludf.DUMMYFUNCTION("GOOGLEFINANCE(A664,""CLOSEYEST"")"),"#N/A")</f>
        <v>#N/A</v>
      </c>
      <c r="H664" s="14" t="e">
        <f t="shared" ca="1" si="27"/>
        <v>#VALUE!</v>
      </c>
      <c r="I664" s="15" t="e">
        <f t="shared" ca="1" si="22"/>
        <v>#VALUE!</v>
      </c>
      <c r="J664" s="16" t="e">
        <f t="shared" ca="1" si="23"/>
        <v>#VALUE!</v>
      </c>
      <c r="K664" s="16"/>
      <c r="L664" s="16" t="e">
        <f t="shared" ca="1" si="24"/>
        <v>#VALUE!</v>
      </c>
      <c r="M664" s="16" t="e">
        <f t="shared" ca="1" si="25"/>
        <v>#VALUE!</v>
      </c>
      <c r="N664" s="16" t="e">
        <f t="shared" ca="1" si="26"/>
        <v>#VALUE!</v>
      </c>
    </row>
    <row r="665" spans="1:14" ht="24.75" customHeight="1" x14ac:dyDescent="0.8">
      <c r="A665" s="18" t="s">
        <v>628</v>
      </c>
      <c r="B665" s="10" t="str">
        <f ca="1">IFERROR(__xludf.DUMMYFUNCTION("GOOGLEFINANCE(A665,""PRICE"")"),"#N/A")</f>
        <v>#N/A</v>
      </c>
      <c r="C665" s="11" t="str">
        <f ca="1">IFERROR(__xludf.DUMMYFUNCTION("GOOGLEFINANCE(A665,""PRICEOPEN"")"),"#N/A")</f>
        <v>#N/A</v>
      </c>
      <c r="D665" s="11" t="str">
        <f ca="1">IFERROR(__xludf.DUMMYFUNCTION("GOOGLEFINANCE(A665,""HIGH"")"),"#N/A")</f>
        <v>#N/A</v>
      </c>
      <c r="E665" s="11" t="str">
        <f ca="1">IFERROR(__xludf.DUMMYFUNCTION("GOOGLEFINANCE(A665,""LOW"")"),"#N/A")</f>
        <v>#N/A</v>
      </c>
      <c r="F665" s="12" t="str">
        <f t="shared" ca="1" si="21"/>
        <v>SELL</v>
      </c>
      <c r="G665" s="13" t="str">
        <f ca="1">IFERROR(__xludf.DUMMYFUNCTION("GOOGLEFINANCE(A665,""CLOSEYEST"")"),"#N/A")</f>
        <v>#N/A</v>
      </c>
      <c r="H665" s="14" t="e">
        <f t="shared" ca="1" si="27"/>
        <v>#VALUE!</v>
      </c>
      <c r="I665" s="15" t="e">
        <f t="shared" ca="1" si="22"/>
        <v>#VALUE!</v>
      </c>
      <c r="J665" s="16" t="e">
        <f t="shared" ca="1" si="23"/>
        <v>#VALUE!</v>
      </c>
      <c r="K665" s="16"/>
      <c r="L665" s="16" t="e">
        <f t="shared" ca="1" si="24"/>
        <v>#VALUE!</v>
      </c>
      <c r="M665" s="16" t="e">
        <f t="shared" ca="1" si="25"/>
        <v>#VALUE!</v>
      </c>
      <c r="N665" s="16" t="e">
        <f t="shared" ca="1" si="26"/>
        <v>#VALUE!</v>
      </c>
    </row>
    <row r="666" spans="1:14" ht="24.75" customHeight="1" x14ac:dyDescent="0.8">
      <c r="A666" s="18" t="s">
        <v>629</v>
      </c>
      <c r="B666" s="10">
        <f ca="1">IFERROR(__xludf.DUMMYFUNCTION("GOOGLEFINANCE(A666,""PRICE"")"),8413)</f>
        <v>8413</v>
      </c>
      <c r="C666" s="11">
        <f ca="1">IFERROR(__xludf.DUMMYFUNCTION("GOOGLEFINANCE(A666,""PRICEOPEN"")"),8253.5)</f>
        <v>8253.5</v>
      </c>
      <c r="D666" s="11">
        <f ca="1">IFERROR(__xludf.DUMMYFUNCTION("GOOGLEFINANCE(A666,""HIGH"")"),8450)</f>
        <v>8450</v>
      </c>
      <c r="E666" s="11">
        <f ca="1">IFERROR(__xludf.DUMMYFUNCTION("GOOGLEFINANCE(A666,""LOW"")"),8204.5)</f>
        <v>8204.5</v>
      </c>
      <c r="F666" s="12" t="str">
        <f t="shared" ca="1" si="21"/>
        <v/>
      </c>
      <c r="G666" s="13">
        <f ca="1">IFERROR(__xludf.DUMMYFUNCTION("GOOGLEFINANCE(A666,""CLOSEYEST"")"),8216)</f>
        <v>8216</v>
      </c>
      <c r="H666" s="14" t="str">
        <f t="shared" ca="1" si="27"/>
        <v/>
      </c>
      <c r="I666" s="15">
        <f t="shared" ca="1" si="22"/>
        <v>8290.1666666666661</v>
      </c>
      <c r="J666" s="16">
        <f t="shared" ca="1" si="23"/>
        <v>8375.8333333333321</v>
      </c>
      <c r="K666" s="16"/>
      <c r="L666" s="16">
        <f t="shared" ca="1" si="24"/>
        <v>8130.3333333333321</v>
      </c>
      <c r="M666" s="16">
        <f t="shared" ca="1" si="25"/>
        <v>8535.6666666666661</v>
      </c>
      <c r="N666" s="16">
        <f t="shared" ca="1" si="26"/>
        <v>8044.6666666666661</v>
      </c>
    </row>
    <row r="667" spans="1:14" ht="24.75" customHeight="1" x14ac:dyDescent="0.8">
      <c r="A667" s="18" t="s">
        <v>630</v>
      </c>
      <c r="B667" s="10">
        <f ca="1">IFERROR(__xludf.DUMMYFUNCTION("GOOGLEFINANCE(A667,""PRICE"")"),41.8)</f>
        <v>41.8</v>
      </c>
      <c r="C667" s="11">
        <f ca="1">IFERROR(__xludf.DUMMYFUNCTION("GOOGLEFINANCE(A667,""PRICEOPEN"")"),41.35)</f>
        <v>41.35</v>
      </c>
      <c r="D667" s="11">
        <f ca="1">IFERROR(__xludf.DUMMYFUNCTION("GOOGLEFINANCE(A667,""HIGH"")"),42)</f>
        <v>42</v>
      </c>
      <c r="E667" s="11">
        <f ca="1">IFERROR(__xludf.DUMMYFUNCTION("GOOGLEFINANCE(A667,""LOW"")"),41.35)</f>
        <v>41.35</v>
      </c>
      <c r="F667" s="12" t="str">
        <f t="shared" ca="1" si="21"/>
        <v>BUY</v>
      </c>
      <c r="G667" s="13">
        <f ca="1">IFERROR(__xludf.DUMMYFUNCTION("GOOGLEFINANCE(A667,""CLOSEYEST"")"),41.3)</f>
        <v>41.3</v>
      </c>
      <c r="H667" s="14" t="str">
        <f t="shared" ca="1" si="27"/>
        <v/>
      </c>
      <c r="I667" s="15">
        <f t="shared" ca="1" si="22"/>
        <v>41.55</v>
      </c>
      <c r="J667" s="16">
        <f t="shared" ca="1" si="23"/>
        <v>41.749999999999993</v>
      </c>
      <c r="K667" s="16"/>
      <c r="L667" s="16">
        <f t="shared" ca="1" si="24"/>
        <v>41.099999999999994</v>
      </c>
      <c r="M667" s="16">
        <f t="shared" ca="1" si="25"/>
        <v>42.199999999999996</v>
      </c>
      <c r="N667" s="16">
        <f t="shared" ca="1" si="26"/>
        <v>40.9</v>
      </c>
    </row>
    <row r="668" spans="1:14" ht="24.75" customHeight="1" x14ac:dyDescent="0.8">
      <c r="A668" s="18" t="s">
        <v>631</v>
      </c>
      <c r="B668" s="10">
        <f ca="1">IFERROR(__xludf.DUMMYFUNCTION("GOOGLEFINANCE(A668,""PRICE"")"),172.75)</f>
        <v>172.75</v>
      </c>
      <c r="C668" s="11">
        <f ca="1">IFERROR(__xludf.DUMMYFUNCTION("GOOGLEFINANCE(A668,""PRICEOPEN"")"),173.16)</f>
        <v>173.16</v>
      </c>
      <c r="D668" s="11">
        <f ca="1">IFERROR(__xludf.DUMMYFUNCTION("GOOGLEFINANCE(A668,""HIGH"")"),174.49)</f>
        <v>174.49</v>
      </c>
      <c r="E668" s="11">
        <f ca="1">IFERROR(__xludf.DUMMYFUNCTION("GOOGLEFINANCE(A668,""LOW"")"),171)</f>
        <v>171</v>
      </c>
      <c r="F668" s="12" t="str">
        <f t="shared" ca="1" si="21"/>
        <v/>
      </c>
      <c r="G668" s="13">
        <f ca="1">IFERROR(__xludf.DUMMYFUNCTION("GOOGLEFINANCE(A668,""CLOSEYEST"")"),173.16)</f>
        <v>173.16</v>
      </c>
      <c r="H668" s="14" t="str">
        <f t="shared" ca="1" si="27"/>
        <v/>
      </c>
      <c r="I668" s="15">
        <f t="shared" ca="1" si="22"/>
        <v>172.88333333333333</v>
      </c>
      <c r="J668" s="16">
        <f t="shared" ca="1" si="23"/>
        <v>174.76666666666665</v>
      </c>
      <c r="K668" s="16"/>
      <c r="L668" s="16">
        <f t="shared" ca="1" si="24"/>
        <v>171.27666666666664</v>
      </c>
      <c r="M668" s="16">
        <f t="shared" ca="1" si="25"/>
        <v>176.37333333333333</v>
      </c>
      <c r="N668" s="16">
        <f t="shared" ca="1" si="26"/>
        <v>169.39333333333332</v>
      </c>
    </row>
    <row r="669" spans="1:14" ht="24.75" customHeight="1" x14ac:dyDescent="0.8">
      <c r="A669" s="18" t="s">
        <v>632</v>
      </c>
      <c r="B669" s="10">
        <f ca="1">IFERROR(__xludf.DUMMYFUNCTION("GOOGLEFINANCE(A669,""PRICE"")"),145.3)</f>
        <v>145.30000000000001</v>
      </c>
      <c r="C669" s="11">
        <f ca="1">IFERROR(__xludf.DUMMYFUNCTION("GOOGLEFINANCE(A669,""PRICEOPEN"")"),146.6)</f>
        <v>146.6</v>
      </c>
      <c r="D669" s="11">
        <f ca="1">IFERROR(__xludf.DUMMYFUNCTION("GOOGLEFINANCE(A669,""HIGH"")"),147.36)</f>
        <v>147.36000000000001</v>
      </c>
      <c r="E669" s="11">
        <f ca="1">IFERROR(__xludf.DUMMYFUNCTION("GOOGLEFINANCE(A669,""LOW"")"),143.62)</f>
        <v>143.62</v>
      </c>
      <c r="F669" s="12" t="str">
        <f t="shared" ca="1" si="21"/>
        <v/>
      </c>
      <c r="G669" s="13">
        <f ca="1">IFERROR(__xludf.DUMMYFUNCTION("GOOGLEFINANCE(A669,""CLOSEYEST"")"),146.61)</f>
        <v>146.61000000000001</v>
      </c>
      <c r="H669" s="14" t="str">
        <f t="shared" ca="1" si="27"/>
        <v/>
      </c>
      <c r="I669" s="15">
        <f t="shared" ca="1" si="22"/>
        <v>145.86333333333334</v>
      </c>
      <c r="J669" s="16">
        <f t="shared" ca="1" si="23"/>
        <v>148.10666666666668</v>
      </c>
      <c r="K669" s="16"/>
      <c r="L669" s="16">
        <f t="shared" ca="1" si="24"/>
        <v>144.36666666666667</v>
      </c>
      <c r="M669" s="16">
        <f t="shared" ca="1" si="25"/>
        <v>149.60333333333335</v>
      </c>
      <c r="N669" s="16">
        <f t="shared" ca="1" si="26"/>
        <v>142.12333333333333</v>
      </c>
    </row>
    <row r="670" spans="1:14" ht="24.75" customHeight="1" x14ac:dyDescent="0.8">
      <c r="A670" s="18" t="s">
        <v>633</v>
      </c>
      <c r="B670" s="10" t="str">
        <f ca="1">IFERROR(__xludf.DUMMYFUNCTION("GOOGLEFINANCE(A670,""PRICE"")"),"#N/A")</f>
        <v>#N/A</v>
      </c>
      <c r="C670" s="11" t="str">
        <f ca="1">IFERROR(__xludf.DUMMYFUNCTION("GOOGLEFINANCE(A670,""PRICEOPEN"")"),"#N/A")</f>
        <v>#N/A</v>
      </c>
      <c r="D670" s="11" t="str">
        <f ca="1">IFERROR(__xludf.DUMMYFUNCTION("GOOGLEFINANCE(A670,""HIGH"")"),"#N/A")</f>
        <v>#N/A</v>
      </c>
      <c r="E670" s="11" t="str">
        <f ca="1">IFERROR(__xludf.DUMMYFUNCTION("GOOGLEFINANCE(A670,""LOW"")"),"#N/A")</f>
        <v>#N/A</v>
      </c>
      <c r="F670" s="12" t="str">
        <f t="shared" ca="1" si="21"/>
        <v>SELL</v>
      </c>
      <c r="G670" s="13" t="str">
        <f ca="1">IFERROR(__xludf.DUMMYFUNCTION("GOOGLEFINANCE(A670,""CLOSEYEST"")"),"#N/A")</f>
        <v>#N/A</v>
      </c>
      <c r="H670" s="14" t="e">
        <f t="shared" ca="1" si="27"/>
        <v>#VALUE!</v>
      </c>
      <c r="I670" s="15" t="e">
        <f t="shared" ca="1" si="22"/>
        <v>#VALUE!</v>
      </c>
      <c r="J670" s="16" t="e">
        <f t="shared" ca="1" si="23"/>
        <v>#VALUE!</v>
      </c>
      <c r="K670" s="16"/>
      <c r="L670" s="16" t="e">
        <f t="shared" ca="1" si="24"/>
        <v>#VALUE!</v>
      </c>
      <c r="M670" s="16" t="e">
        <f t="shared" ca="1" si="25"/>
        <v>#VALUE!</v>
      </c>
      <c r="N670" s="16" t="e">
        <f t="shared" ca="1" si="26"/>
        <v>#VALUE!</v>
      </c>
    </row>
    <row r="671" spans="1:14" ht="24.75" customHeight="1" x14ac:dyDescent="0.8">
      <c r="A671" s="18" t="s">
        <v>634</v>
      </c>
      <c r="B671" s="10">
        <f ca="1">IFERROR(__xludf.DUMMYFUNCTION("GOOGLEFINANCE(A671,""PRICE"")"),37.54)</f>
        <v>37.54</v>
      </c>
      <c r="C671" s="11">
        <f ca="1">IFERROR(__xludf.DUMMYFUNCTION("GOOGLEFINANCE(A671,""PRICEOPEN"")"),38.16)</f>
        <v>38.159999999999997</v>
      </c>
      <c r="D671" s="11">
        <f ca="1">IFERROR(__xludf.DUMMYFUNCTION("GOOGLEFINANCE(A671,""HIGH"")"),38.16)</f>
        <v>38.159999999999997</v>
      </c>
      <c r="E671" s="11">
        <f ca="1">IFERROR(__xludf.DUMMYFUNCTION("GOOGLEFINANCE(A671,""LOW"")"),37.42)</f>
        <v>37.42</v>
      </c>
      <c r="F671" s="12" t="str">
        <f t="shared" ca="1" si="21"/>
        <v>SELL</v>
      </c>
      <c r="G671" s="13">
        <f ca="1">IFERROR(__xludf.DUMMYFUNCTION("GOOGLEFINANCE(A671,""CLOSEYEST"")"),38.17)</f>
        <v>38.17</v>
      </c>
      <c r="H671" s="14" t="str">
        <f t="shared" ca="1" si="27"/>
        <v/>
      </c>
      <c r="I671" s="15">
        <f t="shared" ca="1" si="22"/>
        <v>37.916666666666664</v>
      </c>
      <c r="J671" s="16">
        <f t="shared" ca="1" si="23"/>
        <v>38.413333333333327</v>
      </c>
      <c r="K671" s="16"/>
      <c r="L671" s="16">
        <f t="shared" ca="1" si="24"/>
        <v>37.673333333333332</v>
      </c>
      <c r="M671" s="16">
        <f t="shared" ca="1" si="25"/>
        <v>38.656666666666659</v>
      </c>
      <c r="N671" s="16">
        <f t="shared" ca="1" si="26"/>
        <v>37.176666666666669</v>
      </c>
    </row>
    <row r="672" spans="1:14" ht="24.75" customHeight="1" x14ac:dyDescent="0.8">
      <c r="A672" s="18" t="s">
        <v>635</v>
      </c>
      <c r="B672" s="10">
        <f ca="1">IFERROR(__xludf.DUMMYFUNCTION("GOOGLEFINANCE(A672,""PRICE"")"),12.39)</f>
        <v>12.39</v>
      </c>
      <c r="C672" s="11">
        <f ca="1">IFERROR(__xludf.DUMMYFUNCTION("GOOGLEFINANCE(A672,""PRICEOPEN"")"),12.48)</f>
        <v>12.48</v>
      </c>
      <c r="D672" s="11">
        <f ca="1">IFERROR(__xludf.DUMMYFUNCTION("GOOGLEFINANCE(A672,""HIGH"")"),12.53)</f>
        <v>12.53</v>
      </c>
      <c r="E672" s="11">
        <f ca="1">IFERROR(__xludf.DUMMYFUNCTION("GOOGLEFINANCE(A672,""LOW"")"),12.2)</f>
        <v>12.2</v>
      </c>
      <c r="F672" s="12" t="str">
        <f t="shared" ca="1" si="21"/>
        <v/>
      </c>
      <c r="G672" s="13">
        <f ca="1">IFERROR(__xludf.DUMMYFUNCTION("GOOGLEFINANCE(A672,""CLOSEYEST"")"),12.47)</f>
        <v>12.47</v>
      </c>
      <c r="H672" s="14" t="str">
        <f t="shared" ca="1" si="27"/>
        <v/>
      </c>
      <c r="I672" s="15">
        <f t="shared" ca="1" si="22"/>
        <v>12.399999999999999</v>
      </c>
      <c r="J672" s="16">
        <f t="shared" ca="1" si="23"/>
        <v>12.599999999999998</v>
      </c>
      <c r="K672" s="16"/>
      <c r="L672" s="16">
        <f t="shared" ca="1" si="24"/>
        <v>12.269999999999998</v>
      </c>
      <c r="M672" s="16">
        <f t="shared" ca="1" si="25"/>
        <v>12.729999999999999</v>
      </c>
      <c r="N672" s="16">
        <f t="shared" ca="1" si="26"/>
        <v>12.069999999999999</v>
      </c>
    </row>
    <row r="673" spans="1:14" ht="24.75" customHeight="1" x14ac:dyDescent="0.8">
      <c r="A673" s="18" t="s">
        <v>636</v>
      </c>
      <c r="B673" s="10">
        <f ca="1">IFERROR(__xludf.DUMMYFUNCTION("GOOGLEFINANCE(A673,""PRICE"")"),463.05)</f>
        <v>463.05</v>
      </c>
      <c r="C673" s="11">
        <f ca="1">IFERROR(__xludf.DUMMYFUNCTION("GOOGLEFINANCE(A673,""PRICEOPEN"")"),453)</f>
        <v>453</v>
      </c>
      <c r="D673" s="11">
        <f ca="1">IFERROR(__xludf.DUMMYFUNCTION("GOOGLEFINANCE(A673,""HIGH"")"),463.9)</f>
        <v>463.9</v>
      </c>
      <c r="E673" s="11">
        <f ca="1">IFERROR(__xludf.DUMMYFUNCTION("GOOGLEFINANCE(A673,""LOW"")"),450)</f>
        <v>450</v>
      </c>
      <c r="F673" s="12" t="str">
        <f t="shared" ca="1" si="21"/>
        <v/>
      </c>
      <c r="G673" s="13">
        <f ca="1">IFERROR(__xludf.DUMMYFUNCTION("GOOGLEFINANCE(A673,""CLOSEYEST"")"),452.75)</f>
        <v>452.75</v>
      </c>
      <c r="H673" s="14" t="str">
        <f t="shared" ca="1" si="27"/>
        <v/>
      </c>
      <c r="I673" s="15">
        <f t="shared" ca="1" si="22"/>
        <v>455.55</v>
      </c>
      <c r="J673" s="16">
        <f t="shared" ca="1" si="23"/>
        <v>461.1</v>
      </c>
      <c r="K673" s="16"/>
      <c r="L673" s="16">
        <f t="shared" ca="1" si="24"/>
        <v>447.20000000000005</v>
      </c>
      <c r="M673" s="16">
        <f t="shared" ca="1" si="25"/>
        <v>469.45</v>
      </c>
      <c r="N673" s="16">
        <f t="shared" ca="1" si="26"/>
        <v>441.65000000000003</v>
      </c>
    </row>
    <row r="674" spans="1:14" ht="24.75" customHeight="1" x14ac:dyDescent="0.8">
      <c r="A674" s="18" t="s">
        <v>637</v>
      </c>
      <c r="B674" s="10">
        <f ca="1">IFERROR(__xludf.DUMMYFUNCTION("GOOGLEFINANCE(A674,""PRICE"")"),320)</f>
        <v>320</v>
      </c>
      <c r="C674" s="11">
        <f ca="1">IFERROR(__xludf.DUMMYFUNCTION("GOOGLEFINANCE(A674,""PRICEOPEN"")"),320)</f>
        <v>320</v>
      </c>
      <c r="D674" s="11">
        <f ca="1">IFERROR(__xludf.DUMMYFUNCTION("GOOGLEFINANCE(A674,""HIGH"")"),322.15)</f>
        <v>322.14999999999998</v>
      </c>
      <c r="E674" s="11">
        <f ca="1">IFERROR(__xludf.DUMMYFUNCTION("GOOGLEFINANCE(A674,""LOW"")"),317.85)</f>
        <v>317.85000000000002</v>
      </c>
      <c r="F674" s="12" t="str">
        <f t="shared" ca="1" si="21"/>
        <v/>
      </c>
      <c r="G674" s="13">
        <f ca="1">IFERROR(__xludf.DUMMYFUNCTION("GOOGLEFINANCE(A674,""CLOSEYEST"")"),318.4)</f>
        <v>318.39999999999998</v>
      </c>
      <c r="H674" s="14" t="str">
        <f t="shared" ca="1" si="27"/>
        <v/>
      </c>
      <c r="I674" s="15">
        <f t="shared" ca="1" si="22"/>
        <v>319.46666666666664</v>
      </c>
      <c r="J674" s="16">
        <f t="shared" ca="1" si="23"/>
        <v>321.08333333333326</v>
      </c>
      <c r="K674" s="16"/>
      <c r="L674" s="16">
        <f t="shared" ca="1" si="24"/>
        <v>316.7833333333333</v>
      </c>
      <c r="M674" s="16">
        <f t="shared" ca="1" si="25"/>
        <v>323.76666666666659</v>
      </c>
      <c r="N674" s="16">
        <f t="shared" ca="1" si="26"/>
        <v>315.16666666666669</v>
      </c>
    </row>
    <row r="675" spans="1:14" ht="24.75" customHeight="1" x14ac:dyDescent="0.8">
      <c r="A675" s="18" t="s">
        <v>638</v>
      </c>
      <c r="B675" s="10">
        <f ca="1">IFERROR(__xludf.DUMMYFUNCTION("GOOGLEFINANCE(A675,""PRICE"")"),102)</f>
        <v>102</v>
      </c>
      <c r="C675" s="11">
        <f ca="1">IFERROR(__xludf.DUMMYFUNCTION("GOOGLEFINANCE(A675,""PRICEOPEN"")"),100.66)</f>
        <v>100.66</v>
      </c>
      <c r="D675" s="11">
        <f ca="1">IFERROR(__xludf.DUMMYFUNCTION("GOOGLEFINANCE(A675,""HIGH"")"),102.87)</f>
        <v>102.87</v>
      </c>
      <c r="E675" s="11">
        <f ca="1">IFERROR(__xludf.DUMMYFUNCTION("GOOGLEFINANCE(A675,""LOW"")"),100.3)</f>
        <v>100.3</v>
      </c>
      <c r="F675" s="12" t="str">
        <f t="shared" ca="1" si="21"/>
        <v/>
      </c>
      <c r="G675" s="13">
        <f ca="1">IFERROR(__xludf.DUMMYFUNCTION("GOOGLEFINANCE(A675,""CLOSEYEST"")"),100.66)</f>
        <v>100.66</v>
      </c>
      <c r="H675" s="14" t="str">
        <f t="shared" ca="1" si="27"/>
        <v/>
      </c>
      <c r="I675" s="15">
        <f t="shared" ca="1" si="22"/>
        <v>101.27666666666669</v>
      </c>
      <c r="J675" s="16">
        <f t="shared" ca="1" si="23"/>
        <v>102.25333333333337</v>
      </c>
      <c r="K675" s="16"/>
      <c r="L675" s="16">
        <f t="shared" ca="1" si="24"/>
        <v>99.683333333333366</v>
      </c>
      <c r="M675" s="16">
        <f t="shared" ca="1" si="25"/>
        <v>103.84666666666669</v>
      </c>
      <c r="N675" s="16">
        <f t="shared" ca="1" si="26"/>
        <v>98.706666666666678</v>
      </c>
    </row>
    <row r="676" spans="1:14" ht="24.75" customHeight="1" x14ac:dyDescent="0.8">
      <c r="A676" s="18" t="s">
        <v>639</v>
      </c>
      <c r="B676" s="10">
        <f ca="1">IFERROR(__xludf.DUMMYFUNCTION("GOOGLEFINANCE(A676,""PRICE"")"),238.6)</f>
        <v>238.6</v>
      </c>
      <c r="C676" s="11">
        <f ca="1">IFERROR(__xludf.DUMMYFUNCTION("GOOGLEFINANCE(A676,""PRICEOPEN"")"),237.76)</f>
        <v>237.76</v>
      </c>
      <c r="D676" s="11">
        <f ca="1">IFERROR(__xludf.DUMMYFUNCTION("GOOGLEFINANCE(A676,""HIGH"")"),242.62)</f>
        <v>242.62</v>
      </c>
      <c r="E676" s="11">
        <f ca="1">IFERROR(__xludf.DUMMYFUNCTION("GOOGLEFINANCE(A676,""LOW"")"),236.11)</f>
        <v>236.11</v>
      </c>
      <c r="F676" s="12" t="str">
        <f t="shared" ca="1" si="21"/>
        <v/>
      </c>
      <c r="G676" s="13">
        <f ca="1">IFERROR(__xludf.DUMMYFUNCTION("GOOGLEFINANCE(A676,""CLOSEYEST"")"),236.06)</f>
        <v>236.06</v>
      </c>
      <c r="H676" s="14" t="str">
        <f t="shared" ca="1" si="27"/>
        <v/>
      </c>
      <c r="I676" s="15">
        <f t="shared" ca="1" si="22"/>
        <v>238.26333333333332</v>
      </c>
      <c r="J676" s="16">
        <f t="shared" ca="1" si="23"/>
        <v>240.41666666666663</v>
      </c>
      <c r="K676" s="16"/>
      <c r="L676" s="16">
        <f t="shared" ca="1" si="24"/>
        <v>233.90666666666664</v>
      </c>
      <c r="M676" s="16">
        <f t="shared" ca="1" si="25"/>
        <v>244.77333333333331</v>
      </c>
      <c r="N676" s="16">
        <f t="shared" ca="1" si="26"/>
        <v>231.75333333333333</v>
      </c>
    </row>
    <row r="677" spans="1:14" ht="24.75" customHeight="1" x14ac:dyDescent="0.8">
      <c r="A677" s="18" t="s">
        <v>640</v>
      </c>
      <c r="B677" s="10">
        <f ca="1">IFERROR(__xludf.DUMMYFUNCTION("GOOGLEFINANCE(A677,""PRICE"")"),3.2)</f>
        <v>3.2</v>
      </c>
      <c r="C677" s="11">
        <f ca="1">IFERROR(__xludf.DUMMYFUNCTION("GOOGLEFINANCE(A677,""PRICEOPEN"")"),3.2)</f>
        <v>3.2</v>
      </c>
      <c r="D677" s="11">
        <f ca="1">IFERROR(__xludf.DUMMYFUNCTION("GOOGLEFINANCE(A677,""HIGH"")"),3.2)</f>
        <v>3.2</v>
      </c>
      <c r="E677" s="11">
        <f ca="1">IFERROR(__xludf.DUMMYFUNCTION("GOOGLEFINANCE(A677,""LOW"")"),3.2)</f>
        <v>3.2</v>
      </c>
      <c r="F677" s="12" t="str">
        <f t="shared" ca="1" si="21"/>
        <v>SELL</v>
      </c>
      <c r="G677" s="13">
        <f ca="1">IFERROR(__xludf.DUMMYFUNCTION("GOOGLEFINANCE(A677,""CLOSEYEST"")"),3.05)</f>
        <v>3.05</v>
      </c>
      <c r="H677" s="14" t="str">
        <f t="shared" ca="1" si="27"/>
        <v>GAP UP</v>
      </c>
      <c r="I677" s="15">
        <f t="shared" ca="1" si="22"/>
        <v>3.15</v>
      </c>
      <c r="J677" s="16">
        <f t="shared" ca="1" si="23"/>
        <v>3.0999999999999996</v>
      </c>
      <c r="K677" s="16"/>
      <c r="L677" s="16">
        <f t="shared" ca="1" si="24"/>
        <v>3.0999999999999996</v>
      </c>
      <c r="M677" s="16">
        <f t="shared" ca="1" si="25"/>
        <v>3.15</v>
      </c>
      <c r="N677" s="16">
        <f t="shared" ca="1" si="26"/>
        <v>3.15</v>
      </c>
    </row>
    <row r="678" spans="1:14" ht="24.75" customHeight="1" x14ac:dyDescent="0.8">
      <c r="A678" s="18" t="s">
        <v>641</v>
      </c>
      <c r="B678" s="10" t="str">
        <f ca="1">IFERROR(__xludf.DUMMYFUNCTION("GOOGLEFINANCE(A678,""PRICE"")"),"#N/A")</f>
        <v>#N/A</v>
      </c>
      <c r="C678" s="11" t="str">
        <f ca="1">IFERROR(__xludf.DUMMYFUNCTION("GOOGLEFINANCE(A678,""PRICEOPEN"")"),"#N/A")</f>
        <v>#N/A</v>
      </c>
      <c r="D678" s="11" t="str">
        <f ca="1">IFERROR(__xludf.DUMMYFUNCTION("GOOGLEFINANCE(A678,""HIGH"")"),"#N/A")</f>
        <v>#N/A</v>
      </c>
      <c r="E678" s="11" t="str">
        <f ca="1">IFERROR(__xludf.DUMMYFUNCTION("GOOGLEFINANCE(A678,""LOW"")"),"#N/A")</f>
        <v>#N/A</v>
      </c>
      <c r="F678" s="12" t="str">
        <f t="shared" ca="1" si="21"/>
        <v>SELL</v>
      </c>
      <c r="G678" s="13" t="str">
        <f ca="1">IFERROR(__xludf.DUMMYFUNCTION("GOOGLEFINANCE(A678,""CLOSEYEST"")"),"#N/A")</f>
        <v>#N/A</v>
      </c>
      <c r="H678" s="14" t="e">
        <f t="shared" ca="1" si="27"/>
        <v>#VALUE!</v>
      </c>
      <c r="I678" s="15" t="e">
        <f t="shared" ca="1" si="22"/>
        <v>#VALUE!</v>
      </c>
      <c r="J678" s="16" t="e">
        <f t="shared" ca="1" si="23"/>
        <v>#VALUE!</v>
      </c>
      <c r="K678" s="16"/>
      <c r="L678" s="16" t="e">
        <f t="shared" ca="1" si="24"/>
        <v>#VALUE!</v>
      </c>
      <c r="M678" s="16" t="e">
        <f t="shared" ca="1" si="25"/>
        <v>#VALUE!</v>
      </c>
      <c r="N678" s="16" t="e">
        <f t="shared" ca="1" si="26"/>
        <v>#VALUE!</v>
      </c>
    </row>
    <row r="679" spans="1:14" ht="24.75" customHeight="1" x14ac:dyDescent="0.8">
      <c r="A679" s="18" t="s">
        <v>642</v>
      </c>
      <c r="B679" s="10">
        <f ca="1">IFERROR(__xludf.DUMMYFUNCTION("GOOGLEFINANCE(A679,""PRICE"")"),909.2)</f>
        <v>909.2</v>
      </c>
      <c r="C679" s="11">
        <f ca="1">IFERROR(__xludf.DUMMYFUNCTION("GOOGLEFINANCE(A679,""PRICEOPEN"")"),906.45)</f>
        <v>906.45</v>
      </c>
      <c r="D679" s="11">
        <f ca="1">IFERROR(__xludf.DUMMYFUNCTION("GOOGLEFINANCE(A679,""HIGH"")"),917)</f>
        <v>917</v>
      </c>
      <c r="E679" s="11">
        <f ca="1">IFERROR(__xludf.DUMMYFUNCTION("GOOGLEFINANCE(A679,""LOW"")"),900.1)</f>
        <v>900.1</v>
      </c>
      <c r="F679" s="12" t="str">
        <f t="shared" ca="1" si="21"/>
        <v/>
      </c>
      <c r="G679" s="13">
        <f ca="1">IFERROR(__xludf.DUMMYFUNCTION("GOOGLEFINANCE(A679,""CLOSEYEST"")"),913.5)</f>
        <v>913.5</v>
      </c>
      <c r="H679" s="14" t="str">
        <f t="shared" ca="1" si="27"/>
        <v/>
      </c>
      <c r="I679" s="15">
        <f t="shared" ca="1" si="22"/>
        <v>910.19999999999993</v>
      </c>
      <c r="J679" s="16">
        <f t="shared" ca="1" si="23"/>
        <v>920.29999999999984</v>
      </c>
      <c r="K679" s="16"/>
      <c r="L679" s="16">
        <f t="shared" ca="1" si="24"/>
        <v>903.39999999999986</v>
      </c>
      <c r="M679" s="16">
        <f t="shared" ca="1" si="25"/>
        <v>927.09999999999991</v>
      </c>
      <c r="N679" s="16">
        <f t="shared" ca="1" si="26"/>
        <v>893.3</v>
      </c>
    </row>
    <row r="680" spans="1:14" ht="24.75" customHeight="1" x14ac:dyDescent="0.8">
      <c r="A680" s="18" t="s">
        <v>643</v>
      </c>
      <c r="B680" s="10">
        <f ca="1">IFERROR(__xludf.DUMMYFUNCTION("GOOGLEFINANCE(A680,""PRICE"")"),305.9)</f>
        <v>305.89999999999998</v>
      </c>
      <c r="C680" s="11">
        <f ca="1">IFERROR(__xludf.DUMMYFUNCTION("GOOGLEFINANCE(A680,""PRICEOPEN"")"),299)</f>
        <v>299</v>
      </c>
      <c r="D680" s="11">
        <f ca="1">IFERROR(__xludf.DUMMYFUNCTION("GOOGLEFINANCE(A680,""HIGH"")"),309.75)</f>
        <v>309.75</v>
      </c>
      <c r="E680" s="11">
        <f ca="1">IFERROR(__xludf.DUMMYFUNCTION("GOOGLEFINANCE(A680,""LOW"")"),294)</f>
        <v>294</v>
      </c>
      <c r="F680" s="12" t="str">
        <f t="shared" ca="1" si="21"/>
        <v/>
      </c>
      <c r="G680" s="13">
        <f ca="1">IFERROR(__xludf.DUMMYFUNCTION("GOOGLEFINANCE(A680,""CLOSEYEST"")"),298.95)</f>
        <v>298.95</v>
      </c>
      <c r="H680" s="14" t="str">
        <f t="shared" ca="1" si="27"/>
        <v/>
      </c>
      <c r="I680" s="15">
        <f t="shared" ca="1" si="22"/>
        <v>300.90000000000003</v>
      </c>
      <c r="J680" s="16">
        <f t="shared" ca="1" si="23"/>
        <v>307.80000000000007</v>
      </c>
      <c r="K680" s="16"/>
      <c r="L680" s="16">
        <f t="shared" ca="1" si="24"/>
        <v>292.05000000000007</v>
      </c>
      <c r="M680" s="16">
        <f t="shared" ca="1" si="25"/>
        <v>316.65000000000003</v>
      </c>
      <c r="N680" s="16">
        <f t="shared" ca="1" si="26"/>
        <v>285.15000000000003</v>
      </c>
    </row>
    <row r="681" spans="1:14" ht="24.75" customHeight="1" x14ac:dyDescent="0.8">
      <c r="A681" s="18" t="s">
        <v>644</v>
      </c>
      <c r="B681" s="10" t="str">
        <f ca="1">IFERROR(__xludf.DUMMYFUNCTION("GOOGLEFINANCE(A681,""PRICE"")"),"#N/A")</f>
        <v>#N/A</v>
      </c>
      <c r="C681" s="11" t="str">
        <f ca="1">IFERROR(__xludf.DUMMYFUNCTION("GOOGLEFINANCE(A681,""PRICEOPEN"")"),"#N/A")</f>
        <v>#N/A</v>
      </c>
      <c r="D681" s="11" t="str">
        <f ca="1">IFERROR(__xludf.DUMMYFUNCTION("GOOGLEFINANCE(A681,""HIGH"")"),"#N/A")</f>
        <v>#N/A</v>
      </c>
      <c r="E681" s="11" t="str">
        <f ca="1">IFERROR(__xludf.DUMMYFUNCTION("GOOGLEFINANCE(A681,""LOW"")"),"#N/A")</f>
        <v>#N/A</v>
      </c>
      <c r="F681" s="12" t="str">
        <f t="shared" ca="1" si="21"/>
        <v>SELL</v>
      </c>
      <c r="G681" s="13" t="str">
        <f ca="1">IFERROR(__xludf.DUMMYFUNCTION("GOOGLEFINANCE(A681,""CLOSEYEST"")"),"#N/A")</f>
        <v>#N/A</v>
      </c>
      <c r="H681" s="14" t="e">
        <f t="shared" ca="1" si="27"/>
        <v>#VALUE!</v>
      </c>
      <c r="I681" s="15" t="e">
        <f t="shared" ca="1" si="22"/>
        <v>#VALUE!</v>
      </c>
      <c r="J681" s="16" t="e">
        <f t="shared" ca="1" si="23"/>
        <v>#VALUE!</v>
      </c>
      <c r="K681" s="16"/>
      <c r="L681" s="16" t="e">
        <f t="shared" ca="1" si="24"/>
        <v>#VALUE!</v>
      </c>
      <c r="M681" s="16" t="e">
        <f t="shared" ca="1" si="25"/>
        <v>#VALUE!</v>
      </c>
      <c r="N681" s="16" t="e">
        <f t="shared" ca="1" si="26"/>
        <v>#VALUE!</v>
      </c>
    </row>
    <row r="682" spans="1:14" ht="24.75" customHeight="1" x14ac:dyDescent="0.8">
      <c r="A682" s="18" t="s">
        <v>645</v>
      </c>
      <c r="B682" s="10">
        <f ca="1">IFERROR(__xludf.DUMMYFUNCTION("GOOGLEFINANCE(A682,""PRICE"")"),189)</f>
        <v>189</v>
      </c>
      <c r="C682" s="11">
        <f ca="1">IFERROR(__xludf.DUMMYFUNCTION("GOOGLEFINANCE(A682,""PRICEOPEN"")"),188.5)</f>
        <v>188.5</v>
      </c>
      <c r="D682" s="11">
        <f ca="1">IFERROR(__xludf.DUMMYFUNCTION("GOOGLEFINANCE(A682,""HIGH"")"),189.7)</f>
        <v>189.7</v>
      </c>
      <c r="E682" s="11">
        <f ca="1">IFERROR(__xludf.DUMMYFUNCTION("GOOGLEFINANCE(A682,""LOW"")"),185.3)</f>
        <v>185.3</v>
      </c>
      <c r="F682" s="12" t="str">
        <f t="shared" ca="1" si="21"/>
        <v/>
      </c>
      <c r="G682" s="13">
        <f ca="1">IFERROR(__xludf.DUMMYFUNCTION("GOOGLEFINANCE(A682,""CLOSEYEST"")"),186.73)</f>
        <v>186.73</v>
      </c>
      <c r="H682" s="14" t="str">
        <f t="shared" ca="1" si="27"/>
        <v/>
      </c>
      <c r="I682" s="15">
        <f t="shared" ca="1" si="22"/>
        <v>187.24333333333334</v>
      </c>
      <c r="J682" s="16">
        <f t="shared" ca="1" si="23"/>
        <v>189.18666666666667</v>
      </c>
      <c r="K682" s="16"/>
      <c r="L682" s="16">
        <f t="shared" ca="1" si="24"/>
        <v>184.78666666666669</v>
      </c>
      <c r="M682" s="16">
        <f t="shared" ca="1" si="25"/>
        <v>191.64333333333332</v>
      </c>
      <c r="N682" s="16">
        <f t="shared" ca="1" si="26"/>
        <v>182.84333333333336</v>
      </c>
    </row>
    <row r="683" spans="1:14" ht="24.75" customHeight="1" x14ac:dyDescent="0.8">
      <c r="A683" s="18" t="s">
        <v>646</v>
      </c>
      <c r="B683" s="10">
        <f ca="1">IFERROR(__xludf.DUMMYFUNCTION("GOOGLEFINANCE(A683,""PRICE"")"),142.11)</f>
        <v>142.11000000000001</v>
      </c>
      <c r="C683" s="11">
        <f ca="1">IFERROR(__xludf.DUMMYFUNCTION("GOOGLEFINANCE(A683,""PRICEOPEN"")"),142.15)</f>
        <v>142.15</v>
      </c>
      <c r="D683" s="11">
        <f ca="1">IFERROR(__xludf.DUMMYFUNCTION("GOOGLEFINANCE(A683,""HIGH"")"),143.4)</f>
        <v>143.4</v>
      </c>
      <c r="E683" s="11">
        <f ca="1">IFERROR(__xludf.DUMMYFUNCTION("GOOGLEFINANCE(A683,""LOW"")"),140.1)</f>
        <v>140.1</v>
      </c>
      <c r="F683" s="12" t="str">
        <f t="shared" ca="1" si="21"/>
        <v/>
      </c>
      <c r="G683" s="13">
        <f ca="1">IFERROR(__xludf.DUMMYFUNCTION("GOOGLEFINANCE(A683,""CLOSEYEST"")"),142.15)</f>
        <v>142.15</v>
      </c>
      <c r="H683" s="14" t="str">
        <f t="shared" ca="1" si="27"/>
        <v/>
      </c>
      <c r="I683" s="15">
        <f t="shared" ca="1" si="22"/>
        <v>141.88333333333333</v>
      </c>
      <c r="J683" s="16">
        <f t="shared" ca="1" si="23"/>
        <v>143.66666666666666</v>
      </c>
      <c r="K683" s="16"/>
      <c r="L683" s="16">
        <f t="shared" ca="1" si="24"/>
        <v>140.36666666666665</v>
      </c>
      <c r="M683" s="16">
        <f t="shared" ca="1" si="25"/>
        <v>145.18333333333334</v>
      </c>
      <c r="N683" s="16">
        <f t="shared" ca="1" si="26"/>
        <v>138.58333333333331</v>
      </c>
    </row>
    <row r="684" spans="1:14" ht="24.75" customHeight="1" x14ac:dyDescent="0.8">
      <c r="A684" s="18" t="s">
        <v>647</v>
      </c>
      <c r="B684" s="10">
        <f ca="1">IFERROR(__xludf.DUMMYFUNCTION("GOOGLEFINANCE(A684,""PRICE"")"),1003.25)</f>
        <v>1003.25</v>
      </c>
      <c r="C684" s="11">
        <f ca="1">IFERROR(__xludf.DUMMYFUNCTION("GOOGLEFINANCE(A684,""PRICEOPEN"")"),980.3)</f>
        <v>980.3</v>
      </c>
      <c r="D684" s="11">
        <f ca="1">IFERROR(__xludf.DUMMYFUNCTION("GOOGLEFINANCE(A684,""HIGH"")"),1005.85)</f>
        <v>1005.85</v>
      </c>
      <c r="E684" s="11">
        <f ca="1">IFERROR(__xludf.DUMMYFUNCTION("GOOGLEFINANCE(A684,""LOW"")"),971)</f>
        <v>971</v>
      </c>
      <c r="F684" s="12" t="str">
        <f t="shared" ca="1" si="21"/>
        <v/>
      </c>
      <c r="G684" s="13">
        <f ca="1">IFERROR(__xludf.DUMMYFUNCTION("GOOGLEFINANCE(A684,""CLOSEYEST"")"),980.3)</f>
        <v>980.3</v>
      </c>
      <c r="H684" s="14" t="str">
        <f t="shared" ca="1" si="27"/>
        <v/>
      </c>
      <c r="I684" s="15">
        <f t="shared" ca="1" si="22"/>
        <v>985.71666666666658</v>
      </c>
      <c r="J684" s="16">
        <f t="shared" ca="1" si="23"/>
        <v>1000.4333333333332</v>
      </c>
      <c r="K684" s="16"/>
      <c r="L684" s="16">
        <f t="shared" ca="1" si="24"/>
        <v>965.58333333333314</v>
      </c>
      <c r="M684" s="16">
        <f t="shared" ca="1" si="25"/>
        <v>1020.5666666666666</v>
      </c>
      <c r="N684" s="16">
        <f t="shared" ca="1" si="26"/>
        <v>950.86666666666656</v>
      </c>
    </row>
    <row r="685" spans="1:14" ht="24.75" customHeight="1" x14ac:dyDescent="0.8">
      <c r="A685" s="18" t="s">
        <v>648</v>
      </c>
      <c r="B685" s="10" t="str">
        <f ca="1">IFERROR(__xludf.DUMMYFUNCTION("GOOGLEFINANCE(A685,""PRICE"")"),"#N/A")</f>
        <v>#N/A</v>
      </c>
      <c r="C685" s="11" t="str">
        <f ca="1">IFERROR(__xludf.DUMMYFUNCTION("GOOGLEFINANCE(A685,""PRICEOPEN"")"),"#N/A")</f>
        <v>#N/A</v>
      </c>
      <c r="D685" s="11" t="str">
        <f ca="1">IFERROR(__xludf.DUMMYFUNCTION("GOOGLEFINANCE(A685,""HIGH"")"),"#N/A")</f>
        <v>#N/A</v>
      </c>
      <c r="E685" s="11" t="str">
        <f ca="1">IFERROR(__xludf.DUMMYFUNCTION("GOOGLEFINANCE(A685,""LOW"")"),"#N/A")</f>
        <v>#N/A</v>
      </c>
      <c r="F685" s="12" t="str">
        <f t="shared" ca="1" si="21"/>
        <v>SELL</v>
      </c>
      <c r="G685" s="13" t="str">
        <f ca="1">IFERROR(__xludf.DUMMYFUNCTION("GOOGLEFINANCE(A685,""CLOSEYEST"")"),"#N/A")</f>
        <v>#N/A</v>
      </c>
      <c r="H685" s="14" t="e">
        <f t="shared" ca="1" si="27"/>
        <v>#VALUE!</v>
      </c>
      <c r="I685" s="15" t="e">
        <f t="shared" ca="1" si="22"/>
        <v>#VALUE!</v>
      </c>
      <c r="J685" s="16" t="e">
        <f t="shared" ca="1" si="23"/>
        <v>#VALUE!</v>
      </c>
      <c r="K685" s="16"/>
      <c r="L685" s="16" t="e">
        <f t="shared" ca="1" si="24"/>
        <v>#VALUE!</v>
      </c>
      <c r="M685" s="16" t="e">
        <f t="shared" ca="1" si="25"/>
        <v>#VALUE!</v>
      </c>
      <c r="N685" s="16" t="e">
        <f t="shared" ca="1" si="26"/>
        <v>#VALUE!</v>
      </c>
    </row>
    <row r="686" spans="1:14" ht="24.75" customHeight="1" x14ac:dyDescent="0.8">
      <c r="A686" s="18" t="s">
        <v>649</v>
      </c>
      <c r="B686" s="10">
        <f ca="1">IFERROR(__xludf.DUMMYFUNCTION("GOOGLEFINANCE(A686,""PRICE"")"),2719)</f>
        <v>2719</v>
      </c>
      <c r="C686" s="11">
        <f ca="1">IFERROR(__xludf.DUMMYFUNCTION("GOOGLEFINANCE(A686,""PRICEOPEN"")"),2655)</f>
        <v>2655</v>
      </c>
      <c r="D686" s="11">
        <f ca="1">IFERROR(__xludf.DUMMYFUNCTION("GOOGLEFINANCE(A686,""HIGH"")"),2733.8)</f>
        <v>2733.8</v>
      </c>
      <c r="E686" s="11">
        <f ca="1">IFERROR(__xludf.DUMMYFUNCTION("GOOGLEFINANCE(A686,""LOW"")"),2632.2)</f>
        <v>2632.2</v>
      </c>
      <c r="F686" s="12" t="str">
        <f t="shared" ca="1" si="21"/>
        <v/>
      </c>
      <c r="G686" s="13">
        <f ca="1">IFERROR(__xludf.DUMMYFUNCTION("GOOGLEFINANCE(A686,""CLOSEYEST"")"),2644.2)</f>
        <v>2644.2</v>
      </c>
      <c r="H686" s="14" t="str">
        <f t="shared" ca="1" si="27"/>
        <v/>
      </c>
      <c r="I686" s="15">
        <f t="shared" ca="1" si="22"/>
        <v>2670.0666666666666</v>
      </c>
      <c r="J686" s="16">
        <f t="shared" ca="1" si="23"/>
        <v>2707.9333333333334</v>
      </c>
      <c r="K686" s="16"/>
      <c r="L686" s="16">
        <f t="shared" ca="1" si="24"/>
        <v>2606.333333333333</v>
      </c>
      <c r="M686" s="16">
        <f t="shared" ca="1" si="25"/>
        <v>2771.666666666667</v>
      </c>
      <c r="N686" s="16">
        <f t="shared" ca="1" si="26"/>
        <v>2568.4666666666662</v>
      </c>
    </row>
    <row r="687" spans="1:14" ht="24.75" customHeight="1" x14ac:dyDescent="0.8">
      <c r="A687" s="18" t="s">
        <v>650</v>
      </c>
      <c r="B687" s="10">
        <f ca="1">IFERROR(__xludf.DUMMYFUNCTION("GOOGLEFINANCE(A687,""PRICE"")"),1378)</f>
        <v>1378</v>
      </c>
      <c r="C687" s="11">
        <f ca="1">IFERROR(__xludf.DUMMYFUNCTION("GOOGLEFINANCE(A687,""PRICEOPEN"")"),1340)</f>
        <v>1340</v>
      </c>
      <c r="D687" s="11">
        <f ca="1">IFERROR(__xludf.DUMMYFUNCTION("GOOGLEFINANCE(A687,""HIGH"")"),1383.7)</f>
        <v>1383.7</v>
      </c>
      <c r="E687" s="11">
        <f ca="1">IFERROR(__xludf.DUMMYFUNCTION("GOOGLEFINANCE(A687,""LOW"")"),1329.7)</f>
        <v>1329.7</v>
      </c>
      <c r="F687" s="12" t="str">
        <f t="shared" ca="1" si="21"/>
        <v/>
      </c>
      <c r="G687" s="13">
        <f ca="1">IFERROR(__xludf.DUMMYFUNCTION("GOOGLEFINANCE(A687,""CLOSEYEST"")"),1338.5)</f>
        <v>1338.5</v>
      </c>
      <c r="H687" s="14" t="str">
        <f t="shared" ca="1" si="27"/>
        <v/>
      </c>
      <c r="I687" s="15">
        <f t="shared" ca="1" si="22"/>
        <v>1350.6333333333334</v>
      </c>
      <c r="J687" s="16">
        <f t="shared" ca="1" si="23"/>
        <v>1371.5666666666668</v>
      </c>
      <c r="K687" s="16"/>
      <c r="L687" s="16">
        <f t="shared" ca="1" si="24"/>
        <v>1317.5666666666668</v>
      </c>
      <c r="M687" s="16">
        <f t="shared" ca="1" si="25"/>
        <v>1404.6333333333334</v>
      </c>
      <c r="N687" s="16">
        <f t="shared" ca="1" si="26"/>
        <v>1296.6333333333334</v>
      </c>
    </row>
    <row r="688" spans="1:14" ht="24.75" customHeight="1" x14ac:dyDescent="0.8">
      <c r="A688" s="18" t="s">
        <v>651</v>
      </c>
      <c r="B688" s="10" t="str">
        <f ca="1">IFERROR(__xludf.DUMMYFUNCTION("GOOGLEFINANCE(A688,""PRICE"")"),"#N/A")</f>
        <v>#N/A</v>
      </c>
      <c r="C688" s="11" t="str">
        <f ca="1">IFERROR(__xludf.DUMMYFUNCTION("GOOGLEFINANCE(A688,""PRICEOPEN"")"),"#N/A")</f>
        <v>#N/A</v>
      </c>
      <c r="D688" s="11" t="str">
        <f ca="1">IFERROR(__xludf.DUMMYFUNCTION("GOOGLEFINANCE(A688,""HIGH"")"),"#N/A")</f>
        <v>#N/A</v>
      </c>
      <c r="E688" s="11" t="str">
        <f ca="1">IFERROR(__xludf.DUMMYFUNCTION("GOOGLEFINANCE(A688,""LOW"")"),"#N/A")</f>
        <v>#N/A</v>
      </c>
      <c r="F688" s="12" t="str">
        <f t="shared" ca="1" si="21"/>
        <v>SELL</v>
      </c>
      <c r="G688" s="13" t="str">
        <f ca="1">IFERROR(__xludf.DUMMYFUNCTION("GOOGLEFINANCE(A688,""CLOSEYEST"")"),"#N/A")</f>
        <v>#N/A</v>
      </c>
      <c r="H688" s="14" t="e">
        <f t="shared" ca="1" si="27"/>
        <v>#VALUE!</v>
      </c>
      <c r="I688" s="15" t="e">
        <f t="shared" ca="1" si="22"/>
        <v>#VALUE!</v>
      </c>
      <c r="J688" s="16" t="e">
        <f t="shared" ca="1" si="23"/>
        <v>#VALUE!</v>
      </c>
      <c r="K688" s="16"/>
      <c r="L688" s="16" t="e">
        <f t="shared" ca="1" si="24"/>
        <v>#VALUE!</v>
      </c>
      <c r="M688" s="16" t="e">
        <f t="shared" ca="1" si="25"/>
        <v>#VALUE!</v>
      </c>
      <c r="N688" s="16" t="e">
        <f t="shared" ca="1" si="26"/>
        <v>#VALUE!</v>
      </c>
    </row>
    <row r="689" spans="1:14" ht="24.75" customHeight="1" x14ac:dyDescent="0.8">
      <c r="A689" s="18" t="s">
        <v>652</v>
      </c>
      <c r="B689" s="10">
        <f ca="1">IFERROR(__xludf.DUMMYFUNCTION("GOOGLEFINANCE(A689,""PRICE"")"),577.5)</f>
        <v>577.5</v>
      </c>
      <c r="C689" s="11">
        <f ca="1">IFERROR(__xludf.DUMMYFUNCTION("GOOGLEFINANCE(A689,""PRICEOPEN"")"),552.9)</f>
        <v>552.9</v>
      </c>
      <c r="D689" s="11">
        <f ca="1">IFERROR(__xludf.DUMMYFUNCTION("GOOGLEFINANCE(A689,""HIGH"")"),579.35)</f>
        <v>579.35</v>
      </c>
      <c r="E689" s="11">
        <f ca="1">IFERROR(__xludf.DUMMYFUNCTION("GOOGLEFINANCE(A689,""LOW"")"),550)</f>
        <v>550</v>
      </c>
      <c r="F689" s="12" t="str">
        <f t="shared" ca="1" si="21"/>
        <v/>
      </c>
      <c r="G689" s="13">
        <f ca="1">IFERROR(__xludf.DUMMYFUNCTION("GOOGLEFINANCE(A689,""CLOSEYEST"")"),550.75)</f>
        <v>550.75</v>
      </c>
      <c r="H689" s="14" t="str">
        <f t="shared" ca="1" si="27"/>
        <v/>
      </c>
      <c r="I689" s="15">
        <f t="shared" ca="1" si="22"/>
        <v>560.0333333333333</v>
      </c>
      <c r="J689" s="16">
        <f t="shared" ca="1" si="23"/>
        <v>570.06666666666661</v>
      </c>
      <c r="K689" s="16"/>
      <c r="L689" s="16">
        <f t="shared" ca="1" si="24"/>
        <v>540.71666666666658</v>
      </c>
      <c r="M689" s="16">
        <f t="shared" ca="1" si="25"/>
        <v>589.38333333333333</v>
      </c>
      <c r="N689" s="16">
        <f t="shared" ca="1" si="26"/>
        <v>530.68333333333328</v>
      </c>
    </row>
    <row r="690" spans="1:14" ht="24.75" customHeight="1" x14ac:dyDescent="0.8">
      <c r="A690" s="18" t="s">
        <v>653</v>
      </c>
      <c r="B690" s="10">
        <f ca="1">IFERROR(__xludf.DUMMYFUNCTION("GOOGLEFINANCE(A690,""PRICE"")"),103.2)</f>
        <v>103.2</v>
      </c>
      <c r="C690" s="11">
        <f ca="1">IFERROR(__xludf.DUMMYFUNCTION("GOOGLEFINANCE(A690,""PRICEOPEN"")"),103)</f>
        <v>103</v>
      </c>
      <c r="D690" s="11">
        <f ca="1">IFERROR(__xludf.DUMMYFUNCTION("GOOGLEFINANCE(A690,""HIGH"")"),103.66)</f>
        <v>103.66</v>
      </c>
      <c r="E690" s="11">
        <f ca="1">IFERROR(__xludf.DUMMYFUNCTION("GOOGLEFINANCE(A690,""LOW"")"),102.56)</f>
        <v>102.56</v>
      </c>
      <c r="F690" s="12" t="str">
        <f t="shared" ca="1" si="21"/>
        <v/>
      </c>
      <c r="G690" s="13">
        <f ca="1">IFERROR(__xludf.DUMMYFUNCTION("GOOGLEFINANCE(A690,""CLOSEYEST"")"),103.45)</f>
        <v>103.45</v>
      </c>
      <c r="H690" s="14" t="str">
        <f t="shared" ca="1" si="27"/>
        <v/>
      </c>
      <c r="I690" s="15">
        <f t="shared" ca="1" si="22"/>
        <v>103.22333333333334</v>
      </c>
      <c r="J690" s="16">
        <f t="shared" ca="1" si="23"/>
        <v>103.88666666666668</v>
      </c>
      <c r="K690" s="16"/>
      <c r="L690" s="16">
        <f t="shared" ca="1" si="24"/>
        <v>102.78666666666669</v>
      </c>
      <c r="M690" s="16">
        <f t="shared" ca="1" si="25"/>
        <v>104.32333333333334</v>
      </c>
      <c r="N690" s="16">
        <f t="shared" ca="1" si="26"/>
        <v>102.12333333333335</v>
      </c>
    </row>
    <row r="691" spans="1:14" ht="24.75" customHeight="1" x14ac:dyDescent="0.8">
      <c r="A691" s="18" t="s">
        <v>654</v>
      </c>
      <c r="B691" s="10">
        <f ca="1">IFERROR(__xludf.DUMMYFUNCTION("GOOGLEFINANCE(A691,""PRICE"")"),0.19)</f>
        <v>0.19</v>
      </c>
      <c r="C691" s="11">
        <f ca="1">IFERROR(__xludf.DUMMYFUNCTION("GOOGLEFINANCE(A691,""PRICEOPEN"")"),0.18)</f>
        <v>0.18</v>
      </c>
      <c r="D691" s="11">
        <f ca="1">IFERROR(__xludf.DUMMYFUNCTION("GOOGLEFINANCE(A691,""HIGH"")"),0.2)</f>
        <v>0.2</v>
      </c>
      <c r="E691" s="11">
        <f ca="1">IFERROR(__xludf.DUMMYFUNCTION("GOOGLEFINANCE(A691,""LOW"")"),0.18)</f>
        <v>0.18</v>
      </c>
      <c r="F691" s="12" t="str">
        <f t="shared" ca="1" si="21"/>
        <v>BUY</v>
      </c>
      <c r="G691" s="13">
        <f ca="1">IFERROR(__xludf.DUMMYFUNCTION("GOOGLEFINANCE(A691,""CLOSEYEST"")"),0.18)</f>
        <v>0.18</v>
      </c>
      <c r="H691" s="14" t="str">
        <f t="shared" ca="1" si="27"/>
        <v/>
      </c>
      <c r="I691" s="15">
        <f t="shared" ca="1" si="22"/>
        <v>0.18666666666666668</v>
      </c>
      <c r="J691" s="16">
        <f t="shared" ca="1" si="23"/>
        <v>0.19333333333333336</v>
      </c>
      <c r="K691" s="16"/>
      <c r="L691" s="16">
        <f t="shared" ca="1" si="24"/>
        <v>0.17333333333333334</v>
      </c>
      <c r="M691" s="16">
        <f t="shared" ca="1" si="25"/>
        <v>0.20666666666666669</v>
      </c>
      <c r="N691" s="16">
        <f t="shared" ca="1" si="26"/>
        <v>0.16666666666666666</v>
      </c>
    </row>
    <row r="692" spans="1:14" ht="24.75" customHeight="1" x14ac:dyDescent="0.8">
      <c r="A692" s="18" t="s">
        <v>655</v>
      </c>
      <c r="B692" s="10">
        <f ca="1">IFERROR(__xludf.DUMMYFUNCTION("GOOGLEFINANCE(A692,""PRICE"")"),854)</f>
        <v>854</v>
      </c>
      <c r="C692" s="11">
        <f ca="1">IFERROR(__xludf.DUMMYFUNCTION("GOOGLEFINANCE(A692,""PRICEOPEN"")"),847)</f>
        <v>847</v>
      </c>
      <c r="D692" s="11">
        <f ca="1">IFERROR(__xludf.DUMMYFUNCTION("GOOGLEFINANCE(A692,""HIGH"")"),869)</f>
        <v>869</v>
      </c>
      <c r="E692" s="11">
        <f ca="1">IFERROR(__xludf.DUMMYFUNCTION("GOOGLEFINANCE(A692,""LOW"")"),832.8)</f>
        <v>832.8</v>
      </c>
      <c r="F692" s="12" t="str">
        <f t="shared" ca="1" si="21"/>
        <v/>
      </c>
      <c r="G692" s="13">
        <f ca="1">IFERROR(__xludf.DUMMYFUNCTION("GOOGLEFINANCE(A692,""CLOSEYEST"")"),827.95)</f>
        <v>827.95</v>
      </c>
      <c r="H692" s="14" t="str">
        <f t="shared" ca="1" si="27"/>
        <v>GAP UP</v>
      </c>
      <c r="I692" s="15">
        <f t="shared" ca="1" si="22"/>
        <v>843.25</v>
      </c>
      <c r="J692" s="16">
        <f t="shared" ca="1" si="23"/>
        <v>853.7</v>
      </c>
      <c r="K692" s="16"/>
      <c r="L692" s="16">
        <f t="shared" ca="1" si="24"/>
        <v>817.5</v>
      </c>
      <c r="M692" s="16">
        <f t="shared" ca="1" si="25"/>
        <v>879.45</v>
      </c>
      <c r="N692" s="16">
        <f t="shared" ca="1" si="26"/>
        <v>807.05</v>
      </c>
    </row>
    <row r="693" spans="1:14" ht="24.75" customHeight="1" x14ac:dyDescent="0.8">
      <c r="A693" s="18" t="s">
        <v>656</v>
      </c>
      <c r="B693" s="10" t="str">
        <f ca="1">IFERROR(__xludf.DUMMYFUNCTION("GOOGLEFINANCE(A693,""PRICE"")"),"#N/A")</f>
        <v>#N/A</v>
      </c>
      <c r="C693" s="11" t="str">
        <f ca="1">IFERROR(__xludf.DUMMYFUNCTION("GOOGLEFINANCE(A693,""PRICEOPEN"")"),"#N/A")</f>
        <v>#N/A</v>
      </c>
      <c r="D693" s="11" t="str">
        <f ca="1">IFERROR(__xludf.DUMMYFUNCTION("GOOGLEFINANCE(A693,""HIGH"")"),"#N/A")</f>
        <v>#N/A</v>
      </c>
      <c r="E693" s="11" t="str">
        <f ca="1">IFERROR(__xludf.DUMMYFUNCTION("GOOGLEFINANCE(A693,""LOW"")"),"#N/A")</f>
        <v>#N/A</v>
      </c>
      <c r="F693" s="12" t="str">
        <f t="shared" ca="1" si="21"/>
        <v>SELL</v>
      </c>
      <c r="G693" s="13" t="str">
        <f ca="1">IFERROR(__xludf.DUMMYFUNCTION("GOOGLEFINANCE(A693,""CLOSEYEST"")"),"#N/A")</f>
        <v>#N/A</v>
      </c>
      <c r="H693" s="14" t="e">
        <f t="shared" ca="1" si="27"/>
        <v>#VALUE!</v>
      </c>
      <c r="I693" s="15" t="e">
        <f t="shared" ca="1" si="22"/>
        <v>#VALUE!</v>
      </c>
      <c r="J693" s="16" t="e">
        <f t="shared" ca="1" si="23"/>
        <v>#VALUE!</v>
      </c>
      <c r="K693" s="16"/>
      <c r="L693" s="16" t="e">
        <f t="shared" ca="1" si="24"/>
        <v>#VALUE!</v>
      </c>
      <c r="M693" s="16" t="e">
        <f t="shared" ca="1" si="25"/>
        <v>#VALUE!</v>
      </c>
      <c r="N693" s="16" t="e">
        <f t="shared" ca="1" si="26"/>
        <v>#VALUE!</v>
      </c>
    </row>
    <row r="694" spans="1:14" ht="24.75" customHeight="1" x14ac:dyDescent="0.8">
      <c r="A694" s="18" t="s">
        <v>657</v>
      </c>
      <c r="B694" s="10">
        <f ca="1">IFERROR(__xludf.DUMMYFUNCTION("GOOGLEFINANCE(A694,""PRICE"")"),722)</f>
        <v>722</v>
      </c>
      <c r="C694" s="11">
        <f ca="1">IFERROR(__xludf.DUMMYFUNCTION("GOOGLEFINANCE(A694,""PRICEOPEN"")"),714.5)</f>
        <v>714.5</v>
      </c>
      <c r="D694" s="11">
        <f ca="1">IFERROR(__xludf.DUMMYFUNCTION("GOOGLEFINANCE(A694,""HIGH"")"),726.45)</f>
        <v>726.45</v>
      </c>
      <c r="E694" s="11">
        <f ca="1">IFERROR(__xludf.DUMMYFUNCTION("GOOGLEFINANCE(A694,""LOW"")"),714.5)</f>
        <v>714.5</v>
      </c>
      <c r="F694" s="12" t="str">
        <f t="shared" ca="1" si="21"/>
        <v>BUY</v>
      </c>
      <c r="G694" s="13">
        <f ca="1">IFERROR(__xludf.DUMMYFUNCTION("GOOGLEFINANCE(A694,""CLOSEYEST"")"),714.25)</f>
        <v>714.25</v>
      </c>
      <c r="H694" s="14" t="str">
        <f t="shared" ca="1" si="27"/>
        <v/>
      </c>
      <c r="I694" s="15">
        <f t="shared" ca="1" si="22"/>
        <v>718.4</v>
      </c>
      <c r="J694" s="16">
        <f t="shared" ca="1" si="23"/>
        <v>722.3</v>
      </c>
      <c r="K694" s="16"/>
      <c r="L694" s="16">
        <f t="shared" ca="1" si="24"/>
        <v>710.34999999999991</v>
      </c>
      <c r="M694" s="16">
        <f t="shared" ca="1" si="25"/>
        <v>730.35</v>
      </c>
      <c r="N694" s="16">
        <f t="shared" ca="1" si="26"/>
        <v>706.44999999999993</v>
      </c>
    </row>
    <row r="695" spans="1:14" ht="24.75" customHeight="1" x14ac:dyDescent="0.8">
      <c r="A695" s="18" t="s">
        <v>658</v>
      </c>
      <c r="B695" s="10">
        <f ca="1">IFERROR(__xludf.DUMMYFUNCTION("GOOGLEFINANCE(A695,""PRICE"")"),613)</f>
        <v>613</v>
      </c>
      <c r="C695" s="11">
        <f ca="1">IFERROR(__xludf.DUMMYFUNCTION("GOOGLEFINANCE(A695,""PRICEOPEN"")"),621.95)</f>
        <v>621.95000000000005</v>
      </c>
      <c r="D695" s="11">
        <f ca="1">IFERROR(__xludf.DUMMYFUNCTION("GOOGLEFINANCE(A695,""HIGH"")"),639)</f>
        <v>639</v>
      </c>
      <c r="E695" s="11">
        <f ca="1">IFERROR(__xludf.DUMMYFUNCTION("GOOGLEFINANCE(A695,""LOW"")"),599.05)</f>
        <v>599.04999999999995</v>
      </c>
      <c r="F695" s="12" t="str">
        <f t="shared" ca="1" si="21"/>
        <v/>
      </c>
      <c r="G695" s="13">
        <f ca="1">IFERROR(__xludf.DUMMYFUNCTION("GOOGLEFINANCE(A695,""CLOSEYEST"")"),620.6)</f>
        <v>620.6</v>
      </c>
      <c r="H695" s="14" t="str">
        <f t="shared" ca="1" si="27"/>
        <v/>
      </c>
      <c r="I695" s="15">
        <f t="shared" ca="1" si="22"/>
        <v>619.55000000000007</v>
      </c>
      <c r="J695" s="16">
        <f t="shared" ca="1" si="23"/>
        <v>640.05000000000018</v>
      </c>
      <c r="K695" s="16"/>
      <c r="L695" s="16">
        <f t="shared" ca="1" si="24"/>
        <v>600.10000000000014</v>
      </c>
      <c r="M695" s="16">
        <f t="shared" ca="1" si="25"/>
        <v>659.50000000000011</v>
      </c>
      <c r="N695" s="16">
        <f t="shared" ca="1" si="26"/>
        <v>579.6</v>
      </c>
    </row>
    <row r="696" spans="1:14" ht="24.75" customHeight="1" x14ac:dyDescent="0.8">
      <c r="A696" s="18" t="s">
        <v>659</v>
      </c>
      <c r="B696" s="10">
        <f ca="1">IFERROR(__xludf.DUMMYFUNCTION("GOOGLEFINANCE(A696,""PRICE"")"),105.9)</f>
        <v>105.9</v>
      </c>
      <c r="C696" s="11">
        <f ca="1">IFERROR(__xludf.DUMMYFUNCTION("GOOGLEFINANCE(A696,""PRICEOPEN"")"),106.4)</f>
        <v>106.4</v>
      </c>
      <c r="D696" s="11">
        <f ca="1">IFERROR(__xludf.DUMMYFUNCTION("GOOGLEFINANCE(A696,""HIGH"")"),107.85)</f>
        <v>107.85</v>
      </c>
      <c r="E696" s="11">
        <f ca="1">IFERROR(__xludf.DUMMYFUNCTION("GOOGLEFINANCE(A696,""LOW"")"),104.81)</f>
        <v>104.81</v>
      </c>
      <c r="F696" s="12" t="str">
        <f t="shared" ca="1" si="21"/>
        <v/>
      </c>
      <c r="G696" s="13">
        <f ca="1">IFERROR(__xludf.DUMMYFUNCTION("GOOGLEFINANCE(A696,""CLOSEYEST"")"),106.99)</f>
        <v>106.99</v>
      </c>
      <c r="H696" s="14" t="str">
        <f t="shared" ca="1" si="27"/>
        <v/>
      </c>
      <c r="I696" s="15">
        <f t="shared" ca="1" si="22"/>
        <v>106.55</v>
      </c>
      <c r="J696" s="16">
        <f t="shared" ca="1" si="23"/>
        <v>108.28999999999999</v>
      </c>
      <c r="K696" s="16"/>
      <c r="L696" s="16">
        <f t="shared" ca="1" si="24"/>
        <v>105.25</v>
      </c>
      <c r="M696" s="16">
        <f t="shared" ca="1" si="25"/>
        <v>109.58999999999999</v>
      </c>
      <c r="N696" s="16">
        <f t="shared" ca="1" si="26"/>
        <v>103.51</v>
      </c>
    </row>
    <row r="697" spans="1:14" ht="24.75" customHeight="1" x14ac:dyDescent="0.8">
      <c r="A697" s="18" t="s">
        <v>660</v>
      </c>
      <c r="B697" s="10">
        <f ca="1">IFERROR(__xludf.DUMMYFUNCTION("GOOGLEFINANCE(A697,""PRICE"")"),299.15)</f>
        <v>299.14999999999998</v>
      </c>
      <c r="C697" s="11">
        <f ca="1">IFERROR(__xludf.DUMMYFUNCTION("GOOGLEFINANCE(A697,""PRICEOPEN"")"),296.95)</f>
        <v>296.95</v>
      </c>
      <c r="D697" s="11">
        <f ca="1">IFERROR(__xludf.DUMMYFUNCTION("GOOGLEFINANCE(A697,""HIGH"")"),301)</f>
        <v>301</v>
      </c>
      <c r="E697" s="11">
        <f ca="1">IFERROR(__xludf.DUMMYFUNCTION("GOOGLEFINANCE(A697,""LOW"")"),296.95)</f>
        <v>296.95</v>
      </c>
      <c r="F697" s="12" t="str">
        <f t="shared" ca="1" si="21"/>
        <v>BUY</v>
      </c>
      <c r="G697" s="13">
        <f ca="1">IFERROR(__xludf.DUMMYFUNCTION("GOOGLEFINANCE(A697,""CLOSEYEST"")"),296.8)</f>
        <v>296.8</v>
      </c>
      <c r="H697" s="14" t="str">
        <f t="shared" ca="1" si="27"/>
        <v/>
      </c>
      <c r="I697" s="15">
        <f t="shared" ca="1" si="22"/>
        <v>298.25</v>
      </c>
      <c r="J697" s="16">
        <f t="shared" ca="1" si="23"/>
        <v>299.55</v>
      </c>
      <c r="K697" s="16"/>
      <c r="L697" s="16">
        <f t="shared" ca="1" si="24"/>
        <v>295.5</v>
      </c>
      <c r="M697" s="16">
        <f t="shared" ca="1" si="25"/>
        <v>302.3</v>
      </c>
      <c r="N697" s="16">
        <f t="shared" ca="1" si="26"/>
        <v>294.2</v>
      </c>
    </row>
    <row r="698" spans="1:14" ht="24.75" customHeight="1" x14ac:dyDescent="0.8">
      <c r="A698" s="18" t="s">
        <v>661</v>
      </c>
      <c r="B698" s="10">
        <f ca="1">IFERROR(__xludf.DUMMYFUNCTION("GOOGLEFINANCE(A698,""PRICE"")"),51.87)</f>
        <v>51.87</v>
      </c>
      <c r="C698" s="11">
        <f ca="1">IFERROR(__xludf.DUMMYFUNCTION("GOOGLEFINANCE(A698,""PRICEOPEN"")"),52)</f>
        <v>52</v>
      </c>
      <c r="D698" s="11">
        <f ca="1">IFERROR(__xludf.DUMMYFUNCTION("GOOGLEFINANCE(A698,""HIGH"")"),52.32)</f>
        <v>52.32</v>
      </c>
      <c r="E698" s="11">
        <f ca="1">IFERROR(__xludf.DUMMYFUNCTION("GOOGLEFINANCE(A698,""LOW"")"),51.38)</f>
        <v>51.38</v>
      </c>
      <c r="F698" s="12" t="str">
        <f t="shared" ca="1" si="21"/>
        <v/>
      </c>
      <c r="G698" s="13">
        <f ca="1">IFERROR(__xludf.DUMMYFUNCTION("GOOGLEFINANCE(A698,""CLOSEYEST"")"),51.5)</f>
        <v>51.5</v>
      </c>
      <c r="H698" s="14" t="str">
        <f t="shared" ca="1" si="27"/>
        <v/>
      </c>
      <c r="I698" s="15">
        <f t="shared" ca="1" si="22"/>
        <v>51.733333333333327</v>
      </c>
      <c r="J698" s="16">
        <f t="shared" ca="1" si="23"/>
        <v>52.086666666666652</v>
      </c>
      <c r="K698" s="16"/>
      <c r="L698" s="16">
        <f t="shared" ca="1" si="24"/>
        <v>51.146666666666654</v>
      </c>
      <c r="M698" s="16">
        <f t="shared" ca="1" si="25"/>
        <v>52.673333333333325</v>
      </c>
      <c r="N698" s="16">
        <f t="shared" ca="1" si="26"/>
        <v>50.793333333333329</v>
      </c>
    </row>
    <row r="699" spans="1:14" ht="24.75" customHeight="1" x14ac:dyDescent="0.8">
      <c r="A699" s="18" t="s">
        <v>662</v>
      </c>
      <c r="B699" s="10">
        <f ca="1">IFERROR(__xludf.DUMMYFUNCTION("GOOGLEFINANCE(A699,""PRICE"")"),1.35)</f>
        <v>1.35</v>
      </c>
      <c r="C699" s="11">
        <f ca="1">IFERROR(__xludf.DUMMYFUNCTION("GOOGLEFINANCE(A699,""PRICEOPEN"")"),1.3)</f>
        <v>1.3</v>
      </c>
      <c r="D699" s="11">
        <f ca="1">IFERROR(__xludf.DUMMYFUNCTION("GOOGLEFINANCE(A699,""HIGH"")"),1.35)</f>
        <v>1.35</v>
      </c>
      <c r="E699" s="11">
        <f ca="1">IFERROR(__xludf.DUMMYFUNCTION("GOOGLEFINANCE(A699,""LOW"")"),1.3)</f>
        <v>1.3</v>
      </c>
      <c r="F699" s="12" t="str">
        <f t="shared" ca="1" si="21"/>
        <v>BUY</v>
      </c>
      <c r="G699" s="13">
        <f ca="1">IFERROR(__xludf.DUMMYFUNCTION("GOOGLEFINANCE(A699,""CLOSEYEST"")"),1.3)</f>
        <v>1.3</v>
      </c>
      <c r="H699" s="14" t="str">
        <f t="shared" ca="1" si="27"/>
        <v/>
      </c>
      <c r="I699" s="15">
        <f t="shared" ca="1" si="22"/>
        <v>1.3166666666666667</v>
      </c>
      <c r="J699" s="16">
        <f t="shared" ca="1" si="23"/>
        <v>1.3333333333333333</v>
      </c>
      <c r="K699" s="16"/>
      <c r="L699" s="16">
        <f t="shared" ca="1" si="24"/>
        <v>1.2833333333333332</v>
      </c>
      <c r="M699" s="16">
        <f t="shared" ca="1" si="25"/>
        <v>1.3666666666666667</v>
      </c>
      <c r="N699" s="16">
        <f t="shared" ca="1" si="26"/>
        <v>1.2666666666666666</v>
      </c>
    </row>
    <row r="700" spans="1:14" ht="24.75" customHeight="1" x14ac:dyDescent="0.8">
      <c r="A700" s="18" t="s">
        <v>663</v>
      </c>
      <c r="B700" s="10">
        <f ca="1">IFERROR(__xludf.DUMMYFUNCTION("GOOGLEFINANCE(A700,""PRICE"")"),328)</f>
        <v>328</v>
      </c>
      <c r="C700" s="11">
        <f ca="1">IFERROR(__xludf.DUMMYFUNCTION("GOOGLEFINANCE(A700,""PRICEOPEN"")"),331.25)</f>
        <v>331.25</v>
      </c>
      <c r="D700" s="11">
        <f ca="1">IFERROR(__xludf.DUMMYFUNCTION("GOOGLEFINANCE(A700,""HIGH"")"),333.35)</f>
        <v>333.35</v>
      </c>
      <c r="E700" s="11">
        <f ca="1">IFERROR(__xludf.DUMMYFUNCTION("GOOGLEFINANCE(A700,""LOW"")"),326)</f>
        <v>326</v>
      </c>
      <c r="F700" s="12" t="str">
        <f t="shared" ca="1" si="21"/>
        <v/>
      </c>
      <c r="G700" s="13">
        <f ca="1">IFERROR(__xludf.DUMMYFUNCTION("GOOGLEFINANCE(A700,""CLOSEYEST"")"),329.2)</f>
        <v>329.2</v>
      </c>
      <c r="H700" s="14" t="str">
        <f t="shared" ca="1" si="27"/>
        <v/>
      </c>
      <c r="I700" s="15">
        <f t="shared" ca="1" si="22"/>
        <v>329.51666666666665</v>
      </c>
      <c r="J700" s="16">
        <f t="shared" ca="1" si="23"/>
        <v>333.0333333333333</v>
      </c>
      <c r="K700" s="16"/>
      <c r="L700" s="16">
        <f t="shared" ca="1" si="24"/>
        <v>325.68333333333328</v>
      </c>
      <c r="M700" s="16">
        <f t="shared" ca="1" si="25"/>
        <v>336.86666666666667</v>
      </c>
      <c r="N700" s="16">
        <f t="shared" ca="1" si="26"/>
        <v>322.16666666666663</v>
      </c>
    </row>
    <row r="701" spans="1:14" ht="24.75" customHeight="1" x14ac:dyDescent="0.8">
      <c r="A701" s="18" t="s">
        <v>664</v>
      </c>
      <c r="B701" s="10">
        <f ca="1">IFERROR(__xludf.DUMMYFUNCTION("GOOGLEFINANCE(A701,""PRICE"")"),902.4)</f>
        <v>902.4</v>
      </c>
      <c r="C701" s="11">
        <f ca="1">IFERROR(__xludf.DUMMYFUNCTION("GOOGLEFINANCE(A701,""PRICEOPEN"")"),928)</f>
        <v>928</v>
      </c>
      <c r="D701" s="11">
        <f ca="1">IFERROR(__xludf.DUMMYFUNCTION("GOOGLEFINANCE(A701,""HIGH"")"),928.5)</f>
        <v>928.5</v>
      </c>
      <c r="E701" s="11">
        <f ca="1">IFERROR(__xludf.DUMMYFUNCTION("GOOGLEFINANCE(A701,""LOW"")"),893.15)</f>
        <v>893.15</v>
      </c>
      <c r="F701" s="12" t="str">
        <f t="shared" ca="1" si="21"/>
        <v/>
      </c>
      <c r="G701" s="13">
        <f ca="1">IFERROR(__xludf.DUMMYFUNCTION("GOOGLEFINANCE(A701,""CLOSEYEST"")"),925.95)</f>
        <v>925.95</v>
      </c>
      <c r="H701" s="14" t="str">
        <f t="shared" ca="1" si="27"/>
        <v/>
      </c>
      <c r="I701" s="15">
        <f t="shared" ca="1" si="22"/>
        <v>915.86666666666679</v>
      </c>
      <c r="J701" s="16">
        <f t="shared" ca="1" si="23"/>
        <v>938.5833333333336</v>
      </c>
      <c r="K701" s="16"/>
      <c r="L701" s="16">
        <f t="shared" ca="1" si="24"/>
        <v>903.23333333333358</v>
      </c>
      <c r="M701" s="16">
        <f t="shared" ca="1" si="25"/>
        <v>951.21666666666681</v>
      </c>
      <c r="N701" s="16">
        <f t="shared" ca="1" si="26"/>
        <v>880.51666666666677</v>
      </c>
    </row>
    <row r="702" spans="1:14" ht="24.75" customHeight="1" x14ac:dyDescent="0.8">
      <c r="A702" s="18" t="s">
        <v>665</v>
      </c>
      <c r="B702" s="10">
        <f ca="1">IFERROR(__xludf.DUMMYFUNCTION("GOOGLEFINANCE(A702,""PRICE"")"),131.8)</f>
        <v>131.80000000000001</v>
      </c>
      <c r="C702" s="11">
        <f ca="1">IFERROR(__xludf.DUMMYFUNCTION("GOOGLEFINANCE(A702,""PRICEOPEN"")"),128.59)</f>
        <v>128.59</v>
      </c>
      <c r="D702" s="11">
        <f ca="1">IFERROR(__xludf.DUMMYFUNCTION("GOOGLEFINANCE(A702,""HIGH"")"),132)</f>
        <v>132</v>
      </c>
      <c r="E702" s="11">
        <f ca="1">IFERROR(__xludf.DUMMYFUNCTION("GOOGLEFINANCE(A702,""LOW"")"),128.55)</f>
        <v>128.55000000000001</v>
      </c>
      <c r="F702" s="12" t="str">
        <f t="shared" ca="1" si="21"/>
        <v/>
      </c>
      <c r="G702" s="13">
        <f ca="1">IFERROR(__xludf.DUMMYFUNCTION("GOOGLEFINANCE(A702,""CLOSEYEST"")"),128.59)</f>
        <v>128.59</v>
      </c>
      <c r="H702" s="14" t="str">
        <f t="shared" ca="1" si="27"/>
        <v/>
      </c>
      <c r="I702" s="15">
        <f t="shared" ca="1" si="22"/>
        <v>129.71333333333334</v>
      </c>
      <c r="J702" s="16">
        <f t="shared" ca="1" si="23"/>
        <v>130.87666666666667</v>
      </c>
      <c r="K702" s="16"/>
      <c r="L702" s="16">
        <f t="shared" ca="1" si="24"/>
        <v>127.42666666666668</v>
      </c>
      <c r="M702" s="16">
        <f t="shared" ca="1" si="25"/>
        <v>133.16333333333333</v>
      </c>
      <c r="N702" s="16">
        <f t="shared" ca="1" si="26"/>
        <v>126.26333333333335</v>
      </c>
    </row>
    <row r="703" spans="1:14" ht="24.75" customHeight="1" x14ac:dyDescent="0.8">
      <c r="A703" s="18" t="s">
        <v>666</v>
      </c>
      <c r="B703" s="10" t="str">
        <f ca="1">IFERROR(__xludf.DUMMYFUNCTION("GOOGLEFINANCE(A703,""PRICE"")"),"#N/A")</f>
        <v>#N/A</v>
      </c>
      <c r="C703" s="11" t="str">
        <f ca="1">IFERROR(__xludf.DUMMYFUNCTION("GOOGLEFINANCE(A703,""PRICEOPEN"")"),"#N/A")</f>
        <v>#N/A</v>
      </c>
      <c r="D703" s="11" t="str">
        <f ca="1">IFERROR(__xludf.DUMMYFUNCTION("GOOGLEFINANCE(A703,""HIGH"")"),"#N/A")</f>
        <v>#N/A</v>
      </c>
      <c r="E703" s="11" t="str">
        <f ca="1">IFERROR(__xludf.DUMMYFUNCTION("GOOGLEFINANCE(A703,""LOW"")"),"#N/A")</f>
        <v>#N/A</v>
      </c>
      <c r="F703" s="12" t="str">
        <f t="shared" ca="1" si="21"/>
        <v>SELL</v>
      </c>
      <c r="G703" s="13" t="str">
        <f ca="1">IFERROR(__xludf.DUMMYFUNCTION("GOOGLEFINANCE(A703,""CLOSEYEST"")"),"#N/A")</f>
        <v>#N/A</v>
      </c>
      <c r="H703" s="14" t="e">
        <f t="shared" ca="1" si="27"/>
        <v>#VALUE!</v>
      </c>
      <c r="I703" s="15" t="e">
        <f t="shared" ca="1" si="22"/>
        <v>#VALUE!</v>
      </c>
      <c r="J703" s="16" t="e">
        <f t="shared" ca="1" si="23"/>
        <v>#VALUE!</v>
      </c>
      <c r="K703" s="16"/>
      <c r="L703" s="16" t="e">
        <f t="shared" ca="1" si="24"/>
        <v>#VALUE!</v>
      </c>
      <c r="M703" s="16" t="e">
        <f t="shared" ca="1" si="25"/>
        <v>#VALUE!</v>
      </c>
      <c r="N703" s="16" t="e">
        <f t="shared" ca="1" si="26"/>
        <v>#VALUE!</v>
      </c>
    </row>
    <row r="704" spans="1:14" ht="24.75" customHeight="1" x14ac:dyDescent="0.8">
      <c r="A704" s="18" t="s">
        <v>667</v>
      </c>
      <c r="B704" s="10">
        <f ca="1">IFERROR(__xludf.DUMMYFUNCTION("GOOGLEFINANCE(A704,""PRICE"")"),284.3)</f>
        <v>284.3</v>
      </c>
      <c r="C704" s="11">
        <f ca="1">IFERROR(__xludf.DUMMYFUNCTION("GOOGLEFINANCE(A704,""PRICEOPEN"")"),285.75)</f>
        <v>285.75</v>
      </c>
      <c r="D704" s="11">
        <f ca="1">IFERROR(__xludf.DUMMYFUNCTION("GOOGLEFINANCE(A704,""HIGH"")"),288.05)</f>
        <v>288.05</v>
      </c>
      <c r="E704" s="11">
        <f ca="1">IFERROR(__xludf.DUMMYFUNCTION("GOOGLEFINANCE(A704,""LOW"")"),282.35)</f>
        <v>282.35000000000002</v>
      </c>
      <c r="F704" s="12" t="str">
        <f t="shared" ca="1" si="21"/>
        <v/>
      </c>
      <c r="G704" s="13">
        <f ca="1">IFERROR(__xludf.DUMMYFUNCTION("GOOGLEFINANCE(A704,""CLOSEYEST"")"),287.2)</f>
        <v>287.2</v>
      </c>
      <c r="H704" s="14" t="str">
        <f t="shared" ca="1" si="27"/>
        <v/>
      </c>
      <c r="I704" s="15">
        <f t="shared" ca="1" si="22"/>
        <v>285.86666666666673</v>
      </c>
      <c r="J704" s="16">
        <f t="shared" ca="1" si="23"/>
        <v>289.38333333333344</v>
      </c>
      <c r="K704" s="16"/>
      <c r="L704" s="16">
        <f t="shared" ca="1" si="24"/>
        <v>283.68333333333345</v>
      </c>
      <c r="M704" s="16">
        <f t="shared" ca="1" si="25"/>
        <v>291.56666666666672</v>
      </c>
      <c r="N704" s="16">
        <f t="shared" ca="1" si="26"/>
        <v>280.16666666666674</v>
      </c>
    </row>
    <row r="705" spans="1:14" ht="24.75" customHeight="1" x14ac:dyDescent="0.8">
      <c r="A705" s="18" t="s">
        <v>668</v>
      </c>
      <c r="B705" s="10">
        <f ca="1">IFERROR(__xludf.DUMMYFUNCTION("GOOGLEFINANCE(A705,""PRICE"")"),119.27)</f>
        <v>119.27</v>
      </c>
      <c r="C705" s="11">
        <f ca="1">IFERROR(__xludf.DUMMYFUNCTION("GOOGLEFINANCE(A705,""PRICEOPEN"")"),119.25)</f>
        <v>119.25</v>
      </c>
      <c r="D705" s="11">
        <f ca="1">IFERROR(__xludf.DUMMYFUNCTION("GOOGLEFINANCE(A705,""HIGH"")"),121.97)</f>
        <v>121.97</v>
      </c>
      <c r="E705" s="11">
        <f ca="1">IFERROR(__xludf.DUMMYFUNCTION("GOOGLEFINANCE(A705,""LOW"")"),117.55)</f>
        <v>117.55</v>
      </c>
      <c r="F705" s="12" t="str">
        <f t="shared" ca="1" si="21"/>
        <v/>
      </c>
      <c r="G705" s="13">
        <f ca="1">IFERROR(__xludf.DUMMYFUNCTION("GOOGLEFINANCE(A705,""CLOSEYEST"")"),119.9)</f>
        <v>119.9</v>
      </c>
      <c r="H705" s="14" t="str">
        <f t="shared" ca="1" si="27"/>
        <v/>
      </c>
      <c r="I705" s="15">
        <f t="shared" ca="1" si="22"/>
        <v>119.80666666666666</v>
      </c>
      <c r="J705" s="16">
        <f t="shared" ca="1" si="23"/>
        <v>122.06333333333332</v>
      </c>
      <c r="K705" s="16"/>
      <c r="L705" s="16">
        <f t="shared" ca="1" si="24"/>
        <v>117.64333333333332</v>
      </c>
      <c r="M705" s="16">
        <f t="shared" ca="1" si="25"/>
        <v>124.22666666666666</v>
      </c>
      <c r="N705" s="16">
        <f t="shared" ca="1" si="26"/>
        <v>115.38666666666666</v>
      </c>
    </row>
    <row r="706" spans="1:14" ht="24.75" customHeight="1" x14ac:dyDescent="0.8">
      <c r="A706" s="18" t="s">
        <v>669</v>
      </c>
      <c r="B706" s="10">
        <f ca="1">IFERROR(__xludf.DUMMYFUNCTION("GOOGLEFINANCE(A706,""PRICE"")"),72)</f>
        <v>72</v>
      </c>
      <c r="C706" s="11">
        <f ca="1">IFERROR(__xludf.DUMMYFUNCTION("GOOGLEFINANCE(A706,""PRICEOPEN"")"),69.18)</f>
        <v>69.180000000000007</v>
      </c>
      <c r="D706" s="11">
        <f ca="1">IFERROR(__xludf.DUMMYFUNCTION("GOOGLEFINANCE(A706,""HIGH"")"),73.77)</f>
        <v>73.77</v>
      </c>
      <c r="E706" s="11">
        <f ca="1">IFERROR(__xludf.DUMMYFUNCTION("GOOGLEFINANCE(A706,""LOW"")"),69)</f>
        <v>69</v>
      </c>
      <c r="F706" s="12" t="str">
        <f t="shared" ca="1" si="21"/>
        <v/>
      </c>
      <c r="G706" s="13">
        <f ca="1">IFERROR(__xludf.DUMMYFUNCTION("GOOGLEFINANCE(A706,""CLOSEYEST"")"),69.18)</f>
        <v>69.180000000000007</v>
      </c>
      <c r="H706" s="14" t="str">
        <f t="shared" ca="1" si="27"/>
        <v/>
      </c>
      <c r="I706" s="15">
        <f t="shared" ca="1" si="22"/>
        <v>70.649999999999991</v>
      </c>
      <c r="J706" s="16">
        <f t="shared" ca="1" si="23"/>
        <v>72.299999999999983</v>
      </c>
      <c r="K706" s="16"/>
      <c r="L706" s="16">
        <f t="shared" ca="1" si="24"/>
        <v>67.529999999999987</v>
      </c>
      <c r="M706" s="16">
        <f t="shared" ca="1" si="25"/>
        <v>75.419999999999987</v>
      </c>
      <c r="N706" s="16">
        <f t="shared" ca="1" si="26"/>
        <v>65.88</v>
      </c>
    </row>
    <row r="707" spans="1:14" ht="24.75" customHeight="1" x14ac:dyDescent="0.8">
      <c r="A707" s="18" t="s">
        <v>670</v>
      </c>
      <c r="B707" s="10">
        <f ca="1">IFERROR(__xludf.DUMMYFUNCTION("GOOGLEFINANCE(A707,""PRICE"")"),166.9)</f>
        <v>166.9</v>
      </c>
      <c r="C707" s="11">
        <f ca="1">IFERROR(__xludf.DUMMYFUNCTION("GOOGLEFINANCE(A707,""PRICEOPEN"")"),167.3)</f>
        <v>167.3</v>
      </c>
      <c r="D707" s="11">
        <f ca="1">IFERROR(__xludf.DUMMYFUNCTION("GOOGLEFINANCE(A707,""HIGH"")"),168.34)</f>
        <v>168.34</v>
      </c>
      <c r="E707" s="11">
        <f ca="1">IFERROR(__xludf.DUMMYFUNCTION("GOOGLEFINANCE(A707,""LOW"")"),165.45)</f>
        <v>165.45</v>
      </c>
      <c r="F707" s="12" t="str">
        <f t="shared" ca="1" si="21"/>
        <v/>
      </c>
      <c r="G707" s="13">
        <f ca="1">IFERROR(__xludf.DUMMYFUNCTION("GOOGLEFINANCE(A707,""CLOSEYEST"")"),166.67)</f>
        <v>166.67</v>
      </c>
      <c r="H707" s="14" t="str">
        <f t="shared" ca="1" si="27"/>
        <v/>
      </c>
      <c r="I707" s="15">
        <f t="shared" ca="1" si="22"/>
        <v>166.81999999999996</v>
      </c>
      <c r="J707" s="16">
        <f t="shared" ca="1" si="23"/>
        <v>168.18999999999994</v>
      </c>
      <c r="K707" s="16"/>
      <c r="L707" s="16">
        <f t="shared" ca="1" si="24"/>
        <v>165.29999999999993</v>
      </c>
      <c r="M707" s="16">
        <f t="shared" ca="1" si="25"/>
        <v>169.70999999999998</v>
      </c>
      <c r="N707" s="16">
        <f t="shared" ca="1" si="26"/>
        <v>163.92999999999995</v>
      </c>
    </row>
    <row r="708" spans="1:14" ht="24.75" customHeight="1" x14ac:dyDescent="0.8">
      <c r="A708" s="18" t="s">
        <v>671</v>
      </c>
      <c r="B708" s="10">
        <f ca="1">IFERROR(__xludf.DUMMYFUNCTION("GOOGLEFINANCE(A708,""PRICE"")"),682)</f>
        <v>682</v>
      </c>
      <c r="C708" s="11">
        <f ca="1">IFERROR(__xludf.DUMMYFUNCTION("GOOGLEFINANCE(A708,""PRICEOPEN"")"),680)</f>
        <v>680</v>
      </c>
      <c r="D708" s="11">
        <f ca="1">IFERROR(__xludf.DUMMYFUNCTION("GOOGLEFINANCE(A708,""HIGH"")"),684)</f>
        <v>684</v>
      </c>
      <c r="E708" s="11">
        <f ca="1">IFERROR(__xludf.DUMMYFUNCTION("GOOGLEFINANCE(A708,""LOW"")"),667)</f>
        <v>667</v>
      </c>
      <c r="F708" s="12" t="str">
        <f t="shared" ca="1" si="21"/>
        <v/>
      </c>
      <c r="G708" s="13">
        <f ca="1">IFERROR(__xludf.DUMMYFUNCTION("GOOGLEFINANCE(A708,""CLOSEYEST"")"),674.8)</f>
        <v>674.8</v>
      </c>
      <c r="H708" s="14" t="str">
        <f t="shared" ca="1" si="27"/>
        <v/>
      </c>
      <c r="I708" s="15">
        <f t="shared" ca="1" si="22"/>
        <v>675.26666666666665</v>
      </c>
      <c r="J708" s="16">
        <f t="shared" ca="1" si="23"/>
        <v>683.5333333333333</v>
      </c>
      <c r="K708" s="16"/>
      <c r="L708" s="16">
        <f t="shared" ca="1" si="24"/>
        <v>666.5333333333333</v>
      </c>
      <c r="M708" s="16">
        <f t="shared" ca="1" si="25"/>
        <v>692.26666666666665</v>
      </c>
      <c r="N708" s="16">
        <f t="shared" ca="1" si="26"/>
        <v>658.26666666666665</v>
      </c>
    </row>
    <row r="709" spans="1:14" ht="24.75" customHeight="1" x14ac:dyDescent="0.8">
      <c r="A709" s="18" t="s">
        <v>672</v>
      </c>
      <c r="B709" s="10">
        <f ca="1">IFERROR(__xludf.DUMMYFUNCTION("GOOGLEFINANCE(A709,""PRICE"")"),1085)</f>
        <v>1085</v>
      </c>
      <c r="C709" s="11">
        <f ca="1">IFERROR(__xludf.DUMMYFUNCTION("GOOGLEFINANCE(A709,""PRICEOPEN"")"),1057.5)</f>
        <v>1057.5</v>
      </c>
      <c r="D709" s="11">
        <f ca="1">IFERROR(__xludf.DUMMYFUNCTION("GOOGLEFINANCE(A709,""HIGH"")"),1090.6)</f>
        <v>1090.5999999999999</v>
      </c>
      <c r="E709" s="11">
        <f ca="1">IFERROR(__xludf.DUMMYFUNCTION("GOOGLEFINANCE(A709,""LOW"")"),1056.4)</f>
        <v>1056.4000000000001</v>
      </c>
      <c r="F709" s="12" t="str">
        <f t="shared" ca="1" si="21"/>
        <v/>
      </c>
      <c r="G709" s="13">
        <f ca="1">IFERROR(__xludf.DUMMYFUNCTION("GOOGLEFINANCE(A709,""CLOSEYEST"")"),1057.5)</f>
        <v>1057.5</v>
      </c>
      <c r="H709" s="14" t="str">
        <f t="shared" ca="1" si="27"/>
        <v/>
      </c>
      <c r="I709" s="15">
        <f t="shared" ca="1" si="22"/>
        <v>1068.1666666666667</v>
      </c>
      <c r="J709" s="16">
        <f t="shared" ca="1" si="23"/>
        <v>1079.9333333333334</v>
      </c>
      <c r="K709" s="16"/>
      <c r="L709" s="16">
        <f t="shared" ca="1" si="24"/>
        <v>1045.7333333333336</v>
      </c>
      <c r="M709" s="16">
        <f t="shared" ca="1" si="25"/>
        <v>1102.3666666666666</v>
      </c>
      <c r="N709" s="16">
        <f t="shared" ca="1" si="26"/>
        <v>1033.9666666666669</v>
      </c>
    </row>
    <row r="710" spans="1:14" ht="24.75" customHeight="1" x14ac:dyDescent="0.8">
      <c r="A710" s="18" t="s">
        <v>673</v>
      </c>
      <c r="B710" s="10" t="str">
        <f ca="1">IFERROR(__xludf.DUMMYFUNCTION("GOOGLEFINANCE(A710,""PRICE"")"),"#N/A")</f>
        <v>#N/A</v>
      </c>
      <c r="C710" s="11" t="str">
        <f ca="1">IFERROR(__xludf.DUMMYFUNCTION("GOOGLEFINANCE(A710,""PRICEOPEN"")"),"#N/A")</f>
        <v>#N/A</v>
      </c>
      <c r="D710" s="11" t="str">
        <f ca="1">IFERROR(__xludf.DUMMYFUNCTION("GOOGLEFINANCE(A710,""HIGH"")"),"#N/A")</f>
        <v>#N/A</v>
      </c>
      <c r="E710" s="11" t="str">
        <f ca="1">IFERROR(__xludf.DUMMYFUNCTION("GOOGLEFINANCE(A710,""LOW"")"),"#N/A")</f>
        <v>#N/A</v>
      </c>
      <c r="F710" s="12" t="str">
        <f t="shared" ca="1" si="21"/>
        <v>SELL</v>
      </c>
      <c r="G710" s="13" t="str">
        <f ca="1">IFERROR(__xludf.DUMMYFUNCTION("GOOGLEFINANCE(A710,""CLOSEYEST"")"),"#N/A")</f>
        <v>#N/A</v>
      </c>
      <c r="H710" s="14" t="e">
        <f t="shared" ca="1" si="27"/>
        <v>#VALUE!</v>
      </c>
      <c r="I710" s="15" t="e">
        <f t="shared" ca="1" si="22"/>
        <v>#VALUE!</v>
      </c>
      <c r="J710" s="16" t="e">
        <f t="shared" ca="1" si="23"/>
        <v>#VALUE!</v>
      </c>
      <c r="K710" s="16"/>
      <c r="L710" s="16" t="e">
        <f t="shared" ca="1" si="24"/>
        <v>#VALUE!</v>
      </c>
      <c r="M710" s="16" t="e">
        <f t="shared" ca="1" si="25"/>
        <v>#VALUE!</v>
      </c>
      <c r="N710" s="16" t="e">
        <f t="shared" ca="1" si="26"/>
        <v>#VALUE!</v>
      </c>
    </row>
    <row r="711" spans="1:14" ht="24.75" customHeight="1" x14ac:dyDescent="0.8">
      <c r="A711" s="18" t="s">
        <v>674</v>
      </c>
      <c r="B711" s="10">
        <f ca="1">IFERROR(__xludf.DUMMYFUNCTION("GOOGLEFINANCE(A711,""PRICE"")"),229.38)</f>
        <v>229.38</v>
      </c>
      <c r="C711" s="11">
        <f ca="1">IFERROR(__xludf.DUMMYFUNCTION("GOOGLEFINANCE(A711,""PRICEOPEN"")"),230.77)</f>
        <v>230.77</v>
      </c>
      <c r="D711" s="11">
        <f ca="1">IFERROR(__xludf.DUMMYFUNCTION("GOOGLEFINANCE(A711,""HIGH"")"),230.77)</f>
        <v>230.77</v>
      </c>
      <c r="E711" s="11">
        <f ca="1">IFERROR(__xludf.DUMMYFUNCTION("GOOGLEFINANCE(A711,""LOW"")"),227.12)</f>
        <v>227.12</v>
      </c>
      <c r="F711" s="12" t="str">
        <f t="shared" ca="1" si="21"/>
        <v>SELL</v>
      </c>
      <c r="G711" s="13">
        <f ca="1">IFERROR(__xludf.DUMMYFUNCTION("GOOGLEFINANCE(A711,""CLOSEYEST"")"),228.94)</f>
        <v>228.94</v>
      </c>
      <c r="H711" s="14" t="str">
        <f t="shared" ca="1" si="27"/>
        <v/>
      </c>
      <c r="I711" s="15">
        <f t="shared" ca="1" si="22"/>
        <v>228.9433333333333</v>
      </c>
      <c r="J711" s="16">
        <f t="shared" ca="1" si="23"/>
        <v>230.76666666666659</v>
      </c>
      <c r="K711" s="16"/>
      <c r="L711" s="16">
        <f t="shared" ca="1" si="24"/>
        <v>227.11666666666659</v>
      </c>
      <c r="M711" s="16">
        <f t="shared" ca="1" si="25"/>
        <v>232.59333333333331</v>
      </c>
      <c r="N711" s="16">
        <f t="shared" ca="1" si="26"/>
        <v>225.29333333333329</v>
      </c>
    </row>
    <row r="712" spans="1:14" ht="24.75" customHeight="1" x14ac:dyDescent="0.8">
      <c r="A712" s="18" t="s">
        <v>675</v>
      </c>
      <c r="B712" s="10" t="str">
        <f ca="1">IFERROR(__xludf.DUMMYFUNCTION("GOOGLEFINANCE(A712,""PRICE"")"),"#N/A")</f>
        <v>#N/A</v>
      </c>
      <c r="C712" s="11" t="str">
        <f ca="1">IFERROR(__xludf.DUMMYFUNCTION("GOOGLEFINANCE(A712,""PRICEOPEN"")"),"#N/A")</f>
        <v>#N/A</v>
      </c>
      <c r="D712" s="11" t="str">
        <f ca="1">IFERROR(__xludf.DUMMYFUNCTION("GOOGLEFINANCE(A712,""HIGH"")"),"#N/A")</f>
        <v>#N/A</v>
      </c>
      <c r="E712" s="11" t="str">
        <f ca="1">IFERROR(__xludf.DUMMYFUNCTION("GOOGLEFINANCE(A712,""LOW"")"),"#N/A")</f>
        <v>#N/A</v>
      </c>
      <c r="F712" s="12" t="str">
        <f t="shared" ca="1" si="21"/>
        <v>SELL</v>
      </c>
      <c r="G712" s="13" t="str">
        <f ca="1">IFERROR(__xludf.DUMMYFUNCTION("GOOGLEFINANCE(A712,""CLOSEYEST"")"),"#N/A")</f>
        <v>#N/A</v>
      </c>
      <c r="H712" s="14" t="e">
        <f t="shared" ca="1" si="27"/>
        <v>#VALUE!</v>
      </c>
      <c r="I712" s="15" t="e">
        <f t="shared" ca="1" si="22"/>
        <v>#VALUE!</v>
      </c>
      <c r="J712" s="16" t="e">
        <f t="shared" ca="1" si="23"/>
        <v>#VALUE!</v>
      </c>
      <c r="K712" s="16"/>
      <c r="L712" s="16" t="e">
        <f t="shared" ca="1" si="24"/>
        <v>#VALUE!</v>
      </c>
      <c r="M712" s="16" t="e">
        <f t="shared" ca="1" si="25"/>
        <v>#VALUE!</v>
      </c>
      <c r="N712" s="16" t="e">
        <f t="shared" ca="1" si="26"/>
        <v>#VALUE!</v>
      </c>
    </row>
    <row r="713" spans="1:14" ht="24.75" customHeight="1" x14ac:dyDescent="0.8">
      <c r="A713" s="18" t="s">
        <v>676</v>
      </c>
      <c r="B713" s="10">
        <f ca="1">IFERROR(__xludf.DUMMYFUNCTION("GOOGLEFINANCE(A713,""PRICE"")"),249.4)</f>
        <v>249.4</v>
      </c>
      <c r="C713" s="11">
        <f ca="1">IFERROR(__xludf.DUMMYFUNCTION("GOOGLEFINANCE(A713,""PRICEOPEN"")"),245)</f>
        <v>245</v>
      </c>
      <c r="D713" s="11">
        <f ca="1">IFERROR(__xludf.DUMMYFUNCTION("GOOGLEFINANCE(A713,""HIGH"")"),255.79)</f>
        <v>255.79</v>
      </c>
      <c r="E713" s="11">
        <f ca="1">IFERROR(__xludf.DUMMYFUNCTION("GOOGLEFINANCE(A713,""LOW"")"),243)</f>
        <v>243</v>
      </c>
      <c r="F713" s="12" t="str">
        <f t="shared" ca="1" si="21"/>
        <v/>
      </c>
      <c r="G713" s="13">
        <f ca="1">IFERROR(__xludf.DUMMYFUNCTION("GOOGLEFINANCE(A713,""CLOSEYEST"")"),243.61)</f>
        <v>243.61</v>
      </c>
      <c r="H713" s="14" t="str">
        <f t="shared" ca="1" si="27"/>
        <v/>
      </c>
      <c r="I713" s="15">
        <f t="shared" ca="1" si="22"/>
        <v>247.46666666666667</v>
      </c>
      <c r="J713" s="16">
        <f t="shared" ca="1" si="23"/>
        <v>251.93333333333334</v>
      </c>
      <c r="K713" s="16"/>
      <c r="L713" s="16">
        <f t="shared" ca="1" si="24"/>
        <v>239.14333333333335</v>
      </c>
      <c r="M713" s="16">
        <f t="shared" ca="1" si="25"/>
        <v>260.25666666666666</v>
      </c>
      <c r="N713" s="16">
        <f t="shared" ca="1" si="26"/>
        <v>234.67666666666668</v>
      </c>
    </row>
    <row r="714" spans="1:14" ht="24.75" customHeight="1" x14ac:dyDescent="0.8">
      <c r="A714" s="18" t="s">
        <v>677</v>
      </c>
      <c r="B714" s="10">
        <f ca="1">IFERROR(__xludf.DUMMYFUNCTION("GOOGLEFINANCE(A714,""PRICE"")"),524.65)</f>
        <v>524.65</v>
      </c>
      <c r="C714" s="11">
        <f ca="1">IFERROR(__xludf.DUMMYFUNCTION("GOOGLEFINANCE(A714,""PRICEOPEN"")"),493.3)</f>
        <v>493.3</v>
      </c>
      <c r="D714" s="11">
        <f ca="1">IFERROR(__xludf.DUMMYFUNCTION("GOOGLEFINANCE(A714,""HIGH"")"),528)</f>
        <v>528</v>
      </c>
      <c r="E714" s="11">
        <f ca="1">IFERROR(__xludf.DUMMYFUNCTION("GOOGLEFINANCE(A714,""LOW"")"),489.5)</f>
        <v>489.5</v>
      </c>
      <c r="F714" s="12" t="str">
        <f t="shared" ca="1" si="21"/>
        <v/>
      </c>
      <c r="G714" s="13">
        <f ca="1">IFERROR(__xludf.DUMMYFUNCTION("GOOGLEFINANCE(A714,""CLOSEYEST"")"),492.3)</f>
        <v>492.3</v>
      </c>
      <c r="H714" s="14" t="str">
        <f t="shared" ca="1" si="27"/>
        <v/>
      </c>
      <c r="I714" s="15">
        <f t="shared" ca="1" si="22"/>
        <v>503.26666666666665</v>
      </c>
      <c r="J714" s="16">
        <f t="shared" ca="1" si="23"/>
        <v>517.0333333333333</v>
      </c>
      <c r="K714" s="16"/>
      <c r="L714" s="16">
        <f t="shared" ca="1" si="24"/>
        <v>478.5333333333333</v>
      </c>
      <c r="M714" s="16">
        <f t="shared" ca="1" si="25"/>
        <v>541.76666666666665</v>
      </c>
      <c r="N714" s="16">
        <f t="shared" ca="1" si="26"/>
        <v>464.76666666666665</v>
      </c>
    </row>
    <row r="715" spans="1:14" ht="24.75" customHeight="1" x14ac:dyDescent="0.8">
      <c r="A715" s="18" t="s">
        <v>678</v>
      </c>
      <c r="B715" s="10">
        <f ca="1">IFERROR(__xludf.DUMMYFUNCTION("GOOGLEFINANCE(A715,""PRICE"")"),433.05)</f>
        <v>433.05</v>
      </c>
      <c r="C715" s="11">
        <f ca="1">IFERROR(__xludf.DUMMYFUNCTION("GOOGLEFINANCE(A715,""PRICEOPEN"")"),431.5)</f>
        <v>431.5</v>
      </c>
      <c r="D715" s="11">
        <f ca="1">IFERROR(__xludf.DUMMYFUNCTION("GOOGLEFINANCE(A715,""HIGH"")"),436)</f>
        <v>436</v>
      </c>
      <c r="E715" s="11">
        <f ca="1">IFERROR(__xludf.DUMMYFUNCTION("GOOGLEFINANCE(A715,""LOW"")"),428)</f>
        <v>428</v>
      </c>
      <c r="F715" s="12" t="str">
        <f t="shared" ca="1" si="21"/>
        <v/>
      </c>
      <c r="G715" s="13">
        <f ca="1">IFERROR(__xludf.DUMMYFUNCTION("GOOGLEFINANCE(A715,""CLOSEYEST"")"),430.7)</f>
        <v>430.7</v>
      </c>
      <c r="H715" s="14" t="str">
        <f t="shared" ca="1" si="27"/>
        <v/>
      </c>
      <c r="I715" s="15">
        <f t="shared" ca="1" si="22"/>
        <v>431.56666666666666</v>
      </c>
      <c r="J715" s="16">
        <f t="shared" ca="1" si="23"/>
        <v>435.13333333333333</v>
      </c>
      <c r="K715" s="16"/>
      <c r="L715" s="16">
        <f t="shared" ca="1" si="24"/>
        <v>427.13333333333333</v>
      </c>
      <c r="M715" s="16">
        <f t="shared" ca="1" si="25"/>
        <v>439.56666666666666</v>
      </c>
      <c r="N715" s="16">
        <f t="shared" ca="1" si="26"/>
        <v>423.56666666666666</v>
      </c>
    </row>
    <row r="716" spans="1:14" ht="24.75" customHeight="1" x14ac:dyDescent="0.8">
      <c r="A716" s="18" t="s">
        <v>679</v>
      </c>
      <c r="B716" s="10">
        <f ca="1">IFERROR(__xludf.DUMMYFUNCTION("GOOGLEFINANCE(A716,""PRICE"")"),262)</f>
        <v>262</v>
      </c>
      <c r="C716" s="11">
        <f ca="1">IFERROR(__xludf.DUMMYFUNCTION("GOOGLEFINANCE(A716,""PRICEOPEN"")"),252)</f>
        <v>252</v>
      </c>
      <c r="D716" s="11">
        <f ca="1">IFERROR(__xludf.DUMMYFUNCTION("GOOGLEFINANCE(A716,""HIGH"")"),269)</f>
        <v>269</v>
      </c>
      <c r="E716" s="11">
        <f ca="1">IFERROR(__xludf.DUMMYFUNCTION("GOOGLEFINANCE(A716,""LOW"")"),252)</f>
        <v>252</v>
      </c>
      <c r="F716" s="12" t="str">
        <f t="shared" ca="1" si="21"/>
        <v>BUY</v>
      </c>
      <c r="G716" s="13">
        <f ca="1">IFERROR(__xludf.DUMMYFUNCTION("GOOGLEFINANCE(A716,""CLOSEYEST"")"),253.65)</f>
        <v>253.65</v>
      </c>
      <c r="H716" s="14" t="str">
        <f t="shared" ca="1" si="27"/>
        <v/>
      </c>
      <c r="I716" s="15">
        <f t="shared" ca="1" si="22"/>
        <v>258.21666666666664</v>
      </c>
      <c r="J716" s="16">
        <f t="shared" ca="1" si="23"/>
        <v>264.43333333333328</v>
      </c>
      <c r="K716" s="16"/>
      <c r="L716" s="16">
        <f t="shared" ca="1" si="24"/>
        <v>247.43333333333328</v>
      </c>
      <c r="M716" s="16">
        <f t="shared" ca="1" si="25"/>
        <v>275.21666666666664</v>
      </c>
      <c r="N716" s="16">
        <f t="shared" ca="1" si="26"/>
        <v>241.21666666666664</v>
      </c>
    </row>
    <row r="717" spans="1:14" ht="24.75" customHeight="1" x14ac:dyDescent="0.8">
      <c r="A717" s="18" t="s">
        <v>680</v>
      </c>
      <c r="B717" s="10">
        <f ca="1">IFERROR(__xludf.DUMMYFUNCTION("GOOGLEFINANCE(A717,""PRICE"")"),1.52)</f>
        <v>1.52</v>
      </c>
      <c r="C717" s="11">
        <f ca="1">IFERROR(__xludf.DUMMYFUNCTION("GOOGLEFINANCE(A717,""PRICEOPEN"")"),1.51)</f>
        <v>1.51</v>
      </c>
      <c r="D717" s="11">
        <f ca="1">IFERROR(__xludf.DUMMYFUNCTION("GOOGLEFINANCE(A717,""HIGH"")"),1.53)</f>
        <v>1.53</v>
      </c>
      <c r="E717" s="11">
        <f ca="1">IFERROR(__xludf.DUMMYFUNCTION("GOOGLEFINANCE(A717,""LOW"")"),1.5)</f>
        <v>1.5</v>
      </c>
      <c r="F717" s="12" t="str">
        <f t="shared" ca="1" si="21"/>
        <v/>
      </c>
      <c r="G717" s="13">
        <f ca="1">IFERROR(__xludf.DUMMYFUNCTION("GOOGLEFINANCE(A717,""CLOSEYEST"")"),1.51)</f>
        <v>1.51</v>
      </c>
      <c r="H717" s="14" t="str">
        <f t="shared" ca="1" si="27"/>
        <v/>
      </c>
      <c r="I717" s="15">
        <f t="shared" ca="1" si="22"/>
        <v>1.5133333333333334</v>
      </c>
      <c r="J717" s="16">
        <f t="shared" ca="1" si="23"/>
        <v>1.5266666666666668</v>
      </c>
      <c r="K717" s="16"/>
      <c r="L717" s="16">
        <f t="shared" ca="1" si="24"/>
        <v>1.4966666666666668</v>
      </c>
      <c r="M717" s="16">
        <f t="shared" ca="1" si="25"/>
        <v>1.5433333333333334</v>
      </c>
      <c r="N717" s="16">
        <f t="shared" ca="1" si="26"/>
        <v>1.4833333333333334</v>
      </c>
    </row>
    <row r="718" spans="1:14" ht="24.75" customHeight="1" x14ac:dyDescent="0.8">
      <c r="A718" s="18" t="s">
        <v>681</v>
      </c>
      <c r="B718" s="10">
        <f ca="1">IFERROR(__xludf.DUMMYFUNCTION("GOOGLEFINANCE(A718,""PRICE"")"),355.65)</f>
        <v>355.65</v>
      </c>
      <c r="C718" s="11">
        <f ca="1">IFERROR(__xludf.DUMMYFUNCTION("GOOGLEFINANCE(A718,""PRICEOPEN"")"),351)</f>
        <v>351</v>
      </c>
      <c r="D718" s="11">
        <f ca="1">IFERROR(__xludf.DUMMYFUNCTION("GOOGLEFINANCE(A718,""HIGH"")"),361)</f>
        <v>361</v>
      </c>
      <c r="E718" s="11">
        <f ca="1">IFERROR(__xludf.DUMMYFUNCTION("GOOGLEFINANCE(A718,""LOW"")"),350.55)</f>
        <v>350.55</v>
      </c>
      <c r="F718" s="12" t="str">
        <f t="shared" ca="1" si="21"/>
        <v/>
      </c>
      <c r="G718" s="13">
        <f ca="1">IFERROR(__xludf.DUMMYFUNCTION("GOOGLEFINANCE(A718,""CLOSEYEST"")"),351.15)</f>
        <v>351.15</v>
      </c>
      <c r="H718" s="14" t="str">
        <f t="shared" ca="1" si="27"/>
        <v/>
      </c>
      <c r="I718" s="15">
        <f t="shared" ca="1" si="22"/>
        <v>354.23333333333329</v>
      </c>
      <c r="J718" s="16">
        <f t="shared" ca="1" si="23"/>
        <v>357.91666666666657</v>
      </c>
      <c r="K718" s="16"/>
      <c r="L718" s="16">
        <f t="shared" ca="1" si="24"/>
        <v>347.46666666666658</v>
      </c>
      <c r="M718" s="16">
        <f t="shared" ca="1" si="25"/>
        <v>364.68333333333328</v>
      </c>
      <c r="N718" s="16">
        <f t="shared" ca="1" si="26"/>
        <v>343.7833333333333</v>
      </c>
    </row>
    <row r="719" spans="1:14" ht="24.75" customHeight="1" x14ac:dyDescent="0.8">
      <c r="A719" s="18" t="s">
        <v>682</v>
      </c>
      <c r="B719" s="10">
        <f ca="1">IFERROR(__xludf.DUMMYFUNCTION("GOOGLEFINANCE(A719,""PRICE"")"),49.4)</f>
        <v>49.4</v>
      </c>
      <c r="C719" s="11">
        <f ca="1">IFERROR(__xludf.DUMMYFUNCTION("GOOGLEFINANCE(A719,""PRICEOPEN"")"),49)</f>
        <v>49</v>
      </c>
      <c r="D719" s="11">
        <f ca="1">IFERROR(__xludf.DUMMYFUNCTION("GOOGLEFINANCE(A719,""HIGH"")"),49.43)</f>
        <v>49.43</v>
      </c>
      <c r="E719" s="11">
        <f ca="1">IFERROR(__xludf.DUMMYFUNCTION("GOOGLEFINANCE(A719,""LOW"")"),48.22)</f>
        <v>48.22</v>
      </c>
      <c r="F719" s="12" t="str">
        <f t="shared" ca="1" si="21"/>
        <v/>
      </c>
      <c r="G719" s="13">
        <f ca="1">IFERROR(__xludf.DUMMYFUNCTION("GOOGLEFINANCE(A719,""CLOSEYEST"")"),48.81)</f>
        <v>48.81</v>
      </c>
      <c r="H719" s="14" t="str">
        <f t="shared" ca="1" si="27"/>
        <v/>
      </c>
      <c r="I719" s="15">
        <f t="shared" ca="1" si="22"/>
        <v>48.82</v>
      </c>
      <c r="J719" s="16">
        <f t="shared" ca="1" si="23"/>
        <v>49.42</v>
      </c>
      <c r="K719" s="16"/>
      <c r="L719" s="16">
        <f t="shared" ca="1" si="24"/>
        <v>48.21</v>
      </c>
      <c r="M719" s="16">
        <f t="shared" ca="1" si="25"/>
        <v>50.03</v>
      </c>
      <c r="N719" s="16">
        <f t="shared" ca="1" si="26"/>
        <v>47.61</v>
      </c>
    </row>
    <row r="720" spans="1:14" ht="24.75" customHeight="1" x14ac:dyDescent="0.8">
      <c r="A720" s="18" t="s">
        <v>683</v>
      </c>
      <c r="B720" s="10">
        <f ca="1">IFERROR(__xludf.DUMMYFUNCTION("GOOGLEFINANCE(A720,""PRICE"")"),783)</f>
        <v>783</v>
      </c>
      <c r="C720" s="11">
        <f ca="1">IFERROR(__xludf.DUMMYFUNCTION("GOOGLEFINANCE(A720,""PRICEOPEN"")"),779.75)</f>
        <v>779.75</v>
      </c>
      <c r="D720" s="11">
        <f ca="1">IFERROR(__xludf.DUMMYFUNCTION("GOOGLEFINANCE(A720,""HIGH"")"),783)</f>
        <v>783</v>
      </c>
      <c r="E720" s="11">
        <f ca="1">IFERROR(__xludf.DUMMYFUNCTION("GOOGLEFINANCE(A720,""LOW"")"),771.8)</f>
        <v>771.8</v>
      </c>
      <c r="F720" s="12" t="str">
        <f t="shared" ca="1" si="21"/>
        <v/>
      </c>
      <c r="G720" s="13">
        <f ca="1">IFERROR(__xludf.DUMMYFUNCTION("GOOGLEFINANCE(A720,""CLOSEYEST"")"),779.75)</f>
        <v>779.75</v>
      </c>
      <c r="H720" s="14" t="str">
        <f t="shared" ca="1" si="27"/>
        <v/>
      </c>
      <c r="I720" s="15">
        <f t="shared" ca="1" si="22"/>
        <v>778.18333333333339</v>
      </c>
      <c r="J720" s="16">
        <f t="shared" ca="1" si="23"/>
        <v>784.56666666666683</v>
      </c>
      <c r="K720" s="16"/>
      <c r="L720" s="16">
        <f t="shared" ca="1" si="24"/>
        <v>773.36666666666679</v>
      </c>
      <c r="M720" s="16">
        <f t="shared" ca="1" si="25"/>
        <v>789.38333333333344</v>
      </c>
      <c r="N720" s="16">
        <f t="shared" ca="1" si="26"/>
        <v>766.98333333333335</v>
      </c>
    </row>
    <row r="721" spans="1:14" ht="24.75" customHeight="1" x14ac:dyDescent="0.8">
      <c r="A721" s="18" t="s">
        <v>684</v>
      </c>
      <c r="B721" s="10" t="str">
        <f ca="1">IFERROR(__xludf.DUMMYFUNCTION("GOOGLEFINANCE(A721,""PRICE"")"),"#N/A")</f>
        <v>#N/A</v>
      </c>
      <c r="C721" s="11" t="str">
        <f ca="1">IFERROR(__xludf.DUMMYFUNCTION("GOOGLEFINANCE(A721,""PRICEOPEN"")"),"#N/A")</f>
        <v>#N/A</v>
      </c>
      <c r="D721" s="11" t="str">
        <f ca="1">IFERROR(__xludf.DUMMYFUNCTION("GOOGLEFINANCE(A721,""HIGH"")"),"#N/A")</f>
        <v>#N/A</v>
      </c>
      <c r="E721" s="11" t="str">
        <f ca="1">IFERROR(__xludf.DUMMYFUNCTION("GOOGLEFINANCE(A721,""LOW"")"),"#N/A")</f>
        <v>#N/A</v>
      </c>
      <c r="F721" s="12" t="str">
        <f t="shared" ca="1" si="21"/>
        <v>SELL</v>
      </c>
      <c r="G721" s="13" t="str">
        <f ca="1">IFERROR(__xludf.DUMMYFUNCTION("GOOGLEFINANCE(A721,""CLOSEYEST"")"),"#N/A")</f>
        <v>#N/A</v>
      </c>
      <c r="H721" s="14" t="e">
        <f t="shared" ca="1" si="27"/>
        <v>#VALUE!</v>
      </c>
      <c r="I721" s="15" t="e">
        <f t="shared" ca="1" si="22"/>
        <v>#VALUE!</v>
      </c>
      <c r="J721" s="16" t="e">
        <f t="shared" ca="1" si="23"/>
        <v>#VALUE!</v>
      </c>
      <c r="K721" s="16"/>
      <c r="L721" s="16" t="e">
        <f t="shared" ca="1" si="24"/>
        <v>#VALUE!</v>
      </c>
      <c r="M721" s="16" t="e">
        <f t="shared" ca="1" si="25"/>
        <v>#VALUE!</v>
      </c>
      <c r="N721" s="16" t="e">
        <f t="shared" ca="1" si="26"/>
        <v>#VALUE!</v>
      </c>
    </row>
    <row r="722" spans="1:14" ht="24.75" customHeight="1" x14ac:dyDescent="0.8">
      <c r="A722" s="18" t="s">
        <v>685</v>
      </c>
      <c r="B722" s="10" t="str">
        <f ca="1">IFERROR(__xludf.DUMMYFUNCTION("GOOGLEFINANCE(A722,""PRICE"")"),"#N/A")</f>
        <v>#N/A</v>
      </c>
      <c r="C722" s="11" t="str">
        <f ca="1">IFERROR(__xludf.DUMMYFUNCTION("GOOGLEFINANCE(A722,""PRICEOPEN"")"),"#N/A")</f>
        <v>#N/A</v>
      </c>
      <c r="D722" s="11" t="str">
        <f ca="1">IFERROR(__xludf.DUMMYFUNCTION("GOOGLEFINANCE(A722,""HIGH"")"),"#N/A")</f>
        <v>#N/A</v>
      </c>
      <c r="E722" s="11" t="str">
        <f ca="1">IFERROR(__xludf.DUMMYFUNCTION("GOOGLEFINANCE(A722,""LOW"")"),"#N/A")</f>
        <v>#N/A</v>
      </c>
      <c r="F722" s="12" t="str">
        <f t="shared" ca="1" si="21"/>
        <v>SELL</v>
      </c>
      <c r="G722" s="13" t="str">
        <f ca="1">IFERROR(__xludf.DUMMYFUNCTION("GOOGLEFINANCE(A722,""CLOSEYEST"")"),"#N/A")</f>
        <v>#N/A</v>
      </c>
      <c r="H722" s="14" t="e">
        <f t="shared" ca="1" si="27"/>
        <v>#VALUE!</v>
      </c>
      <c r="I722" s="15" t="e">
        <f t="shared" ca="1" si="22"/>
        <v>#VALUE!</v>
      </c>
      <c r="J722" s="16" t="e">
        <f t="shared" ca="1" si="23"/>
        <v>#VALUE!</v>
      </c>
      <c r="K722" s="16"/>
      <c r="L722" s="16" t="e">
        <f t="shared" ca="1" si="24"/>
        <v>#VALUE!</v>
      </c>
      <c r="M722" s="16" t="e">
        <f t="shared" ca="1" si="25"/>
        <v>#VALUE!</v>
      </c>
      <c r="N722" s="16" t="e">
        <f t="shared" ca="1" si="26"/>
        <v>#VALUE!</v>
      </c>
    </row>
    <row r="723" spans="1:14" ht="24.75" customHeight="1" x14ac:dyDescent="0.8">
      <c r="A723" s="18" t="s">
        <v>686</v>
      </c>
      <c r="B723" s="10">
        <f ca="1">IFERROR(__xludf.DUMMYFUNCTION("GOOGLEFINANCE(A723,""PRICE"")"),33.91)</f>
        <v>33.909999999999997</v>
      </c>
      <c r="C723" s="11">
        <f ca="1">IFERROR(__xludf.DUMMYFUNCTION("GOOGLEFINANCE(A723,""PRICEOPEN"")"),33.52)</f>
        <v>33.520000000000003</v>
      </c>
      <c r="D723" s="11">
        <f ca="1">IFERROR(__xludf.DUMMYFUNCTION("GOOGLEFINANCE(A723,""HIGH"")"),34.23)</f>
        <v>34.229999999999997</v>
      </c>
      <c r="E723" s="11">
        <f ca="1">IFERROR(__xludf.DUMMYFUNCTION("GOOGLEFINANCE(A723,""LOW"")"),32.61)</f>
        <v>32.61</v>
      </c>
      <c r="F723" s="12" t="str">
        <f t="shared" ca="1" si="21"/>
        <v/>
      </c>
      <c r="G723" s="13">
        <f ca="1">IFERROR(__xludf.DUMMYFUNCTION("GOOGLEFINANCE(A723,""CLOSEYEST"")"),33.52)</f>
        <v>33.520000000000003</v>
      </c>
      <c r="H723" s="14" t="str">
        <f t="shared" ca="1" si="27"/>
        <v/>
      </c>
      <c r="I723" s="15">
        <f t="shared" ca="1" si="22"/>
        <v>33.45333333333334</v>
      </c>
      <c r="J723" s="16">
        <f t="shared" ca="1" si="23"/>
        <v>34.296666666666681</v>
      </c>
      <c r="K723" s="16"/>
      <c r="L723" s="16">
        <f t="shared" ca="1" si="24"/>
        <v>32.676666666666684</v>
      </c>
      <c r="M723" s="16">
        <f t="shared" ca="1" si="25"/>
        <v>35.073333333333338</v>
      </c>
      <c r="N723" s="16">
        <f t="shared" ca="1" si="26"/>
        <v>31.833333333333343</v>
      </c>
    </row>
    <row r="724" spans="1:14" ht="24.75" customHeight="1" x14ac:dyDescent="0.8">
      <c r="A724" s="18" t="s">
        <v>687</v>
      </c>
      <c r="B724" s="10">
        <f ca="1">IFERROR(__xludf.DUMMYFUNCTION("GOOGLEFINANCE(A724,""PRICE"")"),149.9)</f>
        <v>149.9</v>
      </c>
      <c r="C724" s="11">
        <f ca="1">IFERROR(__xludf.DUMMYFUNCTION("GOOGLEFINANCE(A724,""PRICEOPEN"")"),148.07)</f>
        <v>148.07</v>
      </c>
      <c r="D724" s="11">
        <f ca="1">IFERROR(__xludf.DUMMYFUNCTION("GOOGLEFINANCE(A724,""HIGH"")"),149.9)</f>
        <v>149.9</v>
      </c>
      <c r="E724" s="11">
        <f ca="1">IFERROR(__xludf.DUMMYFUNCTION("GOOGLEFINANCE(A724,""LOW"")"),148)</f>
        <v>148</v>
      </c>
      <c r="F724" s="12" t="str">
        <f t="shared" ca="1" si="21"/>
        <v/>
      </c>
      <c r="G724" s="13">
        <f ca="1">IFERROR(__xludf.DUMMYFUNCTION("GOOGLEFINANCE(A724,""CLOSEYEST"")"),149.39)</f>
        <v>149.38999999999999</v>
      </c>
      <c r="H724" s="14" t="str">
        <f t="shared" ca="1" si="27"/>
        <v/>
      </c>
      <c r="I724" s="15">
        <f t="shared" ca="1" si="22"/>
        <v>149.09666666666666</v>
      </c>
      <c r="J724" s="16">
        <f t="shared" ca="1" si="23"/>
        <v>150.19333333333333</v>
      </c>
      <c r="K724" s="16"/>
      <c r="L724" s="16">
        <f t="shared" ca="1" si="24"/>
        <v>148.29333333333332</v>
      </c>
      <c r="M724" s="16">
        <f t="shared" ca="1" si="25"/>
        <v>150.99666666666667</v>
      </c>
      <c r="N724" s="16">
        <f t="shared" ca="1" si="26"/>
        <v>147.19666666666666</v>
      </c>
    </row>
    <row r="725" spans="1:14" ht="24.75" customHeight="1" x14ac:dyDescent="0.8">
      <c r="A725" s="18" t="s">
        <v>688</v>
      </c>
      <c r="B725" s="10">
        <f ca="1">IFERROR(__xludf.DUMMYFUNCTION("GOOGLEFINANCE(A725,""PRICE"")"),751)</f>
        <v>751</v>
      </c>
      <c r="C725" s="11">
        <f ca="1">IFERROR(__xludf.DUMMYFUNCTION("GOOGLEFINANCE(A725,""PRICEOPEN"")"),754.2)</f>
        <v>754.2</v>
      </c>
      <c r="D725" s="11">
        <f ca="1">IFERROR(__xludf.DUMMYFUNCTION("GOOGLEFINANCE(A725,""HIGH"")"),757.5)</f>
        <v>757.5</v>
      </c>
      <c r="E725" s="11">
        <f ca="1">IFERROR(__xludf.DUMMYFUNCTION("GOOGLEFINANCE(A725,""LOW"")"),736)</f>
        <v>736</v>
      </c>
      <c r="F725" s="12" t="str">
        <f t="shared" ca="1" si="21"/>
        <v/>
      </c>
      <c r="G725" s="13">
        <f ca="1">IFERROR(__xludf.DUMMYFUNCTION("GOOGLEFINANCE(A725,""CLOSEYEST"")"),754.2)</f>
        <v>754.2</v>
      </c>
      <c r="H725" s="14" t="str">
        <f t="shared" ca="1" si="27"/>
        <v/>
      </c>
      <c r="I725" s="15">
        <f t="shared" ca="1" si="22"/>
        <v>749.23333333333323</v>
      </c>
      <c r="J725" s="16">
        <f t="shared" ca="1" si="23"/>
        <v>762.46666666666647</v>
      </c>
      <c r="K725" s="16"/>
      <c r="L725" s="16">
        <f t="shared" ca="1" si="24"/>
        <v>740.96666666666647</v>
      </c>
      <c r="M725" s="16">
        <f t="shared" ca="1" si="25"/>
        <v>770.73333333333323</v>
      </c>
      <c r="N725" s="16">
        <f t="shared" ca="1" si="26"/>
        <v>727.73333333333323</v>
      </c>
    </row>
    <row r="726" spans="1:14" ht="24.75" customHeight="1" x14ac:dyDescent="0.8">
      <c r="A726" s="18" t="s">
        <v>689</v>
      </c>
      <c r="B726" s="10">
        <f ca="1">IFERROR(__xludf.DUMMYFUNCTION("GOOGLEFINANCE(A726,""PRICE"")"),5480)</f>
        <v>5480</v>
      </c>
      <c r="C726" s="11">
        <f ca="1">IFERROR(__xludf.DUMMYFUNCTION("GOOGLEFINANCE(A726,""PRICEOPEN"")"),5259)</f>
        <v>5259</v>
      </c>
      <c r="D726" s="11">
        <f ca="1">IFERROR(__xludf.DUMMYFUNCTION("GOOGLEFINANCE(A726,""HIGH"")"),5510.5)</f>
        <v>5510.5</v>
      </c>
      <c r="E726" s="11">
        <f ca="1">IFERROR(__xludf.DUMMYFUNCTION("GOOGLEFINANCE(A726,""LOW"")"),5226)</f>
        <v>5226</v>
      </c>
      <c r="F726" s="12" t="str">
        <f t="shared" ca="1" si="21"/>
        <v/>
      </c>
      <c r="G726" s="13">
        <f ca="1">IFERROR(__xludf.DUMMYFUNCTION("GOOGLEFINANCE(A726,""CLOSEYEST"")"),5259)</f>
        <v>5259</v>
      </c>
      <c r="H726" s="14" t="str">
        <f t="shared" ca="1" si="27"/>
        <v/>
      </c>
      <c r="I726" s="15">
        <f t="shared" ca="1" si="22"/>
        <v>5331.833333333333</v>
      </c>
      <c r="J726" s="16">
        <f t="shared" ca="1" si="23"/>
        <v>5437.6666666666661</v>
      </c>
      <c r="K726" s="16"/>
      <c r="L726" s="16">
        <f t="shared" ca="1" si="24"/>
        <v>5153.1666666666661</v>
      </c>
      <c r="M726" s="16">
        <f t="shared" ca="1" si="25"/>
        <v>5616.333333333333</v>
      </c>
      <c r="N726" s="16">
        <f t="shared" ca="1" si="26"/>
        <v>5047.333333333333</v>
      </c>
    </row>
    <row r="727" spans="1:14" ht="24.75" customHeight="1" x14ac:dyDescent="0.8">
      <c r="A727" s="18" t="s">
        <v>690</v>
      </c>
      <c r="B727" s="10">
        <f ca="1">IFERROR(__xludf.DUMMYFUNCTION("GOOGLEFINANCE(A727,""PRICE"")"),765)</f>
        <v>765</v>
      </c>
      <c r="C727" s="11">
        <f ca="1">IFERROR(__xludf.DUMMYFUNCTION("GOOGLEFINANCE(A727,""PRICEOPEN"")"),783)</f>
        <v>783</v>
      </c>
      <c r="D727" s="11">
        <f ca="1">IFERROR(__xludf.DUMMYFUNCTION("GOOGLEFINANCE(A727,""HIGH"")"),783)</f>
        <v>783</v>
      </c>
      <c r="E727" s="11">
        <f ca="1">IFERROR(__xludf.DUMMYFUNCTION("GOOGLEFINANCE(A727,""LOW"")"),755)</f>
        <v>755</v>
      </c>
      <c r="F727" s="12" t="str">
        <f t="shared" ca="1" si="21"/>
        <v>SELL</v>
      </c>
      <c r="G727" s="13">
        <f ca="1">IFERROR(__xludf.DUMMYFUNCTION("GOOGLEFINANCE(A727,""CLOSEYEST"")"),772.55)</f>
        <v>772.55</v>
      </c>
      <c r="H727" s="14" t="str">
        <f t="shared" ca="1" si="27"/>
        <v>GAP UP</v>
      </c>
      <c r="I727" s="15">
        <f t="shared" ca="1" si="22"/>
        <v>770.18333333333339</v>
      </c>
      <c r="J727" s="16">
        <f t="shared" ca="1" si="23"/>
        <v>785.36666666666679</v>
      </c>
      <c r="K727" s="16"/>
      <c r="L727" s="16">
        <f t="shared" ca="1" si="24"/>
        <v>757.36666666666679</v>
      </c>
      <c r="M727" s="16">
        <f t="shared" ca="1" si="25"/>
        <v>798.18333333333339</v>
      </c>
      <c r="N727" s="16">
        <f t="shared" ca="1" si="26"/>
        <v>742.18333333333339</v>
      </c>
    </row>
    <row r="728" spans="1:14" ht="24.75" customHeight="1" x14ac:dyDescent="0.8">
      <c r="A728" s="18" t="s">
        <v>691</v>
      </c>
      <c r="B728" s="10">
        <f ca="1">IFERROR(__xludf.DUMMYFUNCTION("GOOGLEFINANCE(A728,""PRICE"")"),1068.5)</f>
        <v>1068.5</v>
      </c>
      <c r="C728" s="11">
        <f ca="1">IFERROR(__xludf.DUMMYFUNCTION("GOOGLEFINANCE(A728,""PRICEOPEN"")"),1095)</f>
        <v>1095</v>
      </c>
      <c r="D728" s="11">
        <f ca="1">IFERROR(__xludf.DUMMYFUNCTION("GOOGLEFINANCE(A728,""HIGH"")"),1100)</f>
        <v>1100</v>
      </c>
      <c r="E728" s="11">
        <f ca="1">IFERROR(__xludf.DUMMYFUNCTION("GOOGLEFINANCE(A728,""LOW"")"),1041.6)</f>
        <v>1041.5999999999999</v>
      </c>
      <c r="F728" s="12" t="str">
        <f t="shared" ca="1" si="21"/>
        <v/>
      </c>
      <c r="G728" s="13">
        <f ca="1">IFERROR(__xludf.DUMMYFUNCTION("GOOGLEFINANCE(A728,""CLOSEYEST"")"),1090.7)</f>
        <v>1090.7</v>
      </c>
      <c r="H728" s="14" t="str">
        <f t="shared" ca="1" si="27"/>
        <v/>
      </c>
      <c r="I728" s="15">
        <f t="shared" ca="1" si="22"/>
        <v>1077.4333333333334</v>
      </c>
      <c r="J728" s="16">
        <f t="shared" ca="1" si="23"/>
        <v>1113.2666666666669</v>
      </c>
      <c r="K728" s="16"/>
      <c r="L728" s="16">
        <f t="shared" ca="1" si="24"/>
        <v>1054.8666666666668</v>
      </c>
      <c r="M728" s="16">
        <f t="shared" ca="1" si="25"/>
        <v>1135.8333333333335</v>
      </c>
      <c r="N728" s="16">
        <f t="shared" ca="1" si="26"/>
        <v>1019.0333333333333</v>
      </c>
    </row>
    <row r="729" spans="1:14" ht="24.75" customHeight="1" x14ac:dyDescent="0.8">
      <c r="A729" s="18" t="s">
        <v>692</v>
      </c>
      <c r="B729" s="10">
        <f ca="1">IFERROR(__xludf.DUMMYFUNCTION("GOOGLEFINANCE(A729,""PRICE"")"),1766)</f>
        <v>1766</v>
      </c>
      <c r="C729" s="11">
        <f ca="1">IFERROR(__xludf.DUMMYFUNCTION("GOOGLEFINANCE(A729,""PRICEOPEN"")"),1762.4)</f>
        <v>1762.4</v>
      </c>
      <c r="D729" s="11">
        <f ca="1">IFERROR(__xludf.DUMMYFUNCTION("GOOGLEFINANCE(A729,""HIGH"")"),1781.9)</f>
        <v>1781.9</v>
      </c>
      <c r="E729" s="11">
        <f ca="1">IFERROR(__xludf.DUMMYFUNCTION("GOOGLEFINANCE(A729,""LOW"")"),1746.3)</f>
        <v>1746.3</v>
      </c>
      <c r="F729" s="12" t="str">
        <f t="shared" ca="1" si="21"/>
        <v/>
      </c>
      <c r="G729" s="13">
        <f ca="1">IFERROR(__xludf.DUMMYFUNCTION("GOOGLEFINANCE(A729,""CLOSEYEST"")"),1753.4)</f>
        <v>1753.4</v>
      </c>
      <c r="H729" s="14" t="str">
        <f t="shared" ca="1" si="27"/>
        <v/>
      </c>
      <c r="I729" s="15">
        <f t="shared" ca="1" si="22"/>
        <v>1760.5333333333335</v>
      </c>
      <c r="J729" s="16">
        <f t="shared" ca="1" si="23"/>
        <v>1774.7666666666671</v>
      </c>
      <c r="K729" s="16"/>
      <c r="L729" s="16">
        <f t="shared" ca="1" si="24"/>
        <v>1739.166666666667</v>
      </c>
      <c r="M729" s="16">
        <f t="shared" ca="1" si="25"/>
        <v>1796.1333333333337</v>
      </c>
      <c r="N729" s="16">
        <f t="shared" ca="1" si="26"/>
        <v>1724.9333333333334</v>
      </c>
    </row>
    <row r="730" spans="1:14" ht="24.75" customHeight="1" x14ac:dyDescent="0.8">
      <c r="A730" s="18" t="s">
        <v>693</v>
      </c>
      <c r="B730" s="10">
        <f ca="1">IFERROR(__xludf.DUMMYFUNCTION("GOOGLEFINANCE(A730,""PRICE"")"),64.17)</f>
        <v>64.17</v>
      </c>
      <c r="C730" s="11">
        <f ca="1">IFERROR(__xludf.DUMMYFUNCTION("GOOGLEFINANCE(A730,""PRICEOPEN"")"),65.11)</f>
        <v>65.11</v>
      </c>
      <c r="D730" s="11">
        <f ca="1">IFERROR(__xludf.DUMMYFUNCTION("GOOGLEFINANCE(A730,""HIGH"")"),65.97)</f>
        <v>65.97</v>
      </c>
      <c r="E730" s="11">
        <f ca="1">IFERROR(__xludf.DUMMYFUNCTION("GOOGLEFINANCE(A730,""LOW"")"),63.31)</f>
        <v>63.31</v>
      </c>
      <c r="F730" s="12" t="str">
        <f t="shared" ca="1" si="21"/>
        <v/>
      </c>
      <c r="G730" s="13">
        <f ca="1">IFERROR(__xludf.DUMMYFUNCTION("GOOGLEFINANCE(A730,""CLOSEYEST"")"),64.61)</f>
        <v>64.61</v>
      </c>
      <c r="H730" s="14" t="str">
        <f t="shared" ca="1" si="27"/>
        <v/>
      </c>
      <c r="I730" s="15">
        <f t="shared" ca="1" si="22"/>
        <v>64.63</v>
      </c>
      <c r="J730" s="16">
        <f t="shared" ca="1" si="23"/>
        <v>65.949999999999989</v>
      </c>
      <c r="K730" s="16"/>
      <c r="L730" s="16">
        <f t="shared" ca="1" si="24"/>
        <v>63.289999999999992</v>
      </c>
      <c r="M730" s="16">
        <f t="shared" ca="1" si="25"/>
        <v>67.289999999999992</v>
      </c>
      <c r="N730" s="16">
        <f t="shared" ca="1" si="26"/>
        <v>61.97</v>
      </c>
    </row>
    <row r="731" spans="1:14" ht="24.75" customHeight="1" x14ac:dyDescent="0.8">
      <c r="A731" s="18" t="s">
        <v>694</v>
      </c>
      <c r="B731" s="10">
        <f ca="1">IFERROR(__xludf.DUMMYFUNCTION("GOOGLEFINANCE(A731,""PRICE"")"),147.43)</f>
        <v>147.43</v>
      </c>
      <c r="C731" s="11">
        <f ca="1">IFERROR(__xludf.DUMMYFUNCTION("GOOGLEFINANCE(A731,""PRICEOPEN"")"),145.78)</f>
        <v>145.78</v>
      </c>
      <c r="D731" s="11">
        <f ca="1">IFERROR(__xludf.DUMMYFUNCTION("GOOGLEFINANCE(A731,""HIGH"")"),148.39)</f>
        <v>148.38999999999999</v>
      </c>
      <c r="E731" s="11">
        <f ca="1">IFERROR(__xludf.DUMMYFUNCTION("GOOGLEFINANCE(A731,""LOW"")"),144.38)</f>
        <v>144.38</v>
      </c>
      <c r="F731" s="12" t="str">
        <f t="shared" ca="1" si="21"/>
        <v/>
      </c>
      <c r="G731" s="13">
        <f ca="1">IFERROR(__xludf.DUMMYFUNCTION("GOOGLEFINANCE(A731,""CLOSEYEST"")"),144.97)</f>
        <v>144.97</v>
      </c>
      <c r="H731" s="14" t="str">
        <f t="shared" ca="1" si="27"/>
        <v/>
      </c>
      <c r="I731" s="15">
        <f t="shared" ca="1" si="22"/>
        <v>145.91333333333333</v>
      </c>
      <c r="J731" s="16">
        <f t="shared" ca="1" si="23"/>
        <v>147.44666666666666</v>
      </c>
      <c r="K731" s="16"/>
      <c r="L731" s="16">
        <f t="shared" ca="1" si="24"/>
        <v>143.43666666666667</v>
      </c>
      <c r="M731" s="16">
        <f t="shared" ca="1" si="25"/>
        <v>149.92333333333332</v>
      </c>
      <c r="N731" s="16">
        <f t="shared" ca="1" si="26"/>
        <v>141.90333333333334</v>
      </c>
    </row>
    <row r="732" spans="1:14" ht="24.75" customHeight="1" x14ac:dyDescent="0.8">
      <c r="A732" s="18" t="s">
        <v>695</v>
      </c>
      <c r="B732" s="10">
        <f ca="1">IFERROR(__xludf.DUMMYFUNCTION("GOOGLEFINANCE(A732,""PRICE"")"),374.55)</f>
        <v>374.55</v>
      </c>
      <c r="C732" s="11">
        <f ca="1">IFERROR(__xludf.DUMMYFUNCTION("GOOGLEFINANCE(A732,""PRICEOPEN"")"),373)</f>
        <v>373</v>
      </c>
      <c r="D732" s="11">
        <f ca="1">IFERROR(__xludf.DUMMYFUNCTION("GOOGLEFINANCE(A732,""HIGH"")"),378.3)</f>
        <v>378.3</v>
      </c>
      <c r="E732" s="11">
        <f ca="1">IFERROR(__xludf.DUMMYFUNCTION("GOOGLEFINANCE(A732,""LOW"")"),367)</f>
        <v>367</v>
      </c>
      <c r="F732" s="12" t="str">
        <f t="shared" ca="1" si="21"/>
        <v/>
      </c>
      <c r="G732" s="13">
        <f ca="1">IFERROR(__xludf.DUMMYFUNCTION("GOOGLEFINANCE(A732,""CLOSEYEST"")"),367.5)</f>
        <v>367.5</v>
      </c>
      <c r="H732" s="14" t="str">
        <f t="shared" ca="1" si="27"/>
        <v>GAP UP</v>
      </c>
      <c r="I732" s="15">
        <f t="shared" ca="1" si="22"/>
        <v>370.93333333333334</v>
      </c>
      <c r="J732" s="16">
        <f t="shared" ca="1" si="23"/>
        <v>374.86666666666667</v>
      </c>
      <c r="K732" s="16"/>
      <c r="L732" s="16">
        <f t="shared" ca="1" si="24"/>
        <v>363.56666666666666</v>
      </c>
      <c r="M732" s="16">
        <f t="shared" ca="1" si="25"/>
        <v>382.23333333333335</v>
      </c>
      <c r="N732" s="16">
        <f t="shared" ca="1" si="26"/>
        <v>359.63333333333333</v>
      </c>
    </row>
    <row r="733" spans="1:14" ht="24.75" customHeight="1" x14ac:dyDescent="0.8">
      <c r="A733" s="18" t="s">
        <v>696</v>
      </c>
      <c r="B733" s="10" t="str">
        <f ca="1">IFERROR(__xludf.DUMMYFUNCTION("GOOGLEFINANCE(A733,""PRICE"")"),"#N/A")</f>
        <v>#N/A</v>
      </c>
      <c r="C733" s="11" t="str">
        <f ca="1">IFERROR(__xludf.DUMMYFUNCTION("GOOGLEFINANCE(A733,""PRICEOPEN"")"),"#N/A")</f>
        <v>#N/A</v>
      </c>
      <c r="D733" s="11" t="str">
        <f ca="1">IFERROR(__xludf.DUMMYFUNCTION("GOOGLEFINANCE(A733,""HIGH"")"),"#N/A")</f>
        <v>#N/A</v>
      </c>
      <c r="E733" s="11" t="str">
        <f ca="1">IFERROR(__xludf.DUMMYFUNCTION("GOOGLEFINANCE(A733,""LOW"")"),"#N/A")</f>
        <v>#N/A</v>
      </c>
      <c r="F733" s="12" t="str">
        <f t="shared" ca="1" si="21"/>
        <v>SELL</v>
      </c>
      <c r="G733" s="13" t="str">
        <f ca="1">IFERROR(__xludf.DUMMYFUNCTION("GOOGLEFINANCE(A733,""CLOSEYEST"")"),"#N/A")</f>
        <v>#N/A</v>
      </c>
      <c r="H733" s="14" t="e">
        <f t="shared" ca="1" si="27"/>
        <v>#VALUE!</v>
      </c>
      <c r="I733" s="15" t="e">
        <f t="shared" ca="1" si="22"/>
        <v>#VALUE!</v>
      </c>
      <c r="J733" s="16" t="e">
        <f t="shared" ca="1" si="23"/>
        <v>#VALUE!</v>
      </c>
      <c r="K733" s="16"/>
      <c r="L733" s="16" t="e">
        <f t="shared" ca="1" si="24"/>
        <v>#VALUE!</v>
      </c>
      <c r="M733" s="16" t="e">
        <f t="shared" ca="1" si="25"/>
        <v>#VALUE!</v>
      </c>
      <c r="N733" s="16" t="e">
        <f t="shared" ca="1" si="26"/>
        <v>#VALUE!</v>
      </c>
    </row>
    <row r="734" spans="1:14" ht="24.75" customHeight="1" x14ac:dyDescent="0.8">
      <c r="A734" s="18" t="s">
        <v>697</v>
      </c>
      <c r="B734" s="10">
        <f ca="1">IFERROR(__xludf.DUMMYFUNCTION("GOOGLEFINANCE(A734,""PRICE"")"),507.9)</f>
        <v>507.9</v>
      </c>
      <c r="C734" s="11">
        <f ca="1">IFERROR(__xludf.DUMMYFUNCTION("GOOGLEFINANCE(A734,""PRICEOPEN"")"),505.1)</f>
        <v>505.1</v>
      </c>
      <c r="D734" s="11">
        <f ca="1">IFERROR(__xludf.DUMMYFUNCTION("GOOGLEFINANCE(A734,""HIGH"")"),509.9)</f>
        <v>509.9</v>
      </c>
      <c r="E734" s="11">
        <f ca="1">IFERROR(__xludf.DUMMYFUNCTION("GOOGLEFINANCE(A734,""LOW"")"),503.25)</f>
        <v>503.25</v>
      </c>
      <c r="F734" s="12" t="str">
        <f t="shared" ca="1" si="21"/>
        <v/>
      </c>
      <c r="G734" s="13">
        <f ca="1">IFERROR(__xludf.DUMMYFUNCTION("GOOGLEFINANCE(A734,""CLOSEYEST"")"),507.2)</f>
        <v>507.2</v>
      </c>
      <c r="H734" s="14" t="str">
        <f t="shared" ca="1" si="27"/>
        <v/>
      </c>
      <c r="I734" s="15">
        <f t="shared" ca="1" si="22"/>
        <v>506.7833333333333</v>
      </c>
      <c r="J734" s="16">
        <f t="shared" ca="1" si="23"/>
        <v>510.31666666666661</v>
      </c>
      <c r="K734" s="16"/>
      <c r="L734" s="16">
        <f t="shared" ca="1" si="24"/>
        <v>503.66666666666663</v>
      </c>
      <c r="M734" s="16">
        <f t="shared" ca="1" si="25"/>
        <v>513.43333333333328</v>
      </c>
      <c r="N734" s="16">
        <f t="shared" ca="1" si="26"/>
        <v>500.13333333333333</v>
      </c>
    </row>
    <row r="735" spans="1:14" ht="24.75" customHeight="1" x14ac:dyDescent="0.8">
      <c r="A735" s="18" t="s">
        <v>698</v>
      </c>
      <c r="B735" s="10">
        <f ca="1">IFERROR(__xludf.DUMMYFUNCTION("GOOGLEFINANCE(A735,""PRICE"")"),177.44)</f>
        <v>177.44</v>
      </c>
      <c r="C735" s="11">
        <f ca="1">IFERROR(__xludf.DUMMYFUNCTION("GOOGLEFINANCE(A735,""PRICEOPEN"")"),170.8)</f>
        <v>170.8</v>
      </c>
      <c r="D735" s="11">
        <f ca="1">IFERROR(__xludf.DUMMYFUNCTION("GOOGLEFINANCE(A735,""HIGH"")"),178.5)</f>
        <v>178.5</v>
      </c>
      <c r="E735" s="11">
        <f ca="1">IFERROR(__xludf.DUMMYFUNCTION("GOOGLEFINANCE(A735,""LOW"")"),169.71)</f>
        <v>169.71</v>
      </c>
      <c r="F735" s="12" t="str">
        <f t="shared" ca="1" si="21"/>
        <v/>
      </c>
      <c r="G735" s="13">
        <f ca="1">IFERROR(__xludf.DUMMYFUNCTION("GOOGLEFINANCE(A735,""CLOSEYEST"")"),170.51)</f>
        <v>170.51</v>
      </c>
      <c r="H735" s="14" t="str">
        <f t="shared" ca="1" si="27"/>
        <v/>
      </c>
      <c r="I735" s="15">
        <f t="shared" ca="1" si="22"/>
        <v>172.90666666666667</v>
      </c>
      <c r="J735" s="16">
        <f t="shared" ca="1" si="23"/>
        <v>176.10333333333332</v>
      </c>
      <c r="K735" s="16"/>
      <c r="L735" s="16">
        <f t="shared" ca="1" si="24"/>
        <v>167.31333333333333</v>
      </c>
      <c r="M735" s="16">
        <f t="shared" ca="1" si="25"/>
        <v>181.69666666666666</v>
      </c>
      <c r="N735" s="16">
        <f t="shared" ca="1" si="26"/>
        <v>164.11666666666667</v>
      </c>
    </row>
    <row r="736" spans="1:14" ht="24.75" customHeight="1" x14ac:dyDescent="0.8">
      <c r="A736" s="18" t="s">
        <v>699</v>
      </c>
      <c r="B736" s="10">
        <f ca="1">IFERROR(__xludf.DUMMYFUNCTION("GOOGLEFINANCE(A736,""PRICE"")"),53.23)</f>
        <v>53.23</v>
      </c>
      <c r="C736" s="11">
        <f ca="1">IFERROR(__xludf.DUMMYFUNCTION("GOOGLEFINANCE(A736,""PRICEOPEN"")"),52.24)</f>
        <v>52.24</v>
      </c>
      <c r="D736" s="11">
        <f ca="1">IFERROR(__xludf.DUMMYFUNCTION("GOOGLEFINANCE(A736,""HIGH"")"),53.54)</f>
        <v>53.54</v>
      </c>
      <c r="E736" s="11">
        <f ca="1">IFERROR(__xludf.DUMMYFUNCTION("GOOGLEFINANCE(A736,""LOW"")"),52.02)</f>
        <v>52.02</v>
      </c>
      <c r="F736" s="12" t="str">
        <f t="shared" ca="1" si="21"/>
        <v/>
      </c>
      <c r="G736" s="13">
        <f ca="1">IFERROR(__xludf.DUMMYFUNCTION("GOOGLEFINANCE(A736,""CLOSEYEST"")"),52.06)</f>
        <v>52.06</v>
      </c>
      <c r="H736" s="14" t="str">
        <f t="shared" ca="1" si="27"/>
        <v/>
      </c>
      <c r="I736" s="15">
        <f t="shared" ca="1" si="22"/>
        <v>52.54</v>
      </c>
      <c r="J736" s="16">
        <f t="shared" ca="1" si="23"/>
        <v>53.059999999999995</v>
      </c>
      <c r="K736" s="16"/>
      <c r="L736" s="16">
        <f t="shared" ca="1" si="24"/>
        <v>51.54</v>
      </c>
      <c r="M736" s="16">
        <f t="shared" ca="1" si="25"/>
        <v>54.059999999999995</v>
      </c>
      <c r="N736" s="16">
        <f t="shared" ca="1" si="26"/>
        <v>51.02</v>
      </c>
    </row>
    <row r="737" spans="1:14" ht="24.75" customHeight="1" x14ac:dyDescent="0.8">
      <c r="A737" s="18" t="s">
        <v>700</v>
      </c>
      <c r="B737" s="10">
        <f ca="1">IFERROR(__xludf.DUMMYFUNCTION("GOOGLEFINANCE(A737,""PRICE"")"),347.5)</f>
        <v>347.5</v>
      </c>
      <c r="C737" s="11">
        <f ca="1">IFERROR(__xludf.DUMMYFUNCTION("GOOGLEFINANCE(A737,""PRICEOPEN"")"),343.8)</f>
        <v>343.8</v>
      </c>
      <c r="D737" s="11">
        <f ca="1">IFERROR(__xludf.DUMMYFUNCTION("GOOGLEFINANCE(A737,""HIGH"")"),349)</f>
        <v>349</v>
      </c>
      <c r="E737" s="11">
        <f ca="1">IFERROR(__xludf.DUMMYFUNCTION("GOOGLEFINANCE(A737,""LOW"")"),336.55)</f>
        <v>336.55</v>
      </c>
      <c r="F737" s="12" t="str">
        <f t="shared" ca="1" si="21"/>
        <v/>
      </c>
      <c r="G737" s="13">
        <f ca="1">IFERROR(__xludf.DUMMYFUNCTION("GOOGLEFINANCE(A737,""CLOSEYEST"")"),342.9)</f>
        <v>342.9</v>
      </c>
      <c r="H737" s="14" t="str">
        <f t="shared" ca="1" si="27"/>
        <v/>
      </c>
      <c r="I737" s="15">
        <f t="shared" ca="1" si="22"/>
        <v>342.81666666666661</v>
      </c>
      <c r="J737" s="16">
        <f t="shared" ca="1" si="23"/>
        <v>349.0833333333332</v>
      </c>
      <c r="K737" s="16"/>
      <c r="L737" s="16">
        <f t="shared" ca="1" si="24"/>
        <v>336.63333333333321</v>
      </c>
      <c r="M737" s="16">
        <f t="shared" ca="1" si="25"/>
        <v>355.26666666666659</v>
      </c>
      <c r="N737" s="16">
        <f t="shared" ca="1" si="26"/>
        <v>330.36666666666662</v>
      </c>
    </row>
    <row r="738" spans="1:14" ht="24.75" customHeight="1" x14ac:dyDescent="0.8">
      <c r="A738" s="18" t="s">
        <v>701</v>
      </c>
      <c r="B738" s="10">
        <f ca="1">IFERROR(__xludf.DUMMYFUNCTION("GOOGLEFINANCE(A738,""PRICE"")"),719.75)</f>
        <v>719.75</v>
      </c>
      <c r="C738" s="11">
        <f ca="1">IFERROR(__xludf.DUMMYFUNCTION("GOOGLEFINANCE(A738,""PRICEOPEN"")"),701)</f>
        <v>701</v>
      </c>
      <c r="D738" s="11">
        <f ca="1">IFERROR(__xludf.DUMMYFUNCTION("GOOGLEFINANCE(A738,""HIGH"")"),731.7)</f>
        <v>731.7</v>
      </c>
      <c r="E738" s="11">
        <f ca="1">IFERROR(__xludf.DUMMYFUNCTION("GOOGLEFINANCE(A738,""LOW"")"),699.25)</f>
        <v>699.25</v>
      </c>
      <c r="F738" s="12" t="str">
        <f t="shared" ca="1" si="21"/>
        <v/>
      </c>
      <c r="G738" s="13">
        <f ca="1">IFERROR(__xludf.DUMMYFUNCTION("GOOGLEFINANCE(A738,""CLOSEYEST"")"),699.05)</f>
        <v>699.05</v>
      </c>
      <c r="H738" s="14" t="str">
        <f t="shared" ca="1" si="27"/>
        <v/>
      </c>
      <c r="I738" s="15">
        <f t="shared" ca="1" si="22"/>
        <v>710</v>
      </c>
      <c r="J738" s="16">
        <f t="shared" ca="1" si="23"/>
        <v>720.75</v>
      </c>
      <c r="K738" s="16"/>
      <c r="L738" s="16">
        <f t="shared" ca="1" si="24"/>
        <v>688.3</v>
      </c>
      <c r="M738" s="16">
        <f t="shared" ca="1" si="25"/>
        <v>742.45</v>
      </c>
      <c r="N738" s="16">
        <f t="shared" ca="1" si="26"/>
        <v>677.55</v>
      </c>
    </row>
    <row r="739" spans="1:14" ht="24.75" customHeight="1" x14ac:dyDescent="0.8">
      <c r="A739" s="18" t="s">
        <v>702</v>
      </c>
      <c r="B739" s="10">
        <f ca="1">IFERROR(__xludf.DUMMYFUNCTION("GOOGLEFINANCE(A739,""PRICE"")"),350)</f>
        <v>350</v>
      </c>
      <c r="C739" s="11">
        <f ca="1">IFERROR(__xludf.DUMMYFUNCTION("GOOGLEFINANCE(A739,""PRICEOPEN"")"),345)</f>
        <v>345</v>
      </c>
      <c r="D739" s="11">
        <f ca="1">IFERROR(__xludf.DUMMYFUNCTION("GOOGLEFINANCE(A739,""HIGH"")"),357.9)</f>
        <v>357.9</v>
      </c>
      <c r="E739" s="11">
        <f ca="1">IFERROR(__xludf.DUMMYFUNCTION("GOOGLEFINANCE(A739,""LOW"")"),342.75)</f>
        <v>342.75</v>
      </c>
      <c r="F739" s="12" t="str">
        <f t="shared" ca="1" si="21"/>
        <v/>
      </c>
      <c r="G739" s="13">
        <f ca="1">IFERROR(__xludf.DUMMYFUNCTION("GOOGLEFINANCE(A739,""CLOSEYEST"")"),343.2)</f>
        <v>343.2</v>
      </c>
      <c r="H739" s="14" t="str">
        <f t="shared" ca="1" si="27"/>
        <v/>
      </c>
      <c r="I739" s="15">
        <f t="shared" ca="1" si="22"/>
        <v>347.95</v>
      </c>
      <c r="J739" s="16">
        <f t="shared" ca="1" si="23"/>
        <v>353.15</v>
      </c>
      <c r="K739" s="16"/>
      <c r="L739" s="16">
        <f t="shared" ca="1" si="24"/>
        <v>338</v>
      </c>
      <c r="M739" s="16">
        <f t="shared" ca="1" si="25"/>
        <v>363.09999999999997</v>
      </c>
      <c r="N739" s="16">
        <f t="shared" ca="1" si="26"/>
        <v>332.8</v>
      </c>
    </row>
    <row r="740" spans="1:14" ht="24.75" customHeight="1" x14ac:dyDescent="0.8">
      <c r="A740" s="18" t="s">
        <v>703</v>
      </c>
      <c r="B740" s="10">
        <f ca="1">IFERROR(__xludf.DUMMYFUNCTION("GOOGLEFINANCE(A740,""PRICE"")"),381)</f>
        <v>381</v>
      </c>
      <c r="C740" s="11">
        <f ca="1">IFERROR(__xludf.DUMMYFUNCTION("GOOGLEFINANCE(A740,""PRICEOPEN"")"),382)</f>
        <v>382</v>
      </c>
      <c r="D740" s="11">
        <f ca="1">IFERROR(__xludf.DUMMYFUNCTION("GOOGLEFINANCE(A740,""HIGH"")"),387.25)</f>
        <v>387.25</v>
      </c>
      <c r="E740" s="11">
        <f ca="1">IFERROR(__xludf.DUMMYFUNCTION("GOOGLEFINANCE(A740,""LOW"")"),376.65)</f>
        <v>376.65</v>
      </c>
      <c r="F740" s="12" t="str">
        <f t="shared" ca="1" si="21"/>
        <v/>
      </c>
      <c r="G740" s="13">
        <f ca="1">IFERROR(__xludf.DUMMYFUNCTION("GOOGLEFINANCE(A740,""CLOSEYEST"")"),381.3)</f>
        <v>381.3</v>
      </c>
      <c r="H740" s="14" t="str">
        <f t="shared" ca="1" si="27"/>
        <v/>
      </c>
      <c r="I740" s="15">
        <f t="shared" ca="1" si="22"/>
        <v>381.73333333333335</v>
      </c>
      <c r="J740" s="16">
        <f t="shared" ca="1" si="23"/>
        <v>386.81666666666672</v>
      </c>
      <c r="K740" s="16"/>
      <c r="L740" s="16">
        <f t="shared" ca="1" si="24"/>
        <v>376.2166666666667</v>
      </c>
      <c r="M740" s="16">
        <f t="shared" ca="1" si="25"/>
        <v>392.33333333333337</v>
      </c>
      <c r="N740" s="16">
        <f t="shared" ca="1" si="26"/>
        <v>371.13333333333333</v>
      </c>
    </row>
    <row r="741" spans="1:14" ht="24.75" customHeight="1" x14ac:dyDescent="0.8">
      <c r="A741" s="18" t="s">
        <v>704</v>
      </c>
      <c r="B741" s="10">
        <f ca="1">IFERROR(__xludf.DUMMYFUNCTION("GOOGLEFINANCE(A741,""PRICE"")"),1225.1)</f>
        <v>1225.0999999999999</v>
      </c>
      <c r="C741" s="11">
        <f ca="1">IFERROR(__xludf.DUMMYFUNCTION("GOOGLEFINANCE(A741,""PRICEOPEN"")"),1240)</f>
        <v>1240</v>
      </c>
      <c r="D741" s="11">
        <f ca="1">IFERROR(__xludf.DUMMYFUNCTION("GOOGLEFINANCE(A741,""HIGH"")"),1243.2)</f>
        <v>1243.2</v>
      </c>
      <c r="E741" s="11">
        <f ca="1">IFERROR(__xludf.DUMMYFUNCTION("GOOGLEFINANCE(A741,""LOW"")"),1205)</f>
        <v>1205</v>
      </c>
      <c r="F741" s="12" t="str">
        <f t="shared" ca="1" si="21"/>
        <v/>
      </c>
      <c r="G741" s="13">
        <f ca="1">IFERROR(__xludf.DUMMYFUNCTION("GOOGLEFINANCE(A741,""CLOSEYEST"")"),1239.9)</f>
        <v>1239.9000000000001</v>
      </c>
      <c r="H741" s="14" t="str">
        <f t="shared" ca="1" si="27"/>
        <v/>
      </c>
      <c r="I741" s="15">
        <f t="shared" ca="1" si="22"/>
        <v>1229.3666666666666</v>
      </c>
      <c r="J741" s="16">
        <f t="shared" ca="1" si="23"/>
        <v>1253.7333333333331</v>
      </c>
      <c r="K741" s="16"/>
      <c r="L741" s="16">
        <f t="shared" ca="1" si="24"/>
        <v>1215.5333333333331</v>
      </c>
      <c r="M741" s="16">
        <f t="shared" ca="1" si="25"/>
        <v>1267.5666666666666</v>
      </c>
      <c r="N741" s="16">
        <f t="shared" ca="1" si="26"/>
        <v>1191.1666666666665</v>
      </c>
    </row>
    <row r="742" spans="1:14" ht="24.75" customHeight="1" x14ac:dyDescent="0.8">
      <c r="A742" s="18" t="s">
        <v>705</v>
      </c>
      <c r="B742" s="10" t="str">
        <f ca="1">IFERROR(__xludf.DUMMYFUNCTION("GOOGLEFINANCE(A742,""PRICE"")"),"#N/A")</f>
        <v>#N/A</v>
      </c>
      <c r="C742" s="11" t="str">
        <f ca="1">IFERROR(__xludf.DUMMYFUNCTION("GOOGLEFINANCE(A742,""PRICEOPEN"")"),"#N/A")</f>
        <v>#N/A</v>
      </c>
      <c r="D742" s="11" t="str">
        <f ca="1">IFERROR(__xludf.DUMMYFUNCTION("GOOGLEFINANCE(A742,""HIGH"")"),"#N/A")</f>
        <v>#N/A</v>
      </c>
      <c r="E742" s="11" t="str">
        <f ca="1">IFERROR(__xludf.DUMMYFUNCTION("GOOGLEFINANCE(A742,""LOW"")"),"#N/A")</f>
        <v>#N/A</v>
      </c>
      <c r="F742" s="12" t="str">
        <f t="shared" ca="1" si="21"/>
        <v>SELL</v>
      </c>
      <c r="G742" s="13" t="str">
        <f ca="1">IFERROR(__xludf.DUMMYFUNCTION("GOOGLEFINANCE(A742,""CLOSEYEST"")"),"#N/A")</f>
        <v>#N/A</v>
      </c>
      <c r="H742" s="14" t="e">
        <f t="shared" ca="1" si="27"/>
        <v>#VALUE!</v>
      </c>
      <c r="I742" s="15" t="e">
        <f t="shared" ca="1" si="22"/>
        <v>#VALUE!</v>
      </c>
      <c r="J742" s="16" t="e">
        <f t="shared" ca="1" si="23"/>
        <v>#VALUE!</v>
      </c>
      <c r="K742" s="16"/>
      <c r="L742" s="16" t="e">
        <f t="shared" ca="1" si="24"/>
        <v>#VALUE!</v>
      </c>
      <c r="M742" s="16" t="e">
        <f t="shared" ca="1" si="25"/>
        <v>#VALUE!</v>
      </c>
      <c r="N742" s="16" t="e">
        <f t="shared" ca="1" si="26"/>
        <v>#VALUE!</v>
      </c>
    </row>
    <row r="743" spans="1:14" ht="24.75" customHeight="1" x14ac:dyDescent="0.8">
      <c r="A743" s="18" t="s">
        <v>706</v>
      </c>
      <c r="B743" s="10">
        <f ca="1">IFERROR(__xludf.DUMMYFUNCTION("GOOGLEFINANCE(A743,""PRICE"")"),159.85)</f>
        <v>159.85</v>
      </c>
      <c r="C743" s="11">
        <f ca="1">IFERROR(__xludf.DUMMYFUNCTION("GOOGLEFINANCE(A743,""PRICEOPEN"")"),159.07)</f>
        <v>159.07</v>
      </c>
      <c r="D743" s="11">
        <f ca="1">IFERROR(__xludf.DUMMYFUNCTION("GOOGLEFINANCE(A743,""HIGH"")"),160)</f>
        <v>160</v>
      </c>
      <c r="E743" s="11">
        <f ca="1">IFERROR(__xludf.DUMMYFUNCTION("GOOGLEFINANCE(A743,""LOW"")"),156.67)</f>
        <v>156.66999999999999</v>
      </c>
      <c r="F743" s="12" t="str">
        <f t="shared" ca="1" si="21"/>
        <v/>
      </c>
      <c r="G743" s="13">
        <f ca="1">IFERROR(__xludf.DUMMYFUNCTION("GOOGLEFINANCE(A743,""CLOSEYEST"")"),158.92)</f>
        <v>158.91999999999999</v>
      </c>
      <c r="H743" s="14" t="str">
        <f t="shared" ca="1" si="27"/>
        <v/>
      </c>
      <c r="I743" s="15">
        <f t="shared" ca="1" si="22"/>
        <v>158.52999999999997</v>
      </c>
      <c r="J743" s="16">
        <f t="shared" ca="1" si="23"/>
        <v>160.38999999999996</v>
      </c>
      <c r="K743" s="16"/>
      <c r="L743" s="16">
        <f t="shared" ca="1" si="24"/>
        <v>157.05999999999995</v>
      </c>
      <c r="M743" s="16">
        <f t="shared" ca="1" si="25"/>
        <v>161.85999999999999</v>
      </c>
      <c r="N743" s="16">
        <f t="shared" ca="1" si="26"/>
        <v>155.19999999999996</v>
      </c>
    </row>
    <row r="744" spans="1:14" ht="24.75" customHeight="1" x14ac:dyDescent="0.8">
      <c r="A744" s="18" t="s">
        <v>707</v>
      </c>
      <c r="B744" s="10">
        <f ca="1">IFERROR(__xludf.DUMMYFUNCTION("GOOGLEFINANCE(A744,""PRICE"")"),209.4)</f>
        <v>209.4</v>
      </c>
      <c r="C744" s="11">
        <f ca="1">IFERROR(__xludf.DUMMYFUNCTION("GOOGLEFINANCE(A744,""PRICEOPEN"")"),210.3)</f>
        <v>210.3</v>
      </c>
      <c r="D744" s="11">
        <f ca="1">IFERROR(__xludf.DUMMYFUNCTION("GOOGLEFINANCE(A744,""HIGH"")"),212.3)</f>
        <v>212.3</v>
      </c>
      <c r="E744" s="11">
        <f ca="1">IFERROR(__xludf.DUMMYFUNCTION("GOOGLEFINANCE(A744,""LOW"")"),209.4)</f>
        <v>209.4</v>
      </c>
      <c r="F744" s="12" t="str">
        <f t="shared" ca="1" si="21"/>
        <v/>
      </c>
      <c r="G744" s="13">
        <f ca="1">IFERROR(__xludf.DUMMYFUNCTION("GOOGLEFINANCE(A744,""CLOSEYEST"")"),210.3)</f>
        <v>210.3</v>
      </c>
      <c r="H744" s="14" t="str">
        <f t="shared" ca="1" si="27"/>
        <v/>
      </c>
      <c r="I744" s="15">
        <f t="shared" ca="1" si="22"/>
        <v>210.66666666666666</v>
      </c>
      <c r="J744" s="16">
        <f t="shared" ca="1" si="23"/>
        <v>211.93333333333331</v>
      </c>
      <c r="K744" s="16"/>
      <c r="L744" s="16">
        <f t="shared" ca="1" si="24"/>
        <v>209.0333333333333</v>
      </c>
      <c r="M744" s="16">
        <f t="shared" ca="1" si="25"/>
        <v>213.56666666666666</v>
      </c>
      <c r="N744" s="16">
        <f t="shared" ca="1" si="26"/>
        <v>207.76666666666665</v>
      </c>
    </row>
    <row r="745" spans="1:14" ht="24.75" customHeight="1" x14ac:dyDescent="0.8">
      <c r="A745" s="18" t="s">
        <v>708</v>
      </c>
      <c r="B745" s="10">
        <f ca="1">IFERROR(__xludf.DUMMYFUNCTION("GOOGLEFINANCE(A745,""PRICE"")"),164.81)</f>
        <v>164.81</v>
      </c>
      <c r="C745" s="11">
        <f ca="1">IFERROR(__xludf.DUMMYFUNCTION("GOOGLEFINANCE(A745,""PRICEOPEN"")"),163.59)</f>
        <v>163.59</v>
      </c>
      <c r="D745" s="11">
        <f ca="1">IFERROR(__xludf.DUMMYFUNCTION("GOOGLEFINANCE(A745,""HIGH"")"),165.56)</f>
        <v>165.56</v>
      </c>
      <c r="E745" s="11">
        <f ca="1">IFERROR(__xludf.DUMMYFUNCTION("GOOGLEFINANCE(A745,""LOW"")"),158)</f>
        <v>158</v>
      </c>
      <c r="F745" s="12" t="str">
        <f t="shared" ca="1" si="21"/>
        <v/>
      </c>
      <c r="G745" s="13">
        <f ca="1">IFERROR(__xludf.DUMMYFUNCTION("GOOGLEFINANCE(A745,""CLOSEYEST"")"),163.12)</f>
        <v>163.12</v>
      </c>
      <c r="H745" s="14" t="str">
        <f t="shared" ca="1" si="27"/>
        <v/>
      </c>
      <c r="I745" s="15">
        <f t="shared" ca="1" si="22"/>
        <v>162.22666666666666</v>
      </c>
      <c r="J745" s="16">
        <f t="shared" ca="1" si="23"/>
        <v>166.45333333333332</v>
      </c>
      <c r="K745" s="16"/>
      <c r="L745" s="16">
        <f t="shared" ca="1" si="24"/>
        <v>158.89333333333332</v>
      </c>
      <c r="M745" s="16">
        <f t="shared" ca="1" si="25"/>
        <v>169.78666666666666</v>
      </c>
      <c r="N745" s="16">
        <f t="shared" ca="1" si="26"/>
        <v>154.66666666666666</v>
      </c>
    </row>
    <row r="746" spans="1:14" ht="24.75" customHeight="1" x14ac:dyDescent="0.8">
      <c r="A746" s="18" t="s">
        <v>709</v>
      </c>
      <c r="B746" s="10">
        <f ca="1">IFERROR(__xludf.DUMMYFUNCTION("GOOGLEFINANCE(A746,""PRICE"")"),698.4)</f>
        <v>698.4</v>
      </c>
      <c r="C746" s="11">
        <f ca="1">IFERROR(__xludf.DUMMYFUNCTION("GOOGLEFINANCE(A746,""PRICEOPEN"")"),683)</f>
        <v>683</v>
      </c>
      <c r="D746" s="11">
        <f ca="1">IFERROR(__xludf.DUMMYFUNCTION("GOOGLEFINANCE(A746,""HIGH"")"),698.7)</f>
        <v>698.7</v>
      </c>
      <c r="E746" s="11">
        <f ca="1">IFERROR(__xludf.DUMMYFUNCTION("GOOGLEFINANCE(A746,""LOW"")"),682.4)</f>
        <v>682.4</v>
      </c>
      <c r="F746" s="12" t="str">
        <f t="shared" ca="1" si="21"/>
        <v/>
      </c>
      <c r="G746" s="13">
        <f ca="1">IFERROR(__xludf.DUMMYFUNCTION("GOOGLEFINANCE(A746,""CLOSEYEST"")"),682.05)</f>
        <v>682.05</v>
      </c>
      <c r="H746" s="14" t="str">
        <f t="shared" ca="1" si="27"/>
        <v/>
      </c>
      <c r="I746" s="15">
        <f t="shared" ca="1" si="22"/>
        <v>687.71666666666658</v>
      </c>
      <c r="J746" s="16">
        <f t="shared" ca="1" si="23"/>
        <v>693.03333333333319</v>
      </c>
      <c r="K746" s="16"/>
      <c r="L746" s="16">
        <f t="shared" ca="1" si="24"/>
        <v>676.73333333333312</v>
      </c>
      <c r="M746" s="16">
        <f t="shared" ca="1" si="25"/>
        <v>704.01666666666665</v>
      </c>
      <c r="N746" s="16">
        <f t="shared" ca="1" si="26"/>
        <v>671.41666666666652</v>
      </c>
    </row>
    <row r="747" spans="1:14" ht="24.75" customHeight="1" x14ac:dyDescent="0.8">
      <c r="A747" s="18" t="s">
        <v>710</v>
      </c>
      <c r="B747" s="10">
        <f ca="1">IFERROR(__xludf.DUMMYFUNCTION("GOOGLEFINANCE(A747,""PRICE"")"),210.9)</f>
        <v>210.9</v>
      </c>
      <c r="C747" s="11">
        <f ca="1">IFERROR(__xludf.DUMMYFUNCTION("GOOGLEFINANCE(A747,""PRICEOPEN"")"),209)</f>
        <v>209</v>
      </c>
      <c r="D747" s="11">
        <f ca="1">IFERROR(__xludf.DUMMYFUNCTION("GOOGLEFINANCE(A747,""HIGH"")"),211.78)</f>
        <v>211.78</v>
      </c>
      <c r="E747" s="11">
        <f ca="1">IFERROR(__xludf.DUMMYFUNCTION("GOOGLEFINANCE(A747,""LOW"")"),206)</f>
        <v>206</v>
      </c>
      <c r="F747" s="12" t="str">
        <f t="shared" ca="1" si="21"/>
        <v/>
      </c>
      <c r="G747" s="13">
        <f ca="1">IFERROR(__xludf.DUMMYFUNCTION("GOOGLEFINANCE(A747,""CLOSEYEST"")"),206.35)</f>
        <v>206.35</v>
      </c>
      <c r="H747" s="14" t="str">
        <f t="shared" ca="1" si="27"/>
        <v>GAP UP</v>
      </c>
      <c r="I747" s="15">
        <f t="shared" ca="1" si="22"/>
        <v>208.04333333333332</v>
      </c>
      <c r="J747" s="16">
        <f t="shared" ca="1" si="23"/>
        <v>210.08666666666664</v>
      </c>
      <c r="K747" s="16"/>
      <c r="L747" s="16">
        <f t="shared" ca="1" si="24"/>
        <v>204.30666666666664</v>
      </c>
      <c r="M747" s="16">
        <f t="shared" ca="1" si="25"/>
        <v>213.82333333333332</v>
      </c>
      <c r="N747" s="16">
        <f t="shared" ca="1" si="26"/>
        <v>202.26333333333332</v>
      </c>
    </row>
    <row r="748" spans="1:14" ht="24.75" customHeight="1" x14ac:dyDescent="0.8">
      <c r="A748" s="18" t="s">
        <v>711</v>
      </c>
      <c r="B748" s="10">
        <f ca="1">IFERROR(__xludf.DUMMYFUNCTION("GOOGLEFINANCE(A748,""PRICE"")"),136)</f>
        <v>136</v>
      </c>
      <c r="C748" s="11">
        <f ca="1">IFERROR(__xludf.DUMMYFUNCTION("GOOGLEFINANCE(A748,""PRICEOPEN"")"),135)</f>
        <v>135</v>
      </c>
      <c r="D748" s="11">
        <f ca="1">IFERROR(__xludf.DUMMYFUNCTION("GOOGLEFINANCE(A748,""HIGH"")"),136.25)</f>
        <v>136.25</v>
      </c>
      <c r="E748" s="11">
        <f ca="1">IFERROR(__xludf.DUMMYFUNCTION("GOOGLEFINANCE(A748,""LOW"")"),134.31)</f>
        <v>134.31</v>
      </c>
      <c r="F748" s="12" t="str">
        <f t="shared" ca="1" si="21"/>
        <v/>
      </c>
      <c r="G748" s="13">
        <f ca="1">IFERROR(__xludf.DUMMYFUNCTION("GOOGLEFINANCE(A748,""CLOSEYEST"")"),134.37)</f>
        <v>134.37</v>
      </c>
      <c r="H748" s="14" t="str">
        <f t="shared" ca="1" si="27"/>
        <v/>
      </c>
      <c r="I748" s="15">
        <f t="shared" ca="1" si="22"/>
        <v>134.97666666666666</v>
      </c>
      <c r="J748" s="16">
        <f t="shared" ca="1" si="23"/>
        <v>135.64333333333332</v>
      </c>
      <c r="K748" s="16"/>
      <c r="L748" s="16">
        <f t="shared" ca="1" si="24"/>
        <v>133.70333333333332</v>
      </c>
      <c r="M748" s="16">
        <f t="shared" ca="1" si="25"/>
        <v>136.91666666666666</v>
      </c>
      <c r="N748" s="16">
        <f t="shared" ca="1" si="26"/>
        <v>133.03666666666666</v>
      </c>
    </row>
    <row r="749" spans="1:14" ht="24.75" customHeight="1" x14ac:dyDescent="0.8">
      <c r="A749" s="18" t="s">
        <v>712</v>
      </c>
      <c r="B749" s="10">
        <f ca="1">IFERROR(__xludf.DUMMYFUNCTION("GOOGLEFINANCE(A749,""PRICE"")"),503.45)</f>
        <v>503.45</v>
      </c>
      <c r="C749" s="11">
        <f ca="1">IFERROR(__xludf.DUMMYFUNCTION("GOOGLEFINANCE(A749,""PRICEOPEN"")"),511.9)</f>
        <v>511.9</v>
      </c>
      <c r="D749" s="11">
        <f ca="1">IFERROR(__xludf.DUMMYFUNCTION("GOOGLEFINANCE(A749,""HIGH"")"),513.95)</f>
        <v>513.95000000000005</v>
      </c>
      <c r="E749" s="11">
        <f ca="1">IFERROR(__xludf.DUMMYFUNCTION("GOOGLEFINANCE(A749,""LOW"")"),496.85)</f>
        <v>496.85</v>
      </c>
      <c r="F749" s="12" t="str">
        <f t="shared" ca="1" si="21"/>
        <v/>
      </c>
      <c r="G749" s="13">
        <f ca="1">IFERROR(__xludf.DUMMYFUNCTION("GOOGLEFINANCE(A749,""CLOSEYEST"")"),508.1)</f>
        <v>508.1</v>
      </c>
      <c r="H749" s="14" t="str">
        <f t="shared" ca="1" si="27"/>
        <v/>
      </c>
      <c r="I749" s="15">
        <f t="shared" ca="1" si="22"/>
        <v>506.3</v>
      </c>
      <c r="J749" s="16">
        <f t="shared" ca="1" si="23"/>
        <v>515.75</v>
      </c>
      <c r="K749" s="16"/>
      <c r="L749" s="16">
        <f t="shared" ca="1" si="24"/>
        <v>498.65</v>
      </c>
      <c r="M749" s="16">
        <f t="shared" ca="1" si="25"/>
        <v>523.40000000000009</v>
      </c>
      <c r="N749" s="16">
        <f t="shared" ca="1" si="26"/>
        <v>489.2</v>
      </c>
    </row>
    <row r="750" spans="1:14" ht="24.75" customHeight="1" x14ac:dyDescent="0.8">
      <c r="A750" s="18" t="s">
        <v>713</v>
      </c>
      <c r="B750" s="10">
        <f ca="1">IFERROR(__xludf.DUMMYFUNCTION("GOOGLEFINANCE(A750,""PRICE"")"),62.34)</f>
        <v>62.34</v>
      </c>
      <c r="C750" s="11">
        <f ca="1">IFERROR(__xludf.DUMMYFUNCTION("GOOGLEFINANCE(A750,""PRICEOPEN"")"),59.38)</f>
        <v>59.38</v>
      </c>
      <c r="D750" s="11">
        <f ca="1">IFERROR(__xludf.DUMMYFUNCTION("GOOGLEFINANCE(A750,""HIGH"")"),62.34)</f>
        <v>62.34</v>
      </c>
      <c r="E750" s="11">
        <f ca="1">IFERROR(__xludf.DUMMYFUNCTION("GOOGLEFINANCE(A750,""LOW"")"),59.34)</f>
        <v>59.34</v>
      </c>
      <c r="F750" s="12" t="str">
        <f t="shared" ca="1" si="21"/>
        <v/>
      </c>
      <c r="G750" s="13">
        <f ca="1">IFERROR(__xludf.DUMMYFUNCTION("GOOGLEFINANCE(A750,""CLOSEYEST"")"),59.38)</f>
        <v>59.38</v>
      </c>
      <c r="H750" s="14" t="str">
        <f t="shared" ca="1" si="27"/>
        <v/>
      </c>
      <c r="I750" s="15">
        <f t="shared" ca="1" si="22"/>
        <v>60.353333333333332</v>
      </c>
      <c r="J750" s="16">
        <f t="shared" ca="1" si="23"/>
        <v>61.36666666666666</v>
      </c>
      <c r="K750" s="16"/>
      <c r="L750" s="16">
        <f t="shared" ca="1" si="24"/>
        <v>58.36666666666666</v>
      </c>
      <c r="M750" s="16">
        <f t="shared" ca="1" si="25"/>
        <v>63.353333333333332</v>
      </c>
      <c r="N750" s="16">
        <f t="shared" ca="1" si="26"/>
        <v>57.353333333333332</v>
      </c>
    </row>
    <row r="751" spans="1:14" ht="24.75" customHeight="1" x14ac:dyDescent="0.8">
      <c r="A751" s="18" t="s">
        <v>714</v>
      </c>
      <c r="B751" s="10">
        <f ca="1">IFERROR(__xludf.DUMMYFUNCTION("GOOGLEFINANCE(A751,""PRICE"")"),427.4)</f>
        <v>427.4</v>
      </c>
      <c r="C751" s="11">
        <f ca="1">IFERROR(__xludf.DUMMYFUNCTION("GOOGLEFINANCE(A751,""PRICEOPEN"")"),424.1)</f>
        <v>424.1</v>
      </c>
      <c r="D751" s="11">
        <f ca="1">IFERROR(__xludf.DUMMYFUNCTION("GOOGLEFINANCE(A751,""HIGH"")"),430.15)</f>
        <v>430.15</v>
      </c>
      <c r="E751" s="11">
        <f ca="1">IFERROR(__xludf.DUMMYFUNCTION("GOOGLEFINANCE(A751,""LOW"")"),423.2)</f>
        <v>423.2</v>
      </c>
      <c r="F751" s="12" t="str">
        <f t="shared" ca="1" si="21"/>
        <v/>
      </c>
      <c r="G751" s="13">
        <f ca="1">IFERROR(__xludf.DUMMYFUNCTION("GOOGLEFINANCE(A751,""CLOSEYEST"")"),424.1)</f>
        <v>424.1</v>
      </c>
      <c r="H751" s="14" t="str">
        <f t="shared" ca="1" si="27"/>
        <v/>
      </c>
      <c r="I751" s="15">
        <f t="shared" ca="1" si="22"/>
        <v>425.81666666666661</v>
      </c>
      <c r="J751" s="16">
        <f t="shared" ca="1" si="23"/>
        <v>428.43333333333322</v>
      </c>
      <c r="K751" s="16"/>
      <c r="L751" s="16">
        <f t="shared" ca="1" si="24"/>
        <v>421.48333333333323</v>
      </c>
      <c r="M751" s="16">
        <f t="shared" ca="1" si="25"/>
        <v>432.76666666666659</v>
      </c>
      <c r="N751" s="16">
        <f t="shared" ca="1" si="26"/>
        <v>418.86666666666662</v>
      </c>
    </row>
    <row r="752" spans="1:14" ht="24.75" customHeight="1" x14ac:dyDescent="0.8">
      <c r="A752" s="18" t="s">
        <v>715</v>
      </c>
      <c r="B752" s="10">
        <f ca="1">IFERROR(__xludf.DUMMYFUNCTION("GOOGLEFINANCE(A752,""PRICE"")"),1165)</f>
        <v>1165</v>
      </c>
      <c r="C752" s="11">
        <f ca="1">IFERROR(__xludf.DUMMYFUNCTION("GOOGLEFINANCE(A752,""PRICEOPEN"")"),1159)</f>
        <v>1159</v>
      </c>
      <c r="D752" s="11">
        <f ca="1">IFERROR(__xludf.DUMMYFUNCTION("GOOGLEFINANCE(A752,""HIGH"")"),1183.9)</f>
        <v>1183.9000000000001</v>
      </c>
      <c r="E752" s="11">
        <f ca="1">IFERROR(__xludf.DUMMYFUNCTION("GOOGLEFINANCE(A752,""LOW"")"),1136.3)</f>
        <v>1136.3</v>
      </c>
      <c r="F752" s="12" t="str">
        <f t="shared" ca="1" si="21"/>
        <v/>
      </c>
      <c r="G752" s="13">
        <f ca="1">IFERROR(__xludf.DUMMYFUNCTION("GOOGLEFINANCE(A752,""CLOSEYEST"")"),1136.3)</f>
        <v>1136.3</v>
      </c>
      <c r="H752" s="14" t="str">
        <f t="shared" ca="1" si="27"/>
        <v>GAP UP</v>
      </c>
      <c r="I752" s="15">
        <f t="shared" ca="1" si="22"/>
        <v>1152.1666666666667</v>
      </c>
      <c r="J752" s="16">
        <f t="shared" ca="1" si="23"/>
        <v>1168.0333333333335</v>
      </c>
      <c r="K752" s="16"/>
      <c r="L752" s="16">
        <f t="shared" ca="1" si="24"/>
        <v>1120.4333333333334</v>
      </c>
      <c r="M752" s="16">
        <f t="shared" ca="1" si="25"/>
        <v>1199.7666666666669</v>
      </c>
      <c r="N752" s="16">
        <f t="shared" ca="1" si="26"/>
        <v>1104.5666666666666</v>
      </c>
    </row>
    <row r="753" spans="1:14" ht="24.75" customHeight="1" x14ac:dyDescent="0.8">
      <c r="A753" s="18" t="s">
        <v>716</v>
      </c>
      <c r="B753" s="10">
        <f ca="1">IFERROR(__xludf.DUMMYFUNCTION("GOOGLEFINANCE(A753,""PRICE"")"),243)</f>
        <v>243</v>
      </c>
      <c r="C753" s="11">
        <f ca="1">IFERROR(__xludf.DUMMYFUNCTION("GOOGLEFINANCE(A753,""PRICEOPEN"")"),236.5)</f>
        <v>236.5</v>
      </c>
      <c r="D753" s="11">
        <f ca="1">IFERROR(__xludf.DUMMYFUNCTION("GOOGLEFINANCE(A753,""HIGH"")"),243)</f>
        <v>243</v>
      </c>
      <c r="E753" s="11">
        <f ca="1">IFERROR(__xludf.DUMMYFUNCTION("GOOGLEFINANCE(A753,""LOW"")"),232.4)</f>
        <v>232.4</v>
      </c>
      <c r="F753" s="12" t="str">
        <f t="shared" ca="1" si="21"/>
        <v/>
      </c>
      <c r="G753" s="13">
        <f ca="1">IFERROR(__xludf.DUMMYFUNCTION("GOOGLEFINANCE(A753,""CLOSEYEST"")"),236.4)</f>
        <v>236.4</v>
      </c>
      <c r="H753" s="14" t="str">
        <f t="shared" ca="1" si="27"/>
        <v/>
      </c>
      <c r="I753" s="15">
        <f t="shared" ca="1" si="22"/>
        <v>237.26666666666665</v>
      </c>
      <c r="J753" s="16">
        <f t="shared" ca="1" si="23"/>
        <v>242.1333333333333</v>
      </c>
      <c r="K753" s="16"/>
      <c r="L753" s="16">
        <f t="shared" ca="1" si="24"/>
        <v>231.5333333333333</v>
      </c>
      <c r="M753" s="16">
        <f t="shared" ca="1" si="25"/>
        <v>247.86666666666665</v>
      </c>
      <c r="N753" s="16">
        <f t="shared" ca="1" si="26"/>
        <v>226.66666666666666</v>
      </c>
    </row>
    <row r="754" spans="1:14" ht="24.75" customHeight="1" x14ac:dyDescent="0.8">
      <c r="A754" s="18" t="s">
        <v>717</v>
      </c>
      <c r="B754" s="10" t="str">
        <f ca="1">IFERROR(__xludf.DUMMYFUNCTION("GOOGLEFINANCE(A754,""PRICE"")"),"#N/A")</f>
        <v>#N/A</v>
      </c>
      <c r="C754" s="11" t="str">
        <f ca="1">IFERROR(__xludf.DUMMYFUNCTION("GOOGLEFINANCE(A754,""PRICEOPEN"")"),"#N/A")</f>
        <v>#N/A</v>
      </c>
      <c r="D754" s="11" t="str">
        <f ca="1">IFERROR(__xludf.DUMMYFUNCTION("GOOGLEFINANCE(A754,""HIGH"")"),"#N/A")</f>
        <v>#N/A</v>
      </c>
      <c r="E754" s="11" t="str">
        <f ca="1">IFERROR(__xludf.DUMMYFUNCTION("GOOGLEFINANCE(A754,""LOW"")"),"#N/A")</f>
        <v>#N/A</v>
      </c>
      <c r="F754" s="12" t="str">
        <f t="shared" ca="1" si="21"/>
        <v>SELL</v>
      </c>
      <c r="G754" s="13" t="str">
        <f ca="1">IFERROR(__xludf.DUMMYFUNCTION("GOOGLEFINANCE(A754,""CLOSEYEST"")"),"#N/A")</f>
        <v>#N/A</v>
      </c>
      <c r="H754" s="14" t="e">
        <f t="shared" ca="1" si="27"/>
        <v>#VALUE!</v>
      </c>
      <c r="I754" s="15" t="e">
        <f t="shared" ca="1" si="22"/>
        <v>#VALUE!</v>
      </c>
      <c r="J754" s="16" t="e">
        <f t="shared" ca="1" si="23"/>
        <v>#VALUE!</v>
      </c>
      <c r="K754" s="16"/>
      <c r="L754" s="16" t="e">
        <f t="shared" ca="1" si="24"/>
        <v>#VALUE!</v>
      </c>
      <c r="M754" s="16" t="e">
        <f t="shared" ca="1" si="25"/>
        <v>#VALUE!</v>
      </c>
      <c r="N754" s="16" t="e">
        <f t="shared" ca="1" si="26"/>
        <v>#VALUE!</v>
      </c>
    </row>
    <row r="755" spans="1:14" ht="24.75" customHeight="1" x14ac:dyDescent="0.8">
      <c r="A755" s="18" t="s">
        <v>718</v>
      </c>
      <c r="B755" s="10">
        <f ca="1">IFERROR(__xludf.DUMMYFUNCTION("GOOGLEFINANCE(A755,""PRICE"")"),1224.4)</f>
        <v>1224.4000000000001</v>
      </c>
      <c r="C755" s="11">
        <f ca="1">IFERROR(__xludf.DUMMYFUNCTION("GOOGLEFINANCE(A755,""PRICEOPEN"")"),1230.1)</f>
        <v>1230.0999999999999</v>
      </c>
      <c r="D755" s="11">
        <f ca="1">IFERROR(__xludf.DUMMYFUNCTION("GOOGLEFINANCE(A755,""HIGH"")"),1237.7)</f>
        <v>1237.7</v>
      </c>
      <c r="E755" s="11">
        <f ca="1">IFERROR(__xludf.DUMMYFUNCTION("GOOGLEFINANCE(A755,""LOW"")"),1211.5)</f>
        <v>1211.5</v>
      </c>
      <c r="F755" s="12" t="str">
        <f t="shared" ca="1" si="21"/>
        <v/>
      </c>
      <c r="G755" s="13">
        <f ca="1">IFERROR(__xludf.DUMMYFUNCTION("GOOGLEFINANCE(A755,""CLOSEYEST"")"),1244)</f>
        <v>1244</v>
      </c>
      <c r="H755" s="14" t="str">
        <f t="shared" ca="1" si="27"/>
        <v>GAP DOWN</v>
      </c>
      <c r="I755" s="15">
        <f t="shared" ca="1" si="22"/>
        <v>1231.0666666666666</v>
      </c>
      <c r="J755" s="16">
        <f t="shared" ca="1" si="23"/>
        <v>1250.6333333333332</v>
      </c>
      <c r="K755" s="16"/>
      <c r="L755" s="16">
        <f t="shared" ca="1" si="24"/>
        <v>1224.4333333333332</v>
      </c>
      <c r="M755" s="16">
        <f t="shared" ca="1" si="25"/>
        <v>1257.2666666666667</v>
      </c>
      <c r="N755" s="16">
        <f t="shared" ca="1" si="26"/>
        <v>1204.8666666666666</v>
      </c>
    </row>
    <row r="756" spans="1:14" ht="24.75" customHeight="1" x14ac:dyDescent="0.8">
      <c r="A756" s="18" t="s">
        <v>719</v>
      </c>
      <c r="B756" s="10">
        <f ca="1">IFERROR(__xludf.DUMMYFUNCTION("GOOGLEFINANCE(A756,""PRICE"")"),1575.4)</f>
        <v>1575.4</v>
      </c>
      <c r="C756" s="11">
        <f ca="1">IFERROR(__xludf.DUMMYFUNCTION("GOOGLEFINANCE(A756,""PRICEOPEN"")"),1562.5)</f>
        <v>1562.5</v>
      </c>
      <c r="D756" s="11">
        <f ca="1">IFERROR(__xludf.DUMMYFUNCTION("GOOGLEFINANCE(A756,""HIGH"")"),1629.4)</f>
        <v>1629.4</v>
      </c>
      <c r="E756" s="11">
        <f ca="1">IFERROR(__xludf.DUMMYFUNCTION("GOOGLEFINANCE(A756,""LOW"")"),1562.1)</f>
        <v>1562.1</v>
      </c>
      <c r="F756" s="12" t="str">
        <f t="shared" ca="1" si="21"/>
        <v/>
      </c>
      <c r="G756" s="13">
        <f ca="1">IFERROR(__xludf.DUMMYFUNCTION("GOOGLEFINANCE(A756,""CLOSEYEST"")"),1558.9)</f>
        <v>1558.9</v>
      </c>
      <c r="H756" s="14" t="str">
        <f t="shared" ca="1" si="27"/>
        <v/>
      </c>
      <c r="I756" s="15">
        <f t="shared" ca="1" si="22"/>
        <v>1583.4666666666665</v>
      </c>
      <c r="J756" s="16">
        <f t="shared" ca="1" si="23"/>
        <v>1604.833333333333</v>
      </c>
      <c r="K756" s="16"/>
      <c r="L756" s="16">
        <f t="shared" ca="1" si="24"/>
        <v>1537.5333333333328</v>
      </c>
      <c r="M756" s="16">
        <f t="shared" ca="1" si="25"/>
        <v>1650.7666666666667</v>
      </c>
      <c r="N756" s="16">
        <f t="shared" ca="1" si="26"/>
        <v>1516.1666666666663</v>
      </c>
    </row>
    <row r="757" spans="1:14" ht="24.75" customHeight="1" x14ac:dyDescent="0.8">
      <c r="A757" s="18" t="s">
        <v>720</v>
      </c>
      <c r="B757" s="10">
        <f ca="1">IFERROR(__xludf.DUMMYFUNCTION("GOOGLEFINANCE(A757,""PRICE"")"),778.65)</f>
        <v>778.65</v>
      </c>
      <c r="C757" s="11">
        <f ca="1">IFERROR(__xludf.DUMMYFUNCTION("GOOGLEFINANCE(A757,""PRICEOPEN"")"),778)</f>
        <v>778</v>
      </c>
      <c r="D757" s="11">
        <f ca="1">IFERROR(__xludf.DUMMYFUNCTION("GOOGLEFINANCE(A757,""HIGH"")"),794)</f>
        <v>794</v>
      </c>
      <c r="E757" s="11">
        <f ca="1">IFERROR(__xludf.DUMMYFUNCTION("GOOGLEFINANCE(A757,""LOW"")"),777.9)</f>
        <v>777.9</v>
      </c>
      <c r="F757" s="12" t="str">
        <f t="shared" ca="1" si="21"/>
        <v/>
      </c>
      <c r="G757" s="13">
        <f ca="1">IFERROR(__xludf.DUMMYFUNCTION("GOOGLEFINANCE(A757,""CLOSEYEST"")"),778.7)</f>
        <v>778.7</v>
      </c>
      <c r="H757" s="14" t="str">
        <f t="shared" ca="1" si="27"/>
        <v/>
      </c>
      <c r="I757" s="15">
        <f t="shared" ca="1" si="22"/>
        <v>783.53333333333342</v>
      </c>
      <c r="J757" s="16">
        <f t="shared" ca="1" si="23"/>
        <v>789.16666666666686</v>
      </c>
      <c r="K757" s="16"/>
      <c r="L757" s="16">
        <f t="shared" ca="1" si="24"/>
        <v>773.06666666666683</v>
      </c>
      <c r="M757" s="16">
        <f t="shared" ca="1" si="25"/>
        <v>799.63333333333344</v>
      </c>
      <c r="N757" s="16">
        <f t="shared" ca="1" si="26"/>
        <v>767.43333333333339</v>
      </c>
    </row>
    <row r="758" spans="1:14" ht="24.75" customHeight="1" x14ac:dyDescent="0.8">
      <c r="A758" s="18" t="s">
        <v>721</v>
      </c>
      <c r="B758" s="10">
        <f ca="1">IFERROR(__xludf.DUMMYFUNCTION("GOOGLEFINANCE(A758,""PRICE"")"),586)</f>
        <v>586</v>
      </c>
      <c r="C758" s="11">
        <f ca="1">IFERROR(__xludf.DUMMYFUNCTION("GOOGLEFINANCE(A758,""PRICEOPEN"")"),586.85)</f>
        <v>586.85</v>
      </c>
      <c r="D758" s="11">
        <f ca="1">IFERROR(__xludf.DUMMYFUNCTION("GOOGLEFINANCE(A758,""HIGH"")"),591.6)</f>
        <v>591.6</v>
      </c>
      <c r="E758" s="11">
        <f ca="1">IFERROR(__xludf.DUMMYFUNCTION("GOOGLEFINANCE(A758,""LOW"")"),578)</f>
        <v>578</v>
      </c>
      <c r="F758" s="12" t="str">
        <f t="shared" ca="1" si="21"/>
        <v/>
      </c>
      <c r="G758" s="13">
        <f ca="1">IFERROR(__xludf.DUMMYFUNCTION("GOOGLEFINANCE(A758,""CLOSEYEST"")"),586.85)</f>
        <v>586.85</v>
      </c>
      <c r="H758" s="14" t="str">
        <f t="shared" ca="1" si="27"/>
        <v/>
      </c>
      <c r="I758" s="15">
        <f t="shared" ca="1" si="22"/>
        <v>585.48333333333323</v>
      </c>
      <c r="J758" s="16">
        <f t="shared" ca="1" si="23"/>
        <v>592.96666666666647</v>
      </c>
      <c r="K758" s="16"/>
      <c r="L758" s="16">
        <f t="shared" ca="1" si="24"/>
        <v>579.36666666666645</v>
      </c>
      <c r="M758" s="16">
        <f t="shared" ca="1" si="25"/>
        <v>599.08333333333326</v>
      </c>
      <c r="N758" s="16">
        <f t="shared" ca="1" si="26"/>
        <v>571.88333333333321</v>
      </c>
    </row>
    <row r="759" spans="1:14" ht="24.75" customHeight="1" x14ac:dyDescent="0.8">
      <c r="A759" s="18" t="s">
        <v>722</v>
      </c>
      <c r="B759" s="10">
        <f ca="1">IFERROR(__xludf.DUMMYFUNCTION("GOOGLEFINANCE(A759,""PRICE"")"),330.55)</f>
        <v>330.55</v>
      </c>
      <c r="C759" s="11">
        <f ca="1">IFERROR(__xludf.DUMMYFUNCTION("GOOGLEFINANCE(A759,""PRICEOPEN"")"),333.15)</f>
        <v>333.15</v>
      </c>
      <c r="D759" s="11">
        <f ca="1">IFERROR(__xludf.DUMMYFUNCTION("GOOGLEFINANCE(A759,""HIGH"")"),334.25)</f>
        <v>334.25</v>
      </c>
      <c r="E759" s="11">
        <f ca="1">IFERROR(__xludf.DUMMYFUNCTION("GOOGLEFINANCE(A759,""LOW"")"),328.5)</f>
        <v>328.5</v>
      </c>
      <c r="F759" s="12" t="str">
        <f t="shared" ca="1" si="21"/>
        <v/>
      </c>
      <c r="G759" s="13">
        <f ca="1">IFERROR(__xludf.DUMMYFUNCTION("GOOGLEFINANCE(A759,""CLOSEYEST"")"),331.15)</f>
        <v>331.15</v>
      </c>
      <c r="H759" s="14" t="str">
        <f t="shared" ca="1" si="27"/>
        <v/>
      </c>
      <c r="I759" s="15">
        <f t="shared" ca="1" si="22"/>
        <v>331.3</v>
      </c>
      <c r="J759" s="16">
        <f t="shared" ca="1" si="23"/>
        <v>334.1</v>
      </c>
      <c r="K759" s="16"/>
      <c r="L759" s="16">
        <f t="shared" ca="1" si="24"/>
        <v>328.35</v>
      </c>
      <c r="M759" s="16">
        <f t="shared" ca="1" si="25"/>
        <v>337.05</v>
      </c>
      <c r="N759" s="16">
        <f t="shared" ca="1" si="26"/>
        <v>325.55</v>
      </c>
    </row>
    <row r="760" spans="1:14" ht="24.75" customHeight="1" x14ac:dyDescent="0.8">
      <c r="A760" s="18" t="s">
        <v>723</v>
      </c>
      <c r="B760" s="10">
        <f ca="1">IFERROR(__xludf.DUMMYFUNCTION("GOOGLEFINANCE(A760,""PRICE"")"),1828.6)</f>
        <v>1828.6</v>
      </c>
      <c r="C760" s="11">
        <f ca="1">IFERROR(__xludf.DUMMYFUNCTION("GOOGLEFINANCE(A760,""PRICEOPEN"")"),1900)</f>
        <v>1900</v>
      </c>
      <c r="D760" s="11">
        <f ca="1">IFERROR(__xludf.DUMMYFUNCTION("GOOGLEFINANCE(A760,""HIGH"")"),1900)</f>
        <v>1900</v>
      </c>
      <c r="E760" s="11">
        <f ca="1">IFERROR(__xludf.DUMMYFUNCTION("GOOGLEFINANCE(A760,""LOW"")"),1820)</f>
        <v>1820</v>
      </c>
      <c r="F760" s="12" t="str">
        <f t="shared" ca="1" si="21"/>
        <v>SELL</v>
      </c>
      <c r="G760" s="13">
        <f ca="1">IFERROR(__xludf.DUMMYFUNCTION("GOOGLEFINANCE(A760,""CLOSEYEST"")"),1875.1)</f>
        <v>1875.1</v>
      </c>
      <c r="H760" s="14" t="str">
        <f t="shared" ca="1" si="27"/>
        <v>GAP UP</v>
      </c>
      <c r="I760" s="15">
        <f t="shared" ca="1" si="22"/>
        <v>1865.0333333333335</v>
      </c>
      <c r="J760" s="16">
        <f t="shared" ca="1" si="23"/>
        <v>1910.0666666666671</v>
      </c>
      <c r="K760" s="16"/>
      <c r="L760" s="16">
        <f t="shared" ca="1" si="24"/>
        <v>1830.0666666666671</v>
      </c>
      <c r="M760" s="16">
        <f t="shared" ca="1" si="25"/>
        <v>1945.0333333333335</v>
      </c>
      <c r="N760" s="16">
        <f t="shared" ca="1" si="26"/>
        <v>1785.0333333333335</v>
      </c>
    </row>
    <row r="761" spans="1:14" ht="24.75" customHeight="1" x14ac:dyDescent="0.8">
      <c r="A761" s="18" t="s">
        <v>724</v>
      </c>
      <c r="B761" s="10">
        <f ca="1">IFERROR(__xludf.DUMMYFUNCTION("GOOGLEFINANCE(A761,""PRICE"")"),195)</f>
        <v>195</v>
      </c>
      <c r="C761" s="11">
        <f ca="1">IFERROR(__xludf.DUMMYFUNCTION("GOOGLEFINANCE(A761,""PRICEOPEN"")"),192.49)</f>
        <v>192.49</v>
      </c>
      <c r="D761" s="11">
        <f ca="1">IFERROR(__xludf.DUMMYFUNCTION("GOOGLEFINANCE(A761,""HIGH"")"),196.27)</f>
        <v>196.27</v>
      </c>
      <c r="E761" s="11">
        <f ca="1">IFERROR(__xludf.DUMMYFUNCTION("GOOGLEFINANCE(A761,""LOW"")"),187.76)</f>
        <v>187.76</v>
      </c>
      <c r="F761" s="12" t="str">
        <f t="shared" ca="1" si="21"/>
        <v/>
      </c>
      <c r="G761" s="13">
        <f ca="1">IFERROR(__xludf.DUMMYFUNCTION("GOOGLEFINANCE(A761,""CLOSEYEST"")"),190.38)</f>
        <v>190.38</v>
      </c>
      <c r="H761" s="14" t="str">
        <f t="shared" ca="1" si="27"/>
        <v>GAP UP</v>
      </c>
      <c r="I761" s="15">
        <f t="shared" ca="1" si="22"/>
        <v>191.47</v>
      </c>
      <c r="J761" s="16">
        <f t="shared" ca="1" si="23"/>
        <v>195.18</v>
      </c>
      <c r="K761" s="16"/>
      <c r="L761" s="16">
        <f t="shared" ca="1" si="24"/>
        <v>186.67</v>
      </c>
      <c r="M761" s="16">
        <f t="shared" ca="1" si="25"/>
        <v>199.98000000000002</v>
      </c>
      <c r="N761" s="16">
        <f t="shared" ca="1" si="26"/>
        <v>182.95999999999998</v>
      </c>
    </row>
    <row r="762" spans="1:14" ht="24.75" customHeight="1" x14ac:dyDescent="0.8">
      <c r="A762" s="18" t="s">
        <v>725</v>
      </c>
      <c r="B762" s="10">
        <f ca="1">IFERROR(__xludf.DUMMYFUNCTION("GOOGLEFINANCE(A762,""PRICE"")"),13.32)</f>
        <v>13.32</v>
      </c>
      <c r="C762" s="11">
        <f ca="1">IFERROR(__xludf.DUMMYFUNCTION("GOOGLEFINANCE(A762,""PRICEOPEN"")"),13.1)</f>
        <v>13.1</v>
      </c>
      <c r="D762" s="11">
        <f ca="1">IFERROR(__xludf.DUMMYFUNCTION("GOOGLEFINANCE(A762,""HIGH"")"),13.35)</f>
        <v>13.35</v>
      </c>
      <c r="E762" s="11">
        <f ca="1">IFERROR(__xludf.DUMMYFUNCTION("GOOGLEFINANCE(A762,""LOW"")"),13.05)</f>
        <v>13.05</v>
      </c>
      <c r="F762" s="12" t="str">
        <f t="shared" ca="1" si="21"/>
        <v/>
      </c>
      <c r="G762" s="13">
        <f ca="1">IFERROR(__xludf.DUMMYFUNCTION("GOOGLEFINANCE(A762,""CLOSEYEST"")"),13.18)</f>
        <v>13.18</v>
      </c>
      <c r="H762" s="14" t="str">
        <f t="shared" ca="1" si="27"/>
        <v/>
      </c>
      <c r="I762" s="15">
        <f t="shared" ca="1" si="22"/>
        <v>13.193333333333333</v>
      </c>
      <c r="J762" s="16">
        <f t="shared" ca="1" si="23"/>
        <v>13.336666666666666</v>
      </c>
      <c r="K762" s="16"/>
      <c r="L762" s="16">
        <f t="shared" ca="1" si="24"/>
        <v>13.036666666666667</v>
      </c>
      <c r="M762" s="16">
        <f t="shared" ca="1" si="25"/>
        <v>13.493333333333332</v>
      </c>
      <c r="N762" s="16">
        <f t="shared" ca="1" si="26"/>
        <v>12.893333333333334</v>
      </c>
    </row>
    <row r="763" spans="1:14" ht="24.75" customHeight="1" x14ac:dyDescent="0.8">
      <c r="A763" s="18" t="s">
        <v>726</v>
      </c>
      <c r="B763" s="10">
        <f ca="1">IFERROR(__xludf.DUMMYFUNCTION("GOOGLEFINANCE(A763,""PRICE"")"),692.95)</f>
        <v>692.95</v>
      </c>
      <c r="C763" s="11">
        <f ca="1">IFERROR(__xludf.DUMMYFUNCTION("GOOGLEFINANCE(A763,""PRICEOPEN"")"),650.8)</f>
        <v>650.79999999999995</v>
      </c>
      <c r="D763" s="11">
        <f ca="1">IFERROR(__xludf.DUMMYFUNCTION("GOOGLEFINANCE(A763,""HIGH"")"),699.6)</f>
        <v>699.6</v>
      </c>
      <c r="E763" s="11">
        <f ca="1">IFERROR(__xludf.DUMMYFUNCTION("GOOGLEFINANCE(A763,""LOW"")"),650.8)</f>
        <v>650.79999999999995</v>
      </c>
      <c r="F763" s="12" t="str">
        <f t="shared" ca="1" si="21"/>
        <v>BUY</v>
      </c>
      <c r="G763" s="13">
        <f ca="1">IFERROR(__xludf.DUMMYFUNCTION("GOOGLEFINANCE(A763,""CLOSEYEST"")"),651.45)</f>
        <v>651.45000000000005</v>
      </c>
      <c r="H763" s="14" t="str">
        <f t="shared" ca="1" si="27"/>
        <v/>
      </c>
      <c r="I763" s="15">
        <f t="shared" ca="1" si="22"/>
        <v>667.28333333333342</v>
      </c>
      <c r="J763" s="16">
        <f t="shared" ca="1" si="23"/>
        <v>683.76666666666688</v>
      </c>
      <c r="K763" s="16"/>
      <c r="L763" s="16">
        <f t="shared" ca="1" si="24"/>
        <v>634.96666666666681</v>
      </c>
      <c r="M763" s="16">
        <f t="shared" ca="1" si="25"/>
        <v>716.08333333333348</v>
      </c>
      <c r="N763" s="16">
        <f t="shared" ca="1" si="26"/>
        <v>618.48333333333335</v>
      </c>
    </row>
    <row r="764" spans="1:14" ht="24.75" customHeight="1" x14ac:dyDescent="0.8">
      <c r="A764" s="18" t="s">
        <v>727</v>
      </c>
      <c r="B764" s="10">
        <f ca="1">IFERROR(__xludf.DUMMYFUNCTION("GOOGLEFINANCE(A764,""PRICE"")"),5610)</f>
        <v>5610</v>
      </c>
      <c r="C764" s="11">
        <f ca="1">IFERROR(__xludf.DUMMYFUNCTION("GOOGLEFINANCE(A764,""PRICEOPEN"")"),5405)</f>
        <v>5405</v>
      </c>
      <c r="D764" s="11">
        <f ca="1">IFERROR(__xludf.DUMMYFUNCTION("GOOGLEFINANCE(A764,""HIGH"")"),5666)</f>
        <v>5666</v>
      </c>
      <c r="E764" s="11">
        <f ca="1">IFERROR(__xludf.DUMMYFUNCTION("GOOGLEFINANCE(A764,""LOW"")"),5381)</f>
        <v>5381</v>
      </c>
      <c r="F764" s="12" t="str">
        <f t="shared" ca="1" si="21"/>
        <v/>
      </c>
      <c r="G764" s="13">
        <f ca="1">IFERROR(__xludf.DUMMYFUNCTION("GOOGLEFINANCE(A764,""CLOSEYEST"")"),5405)</f>
        <v>5405</v>
      </c>
      <c r="H764" s="14" t="str">
        <f t="shared" ca="1" si="27"/>
        <v/>
      </c>
      <c r="I764" s="15">
        <f t="shared" ca="1" si="22"/>
        <v>5484</v>
      </c>
      <c r="J764" s="16">
        <f t="shared" ca="1" si="23"/>
        <v>5587</v>
      </c>
      <c r="K764" s="16"/>
      <c r="L764" s="16">
        <f t="shared" ca="1" si="24"/>
        <v>5302</v>
      </c>
      <c r="M764" s="16">
        <f t="shared" ca="1" si="25"/>
        <v>5769</v>
      </c>
      <c r="N764" s="16">
        <f t="shared" ca="1" si="26"/>
        <v>5199</v>
      </c>
    </row>
    <row r="765" spans="1:14" ht="24.75" customHeight="1" x14ac:dyDescent="0.8">
      <c r="A765" s="18" t="s">
        <v>728</v>
      </c>
      <c r="B765" s="10">
        <f ca="1">IFERROR(__xludf.DUMMYFUNCTION("GOOGLEFINANCE(A765,""PRICE"")"),745)</f>
        <v>745</v>
      </c>
      <c r="C765" s="11">
        <f ca="1">IFERROR(__xludf.DUMMYFUNCTION("GOOGLEFINANCE(A765,""PRICEOPEN"")"),718.8)</f>
        <v>718.8</v>
      </c>
      <c r="D765" s="11">
        <f ca="1">IFERROR(__xludf.DUMMYFUNCTION("GOOGLEFINANCE(A765,""HIGH"")"),748.95)</f>
        <v>748.95</v>
      </c>
      <c r="E765" s="11">
        <f ca="1">IFERROR(__xludf.DUMMYFUNCTION("GOOGLEFINANCE(A765,""LOW"")"),716.1)</f>
        <v>716.1</v>
      </c>
      <c r="F765" s="12" t="str">
        <f t="shared" ca="1" si="21"/>
        <v/>
      </c>
      <c r="G765" s="13">
        <f ca="1">IFERROR(__xludf.DUMMYFUNCTION("GOOGLEFINANCE(A765,""CLOSEYEST"")"),712.45)</f>
        <v>712.45</v>
      </c>
      <c r="H765" s="14" t="str">
        <f t="shared" ca="1" si="27"/>
        <v/>
      </c>
      <c r="I765" s="15">
        <f t="shared" ca="1" si="22"/>
        <v>725.83333333333337</v>
      </c>
      <c r="J765" s="16">
        <f t="shared" ca="1" si="23"/>
        <v>735.56666666666672</v>
      </c>
      <c r="K765" s="16"/>
      <c r="L765" s="16">
        <f t="shared" ca="1" si="24"/>
        <v>702.7166666666667</v>
      </c>
      <c r="M765" s="16">
        <f t="shared" ca="1" si="25"/>
        <v>758.68333333333339</v>
      </c>
      <c r="N765" s="16">
        <f t="shared" ca="1" si="26"/>
        <v>692.98333333333335</v>
      </c>
    </row>
    <row r="766" spans="1:14" ht="24.75" customHeight="1" x14ac:dyDescent="0.8">
      <c r="A766" s="18" t="s">
        <v>729</v>
      </c>
      <c r="B766" s="10">
        <f ca="1">IFERROR(__xludf.DUMMYFUNCTION("GOOGLEFINANCE(A766,""PRICE"")"),43.53)</f>
        <v>43.53</v>
      </c>
      <c r="C766" s="11">
        <f ca="1">IFERROR(__xludf.DUMMYFUNCTION("GOOGLEFINANCE(A766,""PRICEOPEN"")"),43.25)</f>
        <v>43.25</v>
      </c>
      <c r="D766" s="11">
        <f ca="1">IFERROR(__xludf.DUMMYFUNCTION("GOOGLEFINANCE(A766,""HIGH"")"),43.7)</f>
        <v>43.7</v>
      </c>
      <c r="E766" s="11">
        <f ca="1">IFERROR(__xludf.DUMMYFUNCTION("GOOGLEFINANCE(A766,""LOW"")"),43.21)</f>
        <v>43.21</v>
      </c>
      <c r="F766" s="12" t="str">
        <f t="shared" ca="1" si="21"/>
        <v/>
      </c>
      <c r="G766" s="13">
        <f ca="1">IFERROR(__xludf.DUMMYFUNCTION("GOOGLEFINANCE(A766,""CLOSEYEST"")"),43.08)</f>
        <v>43.08</v>
      </c>
      <c r="H766" s="14" t="str">
        <f t="shared" ca="1" si="27"/>
        <v/>
      </c>
      <c r="I766" s="15">
        <f t="shared" ca="1" si="22"/>
        <v>43.330000000000005</v>
      </c>
      <c r="J766" s="16">
        <f t="shared" ca="1" si="23"/>
        <v>43.45000000000001</v>
      </c>
      <c r="K766" s="16"/>
      <c r="L766" s="16">
        <f t="shared" ca="1" si="24"/>
        <v>42.960000000000008</v>
      </c>
      <c r="M766" s="16">
        <f t="shared" ca="1" si="25"/>
        <v>43.820000000000007</v>
      </c>
      <c r="N766" s="16">
        <f t="shared" ca="1" si="26"/>
        <v>42.84</v>
      </c>
    </row>
    <row r="767" spans="1:14" ht="24.75" customHeight="1" x14ac:dyDescent="0.8">
      <c r="A767" s="18" t="s">
        <v>730</v>
      </c>
      <c r="B767" s="10">
        <f ca="1">IFERROR(__xludf.DUMMYFUNCTION("GOOGLEFINANCE(A767,""PRICE"")"),1414.9)</f>
        <v>1414.9</v>
      </c>
      <c r="C767" s="11">
        <f ca="1">IFERROR(__xludf.DUMMYFUNCTION("GOOGLEFINANCE(A767,""PRICEOPEN"")"),1397)</f>
        <v>1397</v>
      </c>
      <c r="D767" s="11">
        <f ca="1">IFERROR(__xludf.DUMMYFUNCTION("GOOGLEFINANCE(A767,""HIGH"")"),1416.8)</f>
        <v>1416.8</v>
      </c>
      <c r="E767" s="11">
        <f ca="1">IFERROR(__xludf.DUMMYFUNCTION("GOOGLEFINANCE(A767,""LOW"")"),1382.3)</f>
        <v>1382.3</v>
      </c>
      <c r="F767" s="12" t="str">
        <f t="shared" ca="1" si="21"/>
        <v/>
      </c>
      <c r="G767" s="13">
        <f ca="1">IFERROR(__xludf.DUMMYFUNCTION("GOOGLEFINANCE(A767,""CLOSEYEST"")"),1380.3)</f>
        <v>1380.3</v>
      </c>
      <c r="H767" s="14" t="str">
        <f t="shared" ca="1" si="27"/>
        <v>GAP UP</v>
      </c>
      <c r="I767" s="15">
        <f t="shared" ca="1" si="22"/>
        <v>1393.1333333333332</v>
      </c>
      <c r="J767" s="16">
        <f t="shared" ca="1" si="23"/>
        <v>1403.9666666666665</v>
      </c>
      <c r="K767" s="16"/>
      <c r="L767" s="16">
        <f t="shared" ca="1" si="24"/>
        <v>1369.4666666666665</v>
      </c>
      <c r="M767" s="16">
        <f t="shared" ca="1" si="25"/>
        <v>1427.6333333333332</v>
      </c>
      <c r="N767" s="16">
        <f t="shared" ca="1" si="26"/>
        <v>1358.6333333333332</v>
      </c>
    </row>
    <row r="768" spans="1:14" ht="24.75" customHeight="1" x14ac:dyDescent="0.8">
      <c r="A768" s="18" t="s">
        <v>731</v>
      </c>
      <c r="B768" s="10">
        <f ca="1">IFERROR(__xludf.DUMMYFUNCTION("GOOGLEFINANCE(A768,""PRICE"")"),65.9)</f>
        <v>65.900000000000006</v>
      </c>
      <c r="C768" s="11">
        <f ca="1">IFERROR(__xludf.DUMMYFUNCTION("GOOGLEFINANCE(A768,""PRICEOPEN"")"),66.23)</f>
        <v>66.23</v>
      </c>
      <c r="D768" s="11">
        <f ca="1">IFERROR(__xludf.DUMMYFUNCTION("GOOGLEFINANCE(A768,""HIGH"")"),66.36)</f>
        <v>66.36</v>
      </c>
      <c r="E768" s="11">
        <f ca="1">IFERROR(__xludf.DUMMYFUNCTION("GOOGLEFINANCE(A768,""LOW"")"),64.83)</f>
        <v>64.83</v>
      </c>
      <c r="F768" s="12" t="str">
        <f t="shared" ca="1" si="21"/>
        <v/>
      </c>
      <c r="G768" s="13">
        <f ca="1">IFERROR(__xludf.DUMMYFUNCTION("GOOGLEFINANCE(A768,""CLOSEYEST"")"),64.94)</f>
        <v>64.94</v>
      </c>
      <c r="H768" s="14" t="str">
        <f t="shared" ca="1" si="27"/>
        <v>GAP UP</v>
      </c>
      <c r="I768" s="15">
        <f t="shared" ca="1" si="22"/>
        <v>65.376666666666665</v>
      </c>
      <c r="J768" s="16">
        <f t="shared" ca="1" si="23"/>
        <v>65.923333333333332</v>
      </c>
      <c r="K768" s="16"/>
      <c r="L768" s="16">
        <f t="shared" ca="1" si="24"/>
        <v>64.393333333333331</v>
      </c>
      <c r="M768" s="16">
        <f t="shared" ca="1" si="25"/>
        <v>66.906666666666666</v>
      </c>
      <c r="N768" s="16">
        <f t="shared" ca="1" si="26"/>
        <v>63.846666666666664</v>
      </c>
    </row>
    <row r="769" spans="1:14" ht="24.75" customHeight="1" x14ac:dyDescent="0.8">
      <c r="A769" s="18" t="s">
        <v>732</v>
      </c>
      <c r="B769" s="10">
        <f ca="1">IFERROR(__xludf.DUMMYFUNCTION("GOOGLEFINANCE(A769,""PRICE"")"),45.9)</f>
        <v>45.9</v>
      </c>
      <c r="C769" s="11">
        <f ca="1">IFERROR(__xludf.DUMMYFUNCTION("GOOGLEFINANCE(A769,""PRICEOPEN"")"),45.9)</f>
        <v>45.9</v>
      </c>
      <c r="D769" s="11">
        <f ca="1">IFERROR(__xludf.DUMMYFUNCTION("GOOGLEFINANCE(A769,""HIGH"")"),46.1)</f>
        <v>46.1</v>
      </c>
      <c r="E769" s="11">
        <f ca="1">IFERROR(__xludf.DUMMYFUNCTION("GOOGLEFINANCE(A769,""LOW"")"),45.58)</f>
        <v>45.58</v>
      </c>
      <c r="F769" s="12" t="str">
        <f t="shared" ca="1" si="21"/>
        <v/>
      </c>
      <c r="G769" s="13">
        <f ca="1">IFERROR(__xludf.DUMMYFUNCTION("GOOGLEFINANCE(A769,""CLOSEYEST"")"),45.68)</f>
        <v>45.68</v>
      </c>
      <c r="H769" s="14" t="str">
        <f t="shared" ca="1" si="27"/>
        <v/>
      </c>
      <c r="I769" s="15">
        <f t="shared" ca="1" si="22"/>
        <v>45.786666666666669</v>
      </c>
      <c r="J769" s="16">
        <f t="shared" ca="1" si="23"/>
        <v>45.993333333333339</v>
      </c>
      <c r="K769" s="16"/>
      <c r="L769" s="16">
        <f t="shared" ca="1" si="24"/>
        <v>45.473333333333336</v>
      </c>
      <c r="M769" s="16">
        <f t="shared" ca="1" si="25"/>
        <v>46.306666666666672</v>
      </c>
      <c r="N769" s="16">
        <f t="shared" ca="1" si="26"/>
        <v>45.266666666666666</v>
      </c>
    </row>
    <row r="770" spans="1:14" ht="24.75" customHeight="1" x14ac:dyDescent="0.8">
      <c r="A770" s="18" t="s">
        <v>733</v>
      </c>
      <c r="B770" s="10">
        <f ca="1">IFERROR(__xludf.DUMMYFUNCTION("GOOGLEFINANCE(A770,""PRICE"")"),889.8)</f>
        <v>889.8</v>
      </c>
      <c r="C770" s="11">
        <f ca="1">IFERROR(__xludf.DUMMYFUNCTION("GOOGLEFINANCE(A770,""PRICEOPEN"")"),854.45)</f>
        <v>854.45</v>
      </c>
      <c r="D770" s="11">
        <f ca="1">IFERROR(__xludf.DUMMYFUNCTION("GOOGLEFINANCE(A770,""HIGH"")"),892.35)</f>
        <v>892.35</v>
      </c>
      <c r="E770" s="11">
        <f ca="1">IFERROR(__xludf.DUMMYFUNCTION("GOOGLEFINANCE(A770,""LOW"")"),850.95)</f>
        <v>850.95</v>
      </c>
      <c r="F770" s="12" t="str">
        <f t="shared" ca="1" si="21"/>
        <v/>
      </c>
      <c r="G770" s="13">
        <f ca="1">IFERROR(__xludf.DUMMYFUNCTION("GOOGLEFINANCE(A770,""CLOSEYEST"")"),854.45)</f>
        <v>854.45</v>
      </c>
      <c r="H770" s="14" t="str">
        <f t="shared" ca="1" si="27"/>
        <v/>
      </c>
      <c r="I770" s="15">
        <f t="shared" ca="1" si="22"/>
        <v>865.91666666666663</v>
      </c>
      <c r="J770" s="16">
        <f t="shared" ca="1" si="23"/>
        <v>880.88333333333321</v>
      </c>
      <c r="K770" s="16"/>
      <c r="L770" s="16">
        <f t="shared" ca="1" si="24"/>
        <v>839.48333333333323</v>
      </c>
      <c r="M770" s="16">
        <f t="shared" ca="1" si="25"/>
        <v>907.31666666666661</v>
      </c>
      <c r="N770" s="16">
        <f t="shared" ca="1" si="26"/>
        <v>824.51666666666665</v>
      </c>
    </row>
    <row r="771" spans="1:14" ht="24.75" customHeight="1" x14ac:dyDescent="0.8">
      <c r="A771" s="18" t="s">
        <v>734</v>
      </c>
      <c r="B771" s="10">
        <f ca="1">IFERROR(__xludf.DUMMYFUNCTION("GOOGLEFINANCE(A771,""PRICE"")"),10.41)</f>
        <v>10.41</v>
      </c>
      <c r="C771" s="11">
        <f ca="1">IFERROR(__xludf.DUMMYFUNCTION("GOOGLEFINANCE(A771,""PRICEOPEN"")"),10.2)</f>
        <v>10.199999999999999</v>
      </c>
      <c r="D771" s="11">
        <f ca="1">IFERROR(__xludf.DUMMYFUNCTION("GOOGLEFINANCE(A771,""HIGH"")"),10.54)</f>
        <v>10.54</v>
      </c>
      <c r="E771" s="11">
        <f ca="1">IFERROR(__xludf.DUMMYFUNCTION("GOOGLEFINANCE(A771,""LOW"")"),10.15)</f>
        <v>10.15</v>
      </c>
      <c r="F771" s="12" t="str">
        <f t="shared" ca="1" si="21"/>
        <v/>
      </c>
      <c r="G771" s="13">
        <f ca="1">IFERROR(__xludf.DUMMYFUNCTION("GOOGLEFINANCE(A771,""CLOSEYEST"")"),10.27)</f>
        <v>10.27</v>
      </c>
      <c r="H771" s="14" t="str">
        <f t="shared" ca="1" si="27"/>
        <v/>
      </c>
      <c r="I771" s="15">
        <f t="shared" ca="1" si="22"/>
        <v>10.319999999999999</v>
      </c>
      <c r="J771" s="16">
        <f t="shared" ca="1" si="23"/>
        <v>10.489999999999997</v>
      </c>
      <c r="K771" s="16"/>
      <c r="L771" s="16">
        <f t="shared" ca="1" si="24"/>
        <v>10.099999999999998</v>
      </c>
      <c r="M771" s="16">
        <f t="shared" ca="1" si="25"/>
        <v>10.709999999999997</v>
      </c>
      <c r="N771" s="16">
        <f t="shared" ca="1" si="26"/>
        <v>9.93</v>
      </c>
    </row>
    <row r="772" spans="1:14" ht="24.75" customHeight="1" x14ac:dyDescent="0.8">
      <c r="A772" s="18" t="s">
        <v>735</v>
      </c>
      <c r="B772" s="10">
        <f ca="1">IFERROR(__xludf.DUMMYFUNCTION("GOOGLEFINANCE(A772,""PRICE"")"),17.5)</f>
        <v>17.5</v>
      </c>
      <c r="C772" s="11">
        <f ca="1">IFERROR(__xludf.DUMMYFUNCTION("GOOGLEFINANCE(A772,""PRICEOPEN"")"),17.5)</f>
        <v>17.5</v>
      </c>
      <c r="D772" s="11">
        <f ca="1">IFERROR(__xludf.DUMMYFUNCTION("GOOGLEFINANCE(A772,""HIGH"")"),17.5)</f>
        <v>17.5</v>
      </c>
      <c r="E772" s="11">
        <f ca="1">IFERROR(__xludf.DUMMYFUNCTION("GOOGLEFINANCE(A772,""LOW"")"),17.5)</f>
        <v>17.5</v>
      </c>
      <c r="F772" s="12" t="str">
        <f t="shared" ca="1" si="21"/>
        <v>SELL</v>
      </c>
      <c r="G772" s="13">
        <f ca="1">IFERROR(__xludf.DUMMYFUNCTION("GOOGLEFINANCE(A772,""CLOSEYEST"")"),17.7)</f>
        <v>17.7</v>
      </c>
      <c r="H772" s="14" t="str">
        <f t="shared" ca="1" si="27"/>
        <v>GAP DOWN</v>
      </c>
      <c r="I772" s="15">
        <f t="shared" ca="1" si="22"/>
        <v>17.566666666666666</v>
      </c>
      <c r="J772" s="16">
        <f t="shared" ca="1" si="23"/>
        <v>17.633333333333333</v>
      </c>
      <c r="K772" s="16"/>
      <c r="L772" s="16">
        <f t="shared" ca="1" si="24"/>
        <v>17.633333333333333</v>
      </c>
      <c r="M772" s="16">
        <f t="shared" ca="1" si="25"/>
        <v>17.566666666666666</v>
      </c>
      <c r="N772" s="16">
        <f t="shared" ca="1" si="26"/>
        <v>17.566666666666666</v>
      </c>
    </row>
    <row r="773" spans="1:14" ht="24.75" customHeight="1" x14ac:dyDescent="0.8">
      <c r="A773" s="18" t="s">
        <v>736</v>
      </c>
      <c r="B773" s="10">
        <f ca="1">IFERROR(__xludf.DUMMYFUNCTION("GOOGLEFINANCE(A773,""PRICE"")"),20.69)</f>
        <v>20.69</v>
      </c>
      <c r="C773" s="11">
        <f ca="1">IFERROR(__xludf.DUMMYFUNCTION("GOOGLEFINANCE(A773,""PRICEOPEN"")"),20.26)</f>
        <v>20.260000000000002</v>
      </c>
      <c r="D773" s="11">
        <f ca="1">IFERROR(__xludf.DUMMYFUNCTION("GOOGLEFINANCE(A773,""HIGH"")"),20.79)</f>
        <v>20.79</v>
      </c>
      <c r="E773" s="11">
        <f ca="1">IFERROR(__xludf.DUMMYFUNCTION("GOOGLEFINANCE(A773,""LOW"")"),20.26)</f>
        <v>20.260000000000002</v>
      </c>
      <c r="F773" s="12" t="str">
        <f t="shared" ca="1" si="21"/>
        <v>BUY</v>
      </c>
      <c r="G773" s="13">
        <f ca="1">IFERROR(__xludf.DUMMYFUNCTION("GOOGLEFINANCE(A773,""CLOSEYEST"")"),20.23)</f>
        <v>20.23</v>
      </c>
      <c r="H773" s="14" t="str">
        <f t="shared" ca="1" si="27"/>
        <v/>
      </c>
      <c r="I773" s="15">
        <f t="shared" ca="1" si="22"/>
        <v>20.426666666666666</v>
      </c>
      <c r="J773" s="16">
        <f t="shared" ca="1" si="23"/>
        <v>20.59333333333333</v>
      </c>
      <c r="K773" s="16"/>
      <c r="L773" s="16">
        <f t="shared" ca="1" si="24"/>
        <v>20.063333333333333</v>
      </c>
      <c r="M773" s="16">
        <f t="shared" ca="1" si="25"/>
        <v>20.956666666666663</v>
      </c>
      <c r="N773" s="16">
        <f t="shared" ca="1" si="26"/>
        <v>19.896666666666668</v>
      </c>
    </row>
    <row r="774" spans="1:14" ht="24.75" customHeight="1" x14ac:dyDescent="0.8">
      <c r="A774" s="18" t="s">
        <v>737</v>
      </c>
      <c r="B774" s="10">
        <f ca="1">IFERROR(__xludf.DUMMYFUNCTION("GOOGLEFINANCE(A774,""PRICE"")"),2168.4)</f>
        <v>2168.4</v>
      </c>
      <c r="C774" s="11">
        <f ca="1">IFERROR(__xludf.DUMMYFUNCTION("GOOGLEFINANCE(A774,""PRICEOPEN"")"),2210)</f>
        <v>2210</v>
      </c>
      <c r="D774" s="11">
        <f ca="1">IFERROR(__xludf.DUMMYFUNCTION("GOOGLEFINANCE(A774,""HIGH"")"),2210)</f>
        <v>2210</v>
      </c>
      <c r="E774" s="11">
        <f ca="1">IFERROR(__xludf.DUMMYFUNCTION("GOOGLEFINANCE(A774,""LOW"")"),2158)</f>
        <v>2158</v>
      </c>
      <c r="F774" s="12" t="str">
        <f t="shared" ca="1" si="21"/>
        <v>SELL</v>
      </c>
      <c r="G774" s="13">
        <f ca="1">IFERROR(__xludf.DUMMYFUNCTION("GOOGLEFINANCE(A774,""CLOSEYEST"")"),2183.2)</f>
        <v>2183.1999999999998</v>
      </c>
      <c r="H774" s="14" t="str">
        <f t="shared" ca="1" si="27"/>
        <v>GAP UP</v>
      </c>
      <c r="I774" s="15">
        <f t="shared" ca="1" si="22"/>
        <v>2183.7333333333331</v>
      </c>
      <c r="J774" s="16">
        <f t="shared" ca="1" si="23"/>
        <v>2209.4666666666662</v>
      </c>
      <c r="K774" s="16"/>
      <c r="L774" s="16">
        <f t="shared" ca="1" si="24"/>
        <v>2157.4666666666662</v>
      </c>
      <c r="M774" s="16">
        <f t="shared" ca="1" si="25"/>
        <v>2235.7333333333331</v>
      </c>
      <c r="N774" s="16">
        <f t="shared" ca="1" si="26"/>
        <v>2131.7333333333331</v>
      </c>
    </row>
    <row r="775" spans="1:14" ht="24.75" customHeight="1" x14ac:dyDescent="0.8">
      <c r="A775" s="18" t="s">
        <v>738</v>
      </c>
      <c r="B775" s="10">
        <f ca="1">IFERROR(__xludf.DUMMYFUNCTION("GOOGLEFINANCE(A775,""PRICE"")"),451.05)</f>
        <v>451.05</v>
      </c>
      <c r="C775" s="11">
        <f ca="1">IFERROR(__xludf.DUMMYFUNCTION("GOOGLEFINANCE(A775,""PRICEOPEN"")"),449.35)</f>
        <v>449.35</v>
      </c>
      <c r="D775" s="11">
        <f ca="1">IFERROR(__xludf.DUMMYFUNCTION("GOOGLEFINANCE(A775,""HIGH"")"),454.65)</f>
        <v>454.65</v>
      </c>
      <c r="E775" s="11">
        <f ca="1">IFERROR(__xludf.DUMMYFUNCTION("GOOGLEFINANCE(A775,""LOW"")"),448.25)</f>
        <v>448.25</v>
      </c>
      <c r="F775" s="12" t="str">
        <f t="shared" ca="1" si="21"/>
        <v/>
      </c>
      <c r="G775" s="13">
        <f ca="1">IFERROR(__xludf.DUMMYFUNCTION("GOOGLEFINANCE(A775,""CLOSEYEST"")"),448.25)</f>
        <v>448.25</v>
      </c>
      <c r="H775" s="14" t="str">
        <f t="shared" ca="1" si="27"/>
        <v/>
      </c>
      <c r="I775" s="15">
        <f t="shared" ca="1" si="22"/>
        <v>450.38333333333338</v>
      </c>
      <c r="J775" s="16">
        <f t="shared" ca="1" si="23"/>
        <v>452.51666666666677</v>
      </c>
      <c r="K775" s="16"/>
      <c r="L775" s="16">
        <f t="shared" ca="1" si="24"/>
        <v>446.11666666666679</v>
      </c>
      <c r="M775" s="16">
        <f t="shared" ca="1" si="25"/>
        <v>456.78333333333336</v>
      </c>
      <c r="N775" s="16">
        <f t="shared" ca="1" si="26"/>
        <v>443.98333333333341</v>
      </c>
    </row>
    <row r="776" spans="1:14" ht="24.75" customHeight="1" x14ac:dyDescent="0.8">
      <c r="A776" s="18" t="s">
        <v>739</v>
      </c>
      <c r="B776" s="10">
        <f ca="1">IFERROR(__xludf.DUMMYFUNCTION("GOOGLEFINANCE(A776,""PRICE"")"),1409)</f>
        <v>1409</v>
      </c>
      <c r="C776" s="11">
        <f ca="1">IFERROR(__xludf.DUMMYFUNCTION("GOOGLEFINANCE(A776,""PRICEOPEN"")"),1440)</f>
        <v>1440</v>
      </c>
      <c r="D776" s="11">
        <f ca="1">IFERROR(__xludf.DUMMYFUNCTION("GOOGLEFINANCE(A776,""HIGH"")"),1440.9)</f>
        <v>1440.9</v>
      </c>
      <c r="E776" s="11">
        <f ca="1">IFERROR(__xludf.DUMMYFUNCTION("GOOGLEFINANCE(A776,""LOW"")"),1403)</f>
        <v>1403</v>
      </c>
      <c r="F776" s="12" t="str">
        <f t="shared" ca="1" si="21"/>
        <v/>
      </c>
      <c r="G776" s="13">
        <f ca="1">IFERROR(__xludf.DUMMYFUNCTION("GOOGLEFINANCE(A776,""CLOSEYEST"")"),1431.6)</f>
        <v>1431.6</v>
      </c>
      <c r="H776" s="14" t="str">
        <f t="shared" ca="1" si="27"/>
        <v/>
      </c>
      <c r="I776" s="15">
        <f t="shared" ca="1" si="22"/>
        <v>1425.1666666666667</v>
      </c>
      <c r="J776" s="16">
        <f t="shared" ca="1" si="23"/>
        <v>1447.3333333333335</v>
      </c>
      <c r="K776" s="16"/>
      <c r="L776" s="16">
        <f t="shared" ca="1" si="24"/>
        <v>1409.4333333333334</v>
      </c>
      <c r="M776" s="16">
        <f t="shared" ca="1" si="25"/>
        <v>1463.0666666666668</v>
      </c>
      <c r="N776" s="16">
        <f t="shared" ca="1" si="26"/>
        <v>1387.2666666666667</v>
      </c>
    </row>
    <row r="777" spans="1:14" ht="24.75" customHeight="1" x14ac:dyDescent="0.8">
      <c r="A777" s="18" t="s">
        <v>740</v>
      </c>
      <c r="B777" s="10">
        <f ca="1">IFERROR(__xludf.DUMMYFUNCTION("GOOGLEFINANCE(A777,""PRICE"")"),174.25)</f>
        <v>174.25</v>
      </c>
      <c r="C777" s="11">
        <f ca="1">IFERROR(__xludf.DUMMYFUNCTION("GOOGLEFINANCE(A777,""PRICEOPEN"")"),173.4)</f>
        <v>173.4</v>
      </c>
      <c r="D777" s="11">
        <f ca="1">IFERROR(__xludf.DUMMYFUNCTION("GOOGLEFINANCE(A777,""HIGH"")"),174.3)</f>
        <v>174.3</v>
      </c>
      <c r="E777" s="11">
        <f ca="1">IFERROR(__xludf.DUMMYFUNCTION("GOOGLEFINANCE(A777,""LOW"")"),172.58)</f>
        <v>172.58</v>
      </c>
      <c r="F777" s="12" t="str">
        <f t="shared" ca="1" si="21"/>
        <v/>
      </c>
      <c r="G777" s="13">
        <f ca="1">IFERROR(__xludf.DUMMYFUNCTION("GOOGLEFINANCE(A777,""CLOSEYEST"")"),173.08)</f>
        <v>173.08</v>
      </c>
      <c r="H777" s="14" t="str">
        <f t="shared" ca="1" si="27"/>
        <v/>
      </c>
      <c r="I777" s="15">
        <f t="shared" ca="1" si="22"/>
        <v>173.32000000000002</v>
      </c>
      <c r="J777" s="16">
        <f t="shared" ca="1" si="23"/>
        <v>174.06000000000003</v>
      </c>
      <c r="K777" s="16"/>
      <c r="L777" s="16">
        <f t="shared" ca="1" si="24"/>
        <v>172.34000000000003</v>
      </c>
      <c r="M777" s="16">
        <f t="shared" ca="1" si="25"/>
        <v>175.04000000000002</v>
      </c>
      <c r="N777" s="16">
        <f t="shared" ca="1" si="26"/>
        <v>171.60000000000002</v>
      </c>
    </row>
    <row r="778" spans="1:14" ht="24.75" customHeight="1" x14ac:dyDescent="0.8">
      <c r="A778" s="18" t="s">
        <v>741</v>
      </c>
      <c r="B778" s="10">
        <f ca="1">IFERROR(__xludf.DUMMYFUNCTION("GOOGLEFINANCE(A778,""PRICE"")"),7175.5)</f>
        <v>7175.5</v>
      </c>
      <c r="C778" s="11">
        <f ca="1">IFERROR(__xludf.DUMMYFUNCTION("GOOGLEFINANCE(A778,""PRICEOPEN"")"),7235)</f>
        <v>7235</v>
      </c>
      <c r="D778" s="11">
        <f ca="1">IFERROR(__xludf.DUMMYFUNCTION("GOOGLEFINANCE(A778,""HIGH"")"),7235)</f>
        <v>7235</v>
      </c>
      <c r="E778" s="11">
        <f ca="1">IFERROR(__xludf.DUMMYFUNCTION("GOOGLEFINANCE(A778,""LOW"")"),7159)</f>
        <v>7159</v>
      </c>
      <c r="F778" s="12" t="str">
        <f t="shared" ca="1" si="21"/>
        <v>SELL</v>
      </c>
      <c r="G778" s="13">
        <f ca="1">IFERROR(__xludf.DUMMYFUNCTION("GOOGLEFINANCE(A778,""CLOSEYEST"")"),7183.5)</f>
        <v>7183.5</v>
      </c>
      <c r="H778" s="14" t="str">
        <f t="shared" ca="1" si="27"/>
        <v/>
      </c>
      <c r="I778" s="15">
        <f t="shared" ca="1" si="22"/>
        <v>7192.5</v>
      </c>
      <c r="J778" s="16">
        <f t="shared" ca="1" si="23"/>
        <v>7226</v>
      </c>
      <c r="K778" s="16"/>
      <c r="L778" s="16">
        <f t="shared" ca="1" si="24"/>
        <v>7150</v>
      </c>
      <c r="M778" s="16">
        <f t="shared" ca="1" si="25"/>
        <v>7268.5</v>
      </c>
      <c r="N778" s="16">
        <f t="shared" ca="1" si="26"/>
        <v>7116.5</v>
      </c>
    </row>
    <row r="779" spans="1:14" ht="24.75" customHeight="1" x14ac:dyDescent="0.8">
      <c r="A779" s="18" t="s">
        <v>742</v>
      </c>
      <c r="B779" s="10">
        <f ca="1">IFERROR(__xludf.DUMMYFUNCTION("GOOGLEFINANCE(A779,""PRICE"")"),1013.5)</f>
        <v>1013.5</v>
      </c>
      <c r="C779" s="11">
        <f ca="1">IFERROR(__xludf.DUMMYFUNCTION("GOOGLEFINANCE(A779,""PRICEOPEN"")"),1016.9)</f>
        <v>1016.9</v>
      </c>
      <c r="D779" s="11">
        <f ca="1">IFERROR(__xludf.DUMMYFUNCTION("GOOGLEFINANCE(A779,""HIGH"")"),1028.3)</f>
        <v>1028.3</v>
      </c>
      <c r="E779" s="11">
        <f ca="1">IFERROR(__xludf.DUMMYFUNCTION("GOOGLEFINANCE(A779,""LOW"")"),1013.5)</f>
        <v>1013.5</v>
      </c>
      <c r="F779" s="12" t="str">
        <f t="shared" ca="1" si="21"/>
        <v/>
      </c>
      <c r="G779" s="13">
        <f ca="1">IFERROR(__xludf.DUMMYFUNCTION("GOOGLEFINANCE(A779,""CLOSEYEST"")"),1023.8)</f>
        <v>1023.8</v>
      </c>
      <c r="H779" s="14" t="str">
        <f t="shared" ca="1" si="27"/>
        <v/>
      </c>
      <c r="I779" s="15">
        <f t="shared" ca="1" si="22"/>
        <v>1021.8666666666667</v>
      </c>
      <c r="J779" s="16">
        <f t="shared" ca="1" si="23"/>
        <v>1030.2333333333333</v>
      </c>
      <c r="K779" s="16"/>
      <c r="L779" s="16">
        <f t="shared" ca="1" si="24"/>
        <v>1015.4333333333334</v>
      </c>
      <c r="M779" s="16">
        <f t="shared" ca="1" si="25"/>
        <v>1036.6666666666665</v>
      </c>
      <c r="N779" s="16">
        <f t="shared" ca="1" si="26"/>
        <v>1007.0666666666667</v>
      </c>
    </row>
    <row r="780" spans="1:14" ht="24.75" customHeight="1" x14ac:dyDescent="0.8">
      <c r="A780" s="18" t="s">
        <v>743</v>
      </c>
      <c r="B780" s="10">
        <f ca="1">IFERROR(__xludf.DUMMYFUNCTION("GOOGLEFINANCE(A780,""PRICE"")"),2257)</f>
        <v>2257</v>
      </c>
      <c r="C780" s="11">
        <f ca="1">IFERROR(__xludf.DUMMYFUNCTION("GOOGLEFINANCE(A780,""PRICEOPEN"")"),2290)</f>
        <v>2290</v>
      </c>
      <c r="D780" s="11">
        <f ca="1">IFERROR(__xludf.DUMMYFUNCTION("GOOGLEFINANCE(A780,""HIGH"")"),2290)</f>
        <v>2290</v>
      </c>
      <c r="E780" s="11">
        <f ca="1">IFERROR(__xludf.DUMMYFUNCTION("GOOGLEFINANCE(A780,""LOW"")"),2238.2)</f>
        <v>2238.1999999999998</v>
      </c>
      <c r="F780" s="12" t="str">
        <f t="shared" ca="1" si="21"/>
        <v>SELL</v>
      </c>
      <c r="G780" s="13">
        <f ca="1">IFERROR(__xludf.DUMMYFUNCTION("GOOGLEFINANCE(A780,""CLOSEYEST"")"),2261.4)</f>
        <v>2261.4</v>
      </c>
      <c r="H780" s="14" t="str">
        <f t="shared" ca="1" si="27"/>
        <v>GAP UP</v>
      </c>
      <c r="I780" s="15">
        <f t="shared" ca="1" si="22"/>
        <v>2263.2000000000003</v>
      </c>
      <c r="J780" s="16">
        <f t="shared" ca="1" si="23"/>
        <v>2288.2000000000007</v>
      </c>
      <c r="K780" s="16"/>
      <c r="L780" s="16">
        <f t="shared" ca="1" si="24"/>
        <v>2236.4000000000005</v>
      </c>
      <c r="M780" s="16">
        <f t="shared" ca="1" si="25"/>
        <v>2315.0000000000005</v>
      </c>
      <c r="N780" s="16">
        <f t="shared" ca="1" si="26"/>
        <v>2211.4</v>
      </c>
    </row>
    <row r="781" spans="1:14" ht="24.75" customHeight="1" x14ac:dyDescent="0.8">
      <c r="A781" s="18" t="s">
        <v>744</v>
      </c>
      <c r="B781" s="10">
        <f ca="1">IFERROR(__xludf.DUMMYFUNCTION("GOOGLEFINANCE(A781,""PRICE"")"),1116)</f>
        <v>1116</v>
      </c>
      <c r="C781" s="11">
        <f ca="1">IFERROR(__xludf.DUMMYFUNCTION("GOOGLEFINANCE(A781,""PRICEOPEN"")"),1012.05)</f>
        <v>1012.05</v>
      </c>
      <c r="D781" s="11">
        <f ca="1">IFERROR(__xludf.DUMMYFUNCTION("GOOGLEFINANCE(A781,""HIGH"")"),1136.45)</f>
        <v>1136.45</v>
      </c>
      <c r="E781" s="11">
        <f ca="1">IFERROR(__xludf.DUMMYFUNCTION("GOOGLEFINANCE(A781,""LOW"")"),1006.1)</f>
        <v>1006.1</v>
      </c>
      <c r="F781" s="12" t="str">
        <f t="shared" ca="1" si="21"/>
        <v/>
      </c>
      <c r="G781" s="13">
        <f ca="1">IFERROR(__xludf.DUMMYFUNCTION("GOOGLEFINANCE(A781,""CLOSEYEST"")"),1003.5)</f>
        <v>1003.5</v>
      </c>
      <c r="H781" s="14" t="str">
        <f t="shared" ca="1" si="27"/>
        <v/>
      </c>
      <c r="I781" s="15">
        <f t="shared" ca="1" si="22"/>
        <v>1048.6833333333334</v>
      </c>
      <c r="J781" s="16">
        <f t="shared" ca="1" si="23"/>
        <v>1091.2666666666669</v>
      </c>
      <c r="K781" s="16"/>
      <c r="L781" s="16">
        <f t="shared" ca="1" si="24"/>
        <v>960.91666666666674</v>
      </c>
      <c r="M781" s="16">
        <f t="shared" ca="1" si="25"/>
        <v>1179.0333333333335</v>
      </c>
      <c r="N781" s="16">
        <f t="shared" ca="1" si="26"/>
        <v>918.33333333333326</v>
      </c>
    </row>
    <row r="782" spans="1:14" ht="24.75" customHeight="1" x14ac:dyDescent="0.8">
      <c r="A782" s="18" t="s">
        <v>745</v>
      </c>
      <c r="B782" s="10">
        <f ca="1">IFERROR(__xludf.DUMMYFUNCTION("GOOGLEFINANCE(A782,""PRICE"")"),15196)</f>
        <v>15196</v>
      </c>
      <c r="C782" s="11">
        <f ca="1">IFERROR(__xludf.DUMMYFUNCTION("GOOGLEFINANCE(A782,""PRICEOPEN"")"),15440)</f>
        <v>15440</v>
      </c>
      <c r="D782" s="11">
        <f ca="1">IFERROR(__xludf.DUMMYFUNCTION("GOOGLEFINANCE(A782,""HIGH"")"),15940)</f>
        <v>15940</v>
      </c>
      <c r="E782" s="11">
        <f ca="1">IFERROR(__xludf.DUMMYFUNCTION("GOOGLEFINANCE(A782,""LOW"")"),15110)</f>
        <v>15110</v>
      </c>
      <c r="F782" s="12" t="str">
        <f t="shared" ca="1" si="21"/>
        <v/>
      </c>
      <c r="G782" s="13">
        <f ca="1">IFERROR(__xludf.DUMMYFUNCTION("GOOGLEFINANCE(A782,""CLOSEYEST"")"),15386)</f>
        <v>15386</v>
      </c>
      <c r="H782" s="14" t="str">
        <f t="shared" ca="1" si="27"/>
        <v/>
      </c>
      <c r="I782" s="15">
        <f t="shared" ca="1" si="22"/>
        <v>15478.666666666666</v>
      </c>
      <c r="J782" s="16">
        <f t="shared" ca="1" si="23"/>
        <v>15847.333333333332</v>
      </c>
      <c r="K782" s="16"/>
      <c r="L782" s="16">
        <f t="shared" ca="1" si="24"/>
        <v>15017.333333333332</v>
      </c>
      <c r="M782" s="16">
        <f t="shared" ca="1" si="25"/>
        <v>16308.666666666666</v>
      </c>
      <c r="N782" s="16">
        <f t="shared" ca="1" si="26"/>
        <v>14648.666666666666</v>
      </c>
    </row>
    <row r="783" spans="1:14" ht="24.75" customHeight="1" x14ac:dyDescent="0.8">
      <c r="A783" s="18" t="s">
        <v>746</v>
      </c>
      <c r="B783" s="10">
        <f ca="1">IFERROR(__xludf.DUMMYFUNCTION("GOOGLEFINANCE(A783,""PRICE"")"),520.8)</f>
        <v>520.79999999999995</v>
      </c>
      <c r="C783" s="11">
        <f ca="1">IFERROR(__xludf.DUMMYFUNCTION("GOOGLEFINANCE(A783,""PRICEOPEN"")"),521)</f>
        <v>521</v>
      </c>
      <c r="D783" s="11">
        <f ca="1">IFERROR(__xludf.DUMMYFUNCTION("GOOGLEFINANCE(A783,""HIGH"")"),529.6)</f>
        <v>529.6</v>
      </c>
      <c r="E783" s="11">
        <f ca="1">IFERROR(__xludf.DUMMYFUNCTION("GOOGLEFINANCE(A783,""LOW"")"),519.75)</f>
        <v>519.75</v>
      </c>
      <c r="F783" s="12" t="str">
        <f t="shared" ca="1" si="21"/>
        <v/>
      </c>
      <c r="G783" s="13">
        <f ca="1">IFERROR(__xludf.DUMMYFUNCTION("GOOGLEFINANCE(A783,""CLOSEYEST"")"),526.5)</f>
        <v>526.5</v>
      </c>
      <c r="H783" s="14" t="str">
        <f t="shared" ca="1" si="27"/>
        <v>GAP DOWN</v>
      </c>
      <c r="I783" s="15">
        <f t="shared" ca="1" si="22"/>
        <v>525.2833333333333</v>
      </c>
      <c r="J783" s="16">
        <f t="shared" ca="1" si="23"/>
        <v>530.81666666666661</v>
      </c>
      <c r="K783" s="16"/>
      <c r="L783" s="16">
        <f t="shared" ca="1" si="24"/>
        <v>520.96666666666658</v>
      </c>
      <c r="M783" s="16">
        <f t="shared" ca="1" si="25"/>
        <v>535.13333333333333</v>
      </c>
      <c r="N783" s="16">
        <f t="shared" ca="1" si="26"/>
        <v>515.43333333333328</v>
      </c>
    </row>
    <row r="784" spans="1:14" ht="24.75" customHeight="1" x14ac:dyDescent="0.8">
      <c r="A784" s="18" t="s">
        <v>747</v>
      </c>
      <c r="B784" s="10">
        <f ca="1">IFERROR(__xludf.DUMMYFUNCTION("GOOGLEFINANCE(A784,""PRICE"")"),1277)</f>
        <v>1277</v>
      </c>
      <c r="C784" s="11">
        <f ca="1">IFERROR(__xludf.DUMMYFUNCTION("GOOGLEFINANCE(A784,""PRICEOPEN"")"),1228.1)</f>
        <v>1228.0999999999999</v>
      </c>
      <c r="D784" s="11">
        <f ca="1">IFERROR(__xludf.DUMMYFUNCTION("GOOGLEFINANCE(A784,""HIGH"")"),1300)</f>
        <v>1300</v>
      </c>
      <c r="E784" s="11">
        <f ca="1">IFERROR(__xludf.DUMMYFUNCTION("GOOGLEFINANCE(A784,""LOW"")"),1228)</f>
        <v>1228</v>
      </c>
      <c r="F784" s="12" t="str">
        <f t="shared" ca="1" si="21"/>
        <v/>
      </c>
      <c r="G784" s="13">
        <f ca="1">IFERROR(__xludf.DUMMYFUNCTION("GOOGLEFINANCE(A784,""CLOSEYEST"")"),1241.1)</f>
        <v>1241.0999999999999</v>
      </c>
      <c r="H784" s="14" t="str">
        <f t="shared" ca="1" si="27"/>
        <v>GAP DOWN</v>
      </c>
      <c r="I784" s="15">
        <f t="shared" ca="1" si="22"/>
        <v>1256.3666666666666</v>
      </c>
      <c r="J784" s="16">
        <f t="shared" ca="1" si="23"/>
        <v>1284.7333333333331</v>
      </c>
      <c r="K784" s="16"/>
      <c r="L784" s="16">
        <f t="shared" ca="1" si="24"/>
        <v>1212.7333333333331</v>
      </c>
      <c r="M784" s="16">
        <f t="shared" ca="1" si="25"/>
        <v>1328.3666666666666</v>
      </c>
      <c r="N784" s="16">
        <f t="shared" ca="1" si="26"/>
        <v>1184.3666666666666</v>
      </c>
    </row>
    <row r="785" spans="1:14" ht="24.75" customHeight="1" x14ac:dyDescent="0.8">
      <c r="A785" s="18" t="s">
        <v>748</v>
      </c>
      <c r="B785" s="10">
        <f ca="1">IFERROR(__xludf.DUMMYFUNCTION("GOOGLEFINANCE(A785,""PRICE"")"),176)</f>
        <v>176</v>
      </c>
      <c r="C785" s="11">
        <f ca="1">IFERROR(__xludf.DUMMYFUNCTION("GOOGLEFINANCE(A785,""PRICEOPEN"")"),174.99)</f>
        <v>174.99</v>
      </c>
      <c r="D785" s="11">
        <f ca="1">IFERROR(__xludf.DUMMYFUNCTION("GOOGLEFINANCE(A785,""HIGH"")"),181)</f>
        <v>181</v>
      </c>
      <c r="E785" s="11">
        <f ca="1">IFERROR(__xludf.DUMMYFUNCTION("GOOGLEFINANCE(A785,""LOW"")"),172.16)</f>
        <v>172.16</v>
      </c>
      <c r="F785" s="12" t="str">
        <f t="shared" ca="1" si="21"/>
        <v/>
      </c>
      <c r="G785" s="13">
        <f ca="1">IFERROR(__xludf.DUMMYFUNCTION("GOOGLEFINANCE(A785,""CLOSEYEST"")"),173.38)</f>
        <v>173.38</v>
      </c>
      <c r="H785" s="14" t="str">
        <f t="shared" ca="1" si="27"/>
        <v/>
      </c>
      <c r="I785" s="15">
        <f t="shared" ca="1" si="22"/>
        <v>175.51333333333332</v>
      </c>
      <c r="J785" s="16">
        <f t="shared" ca="1" si="23"/>
        <v>178.86666666666665</v>
      </c>
      <c r="K785" s="16"/>
      <c r="L785" s="16">
        <f t="shared" ca="1" si="24"/>
        <v>170.02666666666664</v>
      </c>
      <c r="M785" s="16">
        <f t="shared" ca="1" si="25"/>
        <v>184.35333333333332</v>
      </c>
      <c r="N785" s="16">
        <f t="shared" ca="1" si="26"/>
        <v>166.67333333333332</v>
      </c>
    </row>
    <row r="786" spans="1:14" ht="24.75" customHeight="1" x14ac:dyDescent="0.8">
      <c r="A786" s="18" t="s">
        <v>749</v>
      </c>
      <c r="B786" s="10">
        <f ca="1">IFERROR(__xludf.DUMMYFUNCTION("GOOGLEFINANCE(A786,""PRICE"")"),853)</f>
        <v>853</v>
      </c>
      <c r="C786" s="11">
        <f ca="1">IFERROR(__xludf.DUMMYFUNCTION("GOOGLEFINANCE(A786,""PRICEOPEN"")"),847.4)</f>
        <v>847.4</v>
      </c>
      <c r="D786" s="11">
        <f ca="1">IFERROR(__xludf.DUMMYFUNCTION("GOOGLEFINANCE(A786,""HIGH"")"),858)</f>
        <v>858</v>
      </c>
      <c r="E786" s="11">
        <f ca="1">IFERROR(__xludf.DUMMYFUNCTION("GOOGLEFINANCE(A786,""LOW"")"),840)</f>
        <v>840</v>
      </c>
      <c r="F786" s="12" t="str">
        <f t="shared" ca="1" si="21"/>
        <v/>
      </c>
      <c r="G786" s="13">
        <f ca="1">IFERROR(__xludf.DUMMYFUNCTION("GOOGLEFINANCE(A786,""CLOSEYEST"")"),835.15)</f>
        <v>835.15</v>
      </c>
      <c r="H786" s="14" t="str">
        <f t="shared" ca="1" si="27"/>
        <v>GAP UP</v>
      </c>
      <c r="I786" s="15">
        <f t="shared" ca="1" si="22"/>
        <v>844.38333333333333</v>
      </c>
      <c r="J786" s="16">
        <f t="shared" ca="1" si="23"/>
        <v>848.76666666666665</v>
      </c>
      <c r="K786" s="16"/>
      <c r="L786" s="16">
        <f t="shared" ca="1" si="24"/>
        <v>830.76666666666665</v>
      </c>
      <c r="M786" s="16">
        <f t="shared" ca="1" si="25"/>
        <v>862.38333333333333</v>
      </c>
      <c r="N786" s="16">
        <f t="shared" ca="1" si="26"/>
        <v>826.38333333333333</v>
      </c>
    </row>
    <row r="787" spans="1:14" ht="24.75" customHeight="1" x14ac:dyDescent="0.8">
      <c r="A787" s="18" t="s">
        <v>750</v>
      </c>
      <c r="B787" s="10">
        <f ca="1">IFERROR(__xludf.DUMMYFUNCTION("GOOGLEFINANCE(A787,""PRICE"")"),379.2)</f>
        <v>379.2</v>
      </c>
      <c r="C787" s="11">
        <f ca="1">IFERROR(__xludf.DUMMYFUNCTION("GOOGLEFINANCE(A787,""PRICEOPEN"")"),387)</f>
        <v>387</v>
      </c>
      <c r="D787" s="11">
        <f ca="1">IFERROR(__xludf.DUMMYFUNCTION("GOOGLEFINANCE(A787,""HIGH"")"),393.9)</f>
        <v>393.9</v>
      </c>
      <c r="E787" s="11">
        <f ca="1">IFERROR(__xludf.DUMMYFUNCTION("GOOGLEFINANCE(A787,""LOW"")"),377)</f>
        <v>377</v>
      </c>
      <c r="F787" s="12" t="str">
        <f t="shared" ca="1" si="21"/>
        <v/>
      </c>
      <c r="G787" s="13">
        <f ca="1">IFERROR(__xludf.DUMMYFUNCTION("GOOGLEFINANCE(A787,""CLOSEYEST"")"),387)</f>
        <v>387</v>
      </c>
      <c r="H787" s="14" t="str">
        <f t="shared" ca="1" si="27"/>
        <v/>
      </c>
      <c r="I787" s="15">
        <f t="shared" ca="1" si="22"/>
        <v>385.9666666666667</v>
      </c>
      <c r="J787" s="16">
        <f t="shared" ca="1" si="23"/>
        <v>394.93333333333339</v>
      </c>
      <c r="K787" s="16"/>
      <c r="L787" s="16">
        <f t="shared" ca="1" si="24"/>
        <v>378.03333333333342</v>
      </c>
      <c r="M787" s="16">
        <f t="shared" ca="1" si="25"/>
        <v>402.86666666666667</v>
      </c>
      <c r="N787" s="16">
        <f t="shared" ca="1" si="26"/>
        <v>369.06666666666672</v>
      </c>
    </row>
    <row r="788" spans="1:14" ht="24.75" customHeight="1" x14ac:dyDescent="0.8">
      <c r="A788" s="18" t="s">
        <v>751</v>
      </c>
      <c r="B788" s="10">
        <f ca="1">IFERROR(__xludf.DUMMYFUNCTION("GOOGLEFINANCE(A788,""PRICE"")"),1390)</f>
        <v>1390</v>
      </c>
      <c r="C788" s="11">
        <f ca="1">IFERROR(__xludf.DUMMYFUNCTION("GOOGLEFINANCE(A788,""PRICEOPEN"")"),1413.7)</f>
        <v>1413.7</v>
      </c>
      <c r="D788" s="11">
        <f ca="1">IFERROR(__xludf.DUMMYFUNCTION("GOOGLEFINANCE(A788,""HIGH"")"),1416.1)</f>
        <v>1416.1</v>
      </c>
      <c r="E788" s="11">
        <f ca="1">IFERROR(__xludf.DUMMYFUNCTION("GOOGLEFINANCE(A788,""LOW"")"),1380.5)</f>
        <v>1380.5</v>
      </c>
      <c r="F788" s="12" t="str">
        <f t="shared" ca="1" si="21"/>
        <v/>
      </c>
      <c r="G788" s="13">
        <f ca="1">IFERROR(__xludf.DUMMYFUNCTION("GOOGLEFINANCE(A788,""CLOSEYEST"")"),1406.3)</f>
        <v>1406.3</v>
      </c>
      <c r="H788" s="14" t="str">
        <f t="shared" ca="1" si="27"/>
        <v/>
      </c>
      <c r="I788" s="15">
        <f t="shared" ca="1" si="22"/>
        <v>1400.9666666666665</v>
      </c>
      <c r="J788" s="16">
        <f t="shared" ca="1" si="23"/>
        <v>1421.4333333333329</v>
      </c>
      <c r="K788" s="16"/>
      <c r="L788" s="16">
        <f t="shared" ca="1" si="24"/>
        <v>1385.833333333333</v>
      </c>
      <c r="M788" s="16">
        <f t="shared" ca="1" si="25"/>
        <v>1436.5666666666664</v>
      </c>
      <c r="N788" s="16">
        <f t="shared" ca="1" si="26"/>
        <v>1365.3666666666666</v>
      </c>
    </row>
    <row r="789" spans="1:14" ht="24.75" customHeight="1" x14ac:dyDescent="0.8">
      <c r="A789" s="18" t="s">
        <v>752</v>
      </c>
      <c r="B789" s="10">
        <f ca="1">IFERROR(__xludf.DUMMYFUNCTION("GOOGLEFINANCE(A789,""PRICE"")"),162)</f>
        <v>162</v>
      </c>
      <c r="C789" s="11">
        <f ca="1">IFERROR(__xludf.DUMMYFUNCTION("GOOGLEFINANCE(A789,""PRICEOPEN"")"),157.25)</f>
        <v>157.25</v>
      </c>
      <c r="D789" s="11">
        <f ca="1">IFERROR(__xludf.DUMMYFUNCTION("GOOGLEFINANCE(A789,""HIGH"")"),163)</f>
        <v>163</v>
      </c>
      <c r="E789" s="11">
        <f ca="1">IFERROR(__xludf.DUMMYFUNCTION("GOOGLEFINANCE(A789,""LOW"")"),155.22)</f>
        <v>155.22</v>
      </c>
      <c r="F789" s="12" t="str">
        <f t="shared" ref="F789:F1043" ca="1" si="28">IF(C789=D789,"SELL",IF(C789=E789,"BUY", ""))</f>
        <v/>
      </c>
      <c r="G789" s="13">
        <f ca="1">IFERROR(__xludf.DUMMYFUNCTION("GOOGLEFINANCE(A789,""CLOSEYEST"")"),154.93)</f>
        <v>154.93</v>
      </c>
      <c r="H789" s="14" t="str">
        <f t="shared" ca="1" si="27"/>
        <v>GAP UP</v>
      </c>
      <c r="I789" s="15">
        <f t="shared" ref="I789:I1043" ca="1" si="29">(D789+E789+G789)/3</f>
        <v>157.71666666666667</v>
      </c>
      <c r="J789" s="16">
        <f t="shared" ref="J789:J1043" ca="1" si="30">(I789*2)-E789</f>
        <v>160.21333333333334</v>
      </c>
      <c r="K789" s="16"/>
      <c r="L789" s="16">
        <f t="shared" ref="L789:L1043" ca="1" si="31">(I789*2)-D789</f>
        <v>152.43333333333334</v>
      </c>
      <c r="M789" s="16">
        <f t="shared" ref="M789:M1043" ca="1" si="32">I789+(J789-L789)</f>
        <v>165.49666666666667</v>
      </c>
      <c r="N789" s="16">
        <f t="shared" ref="N789:N1043" ca="1" si="33">I789-(J789-L789)</f>
        <v>149.93666666666667</v>
      </c>
    </row>
    <row r="790" spans="1:14" ht="24.75" customHeight="1" x14ac:dyDescent="0.8">
      <c r="A790" s="18" t="s">
        <v>753</v>
      </c>
      <c r="B790" s="10">
        <f ca="1">IFERROR(__xludf.DUMMYFUNCTION("GOOGLEFINANCE(A790,""PRICE"")"),358.9)</f>
        <v>358.9</v>
      </c>
      <c r="C790" s="11">
        <f ca="1">IFERROR(__xludf.DUMMYFUNCTION("GOOGLEFINANCE(A790,""PRICEOPEN"")"),355.4)</f>
        <v>355.4</v>
      </c>
      <c r="D790" s="11">
        <f ca="1">IFERROR(__xludf.DUMMYFUNCTION("GOOGLEFINANCE(A790,""HIGH"")"),364.9)</f>
        <v>364.9</v>
      </c>
      <c r="E790" s="11">
        <f ca="1">IFERROR(__xludf.DUMMYFUNCTION("GOOGLEFINANCE(A790,""LOW"")"),355)</f>
        <v>355</v>
      </c>
      <c r="F790" s="12" t="str">
        <f t="shared" ca="1" si="28"/>
        <v/>
      </c>
      <c r="G790" s="13">
        <f ca="1">IFERROR(__xludf.DUMMYFUNCTION("GOOGLEFINANCE(A790,""CLOSEYEST"")"),354.4)</f>
        <v>354.4</v>
      </c>
      <c r="H790" s="14" t="str">
        <f t="shared" ca="1" si="27"/>
        <v/>
      </c>
      <c r="I790" s="15">
        <f t="shared" ca="1" si="29"/>
        <v>358.09999999999997</v>
      </c>
      <c r="J790" s="16">
        <f t="shared" ca="1" si="30"/>
        <v>361.19999999999993</v>
      </c>
      <c r="K790" s="16"/>
      <c r="L790" s="16">
        <f t="shared" ca="1" si="31"/>
        <v>351.29999999999995</v>
      </c>
      <c r="M790" s="16">
        <f t="shared" ca="1" si="32"/>
        <v>367.99999999999994</v>
      </c>
      <c r="N790" s="16">
        <f t="shared" ca="1" si="33"/>
        <v>348.2</v>
      </c>
    </row>
    <row r="791" spans="1:14" ht="24.75" customHeight="1" x14ac:dyDescent="0.8">
      <c r="A791" s="18" t="s">
        <v>754</v>
      </c>
      <c r="B791" s="10">
        <f ca="1">IFERROR(__xludf.DUMMYFUNCTION("GOOGLEFINANCE(A791,""PRICE"")"),388)</f>
        <v>388</v>
      </c>
      <c r="C791" s="11">
        <f ca="1">IFERROR(__xludf.DUMMYFUNCTION("GOOGLEFINANCE(A791,""PRICEOPEN"")"),382.5)</f>
        <v>382.5</v>
      </c>
      <c r="D791" s="11">
        <f ca="1">IFERROR(__xludf.DUMMYFUNCTION("GOOGLEFINANCE(A791,""HIGH"")"),392.95)</f>
        <v>392.95</v>
      </c>
      <c r="E791" s="11">
        <f ca="1">IFERROR(__xludf.DUMMYFUNCTION("GOOGLEFINANCE(A791,""LOW"")"),378)</f>
        <v>378</v>
      </c>
      <c r="F791" s="12" t="str">
        <f t="shared" ca="1" si="28"/>
        <v/>
      </c>
      <c r="G791" s="13">
        <f ca="1">IFERROR(__xludf.DUMMYFUNCTION("GOOGLEFINANCE(A791,""CLOSEYEST"")"),382.4)</f>
        <v>382.4</v>
      </c>
      <c r="H791" s="14" t="str">
        <f t="shared" ref="H791:H1045" ca="1" si="34">IF(C791&gt;=(G791+(G791*1%)),"GAP UP",IF(C791&lt;=(G791-(G791*1%)),"GAP DOWN",""))</f>
        <v/>
      </c>
      <c r="I791" s="15">
        <f t="shared" ca="1" si="29"/>
        <v>384.45</v>
      </c>
      <c r="J791" s="16">
        <f t="shared" ca="1" si="30"/>
        <v>390.9</v>
      </c>
      <c r="K791" s="16"/>
      <c r="L791" s="16">
        <f t="shared" ca="1" si="31"/>
        <v>375.95</v>
      </c>
      <c r="M791" s="16">
        <f t="shared" ca="1" si="32"/>
        <v>399.4</v>
      </c>
      <c r="N791" s="16">
        <f t="shared" ca="1" si="33"/>
        <v>369.5</v>
      </c>
    </row>
    <row r="792" spans="1:14" ht="24.75" customHeight="1" x14ac:dyDescent="0.8">
      <c r="A792" s="18" t="s">
        <v>755</v>
      </c>
      <c r="B792" s="10" t="str">
        <f ca="1">IFERROR(__xludf.DUMMYFUNCTION("GOOGLEFINANCE(A792,""PRICE"")"),"#N/A")</f>
        <v>#N/A</v>
      </c>
      <c r="C792" s="11" t="str">
        <f ca="1">IFERROR(__xludf.DUMMYFUNCTION("GOOGLEFINANCE(A792,""PRICEOPEN"")"),"#N/A")</f>
        <v>#N/A</v>
      </c>
      <c r="D792" s="11" t="str">
        <f ca="1">IFERROR(__xludf.DUMMYFUNCTION("GOOGLEFINANCE(A792,""HIGH"")"),"#N/A")</f>
        <v>#N/A</v>
      </c>
      <c r="E792" s="11" t="str">
        <f ca="1">IFERROR(__xludf.DUMMYFUNCTION("GOOGLEFINANCE(A792,""LOW"")"),"#N/A")</f>
        <v>#N/A</v>
      </c>
      <c r="F792" s="12" t="str">
        <f t="shared" ca="1" si="28"/>
        <v>SELL</v>
      </c>
      <c r="G792" s="13" t="str">
        <f ca="1">IFERROR(__xludf.DUMMYFUNCTION("GOOGLEFINANCE(A792,""CLOSEYEST"")"),"#N/A")</f>
        <v>#N/A</v>
      </c>
      <c r="H792" s="14" t="e">
        <f t="shared" ca="1" si="34"/>
        <v>#VALUE!</v>
      </c>
      <c r="I792" s="15" t="e">
        <f t="shared" ca="1" si="29"/>
        <v>#VALUE!</v>
      </c>
      <c r="J792" s="16" t="e">
        <f t="shared" ca="1" si="30"/>
        <v>#VALUE!</v>
      </c>
      <c r="K792" s="16"/>
      <c r="L792" s="16" t="e">
        <f t="shared" ca="1" si="31"/>
        <v>#VALUE!</v>
      </c>
      <c r="M792" s="16" t="e">
        <f t="shared" ca="1" si="32"/>
        <v>#VALUE!</v>
      </c>
      <c r="N792" s="16" t="e">
        <f t="shared" ca="1" si="33"/>
        <v>#VALUE!</v>
      </c>
    </row>
    <row r="793" spans="1:14" ht="24.75" customHeight="1" x14ac:dyDescent="0.8">
      <c r="A793" s="18" t="s">
        <v>756</v>
      </c>
      <c r="B793" s="10">
        <f ca="1">IFERROR(__xludf.DUMMYFUNCTION("GOOGLEFINANCE(A793,""PRICE"")"),493.4)</f>
        <v>493.4</v>
      </c>
      <c r="C793" s="11">
        <f ca="1">IFERROR(__xludf.DUMMYFUNCTION("GOOGLEFINANCE(A793,""PRICEOPEN"")"),489)</f>
        <v>489</v>
      </c>
      <c r="D793" s="11">
        <f ca="1">IFERROR(__xludf.DUMMYFUNCTION("GOOGLEFINANCE(A793,""HIGH"")"),494)</f>
        <v>494</v>
      </c>
      <c r="E793" s="11">
        <f ca="1">IFERROR(__xludf.DUMMYFUNCTION("GOOGLEFINANCE(A793,""LOW"")"),482.4)</f>
        <v>482.4</v>
      </c>
      <c r="F793" s="12" t="str">
        <f t="shared" ca="1" si="28"/>
        <v/>
      </c>
      <c r="G793" s="13">
        <f ca="1">IFERROR(__xludf.DUMMYFUNCTION("GOOGLEFINANCE(A793,""CLOSEYEST"")"),482.4)</f>
        <v>482.4</v>
      </c>
      <c r="H793" s="14" t="str">
        <f t="shared" ca="1" si="34"/>
        <v>GAP UP</v>
      </c>
      <c r="I793" s="15">
        <f t="shared" ca="1" si="29"/>
        <v>486.26666666666665</v>
      </c>
      <c r="J793" s="16">
        <f t="shared" ca="1" si="30"/>
        <v>490.13333333333333</v>
      </c>
      <c r="K793" s="16"/>
      <c r="L793" s="16">
        <f t="shared" ca="1" si="31"/>
        <v>478.5333333333333</v>
      </c>
      <c r="M793" s="16">
        <f t="shared" ca="1" si="32"/>
        <v>497.86666666666667</v>
      </c>
      <c r="N793" s="16">
        <f t="shared" ca="1" si="33"/>
        <v>474.66666666666663</v>
      </c>
    </row>
    <row r="794" spans="1:14" ht="24.75" customHeight="1" x14ac:dyDescent="0.8">
      <c r="A794" s="18" t="s">
        <v>757</v>
      </c>
      <c r="B794" s="10">
        <f ca="1">IFERROR(__xludf.DUMMYFUNCTION("GOOGLEFINANCE(A794,""PRICE"")"),4165.2)</f>
        <v>4165.2</v>
      </c>
      <c r="C794" s="11">
        <f ca="1">IFERROR(__xludf.DUMMYFUNCTION("GOOGLEFINANCE(A794,""PRICEOPEN"")"),4130)</f>
        <v>4130</v>
      </c>
      <c r="D794" s="11">
        <f ca="1">IFERROR(__xludf.DUMMYFUNCTION("GOOGLEFINANCE(A794,""HIGH"")"),4224)</f>
        <v>4224</v>
      </c>
      <c r="E794" s="11">
        <f ca="1">IFERROR(__xludf.DUMMYFUNCTION("GOOGLEFINANCE(A794,""LOW"")"),4129.7)</f>
        <v>4129.7</v>
      </c>
      <c r="F794" s="12" t="str">
        <f t="shared" ca="1" si="28"/>
        <v/>
      </c>
      <c r="G794" s="13">
        <f ca="1">IFERROR(__xludf.DUMMYFUNCTION("GOOGLEFINANCE(A794,""CLOSEYEST"")"),4129.7)</f>
        <v>4129.7</v>
      </c>
      <c r="H794" s="14" t="str">
        <f t="shared" ca="1" si="34"/>
        <v/>
      </c>
      <c r="I794" s="15">
        <f t="shared" ca="1" si="29"/>
        <v>4161.1333333333341</v>
      </c>
      <c r="J794" s="16">
        <f t="shared" ca="1" si="30"/>
        <v>4192.5666666666684</v>
      </c>
      <c r="K794" s="16"/>
      <c r="L794" s="16">
        <f t="shared" ca="1" si="31"/>
        <v>4098.2666666666682</v>
      </c>
      <c r="M794" s="16">
        <f t="shared" ca="1" si="32"/>
        <v>4255.4333333333343</v>
      </c>
      <c r="N794" s="16">
        <f t="shared" ca="1" si="33"/>
        <v>4066.8333333333339</v>
      </c>
    </row>
    <row r="795" spans="1:14" ht="24.75" customHeight="1" x14ac:dyDescent="0.8">
      <c r="A795" s="18" t="s">
        <v>758</v>
      </c>
      <c r="B795" s="10">
        <f ca="1">IFERROR(__xludf.DUMMYFUNCTION("GOOGLEFINANCE(A795,""PRICE"")"),598.6)</f>
        <v>598.6</v>
      </c>
      <c r="C795" s="11">
        <f ca="1">IFERROR(__xludf.DUMMYFUNCTION("GOOGLEFINANCE(A795,""PRICEOPEN"")"),569)</f>
        <v>569</v>
      </c>
      <c r="D795" s="11">
        <f ca="1">IFERROR(__xludf.DUMMYFUNCTION("GOOGLEFINANCE(A795,""HIGH"")"),616.8)</f>
        <v>616.79999999999995</v>
      </c>
      <c r="E795" s="11">
        <f ca="1">IFERROR(__xludf.DUMMYFUNCTION("GOOGLEFINANCE(A795,""LOW"")"),565.05)</f>
        <v>565.04999999999995</v>
      </c>
      <c r="F795" s="12" t="str">
        <f t="shared" ca="1" si="28"/>
        <v/>
      </c>
      <c r="G795" s="13">
        <f ca="1">IFERROR(__xludf.DUMMYFUNCTION("GOOGLEFINANCE(A795,""CLOSEYEST"")"),567.1)</f>
        <v>567.1</v>
      </c>
      <c r="H795" s="14" t="str">
        <f t="shared" ca="1" si="34"/>
        <v/>
      </c>
      <c r="I795" s="15">
        <f t="shared" ca="1" si="29"/>
        <v>582.98333333333323</v>
      </c>
      <c r="J795" s="16">
        <f t="shared" ca="1" si="30"/>
        <v>600.91666666666652</v>
      </c>
      <c r="K795" s="16"/>
      <c r="L795" s="16">
        <f t="shared" ca="1" si="31"/>
        <v>549.16666666666652</v>
      </c>
      <c r="M795" s="16">
        <f t="shared" ca="1" si="32"/>
        <v>634.73333333333323</v>
      </c>
      <c r="N795" s="16">
        <f t="shared" ca="1" si="33"/>
        <v>531.23333333333323</v>
      </c>
    </row>
    <row r="796" spans="1:14" ht="24.75" customHeight="1" x14ac:dyDescent="0.8">
      <c r="A796" s="18" t="s">
        <v>759</v>
      </c>
      <c r="B796" s="10">
        <f ca="1">IFERROR(__xludf.DUMMYFUNCTION("GOOGLEFINANCE(A796,""PRICE"")"),2733.7)</f>
        <v>2733.7</v>
      </c>
      <c r="C796" s="11">
        <f ca="1">IFERROR(__xludf.DUMMYFUNCTION("GOOGLEFINANCE(A796,""PRICEOPEN"")"),2760)</f>
        <v>2760</v>
      </c>
      <c r="D796" s="11">
        <f ca="1">IFERROR(__xludf.DUMMYFUNCTION("GOOGLEFINANCE(A796,""HIGH"")"),2768.8)</f>
        <v>2768.8</v>
      </c>
      <c r="E796" s="11">
        <f ca="1">IFERROR(__xludf.DUMMYFUNCTION("GOOGLEFINANCE(A796,""LOW"")"),2695)</f>
        <v>2695</v>
      </c>
      <c r="F796" s="12" t="str">
        <f t="shared" ca="1" si="28"/>
        <v/>
      </c>
      <c r="G796" s="13">
        <f ca="1">IFERROR(__xludf.DUMMYFUNCTION("GOOGLEFINANCE(A796,""CLOSEYEST"")"),2737.4)</f>
        <v>2737.4</v>
      </c>
      <c r="H796" s="14" t="str">
        <f t="shared" ca="1" si="34"/>
        <v/>
      </c>
      <c r="I796" s="15">
        <f t="shared" ca="1" si="29"/>
        <v>2733.7333333333336</v>
      </c>
      <c r="J796" s="16">
        <f t="shared" ca="1" si="30"/>
        <v>2772.4666666666672</v>
      </c>
      <c r="K796" s="16"/>
      <c r="L796" s="16">
        <f t="shared" ca="1" si="31"/>
        <v>2698.666666666667</v>
      </c>
      <c r="M796" s="16">
        <f t="shared" ca="1" si="32"/>
        <v>2807.5333333333338</v>
      </c>
      <c r="N796" s="16">
        <f t="shared" ca="1" si="33"/>
        <v>2659.9333333333334</v>
      </c>
    </row>
    <row r="797" spans="1:14" ht="24.75" customHeight="1" x14ac:dyDescent="0.8">
      <c r="A797" s="18" t="s">
        <v>760</v>
      </c>
      <c r="B797" s="10" t="str">
        <f ca="1">IFERROR(__xludf.DUMMYFUNCTION("GOOGLEFINANCE(A797,""PRICE"")"),"#N/A")</f>
        <v>#N/A</v>
      </c>
      <c r="C797" s="11" t="str">
        <f ca="1">IFERROR(__xludf.DUMMYFUNCTION("GOOGLEFINANCE(A797,""PRICEOPEN"")"),"#N/A")</f>
        <v>#N/A</v>
      </c>
      <c r="D797" s="11" t="str">
        <f ca="1">IFERROR(__xludf.DUMMYFUNCTION("GOOGLEFINANCE(A797,""HIGH"")"),"#N/A")</f>
        <v>#N/A</v>
      </c>
      <c r="E797" s="11" t="str">
        <f ca="1">IFERROR(__xludf.DUMMYFUNCTION("GOOGLEFINANCE(A797,""LOW"")"),"#N/A")</f>
        <v>#N/A</v>
      </c>
      <c r="F797" s="12" t="str">
        <f t="shared" ca="1" si="28"/>
        <v>SELL</v>
      </c>
      <c r="G797" s="13" t="str">
        <f ca="1">IFERROR(__xludf.DUMMYFUNCTION("GOOGLEFINANCE(A797,""CLOSEYEST"")"),"#N/A")</f>
        <v>#N/A</v>
      </c>
      <c r="H797" s="14" t="e">
        <f t="shared" ca="1" si="34"/>
        <v>#VALUE!</v>
      </c>
      <c r="I797" s="15" t="e">
        <f t="shared" ca="1" si="29"/>
        <v>#VALUE!</v>
      </c>
      <c r="J797" s="16" t="e">
        <f t="shared" ca="1" si="30"/>
        <v>#VALUE!</v>
      </c>
      <c r="K797" s="16"/>
      <c r="L797" s="16" t="e">
        <f t="shared" ca="1" si="31"/>
        <v>#VALUE!</v>
      </c>
      <c r="M797" s="16" t="e">
        <f t="shared" ca="1" si="32"/>
        <v>#VALUE!</v>
      </c>
      <c r="N797" s="16" t="e">
        <f t="shared" ca="1" si="33"/>
        <v>#VALUE!</v>
      </c>
    </row>
    <row r="798" spans="1:14" ht="24.75" customHeight="1" x14ac:dyDescent="0.8">
      <c r="A798" s="18" t="s">
        <v>761</v>
      </c>
      <c r="B798" s="10">
        <f ca="1">IFERROR(__xludf.DUMMYFUNCTION("GOOGLEFINANCE(A798,""PRICE"")"),286.95)</f>
        <v>286.95</v>
      </c>
      <c r="C798" s="11">
        <f ca="1">IFERROR(__xludf.DUMMYFUNCTION("GOOGLEFINANCE(A798,""PRICEOPEN"")"),286.3)</f>
        <v>286.3</v>
      </c>
      <c r="D798" s="11">
        <f ca="1">IFERROR(__xludf.DUMMYFUNCTION("GOOGLEFINANCE(A798,""HIGH"")"),287.45)</f>
        <v>287.45</v>
      </c>
      <c r="E798" s="11">
        <f ca="1">IFERROR(__xludf.DUMMYFUNCTION("GOOGLEFINANCE(A798,""LOW"")"),279.55)</f>
        <v>279.55</v>
      </c>
      <c r="F798" s="12" t="str">
        <f t="shared" ca="1" si="28"/>
        <v/>
      </c>
      <c r="G798" s="13">
        <f ca="1">IFERROR(__xludf.DUMMYFUNCTION("GOOGLEFINANCE(A798,""CLOSEYEST"")"),282.9)</f>
        <v>282.89999999999998</v>
      </c>
      <c r="H798" s="14" t="str">
        <f t="shared" ca="1" si="34"/>
        <v>GAP UP</v>
      </c>
      <c r="I798" s="15">
        <f t="shared" ca="1" si="29"/>
        <v>283.3</v>
      </c>
      <c r="J798" s="16">
        <f t="shared" ca="1" si="30"/>
        <v>287.05</v>
      </c>
      <c r="K798" s="16"/>
      <c r="L798" s="16">
        <f t="shared" ca="1" si="31"/>
        <v>279.15000000000003</v>
      </c>
      <c r="M798" s="16">
        <f t="shared" ca="1" si="32"/>
        <v>291.2</v>
      </c>
      <c r="N798" s="16">
        <f t="shared" ca="1" si="33"/>
        <v>275.40000000000003</v>
      </c>
    </row>
    <row r="799" spans="1:14" ht="24.75" customHeight="1" x14ac:dyDescent="0.8">
      <c r="A799" s="18" t="s">
        <v>762</v>
      </c>
      <c r="B799" s="10">
        <f ca="1">IFERROR(__xludf.DUMMYFUNCTION("GOOGLEFINANCE(A799,""PRICE"")"),79.11)</f>
        <v>79.11</v>
      </c>
      <c r="C799" s="11">
        <f ca="1">IFERROR(__xludf.DUMMYFUNCTION("GOOGLEFINANCE(A799,""PRICEOPEN"")"),77.85)</f>
        <v>77.849999999999994</v>
      </c>
      <c r="D799" s="11">
        <f ca="1">IFERROR(__xludf.DUMMYFUNCTION("GOOGLEFINANCE(A799,""HIGH"")"),80.75)</f>
        <v>80.75</v>
      </c>
      <c r="E799" s="11">
        <f ca="1">IFERROR(__xludf.DUMMYFUNCTION("GOOGLEFINANCE(A799,""LOW"")"),77.85)</f>
        <v>77.849999999999994</v>
      </c>
      <c r="F799" s="12" t="str">
        <f t="shared" ca="1" si="28"/>
        <v>BUY</v>
      </c>
      <c r="G799" s="13">
        <f ca="1">IFERROR(__xludf.DUMMYFUNCTION("GOOGLEFINANCE(A799,""CLOSEYEST"")"),78.15)</f>
        <v>78.150000000000006</v>
      </c>
      <c r="H799" s="14" t="str">
        <f t="shared" ca="1" si="34"/>
        <v/>
      </c>
      <c r="I799" s="15">
        <f t="shared" ca="1" si="29"/>
        <v>78.916666666666671</v>
      </c>
      <c r="J799" s="16">
        <f t="shared" ca="1" si="30"/>
        <v>79.983333333333348</v>
      </c>
      <c r="K799" s="16"/>
      <c r="L799" s="16">
        <f t="shared" ca="1" si="31"/>
        <v>77.083333333333343</v>
      </c>
      <c r="M799" s="16">
        <f t="shared" ca="1" si="32"/>
        <v>81.816666666666677</v>
      </c>
      <c r="N799" s="16">
        <f t="shared" ca="1" si="33"/>
        <v>76.016666666666666</v>
      </c>
    </row>
    <row r="800" spans="1:14" ht="24.75" customHeight="1" x14ac:dyDescent="0.8">
      <c r="A800" s="18" t="s">
        <v>763</v>
      </c>
      <c r="B800" s="10">
        <f ca="1">IFERROR(__xludf.DUMMYFUNCTION("GOOGLEFINANCE(A800,""PRICE"")"),29.72)</f>
        <v>29.72</v>
      </c>
      <c r="C800" s="11">
        <f ca="1">IFERROR(__xludf.DUMMYFUNCTION("GOOGLEFINANCE(A800,""PRICEOPEN"")"),29.5)</f>
        <v>29.5</v>
      </c>
      <c r="D800" s="11">
        <f ca="1">IFERROR(__xludf.DUMMYFUNCTION("GOOGLEFINANCE(A800,""HIGH"")"),29.85)</f>
        <v>29.85</v>
      </c>
      <c r="E800" s="11">
        <f ca="1">IFERROR(__xludf.DUMMYFUNCTION("GOOGLEFINANCE(A800,""LOW"")"),29.26)</f>
        <v>29.26</v>
      </c>
      <c r="F800" s="12" t="str">
        <f t="shared" ca="1" si="28"/>
        <v/>
      </c>
      <c r="G800" s="13">
        <f ca="1">IFERROR(__xludf.DUMMYFUNCTION("GOOGLEFINANCE(A800,""CLOSEYEST"")"),29.37)</f>
        <v>29.37</v>
      </c>
      <c r="H800" s="14" t="str">
        <f t="shared" ca="1" si="34"/>
        <v/>
      </c>
      <c r="I800" s="15">
        <f t="shared" ca="1" si="29"/>
        <v>29.493333333333336</v>
      </c>
      <c r="J800" s="16">
        <f t="shared" ca="1" si="30"/>
        <v>29.72666666666667</v>
      </c>
      <c r="K800" s="16"/>
      <c r="L800" s="16">
        <f t="shared" ca="1" si="31"/>
        <v>29.13666666666667</v>
      </c>
      <c r="M800" s="16">
        <f t="shared" ca="1" si="32"/>
        <v>30.083333333333336</v>
      </c>
      <c r="N800" s="16">
        <f t="shared" ca="1" si="33"/>
        <v>28.903333333333336</v>
      </c>
    </row>
    <row r="801" spans="1:14" ht="24.75" customHeight="1" x14ac:dyDescent="0.8">
      <c r="A801" s="18" t="s">
        <v>764</v>
      </c>
      <c r="B801" s="10">
        <f ca="1">IFERROR(__xludf.DUMMYFUNCTION("GOOGLEFINANCE(A801,""PRICE"")"),141.26)</f>
        <v>141.26</v>
      </c>
      <c r="C801" s="11">
        <f ca="1">IFERROR(__xludf.DUMMYFUNCTION("GOOGLEFINANCE(A801,""PRICEOPEN"")"),137.75)</f>
        <v>137.75</v>
      </c>
      <c r="D801" s="11">
        <f ca="1">IFERROR(__xludf.DUMMYFUNCTION("GOOGLEFINANCE(A801,""HIGH"")"),144.7)</f>
        <v>144.69999999999999</v>
      </c>
      <c r="E801" s="11">
        <f ca="1">IFERROR(__xludf.DUMMYFUNCTION("GOOGLEFINANCE(A801,""LOW"")"),137.6)</f>
        <v>137.6</v>
      </c>
      <c r="F801" s="12" t="str">
        <f t="shared" ca="1" si="28"/>
        <v/>
      </c>
      <c r="G801" s="13">
        <f ca="1">IFERROR(__xludf.DUMMYFUNCTION("GOOGLEFINANCE(A801,""CLOSEYEST"")"),137.55)</f>
        <v>137.55000000000001</v>
      </c>
      <c r="H801" s="14" t="str">
        <f t="shared" ca="1" si="34"/>
        <v/>
      </c>
      <c r="I801" s="15">
        <f t="shared" ca="1" si="29"/>
        <v>139.94999999999999</v>
      </c>
      <c r="J801" s="16">
        <f t="shared" ca="1" si="30"/>
        <v>142.29999999999998</v>
      </c>
      <c r="K801" s="16"/>
      <c r="L801" s="16">
        <f t="shared" ca="1" si="31"/>
        <v>135.19999999999999</v>
      </c>
      <c r="M801" s="16">
        <f t="shared" ca="1" si="32"/>
        <v>147.04999999999998</v>
      </c>
      <c r="N801" s="16">
        <f t="shared" ca="1" si="33"/>
        <v>132.85</v>
      </c>
    </row>
    <row r="802" spans="1:14" ht="24.75" customHeight="1" x14ac:dyDescent="0.8">
      <c r="A802" s="18" t="s">
        <v>765</v>
      </c>
      <c r="B802" s="10">
        <f ca="1">IFERROR(__xludf.DUMMYFUNCTION("GOOGLEFINANCE(A802,""PRICE"")"),205)</f>
        <v>205</v>
      </c>
      <c r="C802" s="11">
        <f ca="1">IFERROR(__xludf.DUMMYFUNCTION("GOOGLEFINANCE(A802,""PRICEOPEN"")"),199.86)</f>
        <v>199.86</v>
      </c>
      <c r="D802" s="11">
        <f ca="1">IFERROR(__xludf.DUMMYFUNCTION("GOOGLEFINANCE(A802,""HIGH"")"),208.4)</f>
        <v>208.4</v>
      </c>
      <c r="E802" s="11">
        <f ca="1">IFERROR(__xludf.DUMMYFUNCTION("GOOGLEFINANCE(A802,""LOW"")"),199.86)</f>
        <v>199.86</v>
      </c>
      <c r="F802" s="12" t="str">
        <f t="shared" ca="1" si="28"/>
        <v>BUY</v>
      </c>
      <c r="G802" s="13">
        <f ca="1">IFERROR(__xludf.DUMMYFUNCTION("GOOGLEFINANCE(A802,""CLOSEYEST"")"),202.89)</f>
        <v>202.89</v>
      </c>
      <c r="H802" s="14" t="str">
        <f t="shared" ca="1" si="34"/>
        <v>GAP DOWN</v>
      </c>
      <c r="I802" s="15">
        <f t="shared" ca="1" si="29"/>
        <v>203.71666666666667</v>
      </c>
      <c r="J802" s="16">
        <f t="shared" ca="1" si="30"/>
        <v>207.57333333333332</v>
      </c>
      <c r="K802" s="16"/>
      <c r="L802" s="16">
        <f t="shared" ca="1" si="31"/>
        <v>199.03333333333333</v>
      </c>
      <c r="M802" s="16">
        <f t="shared" ca="1" si="32"/>
        <v>212.25666666666666</v>
      </c>
      <c r="N802" s="16">
        <f t="shared" ca="1" si="33"/>
        <v>195.17666666666668</v>
      </c>
    </row>
    <row r="803" spans="1:14" ht="24.75" customHeight="1" x14ac:dyDescent="0.8">
      <c r="A803" s="18" t="s">
        <v>766</v>
      </c>
      <c r="B803" s="10">
        <f ca="1">IFERROR(__xludf.DUMMYFUNCTION("GOOGLEFINANCE(A803,""PRICE"")"),1321.4)</f>
        <v>1321.4</v>
      </c>
      <c r="C803" s="11">
        <f ca="1">IFERROR(__xludf.DUMMYFUNCTION("GOOGLEFINANCE(A803,""PRICEOPEN"")"),1348.1)</f>
        <v>1348.1</v>
      </c>
      <c r="D803" s="11">
        <f ca="1">IFERROR(__xludf.DUMMYFUNCTION("GOOGLEFINANCE(A803,""HIGH"")"),1356.1)</f>
        <v>1356.1</v>
      </c>
      <c r="E803" s="11">
        <f ca="1">IFERROR(__xludf.DUMMYFUNCTION("GOOGLEFINANCE(A803,""LOW"")"),1310)</f>
        <v>1310</v>
      </c>
      <c r="F803" s="12" t="str">
        <f t="shared" ca="1" si="28"/>
        <v/>
      </c>
      <c r="G803" s="13">
        <f ca="1">IFERROR(__xludf.DUMMYFUNCTION("GOOGLEFINANCE(A803,""CLOSEYEST"")"),1358.8)</f>
        <v>1358.8</v>
      </c>
      <c r="H803" s="14" t="str">
        <f t="shared" ca="1" si="34"/>
        <v/>
      </c>
      <c r="I803" s="15">
        <f t="shared" ca="1" si="29"/>
        <v>1341.6333333333332</v>
      </c>
      <c r="J803" s="16">
        <f t="shared" ca="1" si="30"/>
        <v>1373.2666666666664</v>
      </c>
      <c r="K803" s="16"/>
      <c r="L803" s="16">
        <f t="shared" ca="1" si="31"/>
        <v>1327.1666666666665</v>
      </c>
      <c r="M803" s="16">
        <f t="shared" ca="1" si="32"/>
        <v>1387.7333333333331</v>
      </c>
      <c r="N803" s="16">
        <f t="shared" ca="1" si="33"/>
        <v>1295.5333333333333</v>
      </c>
    </row>
    <row r="804" spans="1:14" ht="24.75" customHeight="1" x14ac:dyDescent="0.8">
      <c r="A804" s="18" t="s">
        <v>767</v>
      </c>
      <c r="B804" s="10">
        <f ca="1">IFERROR(__xludf.DUMMYFUNCTION("GOOGLEFINANCE(A804,""PRICE"")"),38.72)</f>
        <v>38.72</v>
      </c>
      <c r="C804" s="11">
        <f ca="1">IFERROR(__xludf.DUMMYFUNCTION("GOOGLEFINANCE(A804,""PRICEOPEN"")"),38.99)</f>
        <v>38.99</v>
      </c>
      <c r="D804" s="11">
        <f ca="1">IFERROR(__xludf.DUMMYFUNCTION("GOOGLEFINANCE(A804,""HIGH"")"),39.45)</f>
        <v>39.450000000000003</v>
      </c>
      <c r="E804" s="11">
        <f ca="1">IFERROR(__xludf.DUMMYFUNCTION("GOOGLEFINANCE(A804,""LOW"")"),38.51)</f>
        <v>38.51</v>
      </c>
      <c r="F804" s="12" t="str">
        <f t="shared" ca="1" si="28"/>
        <v/>
      </c>
      <c r="G804" s="13">
        <f ca="1">IFERROR(__xludf.DUMMYFUNCTION("GOOGLEFINANCE(A804,""CLOSEYEST"")"),38.88)</f>
        <v>38.880000000000003</v>
      </c>
      <c r="H804" s="14" t="str">
        <f t="shared" ca="1" si="34"/>
        <v/>
      </c>
      <c r="I804" s="15">
        <f t="shared" ca="1" si="29"/>
        <v>38.946666666666665</v>
      </c>
      <c r="J804" s="16">
        <f t="shared" ca="1" si="30"/>
        <v>39.383333333333333</v>
      </c>
      <c r="K804" s="16"/>
      <c r="L804" s="16">
        <f t="shared" ca="1" si="31"/>
        <v>38.443333333333328</v>
      </c>
      <c r="M804" s="16">
        <f t="shared" ca="1" si="32"/>
        <v>39.88666666666667</v>
      </c>
      <c r="N804" s="16">
        <f t="shared" ca="1" si="33"/>
        <v>38.006666666666661</v>
      </c>
    </row>
    <row r="805" spans="1:14" ht="24.75" customHeight="1" x14ac:dyDescent="0.8">
      <c r="A805" s="18" t="s">
        <v>768</v>
      </c>
      <c r="B805" s="10">
        <f ca="1">IFERROR(__xludf.DUMMYFUNCTION("GOOGLEFINANCE(A805,""PRICE"")"),495.05)</f>
        <v>495.05</v>
      </c>
      <c r="C805" s="11">
        <f ca="1">IFERROR(__xludf.DUMMYFUNCTION("GOOGLEFINANCE(A805,""PRICEOPEN"")"),490)</f>
        <v>490</v>
      </c>
      <c r="D805" s="11">
        <f ca="1">IFERROR(__xludf.DUMMYFUNCTION("GOOGLEFINANCE(A805,""HIGH"")"),502.45)</f>
        <v>502.45</v>
      </c>
      <c r="E805" s="11">
        <f ca="1">IFERROR(__xludf.DUMMYFUNCTION("GOOGLEFINANCE(A805,""LOW"")"),483.35)</f>
        <v>483.35</v>
      </c>
      <c r="F805" s="12" t="str">
        <f t="shared" ca="1" si="28"/>
        <v/>
      </c>
      <c r="G805" s="13">
        <f ca="1">IFERROR(__xludf.DUMMYFUNCTION("GOOGLEFINANCE(A805,""CLOSEYEST"")"),488.7)</f>
        <v>488.7</v>
      </c>
      <c r="H805" s="14" t="str">
        <f t="shared" ca="1" si="34"/>
        <v/>
      </c>
      <c r="I805" s="15">
        <f t="shared" ca="1" si="29"/>
        <v>491.5</v>
      </c>
      <c r="J805" s="16">
        <f t="shared" ca="1" si="30"/>
        <v>499.65</v>
      </c>
      <c r="K805" s="16"/>
      <c r="L805" s="16">
        <f t="shared" ca="1" si="31"/>
        <v>480.55</v>
      </c>
      <c r="M805" s="16">
        <f t="shared" ca="1" si="32"/>
        <v>510.59999999999997</v>
      </c>
      <c r="N805" s="16">
        <f t="shared" ca="1" si="33"/>
        <v>472.40000000000003</v>
      </c>
    </row>
    <row r="806" spans="1:14" ht="24.75" customHeight="1" x14ac:dyDescent="0.8">
      <c r="A806" s="18" t="s">
        <v>769</v>
      </c>
      <c r="B806" s="10" t="str">
        <f ca="1">IFERROR(__xludf.DUMMYFUNCTION("GOOGLEFINANCE(A806,""PRICE"")"),"#N/A")</f>
        <v>#N/A</v>
      </c>
      <c r="C806" s="11" t="str">
        <f ca="1">IFERROR(__xludf.DUMMYFUNCTION("GOOGLEFINANCE(A806,""PRICEOPEN"")"),"#N/A")</f>
        <v>#N/A</v>
      </c>
      <c r="D806" s="11" t="str">
        <f ca="1">IFERROR(__xludf.DUMMYFUNCTION("GOOGLEFINANCE(A806,""HIGH"")"),"#N/A")</f>
        <v>#N/A</v>
      </c>
      <c r="E806" s="11" t="str">
        <f ca="1">IFERROR(__xludf.DUMMYFUNCTION("GOOGLEFINANCE(A806,""LOW"")"),"#N/A")</f>
        <v>#N/A</v>
      </c>
      <c r="F806" s="12" t="str">
        <f t="shared" ca="1" si="28"/>
        <v>SELL</v>
      </c>
      <c r="G806" s="13" t="str">
        <f ca="1">IFERROR(__xludf.DUMMYFUNCTION("GOOGLEFINANCE(A806,""CLOSEYEST"")"),"#N/A")</f>
        <v>#N/A</v>
      </c>
      <c r="H806" s="14" t="e">
        <f t="shared" ca="1" si="34"/>
        <v>#VALUE!</v>
      </c>
      <c r="I806" s="15" t="e">
        <f t="shared" ca="1" si="29"/>
        <v>#VALUE!</v>
      </c>
      <c r="J806" s="16" t="e">
        <f t="shared" ca="1" si="30"/>
        <v>#VALUE!</v>
      </c>
      <c r="K806" s="16"/>
      <c r="L806" s="16" t="e">
        <f t="shared" ca="1" si="31"/>
        <v>#VALUE!</v>
      </c>
      <c r="M806" s="16" t="e">
        <f t="shared" ca="1" si="32"/>
        <v>#VALUE!</v>
      </c>
      <c r="N806" s="16" t="e">
        <f t="shared" ca="1" si="33"/>
        <v>#VALUE!</v>
      </c>
    </row>
    <row r="807" spans="1:14" ht="24.75" customHeight="1" x14ac:dyDescent="0.8">
      <c r="A807" s="18" t="s">
        <v>770</v>
      </c>
      <c r="B807" s="10">
        <f ca="1">IFERROR(__xludf.DUMMYFUNCTION("GOOGLEFINANCE(A807,""PRICE"")"),2081.7)</f>
        <v>2081.6999999999998</v>
      </c>
      <c r="C807" s="11">
        <f ca="1">IFERROR(__xludf.DUMMYFUNCTION("GOOGLEFINANCE(A807,""PRICEOPEN"")"),2050)</f>
        <v>2050</v>
      </c>
      <c r="D807" s="11">
        <f ca="1">IFERROR(__xludf.DUMMYFUNCTION("GOOGLEFINANCE(A807,""HIGH"")"),2100)</f>
        <v>2100</v>
      </c>
      <c r="E807" s="11">
        <f ca="1">IFERROR(__xludf.DUMMYFUNCTION("GOOGLEFINANCE(A807,""LOW"")"),2027.3)</f>
        <v>2027.3</v>
      </c>
      <c r="F807" s="12" t="str">
        <f t="shared" ca="1" si="28"/>
        <v/>
      </c>
      <c r="G807" s="13">
        <f ca="1">IFERROR(__xludf.DUMMYFUNCTION("GOOGLEFINANCE(A807,""CLOSEYEST"")"),2028.4)</f>
        <v>2028.4</v>
      </c>
      <c r="H807" s="14" t="str">
        <f t="shared" ca="1" si="34"/>
        <v>GAP UP</v>
      </c>
      <c r="I807" s="15">
        <f t="shared" ca="1" si="29"/>
        <v>2051.9</v>
      </c>
      <c r="J807" s="16">
        <f t="shared" ca="1" si="30"/>
        <v>2076.5</v>
      </c>
      <c r="K807" s="16"/>
      <c r="L807" s="16">
        <f t="shared" ca="1" si="31"/>
        <v>2003.8000000000002</v>
      </c>
      <c r="M807" s="16">
        <f t="shared" ca="1" si="32"/>
        <v>2124.6</v>
      </c>
      <c r="N807" s="16">
        <f t="shared" ca="1" si="33"/>
        <v>1979.2000000000003</v>
      </c>
    </row>
    <row r="808" spans="1:14" ht="24.75" customHeight="1" x14ac:dyDescent="0.8">
      <c r="A808" s="18" t="s">
        <v>771</v>
      </c>
      <c r="B808" s="10">
        <f ca="1">IFERROR(__xludf.DUMMYFUNCTION("GOOGLEFINANCE(A808,""PRICE"")"),312)</f>
        <v>312</v>
      </c>
      <c r="C808" s="11">
        <f ca="1">IFERROR(__xludf.DUMMYFUNCTION("GOOGLEFINANCE(A808,""PRICEOPEN"")"),314.6)</f>
        <v>314.60000000000002</v>
      </c>
      <c r="D808" s="11">
        <f ca="1">IFERROR(__xludf.DUMMYFUNCTION("GOOGLEFINANCE(A808,""HIGH"")"),314.6)</f>
        <v>314.60000000000002</v>
      </c>
      <c r="E808" s="11">
        <f ca="1">IFERROR(__xludf.DUMMYFUNCTION("GOOGLEFINANCE(A808,""LOW"")"),306.95)</f>
        <v>306.95</v>
      </c>
      <c r="F808" s="12" t="str">
        <f t="shared" ca="1" si="28"/>
        <v>SELL</v>
      </c>
      <c r="G808" s="13">
        <f ca="1">IFERROR(__xludf.DUMMYFUNCTION("GOOGLEFINANCE(A808,""CLOSEYEST"")"),311.65)</f>
        <v>311.64999999999998</v>
      </c>
      <c r="H808" s="14" t="str">
        <f t="shared" ca="1" si="34"/>
        <v/>
      </c>
      <c r="I808" s="15">
        <f t="shared" ca="1" si="29"/>
        <v>311.06666666666666</v>
      </c>
      <c r="J808" s="16">
        <f t="shared" ca="1" si="30"/>
        <v>315.18333333333334</v>
      </c>
      <c r="K808" s="16"/>
      <c r="L808" s="16">
        <f t="shared" ca="1" si="31"/>
        <v>307.5333333333333</v>
      </c>
      <c r="M808" s="16">
        <f t="shared" ca="1" si="32"/>
        <v>318.7166666666667</v>
      </c>
      <c r="N808" s="16">
        <f t="shared" ca="1" si="33"/>
        <v>303.41666666666663</v>
      </c>
    </row>
    <row r="809" spans="1:14" ht="24.75" customHeight="1" x14ac:dyDescent="0.8">
      <c r="A809" s="18" t="s">
        <v>772</v>
      </c>
      <c r="B809" s="10">
        <f ca="1">IFERROR(__xludf.DUMMYFUNCTION("GOOGLEFINANCE(A809,""PRICE"")"),72.44)</f>
        <v>72.44</v>
      </c>
      <c r="C809" s="11">
        <f ca="1">IFERROR(__xludf.DUMMYFUNCTION("GOOGLEFINANCE(A809,""PRICEOPEN"")"),71.68)</f>
        <v>71.680000000000007</v>
      </c>
      <c r="D809" s="11">
        <f ca="1">IFERROR(__xludf.DUMMYFUNCTION("GOOGLEFINANCE(A809,""HIGH"")"),72.5)</f>
        <v>72.5</v>
      </c>
      <c r="E809" s="11">
        <f ca="1">IFERROR(__xludf.DUMMYFUNCTION("GOOGLEFINANCE(A809,""LOW"")"),71.53)</f>
        <v>71.53</v>
      </c>
      <c r="F809" s="12" t="str">
        <f t="shared" ca="1" si="28"/>
        <v/>
      </c>
      <c r="G809" s="13">
        <f ca="1">IFERROR(__xludf.DUMMYFUNCTION("GOOGLEFINANCE(A809,""CLOSEYEST"")"),71.5)</f>
        <v>71.5</v>
      </c>
      <c r="H809" s="14" t="str">
        <f t="shared" ca="1" si="34"/>
        <v/>
      </c>
      <c r="I809" s="15">
        <f t="shared" ca="1" si="29"/>
        <v>71.843333333333334</v>
      </c>
      <c r="J809" s="16">
        <f t="shared" ca="1" si="30"/>
        <v>72.156666666666666</v>
      </c>
      <c r="K809" s="16"/>
      <c r="L809" s="16">
        <f t="shared" ca="1" si="31"/>
        <v>71.186666666666667</v>
      </c>
      <c r="M809" s="16">
        <f t="shared" ca="1" si="32"/>
        <v>72.813333333333333</v>
      </c>
      <c r="N809" s="16">
        <f t="shared" ca="1" si="33"/>
        <v>70.873333333333335</v>
      </c>
    </row>
    <row r="810" spans="1:14" ht="24.75" customHeight="1" x14ac:dyDescent="0.8">
      <c r="A810" s="18" t="s">
        <v>773</v>
      </c>
      <c r="B810" s="10">
        <f ca="1">IFERROR(__xludf.DUMMYFUNCTION("GOOGLEFINANCE(A810,""PRICE"")"),0.56)</f>
        <v>0.56000000000000005</v>
      </c>
      <c r="C810" s="11">
        <f ca="1">IFERROR(__xludf.DUMMYFUNCTION("GOOGLEFINANCE(A810,""PRICEOPEN"")"),0.53)</f>
        <v>0.53</v>
      </c>
      <c r="D810" s="11">
        <f ca="1">IFERROR(__xludf.DUMMYFUNCTION("GOOGLEFINANCE(A810,""HIGH"")"),0.59)</f>
        <v>0.59</v>
      </c>
      <c r="E810" s="11">
        <f ca="1">IFERROR(__xludf.DUMMYFUNCTION("GOOGLEFINANCE(A810,""LOW"")"),0.53)</f>
        <v>0.53</v>
      </c>
      <c r="F810" s="12" t="str">
        <f t="shared" ca="1" si="28"/>
        <v>BUY</v>
      </c>
      <c r="G810" s="13">
        <f ca="1">IFERROR(__xludf.DUMMYFUNCTION("GOOGLEFINANCE(A810,""CLOSEYEST"")"),0.53)</f>
        <v>0.53</v>
      </c>
      <c r="H810" s="14" t="str">
        <f t="shared" ca="1" si="34"/>
        <v/>
      </c>
      <c r="I810" s="15">
        <f t="shared" ca="1" si="29"/>
        <v>0.55000000000000004</v>
      </c>
      <c r="J810" s="16">
        <f t="shared" ca="1" si="30"/>
        <v>0.57000000000000006</v>
      </c>
      <c r="K810" s="16"/>
      <c r="L810" s="16">
        <f t="shared" ca="1" si="31"/>
        <v>0.51000000000000012</v>
      </c>
      <c r="M810" s="16">
        <f t="shared" ca="1" si="32"/>
        <v>0.61</v>
      </c>
      <c r="N810" s="16">
        <f t="shared" ca="1" si="33"/>
        <v>0.4900000000000001</v>
      </c>
    </row>
    <row r="811" spans="1:14" ht="24.75" customHeight="1" x14ac:dyDescent="0.8">
      <c r="A811" s="18" t="s">
        <v>774</v>
      </c>
      <c r="B811" s="10">
        <f ca="1">IFERROR(__xludf.DUMMYFUNCTION("GOOGLEFINANCE(A811,""PRICE"")"),747)</f>
        <v>747</v>
      </c>
      <c r="C811" s="11">
        <f ca="1">IFERROR(__xludf.DUMMYFUNCTION("GOOGLEFINANCE(A811,""PRICEOPEN"")"),726.6)</f>
        <v>726.6</v>
      </c>
      <c r="D811" s="11">
        <f ca="1">IFERROR(__xludf.DUMMYFUNCTION("GOOGLEFINANCE(A811,""HIGH"")"),748.95)</f>
        <v>748.95</v>
      </c>
      <c r="E811" s="11">
        <f ca="1">IFERROR(__xludf.DUMMYFUNCTION("GOOGLEFINANCE(A811,""LOW"")"),716.8)</f>
        <v>716.8</v>
      </c>
      <c r="F811" s="12" t="str">
        <f t="shared" ca="1" si="28"/>
        <v/>
      </c>
      <c r="G811" s="13">
        <f ca="1">IFERROR(__xludf.DUMMYFUNCTION("GOOGLEFINANCE(A811,""CLOSEYEST"")"),720.15)</f>
        <v>720.15</v>
      </c>
      <c r="H811" s="14" t="str">
        <f t="shared" ca="1" si="34"/>
        <v/>
      </c>
      <c r="I811" s="15">
        <f t="shared" ca="1" si="29"/>
        <v>728.63333333333333</v>
      </c>
      <c r="J811" s="16">
        <f t="shared" ca="1" si="30"/>
        <v>740.4666666666667</v>
      </c>
      <c r="K811" s="16"/>
      <c r="L811" s="16">
        <f t="shared" ca="1" si="31"/>
        <v>708.31666666666661</v>
      </c>
      <c r="M811" s="16">
        <f t="shared" ca="1" si="32"/>
        <v>760.78333333333342</v>
      </c>
      <c r="N811" s="16">
        <f t="shared" ca="1" si="33"/>
        <v>696.48333333333323</v>
      </c>
    </row>
    <row r="812" spans="1:14" ht="24.75" customHeight="1" x14ac:dyDescent="0.8">
      <c r="A812" s="18" t="s">
        <v>775</v>
      </c>
      <c r="B812" s="10">
        <f ca="1">IFERROR(__xludf.DUMMYFUNCTION("GOOGLEFINANCE(A812,""PRICE"")"),762.9)</f>
        <v>762.9</v>
      </c>
      <c r="C812" s="11">
        <f ca="1">IFERROR(__xludf.DUMMYFUNCTION("GOOGLEFINANCE(A812,""PRICEOPEN"")"),760.3)</f>
        <v>760.3</v>
      </c>
      <c r="D812" s="11">
        <f ca="1">IFERROR(__xludf.DUMMYFUNCTION("GOOGLEFINANCE(A812,""HIGH"")"),771)</f>
        <v>771</v>
      </c>
      <c r="E812" s="11">
        <f ca="1">IFERROR(__xludf.DUMMYFUNCTION("GOOGLEFINANCE(A812,""LOW"")"),756.2)</f>
        <v>756.2</v>
      </c>
      <c r="F812" s="12" t="str">
        <f t="shared" ca="1" si="28"/>
        <v/>
      </c>
      <c r="G812" s="13">
        <f ca="1">IFERROR(__xludf.DUMMYFUNCTION("GOOGLEFINANCE(A812,""CLOSEYEST"")"),755.6)</f>
        <v>755.6</v>
      </c>
      <c r="H812" s="14" t="str">
        <f t="shared" ca="1" si="34"/>
        <v/>
      </c>
      <c r="I812" s="15">
        <f t="shared" ca="1" si="29"/>
        <v>760.93333333333339</v>
      </c>
      <c r="J812" s="16">
        <f t="shared" ca="1" si="30"/>
        <v>765.66666666666674</v>
      </c>
      <c r="K812" s="16"/>
      <c r="L812" s="16">
        <f t="shared" ca="1" si="31"/>
        <v>750.86666666666679</v>
      </c>
      <c r="M812" s="16">
        <f t="shared" ca="1" si="32"/>
        <v>775.73333333333335</v>
      </c>
      <c r="N812" s="16">
        <f t="shared" ca="1" si="33"/>
        <v>746.13333333333344</v>
      </c>
    </row>
    <row r="813" spans="1:14" ht="24.75" customHeight="1" x14ac:dyDescent="0.8">
      <c r="A813" s="18" t="s">
        <v>776</v>
      </c>
      <c r="B813" s="10">
        <f ca="1">IFERROR(__xludf.DUMMYFUNCTION("GOOGLEFINANCE(A813,""PRICE"")"),1517.4)</f>
        <v>1517.4</v>
      </c>
      <c r="C813" s="11">
        <f ca="1">IFERROR(__xludf.DUMMYFUNCTION("GOOGLEFINANCE(A813,""PRICEOPEN"")"),1525.6)</f>
        <v>1525.6</v>
      </c>
      <c r="D813" s="11">
        <f ca="1">IFERROR(__xludf.DUMMYFUNCTION("GOOGLEFINANCE(A813,""HIGH"")"),1544.9)</f>
        <v>1544.9</v>
      </c>
      <c r="E813" s="11">
        <f ca="1">IFERROR(__xludf.DUMMYFUNCTION("GOOGLEFINANCE(A813,""LOW"")"),1512.7)</f>
        <v>1512.7</v>
      </c>
      <c r="F813" s="12" t="str">
        <f t="shared" ca="1" si="28"/>
        <v/>
      </c>
      <c r="G813" s="13">
        <f ca="1">IFERROR(__xludf.DUMMYFUNCTION("GOOGLEFINANCE(A813,""CLOSEYEST"")"),1525.6)</f>
        <v>1525.6</v>
      </c>
      <c r="H813" s="14" t="str">
        <f t="shared" ca="1" si="34"/>
        <v/>
      </c>
      <c r="I813" s="15">
        <f t="shared" ca="1" si="29"/>
        <v>1527.7333333333336</v>
      </c>
      <c r="J813" s="16">
        <f t="shared" ca="1" si="30"/>
        <v>1542.7666666666671</v>
      </c>
      <c r="K813" s="16"/>
      <c r="L813" s="16">
        <f t="shared" ca="1" si="31"/>
        <v>1510.5666666666671</v>
      </c>
      <c r="M813" s="16">
        <f t="shared" ca="1" si="32"/>
        <v>1559.9333333333336</v>
      </c>
      <c r="N813" s="16">
        <f t="shared" ca="1" si="33"/>
        <v>1495.5333333333335</v>
      </c>
    </row>
    <row r="814" spans="1:14" ht="24.75" customHeight="1" x14ac:dyDescent="0.8">
      <c r="A814" s="18" t="s">
        <v>777</v>
      </c>
      <c r="B814" s="10">
        <f ca="1">IFERROR(__xludf.DUMMYFUNCTION("GOOGLEFINANCE(A814,""PRICE"")"),240)</f>
        <v>240</v>
      </c>
      <c r="C814" s="11">
        <f ca="1">IFERROR(__xludf.DUMMYFUNCTION("GOOGLEFINANCE(A814,""PRICEOPEN"")"),230)</f>
        <v>230</v>
      </c>
      <c r="D814" s="11">
        <f ca="1">IFERROR(__xludf.DUMMYFUNCTION("GOOGLEFINANCE(A814,""HIGH"")"),243.13)</f>
        <v>243.13</v>
      </c>
      <c r="E814" s="11">
        <f ca="1">IFERROR(__xludf.DUMMYFUNCTION("GOOGLEFINANCE(A814,""LOW"")"),230)</f>
        <v>230</v>
      </c>
      <c r="F814" s="12" t="str">
        <f t="shared" ca="1" si="28"/>
        <v>BUY</v>
      </c>
      <c r="G814" s="13">
        <f ca="1">IFERROR(__xludf.DUMMYFUNCTION("GOOGLEFINANCE(A814,""CLOSEYEST"")"),230.78)</f>
        <v>230.78</v>
      </c>
      <c r="H814" s="14" t="str">
        <f t="shared" ca="1" si="34"/>
        <v/>
      </c>
      <c r="I814" s="15">
        <f t="shared" ca="1" si="29"/>
        <v>234.63666666666666</v>
      </c>
      <c r="J814" s="16">
        <f t="shared" ca="1" si="30"/>
        <v>239.27333333333331</v>
      </c>
      <c r="K814" s="16"/>
      <c r="L814" s="16">
        <f t="shared" ca="1" si="31"/>
        <v>226.14333333333332</v>
      </c>
      <c r="M814" s="16">
        <f t="shared" ca="1" si="32"/>
        <v>247.76666666666665</v>
      </c>
      <c r="N814" s="16">
        <f t="shared" ca="1" si="33"/>
        <v>221.50666666666666</v>
      </c>
    </row>
    <row r="815" spans="1:14" ht="24.75" customHeight="1" x14ac:dyDescent="0.8">
      <c r="A815" s="18" t="s">
        <v>778</v>
      </c>
      <c r="B815" s="10">
        <f ca="1">IFERROR(__xludf.DUMMYFUNCTION("GOOGLEFINANCE(A815,""PRICE"")"),74.9)</f>
        <v>74.900000000000006</v>
      </c>
      <c r="C815" s="11">
        <f ca="1">IFERROR(__xludf.DUMMYFUNCTION("GOOGLEFINANCE(A815,""PRICEOPEN"")"),75.64)</f>
        <v>75.64</v>
      </c>
      <c r="D815" s="11">
        <f ca="1">IFERROR(__xludf.DUMMYFUNCTION("GOOGLEFINANCE(A815,""HIGH"")"),75.7)</f>
        <v>75.7</v>
      </c>
      <c r="E815" s="11">
        <f ca="1">IFERROR(__xludf.DUMMYFUNCTION("GOOGLEFINANCE(A815,""LOW"")"),74.66)</f>
        <v>74.66</v>
      </c>
      <c r="F815" s="12" t="str">
        <f t="shared" ca="1" si="28"/>
        <v/>
      </c>
      <c r="G815" s="13">
        <f ca="1">IFERROR(__xludf.DUMMYFUNCTION("GOOGLEFINANCE(A815,""CLOSEYEST"")"),75.64)</f>
        <v>75.64</v>
      </c>
      <c r="H815" s="14" t="str">
        <f t="shared" ca="1" si="34"/>
        <v/>
      </c>
      <c r="I815" s="15">
        <f t="shared" ca="1" si="29"/>
        <v>75.333333333333329</v>
      </c>
      <c r="J815" s="16">
        <f t="shared" ca="1" si="30"/>
        <v>76.006666666666661</v>
      </c>
      <c r="K815" s="16"/>
      <c r="L815" s="16">
        <f t="shared" ca="1" si="31"/>
        <v>74.966666666666654</v>
      </c>
      <c r="M815" s="16">
        <f t="shared" ca="1" si="32"/>
        <v>76.373333333333335</v>
      </c>
      <c r="N815" s="16">
        <f t="shared" ca="1" si="33"/>
        <v>74.293333333333322</v>
      </c>
    </row>
    <row r="816" spans="1:14" ht="24.75" customHeight="1" x14ac:dyDescent="0.8">
      <c r="A816" s="18" t="s">
        <v>779</v>
      </c>
      <c r="B816" s="10">
        <f ca="1">IFERROR(__xludf.DUMMYFUNCTION("GOOGLEFINANCE(A816,""PRICE"")"),906)</f>
        <v>906</v>
      </c>
      <c r="C816" s="11">
        <f ca="1">IFERROR(__xludf.DUMMYFUNCTION("GOOGLEFINANCE(A816,""PRICEOPEN"")"),872.95)</f>
        <v>872.95</v>
      </c>
      <c r="D816" s="11">
        <f ca="1">IFERROR(__xludf.DUMMYFUNCTION("GOOGLEFINANCE(A816,""HIGH"")"),914.9)</f>
        <v>914.9</v>
      </c>
      <c r="E816" s="11">
        <f ca="1">IFERROR(__xludf.DUMMYFUNCTION("GOOGLEFINANCE(A816,""LOW"")"),863)</f>
        <v>863</v>
      </c>
      <c r="F816" s="12" t="str">
        <f t="shared" ca="1" si="28"/>
        <v/>
      </c>
      <c r="G816" s="13">
        <f ca="1">IFERROR(__xludf.DUMMYFUNCTION("GOOGLEFINANCE(A816,""CLOSEYEST"")"),858.7)</f>
        <v>858.7</v>
      </c>
      <c r="H816" s="14" t="str">
        <f t="shared" ca="1" si="34"/>
        <v>GAP UP</v>
      </c>
      <c r="I816" s="15">
        <f t="shared" ca="1" si="29"/>
        <v>878.86666666666679</v>
      </c>
      <c r="J816" s="16">
        <f t="shared" ca="1" si="30"/>
        <v>894.73333333333358</v>
      </c>
      <c r="K816" s="16"/>
      <c r="L816" s="16">
        <f t="shared" ca="1" si="31"/>
        <v>842.8333333333336</v>
      </c>
      <c r="M816" s="16">
        <f t="shared" ca="1" si="32"/>
        <v>930.76666666666677</v>
      </c>
      <c r="N816" s="16">
        <f t="shared" ca="1" si="33"/>
        <v>826.96666666666681</v>
      </c>
    </row>
    <row r="817" spans="1:14" ht="24.75" customHeight="1" x14ac:dyDescent="0.8">
      <c r="A817" s="18" t="s">
        <v>780</v>
      </c>
      <c r="B817" s="10">
        <f ca="1">IFERROR(__xludf.DUMMYFUNCTION("GOOGLEFINANCE(A817,""PRICE"")"),117.2)</f>
        <v>117.2</v>
      </c>
      <c r="C817" s="11">
        <f ca="1">IFERROR(__xludf.DUMMYFUNCTION("GOOGLEFINANCE(A817,""PRICEOPEN"")"),115.4)</f>
        <v>115.4</v>
      </c>
      <c r="D817" s="11">
        <f ca="1">IFERROR(__xludf.DUMMYFUNCTION("GOOGLEFINANCE(A817,""HIGH"")"),117.4)</f>
        <v>117.4</v>
      </c>
      <c r="E817" s="11">
        <f ca="1">IFERROR(__xludf.DUMMYFUNCTION("GOOGLEFINANCE(A817,""LOW"")"),115.4)</f>
        <v>115.4</v>
      </c>
      <c r="F817" s="12" t="str">
        <f t="shared" ca="1" si="28"/>
        <v>BUY</v>
      </c>
      <c r="G817" s="13">
        <f ca="1">IFERROR(__xludf.DUMMYFUNCTION("GOOGLEFINANCE(A817,""CLOSEYEST"")"),115.2)</f>
        <v>115.2</v>
      </c>
      <c r="H817" s="14" t="str">
        <f t="shared" ca="1" si="34"/>
        <v/>
      </c>
      <c r="I817" s="15">
        <f t="shared" ca="1" si="29"/>
        <v>116</v>
      </c>
      <c r="J817" s="16">
        <f t="shared" ca="1" si="30"/>
        <v>116.6</v>
      </c>
      <c r="K817" s="16"/>
      <c r="L817" s="16">
        <f t="shared" ca="1" si="31"/>
        <v>114.6</v>
      </c>
      <c r="M817" s="16">
        <f t="shared" ca="1" si="32"/>
        <v>118</v>
      </c>
      <c r="N817" s="16">
        <f t="shared" ca="1" si="33"/>
        <v>114</v>
      </c>
    </row>
    <row r="818" spans="1:14" ht="24.75" customHeight="1" x14ac:dyDescent="0.8">
      <c r="A818" s="18" t="s">
        <v>781</v>
      </c>
      <c r="B818" s="10">
        <f ca="1">IFERROR(__xludf.DUMMYFUNCTION("GOOGLEFINANCE(A818,""PRICE"")"),121)</f>
        <v>121</v>
      </c>
      <c r="C818" s="11">
        <f ca="1">IFERROR(__xludf.DUMMYFUNCTION("GOOGLEFINANCE(A818,""PRICEOPEN"")"),120)</f>
        <v>120</v>
      </c>
      <c r="D818" s="11">
        <f ca="1">IFERROR(__xludf.DUMMYFUNCTION("GOOGLEFINANCE(A818,""HIGH"")"),124.48)</f>
        <v>124.48</v>
      </c>
      <c r="E818" s="11">
        <f ca="1">IFERROR(__xludf.DUMMYFUNCTION("GOOGLEFINANCE(A818,""LOW"")"),120)</f>
        <v>120</v>
      </c>
      <c r="F818" s="12" t="str">
        <f t="shared" ca="1" si="28"/>
        <v>BUY</v>
      </c>
      <c r="G818" s="13">
        <f ca="1">IFERROR(__xludf.DUMMYFUNCTION("GOOGLEFINANCE(A818,""CLOSEYEST"")"),121.14)</f>
        <v>121.14</v>
      </c>
      <c r="H818" s="14" t="str">
        <f t="shared" ca="1" si="34"/>
        <v/>
      </c>
      <c r="I818" s="15">
        <f t="shared" ca="1" si="29"/>
        <v>121.87333333333333</v>
      </c>
      <c r="J818" s="16">
        <f t="shared" ca="1" si="30"/>
        <v>123.74666666666667</v>
      </c>
      <c r="K818" s="16"/>
      <c r="L818" s="16">
        <f t="shared" ca="1" si="31"/>
        <v>119.26666666666667</v>
      </c>
      <c r="M818" s="16">
        <f t="shared" ca="1" si="32"/>
        <v>126.35333333333334</v>
      </c>
      <c r="N818" s="16">
        <f t="shared" ca="1" si="33"/>
        <v>117.39333333333333</v>
      </c>
    </row>
    <row r="819" spans="1:14" ht="24.75" customHeight="1" x14ac:dyDescent="0.8">
      <c r="A819" s="18" t="s">
        <v>782</v>
      </c>
      <c r="B819" s="10" t="str">
        <f ca="1">IFERROR(__xludf.DUMMYFUNCTION("GOOGLEFINANCE(A819,""PRICE"")"),"#N/A")</f>
        <v>#N/A</v>
      </c>
      <c r="C819" s="11" t="str">
        <f ca="1">IFERROR(__xludf.DUMMYFUNCTION("GOOGLEFINANCE(A819,""PRICEOPEN"")"),"#N/A")</f>
        <v>#N/A</v>
      </c>
      <c r="D819" s="11" t="str">
        <f ca="1">IFERROR(__xludf.DUMMYFUNCTION("GOOGLEFINANCE(A819,""HIGH"")"),"#N/A")</f>
        <v>#N/A</v>
      </c>
      <c r="E819" s="11" t="str">
        <f ca="1">IFERROR(__xludf.DUMMYFUNCTION("GOOGLEFINANCE(A819,""LOW"")"),"#N/A")</f>
        <v>#N/A</v>
      </c>
      <c r="F819" s="12" t="str">
        <f t="shared" ca="1" si="28"/>
        <v>SELL</v>
      </c>
      <c r="G819" s="13" t="str">
        <f ca="1">IFERROR(__xludf.DUMMYFUNCTION("GOOGLEFINANCE(A819,""CLOSEYEST"")"),"#N/A")</f>
        <v>#N/A</v>
      </c>
      <c r="H819" s="14" t="e">
        <f t="shared" ca="1" si="34"/>
        <v>#VALUE!</v>
      </c>
      <c r="I819" s="15" t="e">
        <f t="shared" ca="1" si="29"/>
        <v>#VALUE!</v>
      </c>
      <c r="J819" s="16" t="e">
        <f t="shared" ca="1" si="30"/>
        <v>#VALUE!</v>
      </c>
      <c r="K819" s="16"/>
      <c r="L819" s="16" t="e">
        <f t="shared" ca="1" si="31"/>
        <v>#VALUE!</v>
      </c>
      <c r="M819" s="16" t="e">
        <f t="shared" ca="1" si="32"/>
        <v>#VALUE!</v>
      </c>
      <c r="N819" s="16" t="e">
        <f t="shared" ca="1" si="33"/>
        <v>#VALUE!</v>
      </c>
    </row>
    <row r="820" spans="1:14" ht="24.75" customHeight="1" x14ac:dyDescent="0.8">
      <c r="A820" s="18" t="s">
        <v>783</v>
      </c>
      <c r="B820" s="10">
        <f ca="1">IFERROR(__xludf.DUMMYFUNCTION("GOOGLEFINANCE(A820,""PRICE"")"),12.1)</f>
        <v>12.1</v>
      </c>
      <c r="C820" s="11">
        <f ca="1">IFERROR(__xludf.DUMMYFUNCTION("GOOGLEFINANCE(A820,""PRICEOPEN"")"),12.02)</f>
        <v>12.02</v>
      </c>
      <c r="D820" s="11">
        <f ca="1">IFERROR(__xludf.DUMMYFUNCTION("GOOGLEFINANCE(A820,""HIGH"")"),12.25)</f>
        <v>12.25</v>
      </c>
      <c r="E820" s="11">
        <f ca="1">IFERROR(__xludf.DUMMYFUNCTION("GOOGLEFINANCE(A820,""LOW"")"),12)</f>
        <v>12</v>
      </c>
      <c r="F820" s="12" t="str">
        <f t="shared" ca="1" si="28"/>
        <v/>
      </c>
      <c r="G820" s="13">
        <f ca="1">IFERROR(__xludf.DUMMYFUNCTION("GOOGLEFINANCE(A820,""CLOSEYEST"")"),12.1)</f>
        <v>12.1</v>
      </c>
      <c r="H820" s="14" t="str">
        <f t="shared" ca="1" si="34"/>
        <v/>
      </c>
      <c r="I820" s="15">
        <f t="shared" ca="1" si="29"/>
        <v>12.116666666666667</v>
      </c>
      <c r="J820" s="16">
        <f t="shared" ca="1" si="30"/>
        <v>12.233333333333334</v>
      </c>
      <c r="K820" s="16"/>
      <c r="L820" s="16">
        <f t="shared" ca="1" si="31"/>
        <v>11.983333333333334</v>
      </c>
      <c r="M820" s="16">
        <f t="shared" ca="1" si="32"/>
        <v>12.366666666666667</v>
      </c>
      <c r="N820" s="16">
        <f t="shared" ca="1" si="33"/>
        <v>11.866666666666667</v>
      </c>
    </row>
    <row r="821" spans="1:14" ht="24.75" customHeight="1" x14ac:dyDescent="0.8">
      <c r="A821" s="18" t="s">
        <v>784</v>
      </c>
      <c r="B821" s="10">
        <f ca="1">IFERROR(__xludf.DUMMYFUNCTION("GOOGLEFINANCE(A821,""PRICE"")"),4575)</f>
        <v>4575</v>
      </c>
      <c r="C821" s="11">
        <f ca="1">IFERROR(__xludf.DUMMYFUNCTION("GOOGLEFINANCE(A821,""PRICEOPEN"")"),4490)</f>
        <v>4490</v>
      </c>
      <c r="D821" s="11">
        <f ca="1">IFERROR(__xludf.DUMMYFUNCTION("GOOGLEFINANCE(A821,""HIGH"")"),4587)</f>
        <v>4587</v>
      </c>
      <c r="E821" s="11">
        <f ca="1">IFERROR(__xludf.DUMMYFUNCTION("GOOGLEFINANCE(A821,""LOW"")"),4470.4)</f>
        <v>4470.3999999999996</v>
      </c>
      <c r="F821" s="12" t="str">
        <f t="shared" ca="1" si="28"/>
        <v/>
      </c>
      <c r="G821" s="13">
        <f ca="1">IFERROR(__xludf.DUMMYFUNCTION("GOOGLEFINANCE(A821,""CLOSEYEST"")"),4470.4)</f>
        <v>4470.3999999999996</v>
      </c>
      <c r="H821" s="14" t="str">
        <f t="shared" ca="1" si="34"/>
        <v/>
      </c>
      <c r="I821" s="15">
        <f t="shared" ca="1" si="29"/>
        <v>4509.2666666666664</v>
      </c>
      <c r="J821" s="16">
        <f t="shared" ca="1" si="30"/>
        <v>4548.1333333333332</v>
      </c>
      <c r="K821" s="16"/>
      <c r="L821" s="16">
        <f t="shared" ca="1" si="31"/>
        <v>4431.5333333333328</v>
      </c>
      <c r="M821" s="16">
        <f t="shared" ca="1" si="32"/>
        <v>4625.8666666666668</v>
      </c>
      <c r="N821" s="16">
        <f t="shared" ca="1" si="33"/>
        <v>4392.6666666666661</v>
      </c>
    </row>
    <row r="822" spans="1:14" ht="24.75" customHeight="1" x14ac:dyDescent="0.8">
      <c r="A822" s="18" t="s">
        <v>785</v>
      </c>
      <c r="B822" s="10" t="str">
        <f ca="1">IFERROR(__xludf.DUMMYFUNCTION("GOOGLEFINANCE(A822,""PRICE"")"),"#N/A")</f>
        <v>#N/A</v>
      </c>
      <c r="C822" s="11" t="str">
        <f ca="1">IFERROR(__xludf.DUMMYFUNCTION("GOOGLEFINANCE(A822,""PRICEOPEN"")"),"#N/A")</f>
        <v>#N/A</v>
      </c>
      <c r="D822" s="11" t="str">
        <f ca="1">IFERROR(__xludf.DUMMYFUNCTION("GOOGLEFINANCE(A822,""HIGH"")"),"#N/A")</f>
        <v>#N/A</v>
      </c>
      <c r="E822" s="11" t="str">
        <f ca="1">IFERROR(__xludf.DUMMYFUNCTION("GOOGLEFINANCE(A822,""LOW"")"),"#N/A")</f>
        <v>#N/A</v>
      </c>
      <c r="F822" s="12" t="str">
        <f t="shared" ca="1" si="28"/>
        <v>SELL</v>
      </c>
      <c r="G822" s="13" t="str">
        <f ca="1">IFERROR(__xludf.DUMMYFUNCTION("GOOGLEFINANCE(A822,""CLOSEYEST"")"),"#N/A")</f>
        <v>#N/A</v>
      </c>
      <c r="H822" s="14" t="e">
        <f t="shared" ca="1" si="34"/>
        <v>#VALUE!</v>
      </c>
      <c r="I822" s="15" t="e">
        <f t="shared" ca="1" si="29"/>
        <v>#VALUE!</v>
      </c>
      <c r="J822" s="16" t="e">
        <f t="shared" ca="1" si="30"/>
        <v>#VALUE!</v>
      </c>
      <c r="K822" s="16"/>
      <c r="L822" s="16" t="e">
        <f t="shared" ca="1" si="31"/>
        <v>#VALUE!</v>
      </c>
      <c r="M822" s="16" t="e">
        <f t="shared" ca="1" si="32"/>
        <v>#VALUE!</v>
      </c>
      <c r="N822" s="16" t="e">
        <f t="shared" ca="1" si="33"/>
        <v>#VALUE!</v>
      </c>
    </row>
    <row r="823" spans="1:14" ht="24.75" customHeight="1" x14ac:dyDescent="0.8">
      <c r="A823" s="18" t="s">
        <v>786</v>
      </c>
      <c r="B823" s="10">
        <f ca="1">IFERROR(__xludf.DUMMYFUNCTION("GOOGLEFINANCE(A823,""PRICE"")"),303)</f>
        <v>303</v>
      </c>
      <c r="C823" s="11">
        <f ca="1">IFERROR(__xludf.DUMMYFUNCTION("GOOGLEFINANCE(A823,""PRICEOPEN"")"),306.65)</f>
        <v>306.64999999999998</v>
      </c>
      <c r="D823" s="11">
        <f ca="1">IFERROR(__xludf.DUMMYFUNCTION("GOOGLEFINANCE(A823,""HIGH"")"),306.65)</f>
        <v>306.64999999999998</v>
      </c>
      <c r="E823" s="11">
        <f ca="1">IFERROR(__xludf.DUMMYFUNCTION("GOOGLEFINANCE(A823,""LOW"")"),299)</f>
        <v>299</v>
      </c>
      <c r="F823" s="12" t="str">
        <f t="shared" ca="1" si="28"/>
        <v>SELL</v>
      </c>
      <c r="G823" s="13">
        <f ca="1">IFERROR(__xludf.DUMMYFUNCTION("GOOGLEFINANCE(A823,""CLOSEYEST"")"),303.65)</f>
        <v>303.64999999999998</v>
      </c>
      <c r="H823" s="14" t="str">
        <f t="shared" ca="1" si="34"/>
        <v/>
      </c>
      <c r="I823" s="15">
        <f t="shared" ca="1" si="29"/>
        <v>303.09999999999997</v>
      </c>
      <c r="J823" s="16">
        <f t="shared" ca="1" si="30"/>
        <v>307.19999999999993</v>
      </c>
      <c r="K823" s="16"/>
      <c r="L823" s="16">
        <f t="shared" ca="1" si="31"/>
        <v>299.54999999999995</v>
      </c>
      <c r="M823" s="16">
        <f t="shared" ca="1" si="32"/>
        <v>310.74999999999994</v>
      </c>
      <c r="N823" s="16">
        <f t="shared" ca="1" si="33"/>
        <v>295.45</v>
      </c>
    </row>
    <row r="824" spans="1:14" ht="24.75" customHeight="1" x14ac:dyDescent="0.8">
      <c r="A824" s="18" t="s">
        <v>787</v>
      </c>
      <c r="B824" s="10">
        <f ca="1">IFERROR(__xludf.DUMMYFUNCTION("GOOGLEFINANCE(A824,""PRICE"")"),220.1)</f>
        <v>220.1</v>
      </c>
      <c r="C824" s="11">
        <f ca="1">IFERROR(__xludf.DUMMYFUNCTION("GOOGLEFINANCE(A824,""PRICEOPEN"")"),223.19)</f>
        <v>223.19</v>
      </c>
      <c r="D824" s="11">
        <f ca="1">IFERROR(__xludf.DUMMYFUNCTION("GOOGLEFINANCE(A824,""HIGH"")"),223.89)</f>
        <v>223.89</v>
      </c>
      <c r="E824" s="11">
        <f ca="1">IFERROR(__xludf.DUMMYFUNCTION("GOOGLEFINANCE(A824,""LOW"")"),217.5)</f>
        <v>217.5</v>
      </c>
      <c r="F824" s="12" t="str">
        <f t="shared" ca="1" si="28"/>
        <v/>
      </c>
      <c r="G824" s="13">
        <f ca="1">IFERROR(__xludf.DUMMYFUNCTION("GOOGLEFINANCE(A824,""CLOSEYEST"")"),221.71)</f>
        <v>221.71</v>
      </c>
      <c r="H824" s="14" t="str">
        <f t="shared" ca="1" si="34"/>
        <v/>
      </c>
      <c r="I824" s="15">
        <f t="shared" ca="1" si="29"/>
        <v>221.03333333333333</v>
      </c>
      <c r="J824" s="16">
        <f t="shared" ca="1" si="30"/>
        <v>224.56666666666666</v>
      </c>
      <c r="K824" s="16"/>
      <c r="L824" s="16">
        <f t="shared" ca="1" si="31"/>
        <v>218.17666666666668</v>
      </c>
      <c r="M824" s="16">
        <f t="shared" ca="1" si="32"/>
        <v>227.42333333333332</v>
      </c>
      <c r="N824" s="16">
        <f t="shared" ca="1" si="33"/>
        <v>214.64333333333335</v>
      </c>
    </row>
    <row r="825" spans="1:14" ht="24.75" customHeight="1" x14ac:dyDescent="0.8">
      <c r="A825" s="18" t="s">
        <v>788</v>
      </c>
      <c r="B825" s="10">
        <f ca="1">IFERROR(__xludf.DUMMYFUNCTION("GOOGLEFINANCE(A825,""PRICE"")"),13.25)</f>
        <v>13.25</v>
      </c>
      <c r="C825" s="11">
        <f ca="1">IFERROR(__xludf.DUMMYFUNCTION("GOOGLEFINANCE(A825,""PRICEOPEN"")"),13.33)</f>
        <v>13.33</v>
      </c>
      <c r="D825" s="11">
        <f ca="1">IFERROR(__xludf.DUMMYFUNCTION("GOOGLEFINANCE(A825,""HIGH"")"),13.39)</f>
        <v>13.39</v>
      </c>
      <c r="E825" s="11">
        <f ca="1">IFERROR(__xludf.DUMMYFUNCTION("GOOGLEFINANCE(A825,""LOW"")"),13.13)</f>
        <v>13.13</v>
      </c>
      <c r="F825" s="12" t="str">
        <f t="shared" ca="1" si="28"/>
        <v/>
      </c>
      <c r="G825" s="13">
        <f ca="1">IFERROR(__xludf.DUMMYFUNCTION("GOOGLEFINANCE(A825,""CLOSEYEST"")"),13.23)</f>
        <v>13.23</v>
      </c>
      <c r="H825" s="14" t="str">
        <f t="shared" ca="1" si="34"/>
        <v/>
      </c>
      <c r="I825" s="15">
        <f t="shared" ca="1" si="29"/>
        <v>13.25</v>
      </c>
      <c r="J825" s="16">
        <f t="shared" ca="1" si="30"/>
        <v>13.37</v>
      </c>
      <c r="K825" s="16"/>
      <c r="L825" s="16">
        <f t="shared" ca="1" si="31"/>
        <v>13.11</v>
      </c>
      <c r="M825" s="16">
        <f t="shared" ca="1" si="32"/>
        <v>13.51</v>
      </c>
      <c r="N825" s="16">
        <f t="shared" ca="1" si="33"/>
        <v>12.99</v>
      </c>
    </row>
    <row r="826" spans="1:14" ht="24.75" customHeight="1" x14ac:dyDescent="0.8">
      <c r="A826" s="18" t="s">
        <v>789</v>
      </c>
      <c r="B826" s="10">
        <f ca="1">IFERROR(__xludf.DUMMYFUNCTION("GOOGLEFINANCE(A826,""PRICE"")"),876)</f>
        <v>876</v>
      </c>
      <c r="C826" s="11">
        <f ca="1">IFERROR(__xludf.DUMMYFUNCTION("GOOGLEFINANCE(A826,""PRICEOPEN"")"),874)</f>
        <v>874</v>
      </c>
      <c r="D826" s="11">
        <f ca="1">IFERROR(__xludf.DUMMYFUNCTION("GOOGLEFINANCE(A826,""HIGH"")"),885.5)</f>
        <v>885.5</v>
      </c>
      <c r="E826" s="11">
        <f ca="1">IFERROR(__xludf.DUMMYFUNCTION("GOOGLEFINANCE(A826,""LOW"")"),865.2)</f>
        <v>865.2</v>
      </c>
      <c r="F826" s="12" t="str">
        <f t="shared" ca="1" si="28"/>
        <v/>
      </c>
      <c r="G826" s="13">
        <f ca="1">IFERROR(__xludf.DUMMYFUNCTION("GOOGLEFINANCE(A826,""CLOSEYEST"")"),876.55)</f>
        <v>876.55</v>
      </c>
      <c r="H826" s="14" t="str">
        <f t="shared" ca="1" si="34"/>
        <v/>
      </c>
      <c r="I826" s="15">
        <f t="shared" ca="1" si="29"/>
        <v>875.75</v>
      </c>
      <c r="J826" s="16">
        <f t="shared" ca="1" si="30"/>
        <v>886.3</v>
      </c>
      <c r="K826" s="16"/>
      <c r="L826" s="16">
        <f t="shared" ca="1" si="31"/>
        <v>866</v>
      </c>
      <c r="M826" s="16">
        <f t="shared" ca="1" si="32"/>
        <v>896.05</v>
      </c>
      <c r="N826" s="16">
        <f t="shared" ca="1" si="33"/>
        <v>855.45</v>
      </c>
    </row>
    <row r="827" spans="1:14" ht="24.75" customHeight="1" x14ac:dyDescent="0.8">
      <c r="A827" s="18" t="s">
        <v>790</v>
      </c>
      <c r="B827" s="10">
        <f ca="1">IFERROR(__xludf.DUMMYFUNCTION("GOOGLEFINANCE(A827,""PRICE"")"),514.55)</f>
        <v>514.54999999999995</v>
      </c>
      <c r="C827" s="11">
        <f ca="1">IFERROR(__xludf.DUMMYFUNCTION("GOOGLEFINANCE(A827,""PRICEOPEN"")"),515)</f>
        <v>515</v>
      </c>
      <c r="D827" s="11">
        <f ca="1">IFERROR(__xludf.DUMMYFUNCTION("GOOGLEFINANCE(A827,""HIGH"")"),518)</f>
        <v>518</v>
      </c>
      <c r="E827" s="11">
        <f ca="1">IFERROR(__xludf.DUMMYFUNCTION("GOOGLEFINANCE(A827,""LOW"")"),508.45)</f>
        <v>508.45</v>
      </c>
      <c r="F827" s="12" t="str">
        <f t="shared" ca="1" si="28"/>
        <v/>
      </c>
      <c r="G827" s="13">
        <f ca="1">IFERROR(__xludf.DUMMYFUNCTION("GOOGLEFINANCE(A827,""CLOSEYEST"")"),510.85)</f>
        <v>510.85</v>
      </c>
      <c r="H827" s="14" t="str">
        <f t="shared" ca="1" si="34"/>
        <v/>
      </c>
      <c r="I827" s="15">
        <f t="shared" ca="1" si="29"/>
        <v>512.43333333333339</v>
      </c>
      <c r="J827" s="16">
        <f t="shared" ca="1" si="30"/>
        <v>516.41666666666674</v>
      </c>
      <c r="K827" s="16"/>
      <c r="L827" s="16">
        <f t="shared" ca="1" si="31"/>
        <v>506.86666666666679</v>
      </c>
      <c r="M827" s="16">
        <f t="shared" ca="1" si="32"/>
        <v>521.98333333333335</v>
      </c>
      <c r="N827" s="16">
        <f t="shared" ca="1" si="33"/>
        <v>502.88333333333344</v>
      </c>
    </row>
    <row r="828" spans="1:14" ht="24.75" customHeight="1" x14ac:dyDescent="0.8">
      <c r="A828" s="18" t="s">
        <v>791</v>
      </c>
      <c r="B828" s="10">
        <f ca="1">IFERROR(__xludf.DUMMYFUNCTION("GOOGLEFINANCE(A828,""PRICE"")"),160.09)</f>
        <v>160.09</v>
      </c>
      <c r="C828" s="11">
        <f ca="1">IFERROR(__xludf.DUMMYFUNCTION("GOOGLEFINANCE(A828,""PRICEOPEN"")"),159.9)</f>
        <v>159.9</v>
      </c>
      <c r="D828" s="11">
        <f ca="1">IFERROR(__xludf.DUMMYFUNCTION("GOOGLEFINANCE(A828,""HIGH"")"),161.77)</f>
        <v>161.77000000000001</v>
      </c>
      <c r="E828" s="11">
        <f ca="1">IFERROR(__xludf.DUMMYFUNCTION("GOOGLEFINANCE(A828,""LOW"")"),156.77)</f>
        <v>156.77000000000001</v>
      </c>
      <c r="F828" s="12" t="str">
        <f t="shared" ca="1" si="28"/>
        <v/>
      </c>
      <c r="G828" s="13">
        <f ca="1">IFERROR(__xludf.DUMMYFUNCTION("GOOGLEFINANCE(A828,""CLOSEYEST"")"),158.76)</f>
        <v>158.76</v>
      </c>
      <c r="H828" s="14" t="str">
        <f t="shared" ca="1" si="34"/>
        <v/>
      </c>
      <c r="I828" s="15">
        <f t="shared" ca="1" si="29"/>
        <v>159.1</v>
      </c>
      <c r="J828" s="16">
        <f t="shared" ca="1" si="30"/>
        <v>161.42999999999998</v>
      </c>
      <c r="K828" s="16"/>
      <c r="L828" s="16">
        <f t="shared" ca="1" si="31"/>
        <v>156.42999999999998</v>
      </c>
      <c r="M828" s="16">
        <f t="shared" ca="1" si="32"/>
        <v>164.1</v>
      </c>
      <c r="N828" s="16">
        <f t="shared" ca="1" si="33"/>
        <v>154.1</v>
      </c>
    </row>
    <row r="829" spans="1:14" ht="24.75" customHeight="1" x14ac:dyDescent="0.8">
      <c r="A829" s="18" t="s">
        <v>792</v>
      </c>
      <c r="B829" s="10">
        <f ca="1">IFERROR(__xludf.DUMMYFUNCTION("GOOGLEFINANCE(A829,""PRICE"")"),403)</f>
        <v>403</v>
      </c>
      <c r="C829" s="11">
        <f ca="1">IFERROR(__xludf.DUMMYFUNCTION("GOOGLEFINANCE(A829,""PRICEOPEN"")"),401.85)</f>
        <v>401.85</v>
      </c>
      <c r="D829" s="11">
        <f ca="1">IFERROR(__xludf.DUMMYFUNCTION("GOOGLEFINANCE(A829,""HIGH"")"),405.85)</f>
        <v>405.85</v>
      </c>
      <c r="E829" s="11">
        <f ca="1">IFERROR(__xludf.DUMMYFUNCTION("GOOGLEFINANCE(A829,""LOW"")"),400.6)</f>
        <v>400.6</v>
      </c>
      <c r="F829" s="12" t="str">
        <f t="shared" ca="1" si="28"/>
        <v/>
      </c>
      <c r="G829" s="13">
        <f ca="1">IFERROR(__xludf.DUMMYFUNCTION("GOOGLEFINANCE(A829,""CLOSEYEST"")"),403.8)</f>
        <v>403.8</v>
      </c>
      <c r="H829" s="14" t="str">
        <f t="shared" ca="1" si="34"/>
        <v/>
      </c>
      <c r="I829" s="15">
        <f t="shared" ca="1" si="29"/>
        <v>403.41666666666669</v>
      </c>
      <c r="J829" s="16">
        <f t="shared" ca="1" si="30"/>
        <v>406.23333333333335</v>
      </c>
      <c r="K829" s="16"/>
      <c r="L829" s="16">
        <f t="shared" ca="1" si="31"/>
        <v>400.98333333333335</v>
      </c>
      <c r="M829" s="16">
        <f t="shared" ca="1" si="32"/>
        <v>408.66666666666669</v>
      </c>
      <c r="N829" s="16">
        <f t="shared" ca="1" si="33"/>
        <v>398.16666666666669</v>
      </c>
    </row>
    <row r="830" spans="1:14" ht="24.75" customHeight="1" x14ac:dyDescent="0.8">
      <c r="A830" s="18" t="s">
        <v>793</v>
      </c>
      <c r="B830" s="10">
        <f ca="1">IFERROR(__xludf.DUMMYFUNCTION("GOOGLEFINANCE(A830,""PRICE"")"),189.6)</f>
        <v>189.6</v>
      </c>
      <c r="C830" s="11">
        <f ca="1">IFERROR(__xludf.DUMMYFUNCTION("GOOGLEFINANCE(A830,""PRICEOPEN"")"),188.31)</f>
        <v>188.31</v>
      </c>
      <c r="D830" s="11">
        <f ca="1">IFERROR(__xludf.DUMMYFUNCTION("GOOGLEFINANCE(A830,""HIGH"")"),190.5)</f>
        <v>190.5</v>
      </c>
      <c r="E830" s="11">
        <f ca="1">IFERROR(__xludf.DUMMYFUNCTION("GOOGLEFINANCE(A830,""LOW"")"),184.64)</f>
        <v>184.64</v>
      </c>
      <c r="F830" s="12" t="str">
        <f t="shared" ca="1" si="28"/>
        <v/>
      </c>
      <c r="G830" s="13">
        <f ca="1">IFERROR(__xludf.DUMMYFUNCTION("GOOGLEFINANCE(A830,""CLOSEYEST"")"),188.31)</f>
        <v>188.31</v>
      </c>
      <c r="H830" s="14" t="str">
        <f t="shared" ca="1" si="34"/>
        <v/>
      </c>
      <c r="I830" s="15">
        <f t="shared" ca="1" si="29"/>
        <v>187.81666666666669</v>
      </c>
      <c r="J830" s="16">
        <f t="shared" ca="1" si="30"/>
        <v>190.9933333333334</v>
      </c>
      <c r="K830" s="16"/>
      <c r="L830" s="16">
        <f t="shared" ca="1" si="31"/>
        <v>185.13333333333338</v>
      </c>
      <c r="M830" s="16">
        <f t="shared" ca="1" si="32"/>
        <v>193.6766666666667</v>
      </c>
      <c r="N830" s="16">
        <f t="shared" ca="1" si="33"/>
        <v>181.95666666666668</v>
      </c>
    </row>
    <row r="831" spans="1:14" ht="24.75" customHeight="1" x14ac:dyDescent="0.8">
      <c r="A831" s="18" t="s">
        <v>794</v>
      </c>
      <c r="B831" s="10" t="str">
        <f ca="1">IFERROR(__xludf.DUMMYFUNCTION("GOOGLEFINANCE(A831,""PRICE"")"),"#N/A")</f>
        <v>#N/A</v>
      </c>
      <c r="C831" s="11" t="str">
        <f ca="1">IFERROR(__xludf.DUMMYFUNCTION("GOOGLEFINANCE(A831,""PRICEOPEN"")"),"#N/A")</f>
        <v>#N/A</v>
      </c>
      <c r="D831" s="11" t="str">
        <f ca="1">IFERROR(__xludf.DUMMYFUNCTION("GOOGLEFINANCE(A831,""HIGH"")"),"#N/A")</f>
        <v>#N/A</v>
      </c>
      <c r="E831" s="11" t="str">
        <f ca="1">IFERROR(__xludf.DUMMYFUNCTION("GOOGLEFINANCE(A831,""LOW"")"),"#N/A")</f>
        <v>#N/A</v>
      </c>
      <c r="F831" s="12" t="str">
        <f t="shared" ca="1" si="28"/>
        <v>SELL</v>
      </c>
      <c r="G831" s="13" t="str">
        <f ca="1">IFERROR(__xludf.DUMMYFUNCTION("GOOGLEFINANCE(A831,""CLOSEYEST"")"),"#N/A")</f>
        <v>#N/A</v>
      </c>
      <c r="H831" s="14" t="e">
        <f t="shared" ca="1" si="34"/>
        <v>#VALUE!</v>
      </c>
      <c r="I831" s="15" t="e">
        <f t="shared" ca="1" si="29"/>
        <v>#VALUE!</v>
      </c>
      <c r="J831" s="16" t="e">
        <f t="shared" ca="1" si="30"/>
        <v>#VALUE!</v>
      </c>
      <c r="K831" s="16"/>
      <c r="L831" s="16" t="e">
        <f t="shared" ca="1" si="31"/>
        <v>#VALUE!</v>
      </c>
      <c r="M831" s="16" t="e">
        <f t="shared" ca="1" si="32"/>
        <v>#VALUE!</v>
      </c>
      <c r="N831" s="16" t="e">
        <f t="shared" ca="1" si="33"/>
        <v>#VALUE!</v>
      </c>
    </row>
    <row r="832" spans="1:14" ht="24.75" customHeight="1" x14ac:dyDescent="0.8">
      <c r="A832" s="18" t="s">
        <v>795</v>
      </c>
      <c r="B832" s="10">
        <f ca="1">IFERROR(__xludf.DUMMYFUNCTION("GOOGLEFINANCE(A832,""PRICE"")"),295)</f>
        <v>295</v>
      </c>
      <c r="C832" s="11">
        <f ca="1">IFERROR(__xludf.DUMMYFUNCTION("GOOGLEFINANCE(A832,""PRICEOPEN"")"),283.75)</f>
        <v>283.75</v>
      </c>
      <c r="D832" s="11">
        <f ca="1">IFERROR(__xludf.DUMMYFUNCTION("GOOGLEFINANCE(A832,""HIGH"")"),296)</f>
        <v>296</v>
      </c>
      <c r="E832" s="11">
        <f ca="1">IFERROR(__xludf.DUMMYFUNCTION("GOOGLEFINANCE(A832,""LOW"")"),283.75)</f>
        <v>283.75</v>
      </c>
      <c r="F832" s="12" t="str">
        <f t="shared" ca="1" si="28"/>
        <v>BUY</v>
      </c>
      <c r="G832" s="13">
        <f ca="1">IFERROR(__xludf.DUMMYFUNCTION("GOOGLEFINANCE(A832,""CLOSEYEST"")"),285.75)</f>
        <v>285.75</v>
      </c>
      <c r="H832" s="14" t="str">
        <f t="shared" ca="1" si="34"/>
        <v/>
      </c>
      <c r="I832" s="15">
        <f t="shared" ca="1" si="29"/>
        <v>288.5</v>
      </c>
      <c r="J832" s="16">
        <f t="shared" ca="1" si="30"/>
        <v>293.25</v>
      </c>
      <c r="K832" s="16"/>
      <c r="L832" s="16">
        <f t="shared" ca="1" si="31"/>
        <v>281</v>
      </c>
      <c r="M832" s="16">
        <f t="shared" ca="1" si="32"/>
        <v>300.75</v>
      </c>
      <c r="N832" s="16">
        <f t="shared" ca="1" si="33"/>
        <v>276.25</v>
      </c>
    </row>
    <row r="833" spans="1:14" ht="24.75" customHeight="1" x14ac:dyDescent="0.8">
      <c r="A833" s="18" t="s">
        <v>796</v>
      </c>
      <c r="B833" s="10">
        <f ca="1">IFERROR(__xludf.DUMMYFUNCTION("GOOGLEFINANCE(A833,""PRICE"")"),323.6)</f>
        <v>323.60000000000002</v>
      </c>
      <c r="C833" s="11">
        <f ca="1">IFERROR(__xludf.DUMMYFUNCTION("GOOGLEFINANCE(A833,""PRICEOPEN"")"),325.4)</f>
        <v>325.39999999999998</v>
      </c>
      <c r="D833" s="11">
        <f ca="1">IFERROR(__xludf.DUMMYFUNCTION("GOOGLEFINANCE(A833,""HIGH"")"),329.5)</f>
        <v>329.5</v>
      </c>
      <c r="E833" s="11">
        <f ca="1">IFERROR(__xludf.DUMMYFUNCTION("GOOGLEFINANCE(A833,""LOW"")"),323.1)</f>
        <v>323.10000000000002</v>
      </c>
      <c r="F833" s="12" t="str">
        <f t="shared" ca="1" si="28"/>
        <v/>
      </c>
      <c r="G833" s="13">
        <f ca="1">IFERROR(__xludf.DUMMYFUNCTION("GOOGLEFINANCE(A833,""CLOSEYEST"")"),325.4)</f>
        <v>325.39999999999998</v>
      </c>
      <c r="H833" s="14" t="str">
        <f t="shared" ca="1" si="34"/>
        <v/>
      </c>
      <c r="I833" s="15">
        <f t="shared" ca="1" si="29"/>
        <v>326</v>
      </c>
      <c r="J833" s="16">
        <f t="shared" ca="1" si="30"/>
        <v>328.9</v>
      </c>
      <c r="K833" s="16"/>
      <c r="L833" s="16">
        <f t="shared" ca="1" si="31"/>
        <v>322.5</v>
      </c>
      <c r="M833" s="16">
        <f t="shared" ca="1" si="32"/>
        <v>332.4</v>
      </c>
      <c r="N833" s="16">
        <f t="shared" ca="1" si="33"/>
        <v>319.60000000000002</v>
      </c>
    </row>
    <row r="834" spans="1:14" ht="24.75" customHeight="1" x14ac:dyDescent="0.8">
      <c r="A834" s="18" t="s">
        <v>797</v>
      </c>
      <c r="B834" s="10">
        <f ca="1">IFERROR(__xludf.DUMMYFUNCTION("GOOGLEFINANCE(A834,""PRICE"")"),1001)</f>
        <v>1001</v>
      </c>
      <c r="C834" s="11">
        <f ca="1">IFERROR(__xludf.DUMMYFUNCTION("GOOGLEFINANCE(A834,""PRICEOPEN"")"),982.9)</f>
        <v>982.9</v>
      </c>
      <c r="D834" s="11">
        <f ca="1">IFERROR(__xludf.DUMMYFUNCTION("GOOGLEFINANCE(A834,""HIGH"")"),1014.95)</f>
        <v>1014.95</v>
      </c>
      <c r="E834" s="11">
        <f ca="1">IFERROR(__xludf.DUMMYFUNCTION("GOOGLEFINANCE(A834,""LOW"")"),980)</f>
        <v>980</v>
      </c>
      <c r="F834" s="12" t="str">
        <f t="shared" ca="1" si="28"/>
        <v/>
      </c>
      <c r="G834" s="13">
        <f ca="1">IFERROR(__xludf.DUMMYFUNCTION("GOOGLEFINANCE(A834,""CLOSEYEST"")"),982.9)</f>
        <v>982.9</v>
      </c>
      <c r="H834" s="14" t="str">
        <f t="shared" ca="1" si="34"/>
        <v/>
      </c>
      <c r="I834" s="15">
        <f t="shared" ca="1" si="29"/>
        <v>992.61666666666667</v>
      </c>
      <c r="J834" s="16">
        <f t="shared" ca="1" si="30"/>
        <v>1005.2333333333333</v>
      </c>
      <c r="K834" s="16"/>
      <c r="L834" s="16">
        <f t="shared" ca="1" si="31"/>
        <v>970.2833333333333</v>
      </c>
      <c r="M834" s="16">
        <f t="shared" ca="1" si="32"/>
        <v>1027.5666666666666</v>
      </c>
      <c r="N834" s="16">
        <f t="shared" ca="1" si="33"/>
        <v>957.66666666666663</v>
      </c>
    </row>
    <row r="835" spans="1:14" ht="24.75" customHeight="1" x14ac:dyDescent="0.8">
      <c r="A835" s="18" t="s">
        <v>798</v>
      </c>
      <c r="B835" s="10" t="str">
        <f ca="1">IFERROR(__xludf.DUMMYFUNCTION("GOOGLEFINANCE(A835,""PRICE"")"),"#N/A")</f>
        <v>#N/A</v>
      </c>
      <c r="C835" s="11" t="str">
        <f ca="1">IFERROR(__xludf.DUMMYFUNCTION("GOOGLEFINANCE(A835,""PRICEOPEN"")"),"#N/A")</f>
        <v>#N/A</v>
      </c>
      <c r="D835" s="11" t="str">
        <f ca="1">IFERROR(__xludf.DUMMYFUNCTION("GOOGLEFINANCE(A835,""HIGH"")"),"#N/A")</f>
        <v>#N/A</v>
      </c>
      <c r="E835" s="11" t="str">
        <f ca="1">IFERROR(__xludf.DUMMYFUNCTION("GOOGLEFINANCE(A835,""LOW"")"),"#N/A")</f>
        <v>#N/A</v>
      </c>
      <c r="F835" s="12" t="str">
        <f t="shared" ca="1" si="28"/>
        <v>SELL</v>
      </c>
      <c r="G835" s="13" t="str">
        <f ca="1">IFERROR(__xludf.DUMMYFUNCTION("GOOGLEFINANCE(A835,""CLOSEYEST"")"),"#N/A")</f>
        <v>#N/A</v>
      </c>
      <c r="H835" s="14" t="e">
        <f t="shared" ca="1" si="34"/>
        <v>#VALUE!</v>
      </c>
      <c r="I835" s="15" t="e">
        <f t="shared" ca="1" si="29"/>
        <v>#VALUE!</v>
      </c>
      <c r="J835" s="16" t="e">
        <f t="shared" ca="1" si="30"/>
        <v>#VALUE!</v>
      </c>
      <c r="K835" s="16"/>
      <c r="L835" s="16" t="e">
        <f t="shared" ca="1" si="31"/>
        <v>#VALUE!</v>
      </c>
      <c r="M835" s="16" t="e">
        <f t="shared" ca="1" si="32"/>
        <v>#VALUE!</v>
      </c>
      <c r="N835" s="16" t="e">
        <f t="shared" ca="1" si="33"/>
        <v>#VALUE!</v>
      </c>
    </row>
    <row r="836" spans="1:14" ht="24.75" customHeight="1" x14ac:dyDescent="0.8">
      <c r="A836" s="18" t="s">
        <v>799</v>
      </c>
      <c r="B836" s="10">
        <f ca="1">IFERROR(__xludf.DUMMYFUNCTION("GOOGLEFINANCE(A836,""PRICE"")"),313.5)</f>
        <v>313.5</v>
      </c>
      <c r="C836" s="11">
        <f ca="1">IFERROR(__xludf.DUMMYFUNCTION("GOOGLEFINANCE(A836,""PRICEOPEN"")"),306.45)</f>
        <v>306.45</v>
      </c>
      <c r="D836" s="11">
        <f ca="1">IFERROR(__xludf.DUMMYFUNCTION("GOOGLEFINANCE(A836,""HIGH"")"),328)</f>
        <v>328</v>
      </c>
      <c r="E836" s="11">
        <f ca="1">IFERROR(__xludf.DUMMYFUNCTION("GOOGLEFINANCE(A836,""LOW"")"),306.45)</f>
        <v>306.45</v>
      </c>
      <c r="F836" s="12" t="str">
        <f t="shared" ca="1" si="28"/>
        <v>BUY</v>
      </c>
      <c r="G836" s="13">
        <f ca="1">IFERROR(__xludf.DUMMYFUNCTION("GOOGLEFINANCE(A836,""CLOSEYEST"")"),311.1)</f>
        <v>311.10000000000002</v>
      </c>
      <c r="H836" s="14" t="str">
        <f t="shared" ca="1" si="34"/>
        <v>GAP DOWN</v>
      </c>
      <c r="I836" s="15">
        <f t="shared" ca="1" si="29"/>
        <v>315.18333333333334</v>
      </c>
      <c r="J836" s="16">
        <f t="shared" ca="1" si="30"/>
        <v>323.91666666666669</v>
      </c>
      <c r="K836" s="16"/>
      <c r="L836" s="16">
        <f t="shared" ca="1" si="31"/>
        <v>302.36666666666667</v>
      </c>
      <c r="M836" s="16">
        <f t="shared" ca="1" si="32"/>
        <v>336.73333333333335</v>
      </c>
      <c r="N836" s="16">
        <f t="shared" ca="1" si="33"/>
        <v>293.63333333333333</v>
      </c>
    </row>
    <row r="837" spans="1:14" ht="24.75" customHeight="1" x14ac:dyDescent="0.8">
      <c r="A837" s="18" t="s">
        <v>800</v>
      </c>
      <c r="B837" s="10">
        <f ca="1">IFERROR(__xludf.DUMMYFUNCTION("GOOGLEFINANCE(A837,""PRICE"")"),268)</f>
        <v>268</v>
      </c>
      <c r="C837" s="11">
        <f ca="1">IFERROR(__xludf.DUMMYFUNCTION("GOOGLEFINANCE(A837,""PRICEOPEN"")"),269.4)</f>
        <v>269.39999999999998</v>
      </c>
      <c r="D837" s="11">
        <f ca="1">IFERROR(__xludf.DUMMYFUNCTION("GOOGLEFINANCE(A837,""HIGH"")"),272.9)</f>
        <v>272.89999999999998</v>
      </c>
      <c r="E837" s="11">
        <f ca="1">IFERROR(__xludf.DUMMYFUNCTION("GOOGLEFINANCE(A837,""LOW"")"),267)</f>
        <v>267</v>
      </c>
      <c r="F837" s="12" t="str">
        <f t="shared" ca="1" si="28"/>
        <v/>
      </c>
      <c r="G837" s="13">
        <f ca="1">IFERROR(__xludf.DUMMYFUNCTION("GOOGLEFINANCE(A837,""CLOSEYEST"")"),269.4)</f>
        <v>269.39999999999998</v>
      </c>
      <c r="H837" s="14" t="str">
        <f t="shared" ca="1" si="34"/>
        <v/>
      </c>
      <c r="I837" s="15">
        <f t="shared" ca="1" si="29"/>
        <v>269.76666666666665</v>
      </c>
      <c r="J837" s="16">
        <f t="shared" ca="1" si="30"/>
        <v>272.5333333333333</v>
      </c>
      <c r="K837" s="16"/>
      <c r="L837" s="16">
        <f t="shared" ca="1" si="31"/>
        <v>266.63333333333333</v>
      </c>
      <c r="M837" s="16">
        <f t="shared" ca="1" si="32"/>
        <v>275.66666666666663</v>
      </c>
      <c r="N837" s="16">
        <f t="shared" ca="1" si="33"/>
        <v>263.86666666666667</v>
      </c>
    </row>
    <row r="838" spans="1:14" ht="24.75" customHeight="1" x14ac:dyDescent="0.8">
      <c r="A838" s="18" t="s">
        <v>801</v>
      </c>
      <c r="B838" s="10">
        <f ca="1">IFERROR(__xludf.DUMMYFUNCTION("GOOGLEFINANCE(A838,""PRICE"")"),1490.1)</f>
        <v>1490.1</v>
      </c>
      <c r="C838" s="11">
        <f ca="1">IFERROR(__xludf.DUMMYFUNCTION("GOOGLEFINANCE(A838,""PRICEOPEN"")"),1474.1)</f>
        <v>1474.1</v>
      </c>
      <c r="D838" s="11">
        <f ca="1">IFERROR(__xludf.DUMMYFUNCTION("GOOGLEFINANCE(A838,""HIGH"")"),1497.2)</f>
        <v>1497.2</v>
      </c>
      <c r="E838" s="11">
        <f ca="1">IFERROR(__xludf.DUMMYFUNCTION("GOOGLEFINANCE(A838,""LOW"")"),1464)</f>
        <v>1464</v>
      </c>
      <c r="F838" s="12" t="str">
        <f t="shared" ca="1" si="28"/>
        <v/>
      </c>
      <c r="G838" s="13">
        <f ca="1">IFERROR(__xludf.DUMMYFUNCTION("GOOGLEFINANCE(A838,""CLOSEYEST"")"),1467)</f>
        <v>1467</v>
      </c>
      <c r="H838" s="14" t="str">
        <f t="shared" ca="1" si="34"/>
        <v/>
      </c>
      <c r="I838" s="15">
        <f t="shared" ca="1" si="29"/>
        <v>1476.0666666666666</v>
      </c>
      <c r="J838" s="16">
        <f t="shared" ca="1" si="30"/>
        <v>1488.1333333333332</v>
      </c>
      <c r="K838" s="16"/>
      <c r="L838" s="16">
        <f t="shared" ca="1" si="31"/>
        <v>1454.9333333333332</v>
      </c>
      <c r="M838" s="16">
        <f t="shared" ca="1" si="32"/>
        <v>1509.2666666666667</v>
      </c>
      <c r="N838" s="16">
        <f t="shared" ca="1" si="33"/>
        <v>1442.8666666666666</v>
      </c>
    </row>
    <row r="839" spans="1:14" ht="24.75" customHeight="1" x14ac:dyDescent="0.8">
      <c r="A839" s="18" t="s">
        <v>802</v>
      </c>
      <c r="B839" s="10">
        <f ca="1">IFERROR(__xludf.DUMMYFUNCTION("GOOGLEFINANCE(A839,""PRICE"")"),16745)</f>
        <v>16745</v>
      </c>
      <c r="C839" s="11">
        <f ca="1">IFERROR(__xludf.DUMMYFUNCTION("GOOGLEFINANCE(A839,""PRICEOPEN"")"),16938)</f>
        <v>16938</v>
      </c>
      <c r="D839" s="11">
        <f ca="1">IFERROR(__xludf.DUMMYFUNCTION("GOOGLEFINANCE(A839,""HIGH"")"),17199)</f>
        <v>17199</v>
      </c>
      <c r="E839" s="11">
        <f ca="1">IFERROR(__xludf.DUMMYFUNCTION("GOOGLEFINANCE(A839,""LOW"")"),16623)</f>
        <v>16623</v>
      </c>
      <c r="F839" s="12" t="str">
        <f t="shared" ca="1" si="28"/>
        <v/>
      </c>
      <c r="G839" s="13">
        <f ca="1">IFERROR(__xludf.DUMMYFUNCTION("GOOGLEFINANCE(A839,""CLOSEYEST"")"),16854)</f>
        <v>16854</v>
      </c>
      <c r="H839" s="14" t="str">
        <f t="shared" ca="1" si="34"/>
        <v/>
      </c>
      <c r="I839" s="15">
        <f t="shared" ca="1" si="29"/>
        <v>16892</v>
      </c>
      <c r="J839" s="16">
        <f t="shared" ca="1" si="30"/>
        <v>17161</v>
      </c>
      <c r="K839" s="16"/>
      <c r="L839" s="16">
        <f t="shared" ca="1" si="31"/>
        <v>16585</v>
      </c>
      <c r="M839" s="16">
        <f t="shared" ca="1" si="32"/>
        <v>17468</v>
      </c>
      <c r="N839" s="16">
        <f t="shared" ca="1" si="33"/>
        <v>16316</v>
      </c>
    </row>
    <row r="840" spans="1:14" ht="24.75" customHeight="1" x14ac:dyDescent="0.8">
      <c r="A840" s="18" t="s">
        <v>803</v>
      </c>
      <c r="B840" s="10">
        <f ca="1">IFERROR(__xludf.DUMMYFUNCTION("GOOGLEFINANCE(A840,""PRICE"")"),218)</f>
        <v>218</v>
      </c>
      <c r="C840" s="11">
        <f ca="1">IFERROR(__xludf.DUMMYFUNCTION("GOOGLEFINANCE(A840,""PRICEOPEN"")"),221.39)</f>
        <v>221.39</v>
      </c>
      <c r="D840" s="11">
        <f ca="1">IFERROR(__xludf.DUMMYFUNCTION("GOOGLEFINANCE(A840,""HIGH"")"),221.39)</f>
        <v>221.39</v>
      </c>
      <c r="E840" s="11">
        <f ca="1">IFERROR(__xludf.DUMMYFUNCTION("GOOGLEFINANCE(A840,""LOW"")"),216.04)</f>
        <v>216.04</v>
      </c>
      <c r="F840" s="12" t="str">
        <f t="shared" ca="1" si="28"/>
        <v>SELL</v>
      </c>
      <c r="G840" s="13">
        <f ca="1">IFERROR(__xludf.DUMMYFUNCTION("GOOGLEFINANCE(A840,""CLOSEYEST"")"),220.54)</f>
        <v>220.54</v>
      </c>
      <c r="H840" s="14" t="str">
        <f t="shared" ca="1" si="34"/>
        <v/>
      </c>
      <c r="I840" s="15">
        <f t="shared" ca="1" si="29"/>
        <v>219.3233333333333</v>
      </c>
      <c r="J840" s="16">
        <f t="shared" ca="1" si="30"/>
        <v>222.6066666666666</v>
      </c>
      <c r="K840" s="16"/>
      <c r="L840" s="16">
        <f t="shared" ca="1" si="31"/>
        <v>217.2566666666666</v>
      </c>
      <c r="M840" s="16">
        <f t="shared" ca="1" si="32"/>
        <v>224.67333333333329</v>
      </c>
      <c r="N840" s="16">
        <f t="shared" ca="1" si="33"/>
        <v>213.9733333333333</v>
      </c>
    </row>
    <row r="841" spans="1:14" ht="24.75" customHeight="1" x14ac:dyDescent="0.8">
      <c r="A841" s="18" t="s">
        <v>804</v>
      </c>
      <c r="B841" s="10">
        <f ca="1">IFERROR(__xludf.DUMMYFUNCTION("GOOGLEFINANCE(A841,""PRICE"")"),41.79)</f>
        <v>41.79</v>
      </c>
      <c r="C841" s="11">
        <f ca="1">IFERROR(__xludf.DUMMYFUNCTION("GOOGLEFINANCE(A841,""PRICEOPEN"")"),41.61)</f>
        <v>41.61</v>
      </c>
      <c r="D841" s="11">
        <f ca="1">IFERROR(__xludf.DUMMYFUNCTION("GOOGLEFINANCE(A841,""HIGH"")"),41.88)</f>
        <v>41.88</v>
      </c>
      <c r="E841" s="11">
        <f ca="1">IFERROR(__xludf.DUMMYFUNCTION("GOOGLEFINANCE(A841,""LOW"")"),41.39)</f>
        <v>41.39</v>
      </c>
      <c r="F841" s="12" t="str">
        <f t="shared" ca="1" si="28"/>
        <v/>
      </c>
      <c r="G841" s="13">
        <f ca="1">IFERROR(__xludf.DUMMYFUNCTION("GOOGLEFINANCE(A841,""CLOSEYEST"")"),41.61)</f>
        <v>41.61</v>
      </c>
      <c r="H841" s="14" t="str">
        <f t="shared" ca="1" si="34"/>
        <v/>
      </c>
      <c r="I841" s="15">
        <f t="shared" ca="1" si="29"/>
        <v>41.626666666666672</v>
      </c>
      <c r="J841" s="16">
        <f t="shared" ca="1" si="30"/>
        <v>41.863333333333344</v>
      </c>
      <c r="K841" s="16"/>
      <c r="L841" s="16">
        <f t="shared" ca="1" si="31"/>
        <v>41.373333333333342</v>
      </c>
      <c r="M841" s="16">
        <f t="shared" ca="1" si="32"/>
        <v>42.116666666666674</v>
      </c>
      <c r="N841" s="16">
        <f t="shared" ca="1" si="33"/>
        <v>41.13666666666667</v>
      </c>
    </row>
    <row r="842" spans="1:14" ht="24.75" customHeight="1" x14ac:dyDescent="0.8">
      <c r="A842" s="18" t="s">
        <v>805</v>
      </c>
      <c r="B842" s="10">
        <f ca="1">IFERROR(__xludf.DUMMYFUNCTION("GOOGLEFINANCE(A842,""PRICE"")"),3.08)</f>
        <v>3.08</v>
      </c>
      <c r="C842" s="11">
        <f ca="1">IFERROR(__xludf.DUMMYFUNCTION("GOOGLEFINANCE(A842,""PRICEOPEN"")"),3.09)</f>
        <v>3.09</v>
      </c>
      <c r="D842" s="11">
        <f ca="1">IFERROR(__xludf.DUMMYFUNCTION("GOOGLEFINANCE(A842,""HIGH"")"),3.09)</f>
        <v>3.09</v>
      </c>
      <c r="E842" s="11">
        <f ca="1">IFERROR(__xludf.DUMMYFUNCTION("GOOGLEFINANCE(A842,""LOW"")"),2.96)</f>
        <v>2.96</v>
      </c>
      <c r="F842" s="12" t="str">
        <f t="shared" ca="1" si="28"/>
        <v>SELL</v>
      </c>
      <c r="G842" s="13">
        <f ca="1">IFERROR(__xludf.DUMMYFUNCTION("GOOGLEFINANCE(A842,""CLOSEYEST"")"),3.09)</f>
        <v>3.09</v>
      </c>
      <c r="H842" s="14" t="str">
        <f t="shared" ca="1" si="34"/>
        <v/>
      </c>
      <c r="I842" s="15">
        <f t="shared" ca="1" si="29"/>
        <v>3.0466666666666669</v>
      </c>
      <c r="J842" s="16">
        <f t="shared" ca="1" si="30"/>
        <v>3.1333333333333337</v>
      </c>
      <c r="K842" s="16"/>
      <c r="L842" s="16">
        <f t="shared" ca="1" si="31"/>
        <v>3.0033333333333339</v>
      </c>
      <c r="M842" s="16">
        <f t="shared" ca="1" si="32"/>
        <v>3.1766666666666667</v>
      </c>
      <c r="N842" s="16">
        <f t="shared" ca="1" si="33"/>
        <v>2.916666666666667</v>
      </c>
    </row>
    <row r="843" spans="1:14" ht="24.75" customHeight="1" x14ac:dyDescent="0.8">
      <c r="A843" s="18" t="s">
        <v>806</v>
      </c>
      <c r="B843" s="10" t="str">
        <f ca="1">IFERROR(__xludf.DUMMYFUNCTION("GOOGLEFINANCE(A843,""PRICE"")"),"#N/A")</f>
        <v>#N/A</v>
      </c>
      <c r="C843" s="11" t="str">
        <f ca="1">IFERROR(__xludf.DUMMYFUNCTION("GOOGLEFINANCE(A843,""PRICEOPEN"")"),"#N/A")</f>
        <v>#N/A</v>
      </c>
      <c r="D843" s="11" t="str">
        <f ca="1">IFERROR(__xludf.DUMMYFUNCTION("GOOGLEFINANCE(A843,""HIGH"")"),"#N/A")</f>
        <v>#N/A</v>
      </c>
      <c r="E843" s="11" t="str">
        <f ca="1">IFERROR(__xludf.DUMMYFUNCTION("GOOGLEFINANCE(A843,""LOW"")"),"#N/A")</f>
        <v>#N/A</v>
      </c>
      <c r="F843" s="12" t="str">
        <f t="shared" ca="1" si="28"/>
        <v>SELL</v>
      </c>
      <c r="G843" s="13" t="str">
        <f ca="1">IFERROR(__xludf.DUMMYFUNCTION("GOOGLEFINANCE(A843,""CLOSEYEST"")"),"#N/A")</f>
        <v>#N/A</v>
      </c>
      <c r="H843" s="14" t="e">
        <f t="shared" ca="1" si="34"/>
        <v>#VALUE!</v>
      </c>
      <c r="I843" s="15" t="e">
        <f t="shared" ca="1" si="29"/>
        <v>#VALUE!</v>
      </c>
      <c r="J843" s="16" t="e">
        <f t="shared" ca="1" si="30"/>
        <v>#VALUE!</v>
      </c>
      <c r="K843" s="16"/>
      <c r="L843" s="16" t="e">
        <f t="shared" ca="1" si="31"/>
        <v>#VALUE!</v>
      </c>
      <c r="M843" s="16" t="e">
        <f t="shared" ca="1" si="32"/>
        <v>#VALUE!</v>
      </c>
      <c r="N843" s="16" t="e">
        <f t="shared" ca="1" si="33"/>
        <v>#VALUE!</v>
      </c>
    </row>
    <row r="844" spans="1:14" ht="24.75" customHeight="1" x14ac:dyDescent="0.8">
      <c r="A844" s="18" t="s">
        <v>807</v>
      </c>
      <c r="B844" s="10">
        <f ca="1">IFERROR(__xludf.DUMMYFUNCTION("GOOGLEFINANCE(A844,""PRICE"")"),366)</f>
        <v>366</v>
      </c>
      <c r="C844" s="11">
        <f ca="1">IFERROR(__xludf.DUMMYFUNCTION("GOOGLEFINANCE(A844,""PRICEOPEN"")"),365)</f>
        <v>365</v>
      </c>
      <c r="D844" s="11">
        <f ca="1">IFERROR(__xludf.DUMMYFUNCTION("GOOGLEFINANCE(A844,""HIGH"")"),370)</f>
        <v>370</v>
      </c>
      <c r="E844" s="11">
        <f ca="1">IFERROR(__xludf.DUMMYFUNCTION("GOOGLEFINANCE(A844,""LOW"")"),362.45)</f>
        <v>362.45</v>
      </c>
      <c r="F844" s="12" t="str">
        <f t="shared" ca="1" si="28"/>
        <v/>
      </c>
      <c r="G844" s="13">
        <f ca="1">IFERROR(__xludf.DUMMYFUNCTION("GOOGLEFINANCE(A844,""CLOSEYEST"")"),363.1)</f>
        <v>363.1</v>
      </c>
      <c r="H844" s="14" t="str">
        <f t="shared" ca="1" si="34"/>
        <v/>
      </c>
      <c r="I844" s="15">
        <f t="shared" ca="1" si="29"/>
        <v>365.18333333333339</v>
      </c>
      <c r="J844" s="16">
        <f t="shared" ca="1" si="30"/>
        <v>367.9166666666668</v>
      </c>
      <c r="K844" s="16"/>
      <c r="L844" s="16">
        <f t="shared" ca="1" si="31"/>
        <v>360.36666666666679</v>
      </c>
      <c r="M844" s="16">
        <f t="shared" ca="1" si="32"/>
        <v>372.73333333333341</v>
      </c>
      <c r="N844" s="16">
        <f t="shared" ca="1" si="33"/>
        <v>357.63333333333338</v>
      </c>
    </row>
    <row r="845" spans="1:14" ht="24.75" customHeight="1" x14ac:dyDescent="0.8">
      <c r="A845" s="18" t="s">
        <v>808</v>
      </c>
      <c r="B845" s="10">
        <f ca="1">IFERROR(__xludf.DUMMYFUNCTION("GOOGLEFINANCE(A845,""PRICE"")"),425)</f>
        <v>425</v>
      </c>
      <c r="C845" s="11">
        <f ca="1">IFERROR(__xludf.DUMMYFUNCTION("GOOGLEFINANCE(A845,""PRICEOPEN"")"),415)</f>
        <v>415</v>
      </c>
      <c r="D845" s="11">
        <f ca="1">IFERROR(__xludf.DUMMYFUNCTION("GOOGLEFINANCE(A845,""HIGH"")"),425.7)</f>
        <v>425.7</v>
      </c>
      <c r="E845" s="11">
        <f ca="1">IFERROR(__xludf.DUMMYFUNCTION("GOOGLEFINANCE(A845,""LOW"")"),415)</f>
        <v>415</v>
      </c>
      <c r="F845" s="12" t="str">
        <f t="shared" ca="1" si="28"/>
        <v>BUY</v>
      </c>
      <c r="G845" s="13">
        <f ca="1">IFERROR(__xludf.DUMMYFUNCTION("GOOGLEFINANCE(A845,""CLOSEYEST"")"),420.85)</f>
        <v>420.85</v>
      </c>
      <c r="H845" s="14" t="str">
        <f t="shared" ca="1" si="34"/>
        <v>GAP DOWN</v>
      </c>
      <c r="I845" s="15">
        <f t="shared" ca="1" si="29"/>
        <v>420.51666666666671</v>
      </c>
      <c r="J845" s="16">
        <f t="shared" ca="1" si="30"/>
        <v>426.03333333333342</v>
      </c>
      <c r="K845" s="16"/>
      <c r="L845" s="16">
        <f t="shared" ca="1" si="31"/>
        <v>415.33333333333343</v>
      </c>
      <c r="M845" s="16">
        <f t="shared" ca="1" si="32"/>
        <v>431.2166666666667</v>
      </c>
      <c r="N845" s="16">
        <f t="shared" ca="1" si="33"/>
        <v>409.81666666666672</v>
      </c>
    </row>
    <row r="846" spans="1:14" ht="24.75" customHeight="1" x14ac:dyDescent="0.8">
      <c r="A846" s="18" t="s">
        <v>809</v>
      </c>
      <c r="B846" s="10">
        <f ca="1">IFERROR(__xludf.DUMMYFUNCTION("GOOGLEFINANCE(A846,""PRICE"")"),149.75)</f>
        <v>149.75</v>
      </c>
      <c r="C846" s="11">
        <f ca="1">IFERROR(__xludf.DUMMYFUNCTION("GOOGLEFINANCE(A846,""PRICEOPEN"")"),148.8)</f>
        <v>148.80000000000001</v>
      </c>
      <c r="D846" s="11">
        <f ca="1">IFERROR(__xludf.DUMMYFUNCTION("GOOGLEFINANCE(A846,""HIGH"")"),149.97)</f>
        <v>149.97</v>
      </c>
      <c r="E846" s="11">
        <f ca="1">IFERROR(__xludf.DUMMYFUNCTION("GOOGLEFINANCE(A846,""LOW"")"),147.4)</f>
        <v>147.4</v>
      </c>
      <c r="F846" s="12" t="str">
        <f t="shared" ca="1" si="28"/>
        <v/>
      </c>
      <c r="G846" s="13">
        <f ca="1">IFERROR(__xludf.DUMMYFUNCTION("GOOGLEFINANCE(A846,""CLOSEYEST"")"),146.6)</f>
        <v>146.6</v>
      </c>
      <c r="H846" s="14" t="str">
        <f t="shared" ca="1" si="34"/>
        <v>GAP UP</v>
      </c>
      <c r="I846" s="15">
        <f t="shared" ca="1" si="29"/>
        <v>147.99</v>
      </c>
      <c r="J846" s="16">
        <f t="shared" ca="1" si="30"/>
        <v>148.58000000000001</v>
      </c>
      <c r="K846" s="16"/>
      <c r="L846" s="16">
        <f t="shared" ca="1" si="31"/>
        <v>146.01000000000002</v>
      </c>
      <c r="M846" s="16">
        <f t="shared" ca="1" si="32"/>
        <v>150.56</v>
      </c>
      <c r="N846" s="16">
        <f t="shared" ca="1" si="33"/>
        <v>145.42000000000002</v>
      </c>
    </row>
    <row r="847" spans="1:14" ht="24.75" customHeight="1" x14ac:dyDescent="0.8">
      <c r="A847" s="18" t="s">
        <v>810</v>
      </c>
      <c r="B847" s="10">
        <f ca="1">IFERROR(__xludf.DUMMYFUNCTION("GOOGLEFINANCE(A847,""PRICE"")"),314)</f>
        <v>314</v>
      </c>
      <c r="C847" s="11">
        <f ca="1">IFERROR(__xludf.DUMMYFUNCTION("GOOGLEFINANCE(A847,""PRICEOPEN"")"),310.7)</f>
        <v>310.7</v>
      </c>
      <c r="D847" s="11">
        <f ca="1">IFERROR(__xludf.DUMMYFUNCTION("GOOGLEFINANCE(A847,""HIGH"")"),319.4)</f>
        <v>319.39999999999998</v>
      </c>
      <c r="E847" s="11">
        <f ca="1">IFERROR(__xludf.DUMMYFUNCTION("GOOGLEFINANCE(A847,""LOW"")"),309.45)</f>
        <v>309.45</v>
      </c>
      <c r="F847" s="12" t="str">
        <f t="shared" ca="1" si="28"/>
        <v/>
      </c>
      <c r="G847" s="13">
        <f ca="1">IFERROR(__xludf.DUMMYFUNCTION("GOOGLEFINANCE(A847,""CLOSEYEST"")"),308.8)</f>
        <v>308.8</v>
      </c>
      <c r="H847" s="14" t="str">
        <f t="shared" ca="1" si="34"/>
        <v/>
      </c>
      <c r="I847" s="15">
        <f t="shared" ca="1" si="29"/>
        <v>312.54999999999995</v>
      </c>
      <c r="J847" s="16">
        <f t="shared" ca="1" si="30"/>
        <v>315.64999999999992</v>
      </c>
      <c r="K847" s="16"/>
      <c r="L847" s="16">
        <f t="shared" ca="1" si="31"/>
        <v>305.69999999999993</v>
      </c>
      <c r="M847" s="16">
        <f t="shared" ca="1" si="32"/>
        <v>322.49999999999994</v>
      </c>
      <c r="N847" s="16">
        <f t="shared" ca="1" si="33"/>
        <v>302.59999999999997</v>
      </c>
    </row>
    <row r="848" spans="1:14" ht="24.75" customHeight="1" x14ac:dyDescent="0.8">
      <c r="A848" s="18" t="s">
        <v>811</v>
      </c>
      <c r="B848" s="10" t="str">
        <f ca="1">IFERROR(__xludf.DUMMYFUNCTION("GOOGLEFINANCE(A848,""PRICE"")"),"#N/A")</f>
        <v>#N/A</v>
      </c>
      <c r="C848" s="11" t="str">
        <f ca="1">IFERROR(__xludf.DUMMYFUNCTION("GOOGLEFINANCE(A848,""PRICEOPEN"")"),"#N/A")</f>
        <v>#N/A</v>
      </c>
      <c r="D848" s="11" t="str">
        <f ca="1">IFERROR(__xludf.DUMMYFUNCTION("GOOGLEFINANCE(A848,""HIGH"")"),"#N/A")</f>
        <v>#N/A</v>
      </c>
      <c r="E848" s="11" t="str">
        <f ca="1">IFERROR(__xludf.DUMMYFUNCTION("GOOGLEFINANCE(A848,""LOW"")"),"#N/A")</f>
        <v>#N/A</v>
      </c>
      <c r="F848" s="12" t="str">
        <f t="shared" ca="1" si="28"/>
        <v>SELL</v>
      </c>
      <c r="G848" s="13" t="str">
        <f ca="1">IFERROR(__xludf.DUMMYFUNCTION("GOOGLEFINANCE(A848,""CLOSEYEST"")"),"#N/A")</f>
        <v>#N/A</v>
      </c>
      <c r="H848" s="14" t="e">
        <f t="shared" ca="1" si="34"/>
        <v>#VALUE!</v>
      </c>
      <c r="I848" s="15" t="e">
        <f t="shared" ca="1" si="29"/>
        <v>#VALUE!</v>
      </c>
      <c r="J848" s="16" t="e">
        <f t="shared" ca="1" si="30"/>
        <v>#VALUE!</v>
      </c>
      <c r="K848" s="16"/>
      <c r="L848" s="16" t="e">
        <f t="shared" ca="1" si="31"/>
        <v>#VALUE!</v>
      </c>
      <c r="M848" s="16" t="e">
        <f t="shared" ca="1" si="32"/>
        <v>#VALUE!</v>
      </c>
      <c r="N848" s="16" t="e">
        <f t="shared" ca="1" si="33"/>
        <v>#VALUE!</v>
      </c>
    </row>
    <row r="849" spans="1:14" ht="24.75" customHeight="1" x14ac:dyDescent="0.8">
      <c r="A849" s="18" t="s">
        <v>812</v>
      </c>
      <c r="B849" s="10">
        <f ca="1">IFERROR(__xludf.DUMMYFUNCTION("GOOGLEFINANCE(A849,""PRICE"")"),1530)</f>
        <v>1530</v>
      </c>
      <c r="C849" s="11">
        <f ca="1">IFERROR(__xludf.DUMMYFUNCTION("GOOGLEFINANCE(A849,""PRICEOPEN"")"),1513.9)</f>
        <v>1513.9</v>
      </c>
      <c r="D849" s="11">
        <f ca="1">IFERROR(__xludf.DUMMYFUNCTION("GOOGLEFINANCE(A849,""HIGH"")"),1532.5)</f>
        <v>1532.5</v>
      </c>
      <c r="E849" s="11">
        <f ca="1">IFERROR(__xludf.DUMMYFUNCTION("GOOGLEFINANCE(A849,""LOW"")"),1505.3)</f>
        <v>1505.3</v>
      </c>
      <c r="F849" s="12" t="str">
        <f t="shared" ca="1" si="28"/>
        <v/>
      </c>
      <c r="G849" s="13">
        <f ca="1">IFERROR(__xludf.DUMMYFUNCTION("GOOGLEFINANCE(A849,""CLOSEYEST"")"),1514.8)</f>
        <v>1514.8</v>
      </c>
      <c r="H849" s="14" t="str">
        <f t="shared" ca="1" si="34"/>
        <v/>
      </c>
      <c r="I849" s="15">
        <f t="shared" ca="1" si="29"/>
        <v>1517.5333333333335</v>
      </c>
      <c r="J849" s="16">
        <f t="shared" ca="1" si="30"/>
        <v>1529.7666666666671</v>
      </c>
      <c r="K849" s="16"/>
      <c r="L849" s="16">
        <f t="shared" ca="1" si="31"/>
        <v>1502.5666666666671</v>
      </c>
      <c r="M849" s="16">
        <f t="shared" ca="1" si="32"/>
        <v>1544.7333333333336</v>
      </c>
      <c r="N849" s="16">
        <f t="shared" ca="1" si="33"/>
        <v>1490.3333333333335</v>
      </c>
    </row>
    <row r="850" spans="1:14" ht="24.75" customHeight="1" x14ac:dyDescent="0.8">
      <c r="A850" s="18" t="s">
        <v>813</v>
      </c>
      <c r="B850" s="10">
        <f ca="1">IFERROR(__xludf.DUMMYFUNCTION("GOOGLEFINANCE(A850,""PRICE"")"),1500)</f>
        <v>1500</v>
      </c>
      <c r="C850" s="11">
        <f ca="1">IFERROR(__xludf.DUMMYFUNCTION("GOOGLEFINANCE(A850,""PRICEOPEN"")"),1495)</f>
        <v>1495</v>
      </c>
      <c r="D850" s="11">
        <f ca="1">IFERROR(__xludf.DUMMYFUNCTION("GOOGLEFINANCE(A850,""HIGH"")"),1509.9)</f>
        <v>1509.9</v>
      </c>
      <c r="E850" s="11">
        <f ca="1">IFERROR(__xludf.DUMMYFUNCTION("GOOGLEFINANCE(A850,""LOW"")"),1490.1)</f>
        <v>1490.1</v>
      </c>
      <c r="F850" s="12" t="str">
        <f t="shared" ca="1" si="28"/>
        <v/>
      </c>
      <c r="G850" s="13">
        <f ca="1">IFERROR(__xludf.DUMMYFUNCTION("GOOGLEFINANCE(A850,""CLOSEYEST"")"),1485.7)</f>
        <v>1485.7</v>
      </c>
      <c r="H850" s="14" t="str">
        <f t="shared" ca="1" si="34"/>
        <v/>
      </c>
      <c r="I850" s="15">
        <f t="shared" ca="1" si="29"/>
        <v>1495.2333333333333</v>
      </c>
      <c r="J850" s="16">
        <f t="shared" ca="1" si="30"/>
        <v>1500.3666666666668</v>
      </c>
      <c r="K850" s="16"/>
      <c r="L850" s="16">
        <f t="shared" ca="1" si="31"/>
        <v>1480.5666666666666</v>
      </c>
      <c r="M850" s="16">
        <f t="shared" ca="1" si="32"/>
        <v>1515.0333333333335</v>
      </c>
      <c r="N850" s="16">
        <f t="shared" ca="1" si="33"/>
        <v>1475.4333333333332</v>
      </c>
    </row>
    <row r="851" spans="1:14" ht="24.75" customHeight="1" x14ac:dyDescent="0.8">
      <c r="A851" s="18" t="s">
        <v>814</v>
      </c>
      <c r="B851" s="10">
        <f ca="1">IFERROR(__xludf.DUMMYFUNCTION("GOOGLEFINANCE(A851,""PRICE"")"),5694.8)</f>
        <v>5694.8</v>
      </c>
      <c r="C851" s="11">
        <f ca="1">IFERROR(__xludf.DUMMYFUNCTION("GOOGLEFINANCE(A851,""PRICEOPEN"")"),4765)</f>
        <v>4765</v>
      </c>
      <c r="D851" s="11">
        <f ca="1">IFERROR(__xludf.DUMMYFUNCTION("GOOGLEFINANCE(A851,""HIGH"")"),5694.8)</f>
        <v>5694.8</v>
      </c>
      <c r="E851" s="11">
        <f ca="1">IFERROR(__xludf.DUMMYFUNCTION("GOOGLEFINANCE(A851,""LOW"")"),4752.2)</f>
        <v>4752.2</v>
      </c>
      <c r="F851" s="12" t="str">
        <f t="shared" ca="1" si="28"/>
        <v/>
      </c>
      <c r="G851" s="13">
        <f ca="1">IFERROR(__xludf.DUMMYFUNCTION("GOOGLEFINANCE(A851,""CLOSEYEST"")"),4745.7)</f>
        <v>4745.7</v>
      </c>
      <c r="H851" s="14" t="str">
        <f t="shared" ca="1" si="34"/>
        <v/>
      </c>
      <c r="I851" s="15">
        <f t="shared" ca="1" si="29"/>
        <v>5064.2333333333336</v>
      </c>
      <c r="J851" s="16">
        <f t="shared" ca="1" si="30"/>
        <v>5376.2666666666673</v>
      </c>
      <c r="K851" s="16"/>
      <c r="L851" s="16">
        <f t="shared" ca="1" si="31"/>
        <v>4433.666666666667</v>
      </c>
      <c r="M851" s="16">
        <f t="shared" ca="1" si="32"/>
        <v>6006.8333333333339</v>
      </c>
      <c r="N851" s="16">
        <f t="shared" ca="1" si="33"/>
        <v>4121.6333333333332</v>
      </c>
    </row>
    <row r="852" spans="1:14" ht="24.75" customHeight="1" x14ac:dyDescent="0.8">
      <c r="A852" s="18" t="s">
        <v>815</v>
      </c>
      <c r="B852" s="10">
        <f ca="1">IFERROR(__xludf.DUMMYFUNCTION("GOOGLEFINANCE(A852,""PRICE"")"),520.8)</f>
        <v>520.79999999999995</v>
      </c>
      <c r="C852" s="11">
        <f ca="1">IFERROR(__xludf.DUMMYFUNCTION("GOOGLEFINANCE(A852,""PRICEOPEN"")"),511)</f>
        <v>511</v>
      </c>
      <c r="D852" s="11">
        <f ca="1">IFERROR(__xludf.DUMMYFUNCTION("GOOGLEFINANCE(A852,""HIGH"")"),525)</f>
        <v>525</v>
      </c>
      <c r="E852" s="11">
        <f ca="1">IFERROR(__xludf.DUMMYFUNCTION("GOOGLEFINANCE(A852,""LOW"")"),511)</f>
        <v>511</v>
      </c>
      <c r="F852" s="12" t="str">
        <f t="shared" ca="1" si="28"/>
        <v>BUY</v>
      </c>
      <c r="G852" s="13">
        <f ca="1">IFERROR(__xludf.DUMMYFUNCTION("GOOGLEFINANCE(A852,""CLOSEYEST"")"),510.8)</f>
        <v>510.8</v>
      </c>
      <c r="H852" s="14" t="str">
        <f t="shared" ca="1" si="34"/>
        <v/>
      </c>
      <c r="I852" s="15">
        <f t="shared" ca="1" si="29"/>
        <v>515.6</v>
      </c>
      <c r="J852" s="16">
        <f t="shared" ca="1" si="30"/>
        <v>520.20000000000005</v>
      </c>
      <c r="K852" s="16"/>
      <c r="L852" s="16">
        <f t="shared" ca="1" si="31"/>
        <v>506.20000000000005</v>
      </c>
      <c r="M852" s="16">
        <f t="shared" ca="1" si="32"/>
        <v>529.6</v>
      </c>
      <c r="N852" s="16">
        <f t="shared" ca="1" si="33"/>
        <v>501.6</v>
      </c>
    </row>
    <row r="853" spans="1:14" ht="24.75" customHeight="1" x14ac:dyDescent="0.8">
      <c r="A853" s="18" t="s">
        <v>816</v>
      </c>
      <c r="B853" s="10">
        <f ca="1">IFERROR(__xludf.DUMMYFUNCTION("GOOGLEFINANCE(A853,""PRICE"")"),1002.9)</f>
        <v>1002.9</v>
      </c>
      <c r="C853" s="11">
        <f ca="1">IFERROR(__xludf.DUMMYFUNCTION("GOOGLEFINANCE(A853,""PRICEOPEN"")"),1004.15)</f>
        <v>1004.15</v>
      </c>
      <c r="D853" s="11">
        <f ca="1">IFERROR(__xludf.DUMMYFUNCTION("GOOGLEFINANCE(A853,""HIGH"")"),1012)</f>
        <v>1012</v>
      </c>
      <c r="E853" s="11">
        <f ca="1">IFERROR(__xludf.DUMMYFUNCTION("GOOGLEFINANCE(A853,""LOW"")"),1000)</f>
        <v>1000</v>
      </c>
      <c r="F853" s="12" t="str">
        <f t="shared" ca="1" si="28"/>
        <v/>
      </c>
      <c r="G853" s="13">
        <f ca="1">IFERROR(__xludf.DUMMYFUNCTION("GOOGLEFINANCE(A853,""CLOSEYEST"")"),1004.15)</f>
        <v>1004.15</v>
      </c>
      <c r="H853" s="14" t="str">
        <f t="shared" ca="1" si="34"/>
        <v/>
      </c>
      <c r="I853" s="15">
        <f t="shared" ca="1" si="29"/>
        <v>1005.3833333333333</v>
      </c>
      <c r="J853" s="16">
        <f t="shared" ca="1" si="30"/>
        <v>1010.7666666666667</v>
      </c>
      <c r="K853" s="16"/>
      <c r="L853" s="16">
        <f t="shared" ca="1" si="31"/>
        <v>998.76666666666665</v>
      </c>
      <c r="M853" s="16">
        <f t="shared" ca="1" si="32"/>
        <v>1017.3833333333333</v>
      </c>
      <c r="N853" s="16">
        <f t="shared" ca="1" si="33"/>
        <v>993.38333333333333</v>
      </c>
    </row>
    <row r="854" spans="1:14" ht="24.75" customHeight="1" x14ac:dyDescent="0.8">
      <c r="A854" s="18" t="s">
        <v>817</v>
      </c>
      <c r="B854" s="10">
        <f ca="1">IFERROR(__xludf.DUMMYFUNCTION("GOOGLEFINANCE(A854,""PRICE"")"),239)</f>
        <v>239</v>
      </c>
      <c r="C854" s="11">
        <f ca="1">IFERROR(__xludf.DUMMYFUNCTION("GOOGLEFINANCE(A854,""PRICEOPEN"")"),233.2)</f>
        <v>233.2</v>
      </c>
      <c r="D854" s="11">
        <f ca="1">IFERROR(__xludf.DUMMYFUNCTION("GOOGLEFINANCE(A854,""HIGH"")"),240)</f>
        <v>240</v>
      </c>
      <c r="E854" s="11">
        <f ca="1">IFERROR(__xludf.DUMMYFUNCTION("GOOGLEFINANCE(A854,""LOW"")"),233.2)</f>
        <v>233.2</v>
      </c>
      <c r="F854" s="12" t="str">
        <f t="shared" ca="1" si="28"/>
        <v>BUY</v>
      </c>
      <c r="G854" s="13">
        <f ca="1">IFERROR(__xludf.DUMMYFUNCTION("GOOGLEFINANCE(A854,""CLOSEYEST"")"),234.29)</f>
        <v>234.29</v>
      </c>
      <c r="H854" s="14" t="str">
        <f t="shared" ca="1" si="34"/>
        <v/>
      </c>
      <c r="I854" s="15">
        <f t="shared" ca="1" si="29"/>
        <v>235.83</v>
      </c>
      <c r="J854" s="16">
        <f t="shared" ca="1" si="30"/>
        <v>238.46000000000004</v>
      </c>
      <c r="K854" s="16"/>
      <c r="L854" s="16">
        <f t="shared" ca="1" si="31"/>
        <v>231.66000000000003</v>
      </c>
      <c r="M854" s="16">
        <f t="shared" ca="1" si="32"/>
        <v>242.63000000000002</v>
      </c>
      <c r="N854" s="16">
        <f t="shared" ca="1" si="33"/>
        <v>229.03</v>
      </c>
    </row>
    <row r="855" spans="1:14" ht="24.75" customHeight="1" x14ac:dyDescent="0.8">
      <c r="A855" s="18" t="s">
        <v>818</v>
      </c>
      <c r="B855" s="10">
        <f ca="1">IFERROR(__xludf.DUMMYFUNCTION("GOOGLEFINANCE(A855,""PRICE"")"),83.6)</f>
        <v>83.6</v>
      </c>
      <c r="C855" s="11">
        <f ca="1">IFERROR(__xludf.DUMMYFUNCTION("GOOGLEFINANCE(A855,""PRICEOPEN"")"),83.15)</f>
        <v>83.15</v>
      </c>
      <c r="D855" s="11">
        <f ca="1">IFERROR(__xludf.DUMMYFUNCTION("GOOGLEFINANCE(A855,""HIGH"")"),90.47)</f>
        <v>90.47</v>
      </c>
      <c r="E855" s="11">
        <f ca="1">IFERROR(__xludf.DUMMYFUNCTION("GOOGLEFINANCE(A855,""LOW"")"),82.71)</f>
        <v>82.71</v>
      </c>
      <c r="F855" s="12" t="str">
        <f t="shared" ca="1" si="28"/>
        <v/>
      </c>
      <c r="G855" s="13">
        <f ca="1">IFERROR(__xludf.DUMMYFUNCTION("GOOGLEFINANCE(A855,""CLOSEYEST"")"),81.9)</f>
        <v>81.900000000000006</v>
      </c>
      <c r="H855" s="14" t="str">
        <f t="shared" ca="1" si="34"/>
        <v>GAP UP</v>
      </c>
      <c r="I855" s="15">
        <f t="shared" ca="1" si="29"/>
        <v>85.026666666666671</v>
      </c>
      <c r="J855" s="16">
        <f t="shared" ca="1" si="30"/>
        <v>87.343333333333348</v>
      </c>
      <c r="K855" s="16"/>
      <c r="L855" s="16">
        <f t="shared" ca="1" si="31"/>
        <v>79.583333333333343</v>
      </c>
      <c r="M855" s="16">
        <f t="shared" ca="1" si="32"/>
        <v>92.786666666666676</v>
      </c>
      <c r="N855" s="16">
        <f t="shared" ca="1" si="33"/>
        <v>77.266666666666666</v>
      </c>
    </row>
    <row r="856" spans="1:14" ht="24.75" customHeight="1" x14ac:dyDescent="0.8">
      <c r="A856" s="18" t="s">
        <v>819</v>
      </c>
      <c r="B856" s="10">
        <f ca="1">IFERROR(__xludf.DUMMYFUNCTION("GOOGLEFINANCE(A856,""PRICE"")"),780.5)</f>
        <v>780.5</v>
      </c>
      <c r="C856" s="11">
        <f ca="1">IFERROR(__xludf.DUMMYFUNCTION("GOOGLEFINANCE(A856,""PRICEOPEN"")"),759.45)</f>
        <v>759.45</v>
      </c>
      <c r="D856" s="11">
        <f ca="1">IFERROR(__xludf.DUMMYFUNCTION("GOOGLEFINANCE(A856,""HIGH"")"),786.4)</f>
        <v>786.4</v>
      </c>
      <c r="E856" s="11">
        <f ca="1">IFERROR(__xludf.DUMMYFUNCTION("GOOGLEFINANCE(A856,""LOW"")"),759)</f>
        <v>759</v>
      </c>
      <c r="F856" s="12" t="str">
        <f t="shared" ca="1" si="28"/>
        <v/>
      </c>
      <c r="G856" s="13">
        <f ca="1">IFERROR(__xludf.DUMMYFUNCTION("GOOGLEFINANCE(A856,""CLOSEYEST"")"),757.1)</f>
        <v>757.1</v>
      </c>
      <c r="H856" s="14" t="str">
        <f t="shared" ca="1" si="34"/>
        <v/>
      </c>
      <c r="I856" s="15">
        <f t="shared" ca="1" si="29"/>
        <v>767.5</v>
      </c>
      <c r="J856" s="16">
        <f t="shared" ca="1" si="30"/>
        <v>776</v>
      </c>
      <c r="K856" s="16"/>
      <c r="L856" s="16">
        <f t="shared" ca="1" si="31"/>
        <v>748.6</v>
      </c>
      <c r="M856" s="16">
        <f t="shared" ca="1" si="32"/>
        <v>794.9</v>
      </c>
      <c r="N856" s="16">
        <f t="shared" ca="1" si="33"/>
        <v>740.1</v>
      </c>
    </row>
    <row r="857" spans="1:14" ht="24.75" customHeight="1" x14ac:dyDescent="0.8">
      <c r="A857" s="18" t="s">
        <v>820</v>
      </c>
      <c r="B857" s="10">
        <f ca="1">IFERROR(__xludf.DUMMYFUNCTION("GOOGLEFINANCE(A857,""PRICE"")"),499.95)</f>
        <v>499.95</v>
      </c>
      <c r="C857" s="11">
        <f ca="1">IFERROR(__xludf.DUMMYFUNCTION("GOOGLEFINANCE(A857,""PRICEOPEN"")"),487.5)</f>
        <v>487.5</v>
      </c>
      <c r="D857" s="11">
        <f ca="1">IFERROR(__xludf.DUMMYFUNCTION("GOOGLEFINANCE(A857,""HIGH"")"),508.05)</f>
        <v>508.05</v>
      </c>
      <c r="E857" s="11">
        <f ca="1">IFERROR(__xludf.DUMMYFUNCTION("GOOGLEFINANCE(A857,""LOW"")"),476.9)</f>
        <v>476.9</v>
      </c>
      <c r="F857" s="12" t="str">
        <f t="shared" ca="1" si="28"/>
        <v/>
      </c>
      <c r="G857" s="13">
        <f ca="1">IFERROR(__xludf.DUMMYFUNCTION("GOOGLEFINANCE(A857,""CLOSEYEST"")"),484.35)</f>
        <v>484.35</v>
      </c>
      <c r="H857" s="14" t="str">
        <f t="shared" ca="1" si="34"/>
        <v/>
      </c>
      <c r="I857" s="15">
        <f t="shared" ca="1" si="29"/>
        <v>489.76666666666671</v>
      </c>
      <c r="J857" s="16">
        <f t="shared" ca="1" si="30"/>
        <v>502.63333333333344</v>
      </c>
      <c r="K857" s="16"/>
      <c r="L857" s="16">
        <f t="shared" ca="1" si="31"/>
        <v>471.48333333333341</v>
      </c>
      <c r="M857" s="16">
        <f t="shared" ca="1" si="32"/>
        <v>520.91666666666674</v>
      </c>
      <c r="N857" s="16">
        <f t="shared" ca="1" si="33"/>
        <v>458.61666666666667</v>
      </c>
    </row>
    <row r="858" spans="1:14" ht="24.75" customHeight="1" x14ac:dyDescent="0.8">
      <c r="A858" s="18" t="s">
        <v>821</v>
      </c>
      <c r="B858" s="10">
        <f ca="1">IFERROR(__xludf.DUMMYFUNCTION("GOOGLEFINANCE(A858,""PRICE"")"),34.68)</f>
        <v>34.68</v>
      </c>
      <c r="C858" s="11">
        <f ca="1">IFERROR(__xludf.DUMMYFUNCTION("GOOGLEFINANCE(A858,""PRICEOPEN"")"),34.58)</f>
        <v>34.58</v>
      </c>
      <c r="D858" s="11">
        <f ca="1">IFERROR(__xludf.DUMMYFUNCTION("GOOGLEFINANCE(A858,""HIGH"")"),35.14)</f>
        <v>35.14</v>
      </c>
      <c r="E858" s="11">
        <f ca="1">IFERROR(__xludf.DUMMYFUNCTION("GOOGLEFINANCE(A858,""LOW"")"),34.11)</f>
        <v>34.11</v>
      </c>
      <c r="F858" s="12" t="str">
        <f t="shared" ca="1" si="28"/>
        <v/>
      </c>
      <c r="G858" s="13">
        <f ca="1">IFERROR(__xludf.DUMMYFUNCTION("GOOGLEFINANCE(A858,""CLOSEYEST"")"),34.1)</f>
        <v>34.1</v>
      </c>
      <c r="H858" s="14" t="str">
        <f t="shared" ca="1" si="34"/>
        <v>GAP UP</v>
      </c>
      <c r="I858" s="15">
        <f t="shared" ca="1" si="29"/>
        <v>34.449999999999996</v>
      </c>
      <c r="J858" s="16">
        <f t="shared" ca="1" si="30"/>
        <v>34.789999999999992</v>
      </c>
      <c r="K858" s="16"/>
      <c r="L858" s="16">
        <f t="shared" ca="1" si="31"/>
        <v>33.759999999999991</v>
      </c>
      <c r="M858" s="16">
        <f t="shared" ca="1" si="32"/>
        <v>35.479999999999997</v>
      </c>
      <c r="N858" s="16">
        <f t="shared" ca="1" si="33"/>
        <v>33.419999999999995</v>
      </c>
    </row>
    <row r="859" spans="1:14" ht="24.75" customHeight="1" x14ac:dyDescent="0.8">
      <c r="A859" s="18" t="s">
        <v>822</v>
      </c>
      <c r="B859" s="10">
        <f ca="1">IFERROR(__xludf.DUMMYFUNCTION("GOOGLEFINANCE(A859,""PRICE"")"),202.17)</f>
        <v>202.17</v>
      </c>
      <c r="C859" s="11">
        <f ca="1">IFERROR(__xludf.DUMMYFUNCTION("GOOGLEFINANCE(A859,""PRICEOPEN"")"),202.5)</f>
        <v>202.5</v>
      </c>
      <c r="D859" s="11">
        <f ca="1">IFERROR(__xludf.DUMMYFUNCTION("GOOGLEFINANCE(A859,""HIGH"")"),204.44)</f>
        <v>204.44</v>
      </c>
      <c r="E859" s="11">
        <f ca="1">IFERROR(__xludf.DUMMYFUNCTION("GOOGLEFINANCE(A859,""LOW"")"),196.94)</f>
        <v>196.94</v>
      </c>
      <c r="F859" s="12" t="str">
        <f t="shared" ca="1" si="28"/>
        <v/>
      </c>
      <c r="G859" s="13">
        <f ca="1">IFERROR(__xludf.DUMMYFUNCTION("GOOGLEFINANCE(A859,""CLOSEYEST"")"),199.4)</f>
        <v>199.4</v>
      </c>
      <c r="H859" s="14" t="str">
        <f t="shared" ca="1" si="34"/>
        <v>GAP UP</v>
      </c>
      <c r="I859" s="15">
        <f t="shared" ca="1" si="29"/>
        <v>200.26</v>
      </c>
      <c r="J859" s="16">
        <f t="shared" ca="1" si="30"/>
        <v>203.57999999999998</v>
      </c>
      <c r="K859" s="16"/>
      <c r="L859" s="16">
        <f t="shared" ca="1" si="31"/>
        <v>196.07999999999998</v>
      </c>
      <c r="M859" s="16">
        <f t="shared" ca="1" si="32"/>
        <v>207.76</v>
      </c>
      <c r="N859" s="16">
        <f t="shared" ca="1" si="33"/>
        <v>192.76</v>
      </c>
    </row>
    <row r="860" spans="1:14" ht="24.75" customHeight="1" x14ac:dyDescent="0.8">
      <c r="A860" s="18" t="s">
        <v>823</v>
      </c>
      <c r="B860" s="10">
        <f ca="1">IFERROR(__xludf.DUMMYFUNCTION("GOOGLEFINANCE(A860,""PRICE"")"),64.9)</f>
        <v>64.900000000000006</v>
      </c>
      <c r="C860" s="11">
        <f ca="1">IFERROR(__xludf.DUMMYFUNCTION("GOOGLEFINANCE(A860,""PRICEOPEN"")"),65.35)</f>
        <v>65.349999999999994</v>
      </c>
      <c r="D860" s="11">
        <f ca="1">IFERROR(__xludf.DUMMYFUNCTION("GOOGLEFINANCE(A860,""HIGH"")"),65.6)</f>
        <v>65.599999999999994</v>
      </c>
      <c r="E860" s="11">
        <f ca="1">IFERROR(__xludf.DUMMYFUNCTION("GOOGLEFINANCE(A860,""LOW"")"),64.7)</f>
        <v>64.7</v>
      </c>
      <c r="F860" s="12" t="str">
        <f t="shared" ca="1" si="28"/>
        <v/>
      </c>
      <c r="G860" s="13">
        <f ca="1">IFERROR(__xludf.DUMMYFUNCTION("GOOGLEFINANCE(A860,""CLOSEYEST"")"),64.4)</f>
        <v>64.400000000000006</v>
      </c>
      <c r="H860" s="14" t="str">
        <f t="shared" ca="1" si="34"/>
        <v>GAP UP</v>
      </c>
      <c r="I860" s="15">
        <f t="shared" ca="1" si="29"/>
        <v>64.900000000000006</v>
      </c>
      <c r="J860" s="16">
        <f t="shared" ca="1" si="30"/>
        <v>65.100000000000009</v>
      </c>
      <c r="K860" s="16"/>
      <c r="L860" s="16">
        <f t="shared" ca="1" si="31"/>
        <v>64.200000000000017</v>
      </c>
      <c r="M860" s="16">
        <f t="shared" ca="1" si="32"/>
        <v>65.8</v>
      </c>
      <c r="N860" s="16">
        <f t="shared" ca="1" si="33"/>
        <v>64.000000000000014</v>
      </c>
    </row>
    <row r="861" spans="1:14" ht="24.75" customHeight="1" x14ac:dyDescent="0.8">
      <c r="A861" s="18" t="s">
        <v>824</v>
      </c>
      <c r="B861" s="10">
        <f ca="1">IFERROR(__xludf.DUMMYFUNCTION("GOOGLEFINANCE(A861,""PRICE"")"),5.67)</f>
        <v>5.67</v>
      </c>
      <c r="C861" s="11">
        <f ca="1">IFERROR(__xludf.DUMMYFUNCTION("GOOGLEFINANCE(A861,""PRICEOPEN"")"),5.78)</f>
        <v>5.78</v>
      </c>
      <c r="D861" s="11">
        <f ca="1">IFERROR(__xludf.DUMMYFUNCTION("GOOGLEFINANCE(A861,""HIGH"")"),5.81)</f>
        <v>5.81</v>
      </c>
      <c r="E861" s="11">
        <f ca="1">IFERROR(__xludf.DUMMYFUNCTION("GOOGLEFINANCE(A861,""LOW"")"),5.53)</f>
        <v>5.53</v>
      </c>
      <c r="F861" s="12" t="str">
        <f t="shared" ca="1" si="28"/>
        <v/>
      </c>
      <c r="G861" s="13">
        <f ca="1">IFERROR(__xludf.DUMMYFUNCTION("GOOGLEFINANCE(A861,""CLOSEYEST"")"),5.56)</f>
        <v>5.56</v>
      </c>
      <c r="H861" s="14" t="str">
        <f t="shared" ca="1" si="34"/>
        <v>GAP UP</v>
      </c>
      <c r="I861" s="15">
        <f t="shared" ca="1" si="29"/>
        <v>5.6333333333333329</v>
      </c>
      <c r="J861" s="16">
        <f t="shared" ca="1" si="30"/>
        <v>5.7366666666666655</v>
      </c>
      <c r="K861" s="16"/>
      <c r="L861" s="16">
        <f t="shared" ca="1" si="31"/>
        <v>5.4566666666666661</v>
      </c>
      <c r="M861" s="16">
        <f t="shared" ca="1" si="32"/>
        <v>5.9133333333333322</v>
      </c>
      <c r="N861" s="16">
        <f t="shared" ca="1" si="33"/>
        <v>5.3533333333333335</v>
      </c>
    </row>
    <row r="862" spans="1:14" ht="24.75" customHeight="1" x14ac:dyDescent="0.8">
      <c r="A862" s="18" t="s">
        <v>825</v>
      </c>
      <c r="B862" s="10">
        <f ca="1">IFERROR(__xludf.DUMMYFUNCTION("GOOGLEFINANCE(A862,""PRICE"")"),266)</f>
        <v>266</v>
      </c>
      <c r="C862" s="11">
        <f ca="1">IFERROR(__xludf.DUMMYFUNCTION("GOOGLEFINANCE(A862,""PRICEOPEN"")"),265.65)</f>
        <v>265.64999999999998</v>
      </c>
      <c r="D862" s="11">
        <f ca="1">IFERROR(__xludf.DUMMYFUNCTION("GOOGLEFINANCE(A862,""HIGH"")"),269.05)</f>
        <v>269.05</v>
      </c>
      <c r="E862" s="11">
        <f ca="1">IFERROR(__xludf.DUMMYFUNCTION("GOOGLEFINANCE(A862,""LOW"")"),257.3)</f>
        <v>257.3</v>
      </c>
      <c r="F862" s="12" t="str">
        <f t="shared" ca="1" si="28"/>
        <v/>
      </c>
      <c r="G862" s="13">
        <f ca="1">IFERROR(__xludf.DUMMYFUNCTION("GOOGLEFINANCE(A862,""CLOSEYEST"")"),264.15)</f>
        <v>264.14999999999998</v>
      </c>
      <c r="H862" s="14" t="str">
        <f t="shared" ca="1" si="34"/>
        <v/>
      </c>
      <c r="I862" s="15">
        <f t="shared" ca="1" si="29"/>
        <v>263.5</v>
      </c>
      <c r="J862" s="16">
        <f t="shared" ca="1" si="30"/>
        <v>269.7</v>
      </c>
      <c r="K862" s="16"/>
      <c r="L862" s="16">
        <f t="shared" ca="1" si="31"/>
        <v>257.95</v>
      </c>
      <c r="M862" s="16">
        <f t="shared" ca="1" si="32"/>
        <v>275.25</v>
      </c>
      <c r="N862" s="16">
        <f t="shared" ca="1" si="33"/>
        <v>251.75</v>
      </c>
    </row>
    <row r="863" spans="1:14" ht="24.75" customHeight="1" x14ac:dyDescent="0.8">
      <c r="A863" s="18" t="s">
        <v>826</v>
      </c>
      <c r="B863" s="10">
        <f ca="1">IFERROR(__xludf.DUMMYFUNCTION("GOOGLEFINANCE(A863,""PRICE"")"),97)</f>
        <v>97</v>
      </c>
      <c r="C863" s="11">
        <f ca="1">IFERROR(__xludf.DUMMYFUNCTION("GOOGLEFINANCE(A863,""PRICEOPEN"")"),94.76)</f>
        <v>94.76</v>
      </c>
      <c r="D863" s="11">
        <f ca="1">IFERROR(__xludf.DUMMYFUNCTION("GOOGLEFINANCE(A863,""HIGH"")"),97.2)</f>
        <v>97.2</v>
      </c>
      <c r="E863" s="11">
        <f ca="1">IFERROR(__xludf.DUMMYFUNCTION("GOOGLEFINANCE(A863,""LOW"")"),93.91)</f>
        <v>93.91</v>
      </c>
      <c r="F863" s="12" t="str">
        <f t="shared" ca="1" si="28"/>
        <v/>
      </c>
      <c r="G863" s="13">
        <f ca="1">IFERROR(__xludf.DUMMYFUNCTION("GOOGLEFINANCE(A863,""CLOSEYEST"")"),94.75)</f>
        <v>94.75</v>
      </c>
      <c r="H863" s="14" t="str">
        <f t="shared" ca="1" si="34"/>
        <v/>
      </c>
      <c r="I863" s="15">
        <f t="shared" ca="1" si="29"/>
        <v>95.286666666666676</v>
      </c>
      <c r="J863" s="16">
        <f t="shared" ca="1" si="30"/>
        <v>96.663333333333355</v>
      </c>
      <c r="K863" s="16"/>
      <c r="L863" s="16">
        <f t="shared" ca="1" si="31"/>
        <v>93.373333333333349</v>
      </c>
      <c r="M863" s="16">
        <f t="shared" ca="1" si="32"/>
        <v>98.576666666666682</v>
      </c>
      <c r="N863" s="16">
        <f t="shared" ca="1" si="33"/>
        <v>91.99666666666667</v>
      </c>
    </row>
    <row r="864" spans="1:14" ht="24.75" customHeight="1" x14ac:dyDescent="0.8">
      <c r="A864" s="18" t="s">
        <v>827</v>
      </c>
      <c r="B864" s="10">
        <f ca="1">IFERROR(__xludf.DUMMYFUNCTION("GOOGLEFINANCE(A864,""PRICE"")"),814.6)</f>
        <v>814.6</v>
      </c>
      <c r="C864" s="11">
        <f ca="1">IFERROR(__xludf.DUMMYFUNCTION("GOOGLEFINANCE(A864,""PRICEOPEN"")"),800)</f>
        <v>800</v>
      </c>
      <c r="D864" s="11">
        <f ca="1">IFERROR(__xludf.DUMMYFUNCTION("GOOGLEFINANCE(A864,""HIGH"")"),828)</f>
        <v>828</v>
      </c>
      <c r="E864" s="11">
        <f ca="1">IFERROR(__xludf.DUMMYFUNCTION("GOOGLEFINANCE(A864,""LOW"")"),790.75)</f>
        <v>790.75</v>
      </c>
      <c r="F864" s="12" t="str">
        <f t="shared" ca="1" si="28"/>
        <v/>
      </c>
      <c r="G864" s="13">
        <f ca="1">IFERROR(__xludf.DUMMYFUNCTION("GOOGLEFINANCE(A864,""CLOSEYEST"")"),798.65)</f>
        <v>798.65</v>
      </c>
      <c r="H864" s="14" t="str">
        <f t="shared" ca="1" si="34"/>
        <v/>
      </c>
      <c r="I864" s="15">
        <f t="shared" ca="1" si="29"/>
        <v>805.80000000000007</v>
      </c>
      <c r="J864" s="16">
        <f t="shared" ca="1" si="30"/>
        <v>820.85000000000014</v>
      </c>
      <c r="K864" s="16"/>
      <c r="L864" s="16">
        <f t="shared" ca="1" si="31"/>
        <v>783.60000000000014</v>
      </c>
      <c r="M864" s="16">
        <f t="shared" ca="1" si="32"/>
        <v>843.05000000000007</v>
      </c>
      <c r="N864" s="16">
        <f t="shared" ca="1" si="33"/>
        <v>768.55000000000007</v>
      </c>
    </row>
    <row r="865" spans="1:14" ht="24.75" customHeight="1" x14ac:dyDescent="0.8">
      <c r="A865" s="18" t="s">
        <v>828</v>
      </c>
      <c r="B865" s="10">
        <f ca="1">IFERROR(__xludf.DUMMYFUNCTION("GOOGLEFINANCE(A865,""PRICE"")"),0.43)</f>
        <v>0.43</v>
      </c>
      <c r="C865" s="11">
        <f ca="1">IFERROR(__xludf.DUMMYFUNCTION("GOOGLEFINANCE(A865,""PRICEOPEN"")"),0.44)</f>
        <v>0.44</v>
      </c>
      <c r="D865" s="11">
        <f ca="1">IFERROR(__xludf.DUMMYFUNCTION("GOOGLEFINANCE(A865,""HIGH"")"),0.45)</f>
        <v>0.45</v>
      </c>
      <c r="E865" s="11">
        <f ca="1">IFERROR(__xludf.DUMMYFUNCTION("GOOGLEFINANCE(A865,""LOW"")"),0.43)</f>
        <v>0.43</v>
      </c>
      <c r="F865" s="12" t="str">
        <f t="shared" ca="1" si="28"/>
        <v/>
      </c>
      <c r="G865" s="13">
        <f ca="1">IFERROR(__xludf.DUMMYFUNCTION("GOOGLEFINANCE(A865,""CLOSEYEST"")"),0.44)</f>
        <v>0.44</v>
      </c>
      <c r="H865" s="14" t="str">
        <f t="shared" ca="1" si="34"/>
        <v/>
      </c>
      <c r="I865" s="15">
        <f t="shared" ca="1" si="29"/>
        <v>0.44</v>
      </c>
      <c r="J865" s="16">
        <f t="shared" ca="1" si="30"/>
        <v>0.45</v>
      </c>
      <c r="K865" s="16"/>
      <c r="L865" s="16">
        <f t="shared" ca="1" si="31"/>
        <v>0.43</v>
      </c>
      <c r="M865" s="16">
        <f t="shared" ca="1" si="32"/>
        <v>0.46</v>
      </c>
      <c r="N865" s="16">
        <f t="shared" ca="1" si="33"/>
        <v>0.42</v>
      </c>
    </row>
    <row r="866" spans="1:14" ht="24.75" customHeight="1" x14ac:dyDescent="0.8">
      <c r="A866" s="18" t="s">
        <v>829</v>
      </c>
      <c r="B866" s="10">
        <f ca="1">IFERROR(__xludf.DUMMYFUNCTION("GOOGLEFINANCE(A866,""PRICE"")"),3650)</f>
        <v>3650</v>
      </c>
      <c r="C866" s="11">
        <f ca="1">IFERROR(__xludf.DUMMYFUNCTION("GOOGLEFINANCE(A866,""PRICEOPEN"")"),3675.2)</f>
        <v>3675.2</v>
      </c>
      <c r="D866" s="11">
        <f ca="1">IFERROR(__xludf.DUMMYFUNCTION("GOOGLEFINANCE(A866,""HIGH"")"),3729.8)</f>
        <v>3729.8</v>
      </c>
      <c r="E866" s="11">
        <f ca="1">IFERROR(__xludf.DUMMYFUNCTION("GOOGLEFINANCE(A866,""LOW"")"),3559.2)</f>
        <v>3559.2</v>
      </c>
      <c r="F866" s="12" t="str">
        <f t="shared" ca="1" si="28"/>
        <v/>
      </c>
      <c r="G866" s="13">
        <f ca="1">IFERROR(__xludf.DUMMYFUNCTION("GOOGLEFINANCE(A866,""CLOSEYEST"")"),3701.1)</f>
        <v>3701.1</v>
      </c>
      <c r="H866" s="14" t="str">
        <f t="shared" ca="1" si="34"/>
        <v/>
      </c>
      <c r="I866" s="15">
        <f t="shared" ca="1" si="29"/>
        <v>3663.3666666666668</v>
      </c>
      <c r="J866" s="16">
        <f t="shared" ca="1" si="30"/>
        <v>3767.5333333333338</v>
      </c>
      <c r="K866" s="16"/>
      <c r="L866" s="16">
        <f t="shared" ca="1" si="31"/>
        <v>3596.9333333333334</v>
      </c>
      <c r="M866" s="16">
        <f t="shared" ca="1" si="32"/>
        <v>3833.9666666666672</v>
      </c>
      <c r="N866" s="16">
        <f t="shared" ca="1" si="33"/>
        <v>3492.7666666666664</v>
      </c>
    </row>
    <row r="867" spans="1:14" ht="24.75" customHeight="1" x14ac:dyDescent="0.8">
      <c r="A867" s="18" t="s">
        <v>830</v>
      </c>
      <c r="B867" s="10">
        <f ca="1">IFERROR(__xludf.DUMMYFUNCTION("GOOGLEFINANCE(A867,""PRICE"")"),150.5)</f>
        <v>150.5</v>
      </c>
      <c r="C867" s="11">
        <f ca="1">IFERROR(__xludf.DUMMYFUNCTION("GOOGLEFINANCE(A867,""PRICEOPEN"")"),155.99)</f>
        <v>155.99</v>
      </c>
      <c r="D867" s="11">
        <f ca="1">IFERROR(__xludf.DUMMYFUNCTION("GOOGLEFINANCE(A867,""HIGH"")"),159.49)</f>
        <v>159.49</v>
      </c>
      <c r="E867" s="11">
        <f ca="1">IFERROR(__xludf.DUMMYFUNCTION("GOOGLEFINANCE(A867,""LOW"")"),150.3)</f>
        <v>150.30000000000001</v>
      </c>
      <c r="F867" s="12" t="str">
        <f t="shared" ca="1" si="28"/>
        <v/>
      </c>
      <c r="G867" s="13">
        <f ca="1">IFERROR(__xludf.DUMMYFUNCTION("GOOGLEFINANCE(A867,""CLOSEYEST"")"),155.59)</f>
        <v>155.59</v>
      </c>
      <c r="H867" s="14" t="str">
        <f t="shared" ca="1" si="34"/>
        <v/>
      </c>
      <c r="I867" s="15">
        <f t="shared" ca="1" si="29"/>
        <v>155.12666666666667</v>
      </c>
      <c r="J867" s="16">
        <f t="shared" ca="1" si="30"/>
        <v>159.95333333333332</v>
      </c>
      <c r="K867" s="16"/>
      <c r="L867" s="16">
        <f t="shared" ca="1" si="31"/>
        <v>150.76333333333332</v>
      </c>
      <c r="M867" s="16">
        <f t="shared" ca="1" si="32"/>
        <v>164.31666666666666</v>
      </c>
      <c r="N867" s="16">
        <f t="shared" ca="1" si="33"/>
        <v>145.93666666666667</v>
      </c>
    </row>
    <row r="868" spans="1:14" ht="24.75" customHeight="1" x14ac:dyDescent="0.8">
      <c r="A868" s="18" t="s">
        <v>831</v>
      </c>
      <c r="B868" s="10">
        <f ca="1">IFERROR(__xludf.DUMMYFUNCTION("GOOGLEFINANCE(A868,""PRICE"")"),360.3)</f>
        <v>360.3</v>
      </c>
      <c r="C868" s="11">
        <f ca="1">IFERROR(__xludf.DUMMYFUNCTION("GOOGLEFINANCE(A868,""PRICEOPEN"")"),360)</f>
        <v>360</v>
      </c>
      <c r="D868" s="11">
        <f ca="1">IFERROR(__xludf.DUMMYFUNCTION("GOOGLEFINANCE(A868,""HIGH"")"),366.9)</f>
        <v>366.9</v>
      </c>
      <c r="E868" s="11">
        <f ca="1">IFERROR(__xludf.DUMMYFUNCTION("GOOGLEFINANCE(A868,""LOW"")"),358.55)</f>
        <v>358.55</v>
      </c>
      <c r="F868" s="12" t="str">
        <f t="shared" ca="1" si="28"/>
        <v/>
      </c>
      <c r="G868" s="13">
        <f ca="1">IFERROR(__xludf.DUMMYFUNCTION("GOOGLEFINANCE(A868,""CLOSEYEST"")"),359.85)</f>
        <v>359.85</v>
      </c>
      <c r="H868" s="14" t="str">
        <f t="shared" ca="1" si="34"/>
        <v/>
      </c>
      <c r="I868" s="15">
        <f t="shared" ca="1" si="29"/>
        <v>361.76666666666671</v>
      </c>
      <c r="J868" s="16">
        <f t="shared" ca="1" si="30"/>
        <v>364.98333333333341</v>
      </c>
      <c r="K868" s="16"/>
      <c r="L868" s="16">
        <f t="shared" ca="1" si="31"/>
        <v>356.63333333333344</v>
      </c>
      <c r="M868" s="16">
        <f t="shared" ca="1" si="32"/>
        <v>370.11666666666667</v>
      </c>
      <c r="N868" s="16">
        <f t="shared" ca="1" si="33"/>
        <v>353.41666666666674</v>
      </c>
    </row>
    <row r="869" spans="1:14" ht="24.75" customHeight="1" x14ac:dyDescent="0.8">
      <c r="A869" s="18" t="s">
        <v>832</v>
      </c>
      <c r="B869" s="10">
        <f ca="1">IFERROR(__xludf.DUMMYFUNCTION("GOOGLEFINANCE(A869,""PRICE"")"),1938)</f>
        <v>1938</v>
      </c>
      <c r="C869" s="11">
        <f ca="1">IFERROR(__xludf.DUMMYFUNCTION("GOOGLEFINANCE(A869,""PRICEOPEN"")"),1980)</f>
        <v>1980</v>
      </c>
      <c r="D869" s="11">
        <f ca="1">IFERROR(__xludf.DUMMYFUNCTION("GOOGLEFINANCE(A869,""HIGH"")"),1981.3)</f>
        <v>1981.3</v>
      </c>
      <c r="E869" s="11">
        <f ca="1">IFERROR(__xludf.DUMMYFUNCTION("GOOGLEFINANCE(A869,""LOW"")"),1921.1)</f>
        <v>1921.1</v>
      </c>
      <c r="F869" s="12" t="str">
        <f t="shared" ca="1" si="28"/>
        <v/>
      </c>
      <c r="G869" s="13">
        <f ca="1">IFERROR(__xludf.DUMMYFUNCTION("GOOGLEFINANCE(A869,""CLOSEYEST"")"),1963.8)</f>
        <v>1963.8</v>
      </c>
      <c r="H869" s="14" t="str">
        <f t="shared" ca="1" si="34"/>
        <v/>
      </c>
      <c r="I869" s="15">
        <f t="shared" ca="1" si="29"/>
        <v>1955.3999999999999</v>
      </c>
      <c r="J869" s="16">
        <f t="shared" ca="1" si="30"/>
        <v>1989.6999999999998</v>
      </c>
      <c r="K869" s="16"/>
      <c r="L869" s="16">
        <f t="shared" ca="1" si="31"/>
        <v>1929.4999999999998</v>
      </c>
      <c r="M869" s="16">
        <f t="shared" ca="1" si="32"/>
        <v>2015.6</v>
      </c>
      <c r="N869" s="16">
        <f t="shared" ca="1" si="33"/>
        <v>1895.1999999999998</v>
      </c>
    </row>
    <row r="870" spans="1:14" ht="24.75" customHeight="1" x14ac:dyDescent="0.8">
      <c r="A870" s="18" t="s">
        <v>833</v>
      </c>
      <c r="B870" s="10">
        <f ca="1">IFERROR(__xludf.DUMMYFUNCTION("GOOGLEFINANCE(A870,""PRICE"")"),37.9)</f>
        <v>37.9</v>
      </c>
      <c r="C870" s="11">
        <f ca="1">IFERROR(__xludf.DUMMYFUNCTION("GOOGLEFINANCE(A870,""PRICEOPEN"")"),37.7)</f>
        <v>37.700000000000003</v>
      </c>
      <c r="D870" s="11">
        <f ca="1">IFERROR(__xludf.DUMMYFUNCTION("GOOGLEFINANCE(A870,""HIGH"")"),38.09)</f>
        <v>38.090000000000003</v>
      </c>
      <c r="E870" s="11">
        <f ca="1">IFERROR(__xludf.DUMMYFUNCTION("GOOGLEFINANCE(A870,""LOW"")"),37.42)</f>
        <v>37.42</v>
      </c>
      <c r="F870" s="12" t="str">
        <f t="shared" ca="1" si="28"/>
        <v/>
      </c>
      <c r="G870" s="13">
        <f ca="1">IFERROR(__xludf.DUMMYFUNCTION("GOOGLEFINANCE(A870,""CLOSEYEST"")"),37.69)</f>
        <v>37.69</v>
      </c>
      <c r="H870" s="14" t="str">
        <f t="shared" ca="1" si="34"/>
        <v/>
      </c>
      <c r="I870" s="15">
        <f t="shared" ca="1" si="29"/>
        <v>37.733333333333334</v>
      </c>
      <c r="J870" s="16">
        <f t="shared" ca="1" si="30"/>
        <v>38.046666666666667</v>
      </c>
      <c r="K870" s="16"/>
      <c r="L870" s="16">
        <f t="shared" ca="1" si="31"/>
        <v>37.376666666666665</v>
      </c>
      <c r="M870" s="16">
        <f t="shared" ca="1" si="32"/>
        <v>38.403333333333336</v>
      </c>
      <c r="N870" s="16">
        <f t="shared" ca="1" si="33"/>
        <v>37.063333333333333</v>
      </c>
    </row>
    <row r="871" spans="1:14" ht="24.75" customHeight="1" x14ac:dyDescent="0.8">
      <c r="A871" s="18" t="s">
        <v>834</v>
      </c>
      <c r="B871" s="10">
        <f ca="1">IFERROR(__xludf.DUMMYFUNCTION("GOOGLEFINANCE(A871,""PRICE"")"),456.4)</f>
        <v>456.4</v>
      </c>
      <c r="C871" s="11">
        <f ca="1">IFERROR(__xludf.DUMMYFUNCTION("GOOGLEFINANCE(A871,""PRICEOPEN"")"),455.5)</f>
        <v>455.5</v>
      </c>
      <c r="D871" s="11">
        <f ca="1">IFERROR(__xludf.DUMMYFUNCTION("GOOGLEFINANCE(A871,""HIGH"")"),461.95)</f>
        <v>461.95</v>
      </c>
      <c r="E871" s="11">
        <f ca="1">IFERROR(__xludf.DUMMYFUNCTION("GOOGLEFINANCE(A871,""LOW"")"),453.15)</f>
        <v>453.15</v>
      </c>
      <c r="F871" s="12" t="str">
        <f t="shared" ca="1" si="28"/>
        <v/>
      </c>
      <c r="G871" s="13">
        <f ca="1">IFERROR(__xludf.DUMMYFUNCTION("GOOGLEFINANCE(A871,""CLOSEYEST"")"),455.5)</f>
        <v>455.5</v>
      </c>
      <c r="H871" s="14" t="str">
        <f t="shared" ca="1" si="34"/>
        <v/>
      </c>
      <c r="I871" s="15">
        <f t="shared" ca="1" si="29"/>
        <v>456.86666666666662</v>
      </c>
      <c r="J871" s="16">
        <f t="shared" ca="1" si="30"/>
        <v>460.58333333333326</v>
      </c>
      <c r="K871" s="16"/>
      <c r="L871" s="16">
        <f t="shared" ca="1" si="31"/>
        <v>451.78333333333325</v>
      </c>
      <c r="M871" s="16">
        <f t="shared" ca="1" si="32"/>
        <v>465.66666666666663</v>
      </c>
      <c r="N871" s="16">
        <f t="shared" ca="1" si="33"/>
        <v>448.06666666666661</v>
      </c>
    </row>
    <row r="872" spans="1:14" ht="24.75" customHeight="1" x14ac:dyDescent="0.8">
      <c r="A872" s="18" t="s">
        <v>835</v>
      </c>
      <c r="B872" s="10">
        <f ca="1">IFERROR(__xludf.DUMMYFUNCTION("GOOGLEFINANCE(A872,""PRICE"")"),161.83)</f>
        <v>161.83000000000001</v>
      </c>
      <c r="C872" s="11">
        <f ca="1">IFERROR(__xludf.DUMMYFUNCTION("GOOGLEFINANCE(A872,""PRICEOPEN"")"),164)</f>
        <v>164</v>
      </c>
      <c r="D872" s="11">
        <f ca="1">IFERROR(__xludf.DUMMYFUNCTION("GOOGLEFINANCE(A872,""HIGH"")"),164.6)</f>
        <v>164.6</v>
      </c>
      <c r="E872" s="11">
        <f ca="1">IFERROR(__xludf.DUMMYFUNCTION("GOOGLEFINANCE(A872,""LOW"")"),159.85)</f>
        <v>159.85</v>
      </c>
      <c r="F872" s="12" t="str">
        <f t="shared" ca="1" si="28"/>
        <v/>
      </c>
      <c r="G872" s="13">
        <f ca="1">IFERROR(__xludf.DUMMYFUNCTION("GOOGLEFINANCE(A872,""CLOSEYEST"")"),163.21)</f>
        <v>163.21</v>
      </c>
      <c r="H872" s="14" t="str">
        <f t="shared" ca="1" si="34"/>
        <v/>
      </c>
      <c r="I872" s="15">
        <f t="shared" ca="1" si="29"/>
        <v>162.55333333333331</v>
      </c>
      <c r="J872" s="16">
        <f t="shared" ca="1" si="30"/>
        <v>165.25666666666663</v>
      </c>
      <c r="K872" s="16"/>
      <c r="L872" s="16">
        <f t="shared" ca="1" si="31"/>
        <v>160.50666666666663</v>
      </c>
      <c r="M872" s="16">
        <f t="shared" ca="1" si="32"/>
        <v>167.30333333333331</v>
      </c>
      <c r="N872" s="16">
        <f t="shared" ca="1" si="33"/>
        <v>157.80333333333331</v>
      </c>
    </row>
    <row r="873" spans="1:14" ht="24.75" customHeight="1" x14ac:dyDescent="0.8">
      <c r="A873" s="18" t="s">
        <v>836</v>
      </c>
      <c r="B873" s="10" t="str">
        <f ca="1">IFERROR(__xludf.DUMMYFUNCTION("GOOGLEFINANCE(A873,""PRICE"")"),"#N/A")</f>
        <v>#N/A</v>
      </c>
      <c r="C873" s="11" t="str">
        <f ca="1">IFERROR(__xludf.DUMMYFUNCTION("GOOGLEFINANCE(A873,""PRICEOPEN"")"),"#N/A")</f>
        <v>#N/A</v>
      </c>
      <c r="D873" s="11" t="str">
        <f ca="1">IFERROR(__xludf.DUMMYFUNCTION("GOOGLEFINANCE(A873,""HIGH"")"),"#N/A")</f>
        <v>#N/A</v>
      </c>
      <c r="E873" s="11" t="str">
        <f ca="1">IFERROR(__xludf.DUMMYFUNCTION("GOOGLEFINANCE(A873,""LOW"")"),"#N/A")</f>
        <v>#N/A</v>
      </c>
      <c r="F873" s="12" t="str">
        <f t="shared" ca="1" si="28"/>
        <v>SELL</v>
      </c>
      <c r="G873" s="13" t="str">
        <f ca="1">IFERROR(__xludf.DUMMYFUNCTION("GOOGLEFINANCE(A873,""CLOSEYEST"")"),"#N/A")</f>
        <v>#N/A</v>
      </c>
      <c r="H873" s="14" t="e">
        <f t="shared" ca="1" si="34"/>
        <v>#VALUE!</v>
      </c>
      <c r="I873" s="15" t="e">
        <f t="shared" ca="1" si="29"/>
        <v>#VALUE!</v>
      </c>
      <c r="J873" s="16" t="e">
        <f t="shared" ca="1" si="30"/>
        <v>#VALUE!</v>
      </c>
      <c r="K873" s="16"/>
      <c r="L873" s="16" t="e">
        <f t="shared" ca="1" si="31"/>
        <v>#VALUE!</v>
      </c>
      <c r="M873" s="16" t="e">
        <f t="shared" ca="1" si="32"/>
        <v>#VALUE!</v>
      </c>
      <c r="N873" s="16" t="e">
        <f t="shared" ca="1" si="33"/>
        <v>#VALUE!</v>
      </c>
    </row>
    <row r="874" spans="1:14" ht="24.75" customHeight="1" x14ac:dyDescent="0.8">
      <c r="A874" s="18" t="s">
        <v>837</v>
      </c>
      <c r="B874" s="10">
        <f ca="1">IFERROR(__xludf.DUMMYFUNCTION("GOOGLEFINANCE(A874,""PRICE"")"),577.2)</f>
        <v>577.20000000000005</v>
      </c>
      <c r="C874" s="11">
        <f ca="1">IFERROR(__xludf.DUMMYFUNCTION("GOOGLEFINANCE(A874,""PRICEOPEN"")"),585.9)</f>
        <v>585.9</v>
      </c>
      <c r="D874" s="11">
        <f ca="1">IFERROR(__xludf.DUMMYFUNCTION("GOOGLEFINANCE(A874,""HIGH"")"),585.9)</f>
        <v>585.9</v>
      </c>
      <c r="E874" s="11">
        <f ca="1">IFERROR(__xludf.DUMMYFUNCTION("GOOGLEFINANCE(A874,""LOW"")"),571.95)</f>
        <v>571.95000000000005</v>
      </c>
      <c r="F874" s="12" t="str">
        <f t="shared" ca="1" si="28"/>
        <v>SELL</v>
      </c>
      <c r="G874" s="13">
        <f ca="1">IFERROR(__xludf.DUMMYFUNCTION("GOOGLEFINANCE(A874,""CLOSEYEST"")"),582.25)</f>
        <v>582.25</v>
      </c>
      <c r="H874" s="14" t="str">
        <f t="shared" ca="1" si="34"/>
        <v/>
      </c>
      <c r="I874" s="15">
        <f t="shared" ca="1" si="29"/>
        <v>580.0333333333333</v>
      </c>
      <c r="J874" s="16">
        <f t="shared" ca="1" si="30"/>
        <v>588.11666666666656</v>
      </c>
      <c r="K874" s="16"/>
      <c r="L874" s="16">
        <f t="shared" ca="1" si="31"/>
        <v>574.16666666666663</v>
      </c>
      <c r="M874" s="16">
        <f t="shared" ca="1" si="32"/>
        <v>593.98333333333323</v>
      </c>
      <c r="N874" s="16">
        <f t="shared" ca="1" si="33"/>
        <v>566.08333333333337</v>
      </c>
    </row>
    <row r="875" spans="1:14" ht="24.75" customHeight="1" x14ac:dyDescent="0.8">
      <c r="A875" s="18" t="s">
        <v>838</v>
      </c>
      <c r="B875" s="10" t="str">
        <f ca="1">IFERROR(__xludf.DUMMYFUNCTION("GOOGLEFINANCE(A875,""PRICE"")"),"#N/A")</f>
        <v>#N/A</v>
      </c>
      <c r="C875" s="11" t="str">
        <f ca="1">IFERROR(__xludf.DUMMYFUNCTION("GOOGLEFINANCE(A875,""PRICEOPEN"")"),"#N/A")</f>
        <v>#N/A</v>
      </c>
      <c r="D875" s="11" t="str">
        <f ca="1">IFERROR(__xludf.DUMMYFUNCTION("GOOGLEFINANCE(A875,""HIGH"")"),"#N/A")</f>
        <v>#N/A</v>
      </c>
      <c r="E875" s="11" t="str">
        <f ca="1">IFERROR(__xludf.DUMMYFUNCTION("GOOGLEFINANCE(A875,""LOW"")"),"#N/A")</f>
        <v>#N/A</v>
      </c>
      <c r="F875" s="12" t="str">
        <f t="shared" ca="1" si="28"/>
        <v>SELL</v>
      </c>
      <c r="G875" s="13" t="str">
        <f ca="1">IFERROR(__xludf.DUMMYFUNCTION("GOOGLEFINANCE(A875,""CLOSEYEST"")"),"#N/A")</f>
        <v>#N/A</v>
      </c>
      <c r="H875" s="14" t="e">
        <f t="shared" ca="1" si="34"/>
        <v>#VALUE!</v>
      </c>
      <c r="I875" s="15" t="e">
        <f t="shared" ca="1" si="29"/>
        <v>#VALUE!</v>
      </c>
      <c r="J875" s="16" t="e">
        <f t="shared" ca="1" si="30"/>
        <v>#VALUE!</v>
      </c>
      <c r="K875" s="16"/>
      <c r="L875" s="16" t="e">
        <f t="shared" ca="1" si="31"/>
        <v>#VALUE!</v>
      </c>
      <c r="M875" s="16" t="e">
        <f t="shared" ca="1" si="32"/>
        <v>#VALUE!</v>
      </c>
      <c r="N875" s="16" t="e">
        <f t="shared" ca="1" si="33"/>
        <v>#VALUE!</v>
      </c>
    </row>
    <row r="876" spans="1:14" ht="24.75" customHeight="1" x14ac:dyDescent="0.8">
      <c r="A876" s="18" t="s">
        <v>839</v>
      </c>
      <c r="B876" s="10">
        <f ca="1">IFERROR(__xludf.DUMMYFUNCTION("GOOGLEFINANCE(A876,""PRICE"")"),187.35)</f>
        <v>187.35</v>
      </c>
      <c r="C876" s="11">
        <f ca="1">IFERROR(__xludf.DUMMYFUNCTION("GOOGLEFINANCE(A876,""PRICEOPEN"")"),183.1)</f>
        <v>183.1</v>
      </c>
      <c r="D876" s="11">
        <f ca="1">IFERROR(__xludf.DUMMYFUNCTION("GOOGLEFINANCE(A876,""HIGH"")"),190)</f>
        <v>190</v>
      </c>
      <c r="E876" s="11">
        <f ca="1">IFERROR(__xludf.DUMMYFUNCTION("GOOGLEFINANCE(A876,""LOW"")"),182.06)</f>
        <v>182.06</v>
      </c>
      <c r="F876" s="12" t="str">
        <f t="shared" ca="1" si="28"/>
        <v/>
      </c>
      <c r="G876" s="13">
        <f ca="1">IFERROR(__xludf.DUMMYFUNCTION("GOOGLEFINANCE(A876,""CLOSEYEST"")"),183.1)</f>
        <v>183.1</v>
      </c>
      <c r="H876" s="14" t="str">
        <f t="shared" ca="1" si="34"/>
        <v/>
      </c>
      <c r="I876" s="15">
        <f t="shared" ca="1" si="29"/>
        <v>185.05333333333331</v>
      </c>
      <c r="J876" s="16">
        <f t="shared" ca="1" si="30"/>
        <v>188.04666666666662</v>
      </c>
      <c r="K876" s="16"/>
      <c r="L876" s="16">
        <f t="shared" ca="1" si="31"/>
        <v>180.10666666666663</v>
      </c>
      <c r="M876" s="16">
        <f t="shared" ca="1" si="32"/>
        <v>192.99333333333331</v>
      </c>
      <c r="N876" s="16">
        <f t="shared" ca="1" si="33"/>
        <v>177.11333333333332</v>
      </c>
    </row>
    <row r="877" spans="1:14" ht="24.75" customHeight="1" x14ac:dyDescent="0.8">
      <c r="A877" s="18" t="s">
        <v>840</v>
      </c>
      <c r="B877" s="10" t="str">
        <f ca="1">IFERROR(__xludf.DUMMYFUNCTION("GOOGLEFINANCE(A877,""PRICE"")"),"#N/A")</f>
        <v>#N/A</v>
      </c>
      <c r="C877" s="11" t="str">
        <f ca="1">IFERROR(__xludf.DUMMYFUNCTION("GOOGLEFINANCE(A877,""PRICEOPEN"")"),"#N/A")</f>
        <v>#N/A</v>
      </c>
      <c r="D877" s="11" t="str">
        <f ca="1">IFERROR(__xludf.DUMMYFUNCTION("GOOGLEFINANCE(A877,""HIGH"")"),"#N/A")</f>
        <v>#N/A</v>
      </c>
      <c r="E877" s="11" t="str">
        <f ca="1">IFERROR(__xludf.DUMMYFUNCTION("GOOGLEFINANCE(A877,""LOW"")"),"#N/A")</f>
        <v>#N/A</v>
      </c>
      <c r="F877" s="12" t="str">
        <f t="shared" ca="1" si="28"/>
        <v>SELL</v>
      </c>
      <c r="G877" s="13" t="str">
        <f ca="1">IFERROR(__xludf.DUMMYFUNCTION("GOOGLEFINANCE(A877,""CLOSEYEST"")"),"#N/A")</f>
        <v>#N/A</v>
      </c>
      <c r="H877" s="14" t="e">
        <f t="shared" ca="1" si="34"/>
        <v>#VALUE!</v>
      </c>
      <c r="I877" s="15" t="e">
        <f t="shared" ca="1" si="29"/>
        <v>#VALUE!</v>
      </c>
      <c r="J877" s="16" t="e">
        <f t="shared" ca="1" si="30"/>
        <v>#VALUE!</v>
      </c>
      <c r="K877" s="16"/>
      <c r="L877" s="16" t="e">
        <f t="shared" ca="1" si="31"/>
        <v>#VALUE!</v>
      </c>
      <c r="M877" s="16" t="e">
        <f t="shared" ca="1" si="32"/>
        <v>#VALUE!</v>
      </c>
      <c r="N877" s="16" t="e">
        <f t="shared" ca="1" si="33"/>
        <v>#VALUE!</v>
      </c>
    </row>
    <row r="878" spans="1:14" ht="24.75" customHeight="1" x14ac:dyDescent="0.8">
      <c r="A878" s="18" t="s">
        <v>841</v>
      </c>
      <c r="B878" s="10" t="str">
        <f ca="1">IFERROR(__xludf.DUMMYFUNCTION("GOOGLEFINANCE(A878,""PRICE"")"),"#N/A")</f>
        <v>#N/A</v>
      </c>
      <c r="C878" s="11" t="str">
        <f ca="1">IFERROR(__xludf.DUMMYFUNCTION("GOOGLEFINANCE(A878,""PRICEOPEN"")"),"#N/A")</f>
        <v>#N/A</v>
      </c>
      <c r="D878" s="11" t="str">
        <f ca="1">IFERROR(__xludf.DUMMYFUNCTION("GOOGLEFINANCE(A878,""HIGH"")"),"#N/A")</f>
        <v>#N/A</v>
      </c>
      <c r="E878" s="11" t="str">
        <f ca="1">IFERROR(__xludf.DUMMYFUNCTION("GOOGLEFINANCE(A878,""LOW"")"),"#N/A")</f>
        <v>#N/A</v>
      </c>
      <c r="F878" s="12" t="str">
        <f t="shared" ca="1" si="28"/>
        <v>SELL</v>
      </c>
      <c r="G878" s="13" t="str">
        <f ca="1">IFERROR(__xludf.DUMMYFUNCTION("GOOGLEFINANCE(A878,""CLOSEYEST"")"),"#N/A")</f>
        <v>#N/A</v>
      </c>
      <c r="H878" s="14" t="e">
        <f t="shared" ca="1" si="34"/>
        <v>#VALUE!</v>
      </c>
      <c r="I878" s="15" t="e">
        <f t="shared" ca="1" si="29"/>
        <v>#VALUE!</v>
      </c>
      <c r="J878" s="16" t="e">
        <f t="shared" ca="1" si="30"/>
        <v>#VALUE!</v>
      </c>
      <c r="K878" s="16"/>
      <c r="L878" s="16" t="e">
        <f t="shared" ca="1" si="31"/>
        <v>#VALUE!</v>
      </c>
      <c r="M878" s="16" t="e">
        <f t="shared" ca="1" si="32"/>
        <v>#VALUE!</v>
      </c>
      <c r="N878" s="16" t="e">
        <f t="shared" ca="1" si="33"/>
        <v>#VALUE!</v>
      </c>
    </row>
    <row r="879" spans="1:14" ht="24.75" customHeight="1" x14ac:dyDescent="0.8">
      <c r="A879" s="18" t="s">
        <v>842</v>
      </c>
      <c r="B879" s="10">
        <f ca="1">IFERROR(__xludf.DUMMYFUNCTION("GOOGLEFINANCE(A879,""PRICE"")"),891.8)</f>
        <v>891.8</v>
      </c>
      <c r="C879" s="11">
        <f ca="1">IFERROR(__xludf.DUMMYFUNCTION("GOOGLEFINANCE(A879,""PRICEOPEN"")"),878)</f>
        <v>878</v>
      </c>
      <c r="D879" s="11">
        <f ca="1">IFERROR(__xludf.DUMMYFUNCTION("GOOGLEFINANCE(A879,""HIGH"")"),897.2)</f>
        <v>897.2</v>
      </c>
      <c r="E879" s="11">
        <f ca="1">IFERROR(__xludf.DUMMYFUNCTION("GOOGLEFINANCE(A879,""LOW"")"),877)</f>
        <v>877</v>
      </c>
      <c r="F879" s="12" t="str">
        <f t="shared" ca="1" si="28"/>
        <v/>
      </c>
      <c r="G879" s="13">
        <f ca="1">IFERROR(__xludf.DUMMYFUNCTION("GOOGLEFINANCE(A879,""CLOSEYEST"")"),876.95)</f>
        <v>876.95</v>
      </c>
      <c r="H879" s="14" t="str">
        <f t="shared" ca="1" si="34"/>
        <v/>
      </c>
      <c r="I879" s="15">
        <f t="shared" ca="1" si="29"/>
        <v>883.7166666666667</v>
      </c>
      <c r="J879" s="16">
        <f t="shared" ca="1" si="30"/>
        <v>890.43333333333339</v>
      </c>
      <c r="K879" s="16"/>
      <c r="L879" s="16">
        <f t="shared" ca="1" si="31"/>
        <v>870.23333333333335</v>
      </c>
      <c r="M879" s="16">
        <f t="shared" ca="1" si="32"/>
        <v>903.91666666666674</v>
      </c>
      <c r="N879" s="16">
        <f t="shared" ca="1" si="33"/>
        <v>863.51666666666665</v>
      </c>
    </row>
    <row r="880" spans="1:14" ht="24.75" customHeight="1" x14ac:dyDescent="0.8">
      <c r="A880" s="18" t="s">
        <v>843</v>
      </c>
      <c r="B880" s="10">
        <f ca="1">IFERROR(__xludf.DUMMYFUNCTION("GOOGLEFINANCE(A880,""PRICE"")"),1.24)</f>
        <v>1.24</v>
      </c>
      <c r="C880" s="11">
        <f ca="1">IFERROR(__xludf.DUMMYFUNCTION("GOOGLEFINANCE(A880,""PRICEOPEN"")"),1.24)</f>
        <v>1.24</v>
      </c>
      <c r="D880" s="11">
        <f ca="1">IFERROR(__xludf.DUMMYFUNCTION("GOOGLEFINANCE(A880,""HIGH"")"),1.24)</f>
        <v>1.24</v>
      </c>
      <c r="E880" s="11">
        <f ca="1">IFERROR(__xludf.DUMMYFUNCTION("GOOGLEFINANCE(A880,""LOW"")"),1.23)</f>
        <v>1.23</v>
      </c>
      <c r="F880" s="12" t="str">
        <f t="shared" ca="1" si="28"/>
        <v>SELL</v>
      </c>
      <c r="G880" s="13">
        <f ca="1">IFERROR(__xludf.DUMMYFUNCTION("GOOGLEFINANCE(A880,""CLOSEYEST"")"),1.23)</f>
        <v>1.23</v>
      </c>
      <c r="H880" s="14" t="str">
        <f t="shared" ca="1" si="34"/>
        <v/>
      </c>
      <c r="I880" s="15">
        <f t="shared" ca="1" si="29"/>
        <v>1.2333333333333332</v>
      </c>
      <c r="J880" s="16">
        <f t="shared" ca="1" si="30"/>
        <v>1.2366666666666664</v>
      </c>
      <c r="K880" s="16"/>
      <c r="L880" s="16">
        <f t="shared" ca="1" si="31"/>
        <v>1.2266666666666663</v>
      </c>
      <c r="M880" s="16">
        <f t="shared" ca="1" si="32"/>
        <v>1.2433333333333332</v>
      </c>
      <c r="N880" s="16">
        <f t="shared" ca="1" si="33"/>
        <v>1.2233333333333332</v>
      </c>
    </row>
    <row r="881" spans="1:14" ht="24.75" customHeight="1" x14ac:dyDescent="0.8">
      <c r="A881" s="18" t="s">
        <v>844</v>
      </c>
      <c r="B881" s="10">
        <f ca="1">IFERROR(__xludf.DUMMYFUNCTION("GOOGLEFINANCE(A881,""PRICE"")"),34.94)</f>
        <v>34.94</v>
      </c>
      <c r="C881" s="11">
        <f ca="1">IFERROR(__xludf.DUMMYFUNCTION("GOOGLEFINANCE(A881,""PRICEOPEN"")"),33)</f>
        <v>33</v>
      </c>
      <c r="D881" s="11">
        <f ca="1">IFERROR(__xludf.DUMMYFUNCTION("GOOGLEFINANCE(A881,""HIGH"")"),34.94)</f>
        <v>34.94</v>
      </c>
      <c r="E881" s="11">
        <f ca="1">IFERROR(__xludf.DUMMYFUNCTION("GOOGLEFINANCE(A881,""LOW"")"),33)</f>
        <v>33</v>
      </c>
      <c r="F881" s="12" t="str">
        <f t="shared" ca="1" si="28"/>
        <v>BUY</v>
      </c>
      <c r="G881" s="13">
        <f ca="1">IFERROR(__xludf.DUMMYFUNCTION("GOOGLEFINANCE(A881,""CLOSEYEST"")"),33.28)</f>
        <v>33.28</v>
      </c>
      <c r="H881" s="14" t="str">
        <f t="shared" ca="1" si="34"/>
        <v/>
      </c>
      <c r="I881" s="15">
        <f t="shared" ca="1" si="29"/>
        <v>33.74</v>
      </c>
      <c r="J881" s="16">
        <f t="shared" ca="1" si="30"/>
        <v>34.480000000000004</v>
      </c>
      <c r="K881" s="16"/>
      <c r="L881" s="16">
        <f t="shared" ca="1" si="31"/>
        <v>32.540000000000006</v>
      </c>
      <c r="M881" s="16">
        <f t="shared" ca="1" si="32"/>
        <v>35.68</v>
      </c>
      <c r="N881" s="16">
        <f t="shared" ca="1" si="33"/>
        <v>31.800000000000004</v>
      </c>
    </row>
    <row r="882" spans="1:14" ht="24.75" customHeight="1" x14ac:dyDescent="0.8">
      <c r="A882" s="18" t="s">
        <v>845</v>
      </c>
      <c r="B882" s="10">
        <f ca="1">IFERROR(__xludf.DUMMYFUNCTION("GOOGLEFINANCE(A882,""PRICE"")"),1442.7)</f>
        <v>1442.7</v>
      </c>
      <c r="C882" s="11">
        <f ca="1">IFERROR(__xludf.DUMMYFUNCTION("GOOGLEFINANCE(A882,""PRICEOPEN"")"),1412)</f>
        <v>1412</v>
      </c>
      <c r="D882" s="11">
        <f ca="1">IFERROR(__xludf.DUMMYFUNCTION("GOOGLEFINANCE(A882,""HIGH"")"),1451.9)</f>
        <v>1451.9</v>
      </c>
      <c r="E882" s="11">
        <f ca="1">IFERROR(__xludf.DUMMYFUNCTION("GOOGLEFINANCE(A882,""LOW"")"),1412)</f>
        <v>1412</v>
      </c>
      <c r="F882" s="12" t="str">
        <f t="shared" ca="1" si="28"/>
        <v>BUY</v>
      </c>
      <c r="G882" s="13">
        <f ca="1">IFERROR(__xludf.DUMMYFUNCTION("GOOGLEFINANCE(A882,""CLOSEYEST"")"),1414.1)</f>
        <v>1414.1</v>
      </c>
      <c r="H882" s="14" t="str">
        <f t="shared" ca="1" si="34"/>
        <v/>
      </c>
      <c r="I882" s="15">
        <f t="shared" ca="1" si="29"/>
        <v>1426</v>
      </c>
      <c r="J882" s="16">
        <f t="shared" ca="1" si="30"/>
        <v>1440</v>
      </c>
      <c r="K882" s="16"/>
      <c r="L882" s="16">
        <f t="shared" ca="1" si="31"/>
        <v>1400.1</v>
      </c>
      <c r="M882" s="16">
        <f t="shared" ca="1" si="32"/>
        <v>1465.9</v>
      </c>
      <c r="N882" s="16">
        <f t="shared" ca="1" si="33"/>
        <v>1386.1</v>
      </c>
    </row>
    <row r="883" spans="1:14" ht="24.75" customHeight="1" x14ac:dyDescent="0.8">
      <c r="A883" s="18" t="s">
        <v>846</v>
      </c>
      <c r="B883" s="10">
        <f ca="1">IFERROR(__xludf.DUMMYFUNCTION("GOOGLEFINANCE(A883,""PRICE"")"),63.2)</f>
        <v>63.2</v>
      </c>
      <c r="C883" s="11">
        <f ca="1">IFERROR(__xludf.DUMMYFUNCTION("GOOGLEFINANCE(A883,""PRICEOPEN"")"),62.1)</f>
        <v>62.1</v>
      </c>
      <c r="D883" s="11">
        <f ca="1">IFERROR(__xludf.DUMMYFUNCTION("GOOGLEFINANCE(A883,""HIGH"")"),63.2)</f>
        <v>63.2</v>
      </c>
      <c r="E883" s="11">
        <f ca="1">IFERROR(__xludf.DUMMYFUNCTION("GOOGLEFINANCE(A883,""LOW"")"),61.56)</f>
        <v>61.56</v>
      </c>
      <c r="F883" s="12" t="str">
        <f t="shared" ca="1" si="28"/>
        <v/>
      </c>
      <c r="G883" s="13">
        <f ca="1">IFERROR(__xludf.DUMMYFUNCTION("GOOGLEFINANCE(A883,""CLOSEYEST"")"),61.84)</f>
        <v>61.84</v>
      </c>
      <c r="H883" s="14" t="str">
        <f t="shared" ca="1" si="34"/>
        <v/>
      </c>
      <c r="I883" s="15">
        <f t="shared" ca="1" si="29"/>
        <v>62.20000000000001</v>
      </c>
      <c r="J883" s="16">
        <f t="shared" ca="1" si="30"/>
        <v>62.840000000000018</v>
      </c>
      <c r="K883" s="16"/>
      <c r="L883" s="16">
        <f t="shared" ca="1" si="31"/>
        <v>61.200000000000017</v>
      </c>
      <c r="M883" s="16">
        <f t="shared" ca="1" si="32"/>
        <v>63.840000000000011</v>
      </c>
      <c r="N883" s="16">
        <f t="shared" ca="1" si="33"/>
        <v>60.560000000000009</v>
      </c>
    </row>
    <row r="884" spans="1:14" ht="24.75" customHeight="1" x14ac:dyDescent="0.8">
      <c r="A884" s="18" t="s">
        <v>847</v>
      </c>
      <c r="B884" s="10">
        <f ca="1">IFERROR(__xludf.DUMMYFUNCTION("GOOGLEFINANCE(A884,""PRICE"")"),22.17)</f>
        <v>22.17</v>
      </c>
      <c r="C884" s="11">
        <f ca="1">IFERROR(__xludf.DUMMYFUNCTION("GOOGLEFINANCE(A884,""PRICEOPEN"")"),21.58)</f>
        <v>21.58</v>
      </c>
      <c r="D884" s="11">
        <f ca="1">IFERROR(__xludf.DUMMYFUNCTION("GOOGLEFINANCE(A884,""HIGH"")"),22.25)</f>
        <v>22.25</v>
      </c>
      <c r="E884" s="11">
        <f ca="1">IFERROR(__xludf.DUMMYFUNCTION("GOOGLEFINANCE(A884,""LOW"")"),21.55)</f>
        <v>21.55</v>
      </c>
      <c r="F884" s="12" t="str">
        <f t="shared" ca="1" si="28"/>
        <v/>
      </c>
      <c r="G884" s="13">
        <f ca="1">IFERROR(__xludf.DUMMYFUNCTION("GOOGLEFINANCE(A884,""CLOSEYEST"")"),21.58)</f>
        <v>21.58</v>
      </c>
      <c r="H884" s="14" t="str">
        <f t="shared" ca="1" si="34"/>
        <v/>
      </c>
      <c r="I884" s="15">
        <f t="shared" ca="1" si="29"/>
        <v>21.793333333333333</v>
      </c>
      <c r="J884" s="16">
        <f t="shared" ca="1" si="30"/>
        <v>22.036666666666665</v>
      </c>
      <c r="K884" s="16"/>
      <c r="L884" s="16">
        <f t="shared" ca="1" si="31"/>
        <v>21.336666666666666</v>
      </c>
      <c r="M884" s="16">
        <f t="shared" ca="1" si="32"/>
        <v>22.493333333333332</v>
      </c>
      <c r="N884" s="16">
        <f t="shared" ca="1" si="33"/>
        <v>21.093333333333334</v>
      </c>
    </row>
    <row r="885" spans="1:14" ht="24.75" customHeight="1" x14ac:dyDescent="0.8">
      <c r="A885" s="18" t="s">
        <v>848</v>
      </c>
      <c r="B885" s="10">
        <f ca="1">IFERROR(__xludf.DUMMYFUNCTION("GOOGLEFINANCE(A885,""PRICE"")"),520.05)</f>
        <v>520.04999999999995</v>
      </c>
      <c r="C885" s="11">
        <f ca="1">IFERROR(__xludf.DUMMYFUNCTION("GOOGLEFINANCE(A885,""PRICEOPEN"")"),507)</f>
        <v>507</v>
      </c>
      <c r="D885" s="11">
        <f ca="1">IFERROR(__xludf.DUMMYFUNCTION("GOOGLEFINANCE(A885,""HIGH"")"),523.55)</f>
        <v>523.54999999999995</v>
      </c>
      <c r="E885" s="11">
        <f ca="1">IFERROR(__xludf.DUMMYFUNCTION("GOOGLEFINANCE(A885,""LOW"")"),506.35)</f>
        <v>506.35</v>
      </c>
      <c r="F885" s="12" t="str">
        <f t="shared" ca="1" si="28"/>
        <v/>
      </c>
      <c r="G885" s="13">
        <f ca="1">IFERROR(__xludf.DUMMYFUNCTION("GOOGLEFINANCE(A885,""CLOSEYEST"")"),506.35)</f>
        <v>506.35</v>
      </c>
      <c r="H885" s="14" t="str">
        <f t="shared" ca="1" si="34"/>
        <v/>
      </c>
      <c r="I885" s="15">
        <f t="shared" ca="1" si="29"/>
        <v>512.08333333333337</v>
      </c>
      <c r="J885" s="16">
        <f t="shared" ca="1" si="30"/>
        <v>517.81666666666672</v>
      </c>
      <c r="K885" s="16"/>
      <c r="L885" s="16">
        <f t="shared" ca="1" si="31"/>
        <v>500.61666666666679</v>
      </c>
      <c r="M885" s="16">
        <f t="shared" ca="1" si="32"/>
        <v>529.2833333333333</v>
      </c>
      <c r="N885" s="16">
        <f t="shared" ca="1" si="33"/>
        <v>494.88333333333344</v>
      </c>
    </row>
    <row r="886" spans="1:14" ht="24.75" customHeight="1" x14ac:dyDescent="0.8">
      <c r="A886" s="18" t="s">
        <v>849</v>
      </c>
      <c r="B886" s="10">
        <f ca="1">IFERROR(__xludf.DUMMYFUNCTION("GOOGLEFINANCE(A886,""PRICE"")"),257)</f>
        <v>257</v>
      </c>
      <c r="C886" s="11">
        <f ca="1">IFERROR(__xludf.DUMMYFUNCTION("GOOGLEFINANCE(A886,""PRICEOPEN"")"),262)</f>
        <v>262</v>
      </c>
      <c r="D886" s="11">
        <f ca="1">IFERROR(__xludf.DUMMYFUNCTION("GOOGLEFINANCE(A886,""HIGH"")"),263)</f>
        <v>263</v>
      </c>
      <c r="E886" s="11">
        <f ca="1">IFERROR(__xludf.DUMMYFUNCTION("GOOGLEFINANCE(A886,""LOW"")"),253.55)</f>
        <v>253.55</v>
      </c>
      <c r="F886" s="12" t="str">
        <f t="shared" ca="1" si="28"/>
        <v/>
      </c>
      <c r="G886" s="13">
        <f ca="1">IFERROR(__xludf.DUMMYFUNCTION("GOOGLEFINANCE(A886,""CLOSEYEST"")"),257.15)</f>
        <v>257.14999999999998</v>
      </c>
      <c r="H886" s="14" t="str">
        <f t="shared" ca="1" si="34"/>
        <v>GAP UP</v>
      </c>
      <c r="I886" s="15">
        <f t="shared" ca="1" si="29"/>
        <v>257.89999999999998</v>
      </c>
      <c r="J886" s="16">
        <f t="shared" ca="1" si="30"/>
        <v>262.24999999999994</v>
      </c>
      <c r="K886" s="16"/>
      <c r="L886" s="16">
        <f t="shared" ca="1" si="31"/>
        <v>252.79999999999995</v>
      </c>
      <c r="M886" s="16">
        <f t="shared" ca="1" si="32"/>
        <v>267.34999999999997</v>
      </c>
      <c r="N886" s="16">
        <f t="shared" ca="1" si="33"/>
        <v>248.45</v>
      </c>
    </row>
    <row r="887" spans="1:14" ht="24.75" customHeight="1" x14ac:dyDescent="0.8">
      <c r="A887" s="18" t="s">
        <v>850</v>
      </c>
      <c r="B887" s="10">
        <f ca="1">IFERROR(__xludf.DUMMYFUNCTION("GOOGLEFINANCE(A887,""PRICE"")"),4130)</f>
        <v>4130</v>
      </c>
      <c r="C887" s="11">
        <f ca="1">IFERROR(__xludf.DUMMYFUNCTION("GOOGLEFINANCE(A887,""PRICEOPEN"")"),4124)</f>
        <v>4124</v>
      </c>
      <c r="D887" s="11">
        <f ca="1">IFERROR(__xludf.DUMMYFUNCTION("GOOGLEFINANCE(A887,""HIGH"")"),4199.9)</f>
        <v>4199.8999999999996</v>
      </c>
      <c r="E887" s="11">
        <f ca="1">IFERROR(__xludf.DUMMYFUNCTION("GOOGLEFINANCE(A887,""LOW"")"),4074.6)</f>
        <v>4074.6</v>
      </c>
      <c r="F887" s="12" t="str">
        <f t="shared" ca="1" si="28"/>
        <v/>
      </c>
      <c r="G887" s="13">
        <f ca="1">IFERROR(__xludf.DUMMYFUNCTION("GOOGLEFINANCE(A887,""CLOSEYEST"")"),4074.6)</f>
        <v>4074.6</v>
      </c>
      <c r="H887" s="14" t="str">
        <f t="shared" ca="1" si="34"/>
        <v>GAP UP</v>
      </c>
      <c r="I887" s="15">
        <f t="shared" ca="1" si="29"/>
        <v>4116.3666666666668</v>
      </c>
      <c r="J887" s="16">
        <f t="shared" ca="1" si="30"/>
        <v>4158.1333333333332</v>
      </c>
      <c r="K887" s="16"/>
      <c r="L887" s="16">
        <f t="shared" ca="1" si="31"/>
        <v>4032.8333333333339</v>
      </c>
      <c r="M887" s="16">
        <f t="shared" ca="1" si="32"/>
        <v>4241.6666666666661</v>
      </c>
      <c r="N887" s="16">
        <f t="shared" ca="1" si="33"/>
        <v>3991.0666666666675</v>
      </c>
    </row>
    <row r="888" spans="1:14" ht="24.75" customHeight="1" x14ac:dyDescent="0.8">
      <c r="A888" s="18" t="s">
        <v>851</v>
      </c>
      <c r="B888" s="10">
        <f ca="1">IFERROR(__xludf.DUMMYFUNCTION("GOOGLEFINANCE(A888,""PRICE"")"),529.1)</f>
        <v>529.1</v>
      </c>
      <c r="C888" s="11">
        <f ca="1">IFERROR(__xludf.DUMMYFUNCTION("GOOGLEFINANCE(A888,""PRICEOPEN"")"),524.95)</f>
        <v>524.95000000000005</v>
      </c>
      <c r="D888" s="11">
        <f ca="1">IFERROR(__xludf.DUMMYFUNCTION("GOOGLEFINANCE(A888,""HIGH"")"),530)</f>
        <v>530</v>
      </c>
      <c r="E888" s="11">
        <f ca="1">IFERROR(__xludf.DUMMYFUNCTION("GOOGLEFINANCE(A888,""LOW"")"),523.55)</f>
        <v>523.54999999999995</v>
      </c>
      <c r="F888" s="12" t="str">
        <f t="shared" ca="1" si="28"/>
        <v/>
      </c>
      <c r="G888" s="13">
        <f ca="1">IFERROR(__xludf.DUMMYFUNCTION("GOOGLEFINANCE(A888,""CLOSEYEST"")"),523.5)</f>
        <v>523.5</v>
      </c>
      <c r="H888" s="14" t="str">
        <f t="shared" ca="1" si="34"/>
        <v/>
      </c>
      <c r="I888" s="15">
        <f t="shared" ca="1" si="29"/>
        <v>525.68333333333328</v>
      </c>
      <c r="J888" s="16">
        <f t="shared" ca="1" si="30"/>
        <v>527.81666666666661</v>
      </c>
      <c r="K888" s="16"/>
      <c r="L888" s="16">
        <f t="shared" ca="1" si="31"/>
        <v>521.36666666666656</v>
      </c>
      <c r="M888" s="16">
        <f t="shared" ca="1" si="32"/>
        <v>532.13333333333333</v>
      </c>
      <c r="N888" s="16">
        <f t="shared" ca="1" si="33"/>
        <v>519.23333333333323</v>
      </c>
    </row>
    <row r="889" spans="1:14" ht="24.75" customHeight="1" x14ac:dyDescent="0.8">
      <c r="A889" s="18" t="s">
        <v>852</v>
      </c>
      <c r="B889" s="10">
        <f ca="1">IFERROR(__xludf.DUMMYFUNCTION("GOOGLEFINANCE(A889,""PRICE"")"),2771.2)</f>
        <v>2771.2</v>
      </c>
      <c r="C889" s="11">
        <f ca="1">IFERROR(__xludf.DUMMYFUNCTION("GOOGLEFINANCE(A889,""PRICEOPEN"")"),2749.5)</f>
        <v>2749.5</v>
      </c>
      <c r="D889" s="11">
        <f ca="1">IFERROR(__xludf.DUMMYFUNCTION("GOOGLEFINANCE(A889,""HIGH"")"),2800)</f>
        <v>2800</v>
      </c>
      <c r="E889" s="11">
        <f ca="1">IFERROR(__xludf.DUMMYFUNCTION("GOOGLEFINANCE(A889,""LOW"")"),2730.7)</f>
        <v>2730.7</v>
      </c>
      <c r="F889" s="12" t="str">
        <f t="shared" ca="1" si="28"/>
        <v/>
      </c>
      <c r="G889" s="13">
        <f ca="1">IFERROR(__xludf.DUMMYFUNCTION("GOOGLEFINANCE(A889,""CLOSEYEST"")"),2730.7)</f>
        <v>2730.7</v>
      </c>
      <c r="H889" s="14" t="str">
        <f t="shared" ca="1" si="34"/>
        <v/>
      </c>
      <c r="I889" s="15">
        <f t="shared" ca="1" si="29"/>
        <v>2753.7999999999997</v>
      </c>
      <c r="J889" s="16">
        <f t="shared" ca="1" si="30"/>
        <v>2776.8999999999996</v>
      </c>
      <c r="K889" s="16"/>
      <c r="L889" s="16">
        <f t="shared" ca="1" si="31"/>
        <v>2707.5999999999995</v>
      </c>
      <c r="M889" s="16">
        <f t="shared" ca="1" si="32"/>
        <v>2823.1</v>
      </c>
      <c r="N889" s="16">
        <f t="shared" ca="1" si="33"/>
        <v>2684.4999999999995</v>
      </c>
    </row>
    <row r="890" spans="1:14" ht="24.75" customHeight="1" x14ac:dyDescent="0.8">
      <c r="A890" s="18" t="s">
        <v>853</v>
      </c>
      <c r="B890" s="10">
        <f ca="1">IFERROR(__xludf.DUMMYFUNCTION("GOOGLEFINANCE(A890,""PRICE"")"),1129.1)</f>
        <v>1129.0999999999999</v>
      </c>
      <c r="C890" s="11">
        <f ca="1">IFERROR(__xludf.DUMMYFUNCTION("GOOGLEFINANCE(A890,""PRICEOPEN"")"),1129)</f>
        <v>1129</v>
      </c>
      <c r="D890" s="11">
        <f ca="1">IFERROR(__xludf.DUMMYFUNCTION("GOOGLEFINANCE(A890,""HIGH"")"),1139.8)</f>
        <v>1139.8</v>
      </c>
      <c r="E890" s="11">
        <f ca="1">IFERROR(__xludf.DUMMYFUNCTION("GOOGLEFINANCE(A890,""LOW"")"),1120.8)</f>
        <v>1120.8</v>
      </c>
      <c r="F890" s="12" t="str">
        <f t="shared" ca="1" si="28"/>
        <v/>
      </c>
      <c r="G890" s="13">
        <f ca="1">IFERROR(__xludf.DUMMYFUNCTION("GOOGLEFINANCE(A890,""CLOSEYEST"")"),1131.5)</f>
        <v>1131.5</v>
      </c>
      <c r="H890" s="14" t="str">
        <f t="shared" ca="1" si="34"/>
        <v/>
      </c>
      <c r="I890" s="15">
        <f t="shared" ca="1" si="29"/>
        <v>1130.7</v>
      </c>
      <c r="J890" s="16">
        <f t="shared" ca="1" si="30"/>
        <v>1140.6000000000001</v>
      </c>
      <c r="K890" s="16"/>
      <c r="L890" s="16">
        <f t="shared" ca="1" si="31"/>
        <v>1121.6000000000001</v>
      </c>
      <c r="M890" s="16">
        <f t="shared" ca="1" si="32"/>
        <v>1149.7</v>
      </c>
      <c r="N890" s="16">
        <f t="shared" ca="1" si="33"/>
        <v>1111.7</v>
      </c>
    </row>
    <row r="891" spans="1:14" ht="24.75" customHeight="1" x14ac:dyDescent="0.8">
      <c r="A891" s="18" t="s">
        <v>854</v>
      </c>
      <c r="B891" s="10" t="str">
        <f ca="1">IFERROR(__xludf.DUMMYFUNCTION("GOOGLEFINANCE(A891,""PRICE"")"),"#N/A")</f>
        <v>#N/A</v>
      </c>
      <c r="C891" s="11" t="str">
        <f ca="1">IFERROR(__xludf.DUMMYFUNCTION("GOOGLEFINANCE(A891,""PRICEOPEN"")"),"#N/A")</f>
        <v>#N/A</v>
      </c>
      <c r="D891" s="11" t="str">
        <f ca="1">IFERROR(__xludf.DUMMYFUNCTION("GOOGLEFINANCE(A891,""HIGH"")"),"#N/A")</f>
        <v>#N/A</v>
      </c>
      <c r="E891" s="11" t="str">
        <f ca="1">IFERROR(__xludf.DUMMYFUNCTION("GOOGLEFINANCE(A891,""LOW"")"),"#N/A")</f>
        <v>#N/A</v>
      </c>
      <c r="F891" s="12" t="str">
        <f t="shared" ca="1" si="28"/>
        <v>SELL</v>
      </c>
      <c r="G891" s="13" t="str">
        <f ca="1">IFERROR(__xludf.DUMMYFUNCTION("GOOGLEFINANCE(A891,""CLOSEYEST"")"),"#N/A")</f>
        <v>#N/A</v>
      </c>
      <c r="H891" s="14" t="e">
        <f t="shared" ca="1" si="34"/>
        <v>#VALUE!</v>
      </c>
      <c r="I891" s="15" t="e">
        <f t="shared" ca="1" si="29"/>
        <v>#VALUE!</v>
      </c>
      <c r="J891" s="16" t="e">
        <f t="shared" ca="1" si="30"/>
        <v>#VALUE!</v>
      </c>
      <c r="K891" s="16"/>
      <c r="L891" s="16" t="e">
        <f t="shared" ca="1" si="31"/>
        <v>#VALUE!</v>
      </c>
      <c r="M891" s="16" t="e">
        <f t="shared" ca="1" si="32"/>
        <v>#VALUE!</v>
      </c>
      <c r="N891" s="16" t="e">
        <f t="shared" ca="1" si="33"/>
        <v>#VALUE!</v>
      </c>
    </row>
    <row r="892" spans="1:14" ht="24.75" customHeight="1" x14ac:dyDescent="0.8">
      <c r="A892" s="18" t="s">
        <v>855</v>
      </c>
      <c r="B892" s="10">
        <f ca="1">IFERROR(__xludf.DUMMYFUNCTION("GOOGLEFINANCE(A892,""PRICE"")"),530.55)</f>
        <v>530.54999999999995</v>
      </c>
      <c r="C892" s="11">
        <f ca="1">IFERROR(__xludf.DUMMYFUNCTION("GOOGLEFINANCE(A892,""PRICEOPEN"")"),515.8)</f>
        <v>515.79999999999995</v>
      </c>
      <c r="D892" s="11">
        <f ca="1">IFERROR(__xludf.DUMMYFUNCTION("GOOGLEFINANCE(A892,""HIGH"")"),533.9)</f>
        <v>533.9</v>
      </c>
      <c r="E892" s="11">
        <f ca="1">IFERROR(__xludf.DUMMYFUNCTION("GOOGLEFINANCE(A892,""LOW"")"),508)</f>
        <v>508</v>
      </c>
      <c r="F892" s="12" t="str">
        <f t="shared" ca="1" si="28"/>
        <v/>
      </c>
      <c r="G892" s="13">
        <f ca="1">IFERROR(__xludf.DUMMYFUNCTION("GOOGLEFINANCE(A892,""CLOSEYEST"")"),510.4)</f>
        <v>510.4</v>
      </c>
      <c r="H892" s="14" t="str">
        <f t="shared" ca="1" si="34"/>
        <v>GAP UP</v>
      </c>
      <c r="I892" s="15">
        <f t="shared" ca="1" si="29"/>
        <v>517.43333333333339</v>
      </c>
      <c r="J892" s="16">
        <f t="shared" ca="1" si="30"/>
        <v>526.86666666666679</v>
      </c>
      <c r="K892" s="16"/>
      <c r="L892" s="16">
        <f t="shared" ca="1" si="31"/>
        <v>500.96666666666681</v>
      </c>
      <c r="M892" s="16">
        <f t="shared" ca="1" si="32"/>
        <v>543.33333333333337</v>
      </c>
      <c r="N892" s="16">
        <f t="shared" ca="1" si="33"/>
        <v>491.53333333333342</v>
      </c>
    </row>
    <row r="893" spans="1:14" ht="24.75" customHeight="1" x14ac:dyDescent="0.8">
      <c r="A893" s="18" t="s">
        <v>856</v>
      </c>
      <c r="B893" s="10" t="str">
        <f ca="1">IFERROR(__xludf.DUMMYFUNCTION("GOOGLEFINANCE(A893,""PRICE"")"),"#N/A")</f>
        <v>#N/A</v>
      </c>
      <c r="C893" s="11" t="str">
        <f ca="1">IFERROR(__xludf.DUMMYFUNCTION("GOOGLEFINANCE(A893,""PRICEOPEN"")"),"#N/A")</f>
        <v>#N/A</v>
      </c>
      <c r="D893" s="11" t="str">
        <f ca="1">IFERROR(__xludf.DUMMYFUNCTION("GOOGLEFINANCE(A893,""HIGH"")"),"#N/A")</f>
        <v>#N/A</v>
      </c>
      <c r="E893" s="11" t="str">
        <f ca="1">IFERROR(__xludf.DUMMYFUNCTION("GOOGLEFINANCE(A893,""LOW"")"),"#N/A")</f>
        <v>#N/A</v>
      </c>
      <c r="F893" s="12" t="str">
        <f t="shared" ca="1" si="28"/>
        <v>SELL</v>
      </c>
      <c r="G893" s="13" t="str">
        <f ca="1">IFERROR(__xludf.DUMMYFUNCTION("GOOGLEFINANCE(A893,""CLOSEYEST"")"),"#N/A")</f>
        <v>#N/A</v>
      </c>
      <c r="H893" s="14" t="e">
        <f t="shared" ca="1" si="34"/>
        <v>#VALUE!</v>
      </c>
      <c r="I893" s="15" t="e">
        <f t="shared" ca="1" si="29"/>
        <v>#VALUE!</v>
      </c>
      <c r="J893" s="16" t="e">
        <f t="shared" ca="1" si="30"/>
        <v>#VALUE!</v>
      </c>
      <c r="K893" s="16"/>
      <c r="L893" s="16" t="e">
        <f t="shared" ca="1" si="31"/>
        <v>#VALUE!</v>
      </c>
      <c r="M893" s="16" t="e">
        <f t="shared" ca="1" si="32"/>
        <v>#VALUE!</v>
      </c>
      <c r="N893" s="16" t="e">
        <f t="shared" ca="1" si="33"/>
        <v>#VALUE!</v>
      </c>
    </row>
    <row r="894" spans="1:14" ht="24.75" customHeight="1" x14ac:dyDescent="0.8">
      <c r="A894" s="18" t="s">
        <v>857</v>
      </c>
      <c r="B894" s="10">
        <f ca="1">IFERROR(__xludf.DUMMYFUNCTION("GOOGLEFINANCE(A894,""PRICE"")"),630)</f>
        <v>630</v>
      </c>
      <c r="C894" s="11">
        <f ca="1">IFERROR(__xludf.DUMMYFUNCTION("GOOGLEFINANCE(A894,""PRICEOPEN"")"),616.9)</f>
        <v>616.9</v>
      </c>
      <c r="D894" s="11">
        <f ca="1">IFERROR(__xludf.DUMMYFUNCTION("GOOGLEFINANCE(A894,""HIGH"")"),653)</f>
        <v>653</v>
      </c>
      <c r="E894" s="11">
        <f ca="1">IFERROR(__xludf.DUMMYFUNCTION("GOOGLEFINANCE(A894,""LOW"")"),616.9)</f>
        <v>616.9</v>
      </c>
      <c r="F894" s="12" t="str">
        <f t="shared" ca="1" si="28"/>
        <v>BUY</v>
      </c>
      <c r="G894" s="13">
        <f ca="1">IFERROR(__xludf.DUMMYFUNCTION("GOOGLEFINANCE(A894,""CLOSEYEST"")"),616.9)</f>
        <v>616.9</v>
      </c>
      <c r="H894" s="14" t="str">
        <f t="shared" ca="1" si="34"/>
        <v/>
      </c>
      <c r="I894" s="15">
        <f t="shared" ca="1" si="29"/>
        <v>628.93333333333339</v>
      </c>
      <c r="J894" s="16">
        <f t="shared" ca="1" si="30"/>
        <v>640.96666666666681</v>
      </c>
      <c r="K894" s="16"/>
      <c r="L894" s="16">
        <f t="shared" ca="1" si="31"/>
        <v>604.86666666666679</v>
      </c>
      <c r="M894" s="16">
        <f t="shared" ca="1" si="32"/>
        <v>665.03333333333342</v>
      </c>
      <c r="N894" s="16">
        <f t="shared" ca="1" si="33"/>
        <v>592.83333333333337</v>
      </c>
    </row>
    <row r="895" spans="1:14" ht="24.75" customHeight="1" x14ac:dyDescent="0.8">
      <c r="A895" s="18" t="s">
        <v>858</v>
      </c>
      <c r="B895" s="10">
        <f ca="1">IFERROR(__xludf.DUMMYFUNCTION("GOOGLEFINANCE(A895,""PRICE"")"),745)</f>
        <v>745</v>
      </c>
      <c r="C895" s="11">
        <f ca="1">IFERROR(__xludf.DUMMYFUNCTION("GOOGLEFINANCE(A895,""PRICEOPEN"")"),747.7)</f>
        <v>747.7</v>
      </c>
      <c r="D895" s="11">
        <f ca="1">IFERROR(__xludf.DUMMYFUNCTION("GOOGLEFINANCE(A895,""HIGH"")"),754.8)</f>
        <v>754.8</v>
      </c>
      <c r="E895" s="11">
        <f ca="1">IFERROR(__xludf.DUMMYFUNCTION("GOOGLEFINANCE(A895,""LOW"")"),741)</f>
        <v>741</v>
      </c>
      <c r="F895" s="12" t="str">
        <f t="shared" ca="1" si="28"/>
        <v/>
      </c>
      <c r="G895" s="13">
        <f ca="1">IFERROR(__xludf.DUMMYFUNCTION("GOOGLEFINANCE(A895,""CLOSEYEST"")"),747.7)</f>
        <v>747.7</v>
      </c>
      <c r="H895" s="14" t="str">
        <f t="shared" ca="1" si="34"/>
        <v/>
      </c>
      <c r="I895" s="15">
        <f t="shared" ca="1" si="29"/>
        <v>747.83333333333337</v>
      </c>
      <c r="J895" s="16">
        <f t="shared" ca="1" si="30"/>
        <v>754.66666666666674</v>
      </c>
      <c r="K895" s="16"/>
      <c r="L895" s="16">
        <f t="shared" ca="1" si="31"/>
        <v>740.86666666666679</v>
      </c>
      <c r="M895" s="16">
        <f t="shared" ca="1" si="32"/>
        <v>761.63333333333333</v>
      </c>
      <c r="N895" s="16">
        <f t="shared" ca="1" si="33"/>
        <v>734.03333333333342</v>
      </c>
    </row>
    <row r="896" spans="1:14" ht="24.75" customHeight="1" x14ac:dyDescent="0.8">
      <c r="A896" s="18" t="s">
        <v>859</v>
      </c>
      <c r="B896" s="10">
        <f ca="1">IFERROR(__xludf.DUMMYFUNCTION("GOOGLEFINANCE(A896,""PRICE"")"),1.99)</f>
        <v>1.99</v>
      </c>
      <c r="C896" s="11">
        <f ca="1">IFERROR(__xludf.DUMMYFUNCTION("GOOGLEFINANCE(A896,""PRICEOPEN"")"),2.02)</f>
        <v>2.02</v>
      </c>
      <c r="D896" s="11">
        <f ca="1">IFERROR(__xludf.DUMMYFUNCTION("GOOGLEFINANCE(A896,""HIGH"")"),2.13)</f>
        <v>2.13</v>
      </c>
      <c r="E896" s="11">
        <f ca="1">IFERROR(__xludf.DUMMYFUNCTION("GOOGLEFINANCE(A896,""LOW"")"),1.97)</f>
        <v>1.97</v>
      </c>
      <c r="F896" s="12" t="str">
        <f t="shared" ca="1" si="28"/>
        <v/>
      </c>
      <c r="G896" s="13">
        <f ca="1">IFERROR(__xludf.DUMMYFUNCTION("GOOGLEFINANCE(A896,""CLOSEYEST"")"),2)</f>
        <v>2</v>
      </c>
      <c r="H896" s="14" t="str">
        <f t="shared" ca="1" si="34"/>
        <v>GAP UP</v>
      </c>
      <c r="I896" s="15">
        <f t="shared" ca="1" si="29"/>
        <v>2.0333333333333332</v>
      </c>
      <c r="J896" s="16">
        <f t="shared" ca="1" si="30"/>
        <v>2.0966666666666667</v>
      </c>
      <c r="K896" s="16"/>
      <c r="L896" s="16">
        <f t="shared" ca="1" si="31"/>
        <v>1.9366666666666665</v>
      </c>
      <c r="M896" s="16">
        <f t="shared" ca="1" si="32"/>
        <v>2.1933333333333334</v>
      </c>
      <c r="N896" s="16">
        <f t="shared" ca="1" si="33"/>
        <v>1.8733333333333331</v>
      </c>
    </row>
    <row r="897" spans="1:14" ht="24.75" customHeight="1" x14ac:dyDescent="0.8">
      <c r="A897" s="18" t="s">
        <v>860</v>
      </c>
      <c r="B897" s="10">
        <f ca="1">IFERROR(__xludf.DUMMYFUNCTION("GOOGLEFINANCE(A897,""PRICE"")"),687)</f>
        <v>687</v>
      </c>
      <c r="C897" s="11">
        <f ca="1">IFERROR(__xludf.DUMMYFUNCTION("GOOGLEFINANCE(A897,""PRICEOPEN"")"),693)</f>
        <v>693</v>
      </c>
      <c r="D897" s="11">
        <f ca="1">IFERROR(__xludf.DUMMYFUNCTION("GOOGLEFINANCE(A897,""HIGH"")"),696.3)</f>
        <v>696.3</v>
      </c>
      <c r="E897" s="11">
        <f ca="1">IFERROR(__xludf.DUMMYFUNCTION("GOOGLEFINANCE(A897,""LOW"")"),685.5)</f>
        <v>685.5</v>
      </c>
      <c r="F897" s="12" t="str">
        <f t="shared" ca="1" si="28"/>
        <v/>
      </c>
      <c r="G897" s="13">
        <f ca="1">IFERROR(__xludf.DUMMYFUNCTION("GOOGLEFINANCE(A897,""CLOSEYEST"")"),690.5)</f>
        <v>690.5</v>
      </c>
      <c r="H897" s="14" t="str">
        <f t="shared" ca="1" si="34"/>
        <v/>
      </c>
      <c r="I897" s="15">
        <f t="shared" ca="1" si="29"/>
        <v>690.76666666666677</v>
      </c>
      <c r="J897" s="16">
        <f t="shared" ca="1" si="30"/>
        <v>696.03333333333353</v>
      </c>
      <c r="K897" s="16"/>
      <c r="L897" s="16">
        <f t="shared" ca="1" si="31"/>
        <v>685.23333333333358</v>
      </c>
      <c r="M897" s="16">
        <f t="shared" ca="1" si="32"/>
        <v>701.56666666666672</v>
      </c>
      <c r="N897" s="16">
        <f t="shared" ca="1" si="33"/>
        <v>679.96666666666681</v>
      </c>
    </row>
    <row r="898" spans="1:14" ht="24.75" customHeight="1" x14ac:dyDescent="0.8">
      <c r="A898" s="18" t="s">
        <v>861</v>
      </c>
      <c r="B898" s="10">
        <f ca="1">IFERROR(__xludf.DUMMYFUNCTION("GOOGLEFINANCE(A898,""PRICE"")"),488)</f>
        <v>488</v>
      </c>
      <c r="C898" s="11">
        <f ca="1">IFERROR(__xludf.DUMMYFUNCTION("GOOGLEFINANCE(A898,""PRICEOPEN"")"),482.75)</f>
        <v>482.75</v>
      </c>
      <c r="D898" s="11">
        <f ca="1">IFERROR(__xludf.DUMMYFUNCTION("GOOGLEFINANCE(A898,""HIGH"")"),494)</f>
        <v>494</v>
      </c>
      <c r="E898" s="11">
        <f ca="1">IFERROR(__xludf.DUMMYFUNCTION("GOOGLEFINANCE(A898,""LOW"")"),479.7)</f>
        <v>479.7</v>
      </c>
      <c r="F898" s="12" t="str">
        <f t="shared" ca="1" si="28"/>
        <v/>
      </c>
      <c r="G898" s="13">
        <f ca="1">IFERROR(__xludf.DUMMYFUNCTION("GOOGLEFINANCE(A898,""CLOSEYEST"")"),481.95)</f>
        <v>481.95</v>
      </c>
      <c r="H898" s="14" t="str">
        <f t="shared" ca="1" si="34"/>
        <v/>
      </c>
      <c r="I898" s="15">
        <f t="shared" ca="1" si="29"/>
        <v>485.2166666666667</v>
      </c>
      <c r="J898" s="16">
        <f t="shared" ca="1" si="30"/>
        <v>490.73333333333341</v>
      </c>
      <c r="K898" s="16"/>
      <c r="L898" s="16">
        <f t="shared" ca="1" si="31"/>
        <v>476.43333333333339</v>
      </c>
      <c r="M898" s="16">
        <f t="shared" ca="1" si="32"/>
        <v>499.51666666666671</v>
      </c>
      <c r="N898" s="16">
        <f t="shared" ca="1" si="33"/>
        <v>470.91666666666669</v>
      </c>
    </row>
    <row r="899" spans="1:14" ht="24.75" customHeight="1" x14ac:dyDescent="0.8">
      <c r="A899" s="18" t="s">
        <v>862</v>
      </c>
      <c r="B899" s="10">
        <f ca="1">IFERROR(__xludf.DUMMYFUNCTION("GOOGLEFINANCE(A899,""PRICE"")"),314)</f>
        <v>314</v>
      </c>
      <c r="C899" s="11">
        <f ca="1">IFERROR(__xludf.DUMMYFUNCTION("GOOGLEFINANCE(A899,""PRICEOPEN"")"),314.8)</f>
        <v>314.8</v>
      </c>
      <c r="D899" s="11">
        <f ca="1">IFERROR(__xludf.DUMMYFUNCTION("GOOGLEFINANCE(A899,""HIGH"")"),314.8)</f>
        <v>314.8</v>
      </c>
      <c r="E899" s="11">
        <f ca="1">IFERROR(__xludf.DUMMYFUNCTION("GOOGLEFINANCE(A899,""LOW"")"),310.05)</f>
        <v>310.05</v>
      </c>
      <c r="F899" s="12" t="str">
        <f t="shared" ca="1" si="28"/>
        <v>SELL</v>
      </c>
      <c r="G899" s="13">
        <f ca="1">IFERROR(__xludf.DUMMYFUNCTION("GOOGLEFINANCE(A899,""CLOSEYEST"")"),313.3)</f>
        <v>313.3</v>
      </c>
      <c r="H899" s="14" t="str">
        <f t="shared" ca="1" si="34"/>
        <v/>
      </c>
      <c r="I899" s="15">
        <f t="shared" ca="1" si="29"/>
        <v>312.7166666666667</v>
      </c>
      <c r="J899" s="16">
        <f t="shared" ca="1" si="30"/>
        <v>315.38333333333338</v>
      </c>
      <c r="K899" s="16"/>
      <c r="L899" s="16">
        <f t="shared" ca="1" si="31"/>
        <v>310.63333333333338</v>
      </c>
      <c r="M899" s="16">
        <f t="shared" ca="1" si="32"/>
        <v>317.4666666666667</v>
      </c>
      <c r="N899" s="16">
        <f t="shared" ca="1" si="33"/>
        <v>307.9666666666667</v>
      </c>
    </row>
    <row r="900" spans="1:14" ht="24.75" customHeight="1" x14ac:dyDescent="0.8">
      <c r="A900" s="18" t="s">
        <v>863</v>
      </c>
      <c r="B900" s="10">
        <f ca="1">IFERROR(__xludf.DUMMYFUNCTION("GOOGLEFINANCE(A900,""PRICE"")"),0.03)</f>
        <v>0.03</v>
      </c>
      <c r="C900" s="11">
        <f ca="1">IFERROR(__xludf.DUMMYFUNCTION("GOOGLEFINANCE(A900,""PRICEOPEN"")"),0.03)</f>
        <v>0.03</v>
      </c>
      <c r="D900" s="11">
        <f ca="1">IFERROR(__xludf.DUMMYFUNCTION("GOOGLEFINANCE(A900,""HIGH"")"),0.03)</f>
        <v>0.03</v>
      </c>
      <c r="E900" s="11">
        <f ca="1">IFERROR(__xludf.DUMMYFUNCTION("GOOGLEFINANCE(A900,""LOW"")"),0.03)</f>
        <v>0.03</v>
      </c>
      <c r="F900" s="12" t="str">
        <f t="shared" ca="1" si="28"/>
        <v>SELL</v>
      </c>
      <c r="G900" s="13">
        <f ca="1">IFERROR(__xludf.DUMMYFUNCTION("GOOGLEFINANCE(A900,""CLOSEYEST"")"),0.03)</f>
        <v>0.03</v>
      </c>
      <c r="H900" s="14" t="str">
        <f t="shared" ca="1" si="34"/>
        <v/>
      </c>
      <c r="I900" s="15">
        <f t="shared" ca="1" si="29"/>
        <v>0.03</v>
      </c>
      <c r="J900" s="16">
        <f t="shared" ca="1" si="30"/>
        <v>0.03</v>
      </c>
      <c r="K900" s="16"/>
      <c r="L900" s="16">
        <f t="shared" ca="1" si="31"/>
        <v>0.03</v>
      </c>
      <c r="M900" s="16">
        <f t="shared" ca="1" si="32"/>
        <v>0.03</v>
      </c>
      <c r="N900" s="16">
        <f t="shared" ca="1" si="33"/>
        <v>0.03</v>
      </c>
    </row>
    <row r="901" spans="1:14" ht="24.75" customHeight="1" x14ac:dyDescent="0.8">
      <c r="A901" s="18" t="s">
        <v>864</v>
      </c>
      <c r="B901" s="10">
        <f ca="1">IFERROR(__xludf.DUMMYFUNCTION("GOOGLEFINANCE(A901,""PRICE"")"),559)</f>
        <v>559</v>
      </c>
      <c r="C901" s="11">
        <f ca="1">IFERROR(__xludf.DUMMYFUNCTION("GOOGLEFINANCE(A901,""PRICEOPEN"")"),541.7)</f>
        <v>541.70000000000005</v>
      </c>
      <c r="D901" s="11">
        <f ca="1">IFERROR(__xludf.DUMMYFUNCTION("GOOGLEFINANCE(A901,""HIGH"")"),559.45)</f>
        <v>559.45000000000005</v>
      </c>
      <c r="E901" s="11">
        <f ca="1">IFERROR(__xludf.DUMMYFUNCTION("GOOGLEFINANCE(A901,""LOW"")"),536.6)</f>
        <v>536.6</v>
      </c>
      <c r="F901" s="12" t="str">
        <f t="shared" ca="1" si="28"/>
        <v/>
      </c>
      <c r="G901" s="13">
        <f ca="1">IFERROR(__xludf.DUMMYFUNCTION("GOOGLEFINANCE(A901,""CLOSEYEST"")"),540.65)</f>
        <v>540.65</v>
      </c>
      <c r="H901" s="14" t="str">
        <f t="shared" ca="1" si="34"/>
        <v/>
      </c>
      <c r="I901" s="15">
        <f t="shared" ca="1" si="29"/>
        <v>545.56666666666672</v>
      </c>
      <c r="J901" s="16">
        <f t="shared" ca="1" si="30"/>
        <v>554.53333333333342</v>
      </c>
      <c r="K901" s="16"/>
      <c r="L901" s="16">
        <f t="shared" ca="1" si="31"/>
        <v>531.68333333333339</v>
      </c>
      <c r="M901" s="16">
        <f t="shared" ca="1" si="32"/>
        <v>568.41666666666674</v>
      </c>
      <c r="N901" s="16">
        <f t="shared" ca="1" si="33"/>
        <v>522.7166666666667</v>
      </c>
    </row>
    <row r="902" spans="1:14" ht="24.75" customHeight="1" x14ac:dyDescent="0.8">
      <c r="A902" s="18" t="s">
        <v>865</v>
      </c>
      <c r="B902" s="10">
        <f ca="1">IFERROR(__xludf.DUMMYFUNCTION("GOOGLEFINANCE(A902,""PRICE"")"),641.8)</f>
        <v>641.79999999999995</v>
      </c>
      <c r="C902" s="11">
        <f ca="1">IFERROR(__xludf.DUMMYFUNCTION("GOOGLEFINANCE(A902,""PRICEOPEN"")"),604)</f>
        <v>604</v>
      </c>
      <c r="D902" s="11">
        <f ca="1">IFERROR(__xludf.DUMMYFUNCTION("GOOGLEFINANCE(A902,""HIGH"")"),659.75)</f>
        <v>659.75</v>
      </c>
      <c r="E902" s="11">
        <f ca="1">IFERROR(__xludf.DUMMYFUNCTION("GOOGLEFINANCE(A902,""LOW"")"),603.45)</f>
        <v>603.45000000000005</v>
      </c>
      <c r="F902" s="12" t="str">
        <f t="shared" ca="1" si="28"/>
        <v/>
      </c>
      <c r="G902" s="13">
        <f ca="1">IFERROR(__xludf.DUMMYFUNCTION("GOOGLEFINANCE(A902,""CLOSEYEST"")"),598.35)</f>
        <v>598.35</v>
      </c>
      <c r="H902" s="14" t="str">
        <f t="shared" ca="1" si="34"/>
        <v/>
      </c>
      <c r="I902" s="15">
        <f t="shared" ca="1" si="29"/>
        <v>620.51666666666677</v>
      </c>
      <c r="J902" s="16">
        <f t="shared" ca="1" si="30"/>
        <v>637.58333333333348</v>
      </c>
      <c r="K902" s="16"/>
      <c r="L902" s="16">
        <f t="shared" ca="1" si="31"/>
        <v>581.28333333333353</v>
      </c>
      <c r="M902" s="16">
        <f t="shared" ca="1" si="32"/>
        <v>676.81666666666672</v>
      </c>
      <c r="N902" s="16">
        <f t="shared" ca="1" si="33"/>
        <v>564.21666666666681</v>
      </c>
    </row>
    <row r="903" spans="1:14" ht="24.75" customHeight="1" x14ac:dyDescent="0.8">
      <c r="A903" s="18" t="s">
        <v>866</v>
      </c>
      <c r="B903" s="10">
        <f ca="1">IFERROR(__xludf.DUMMYFUNCTION("GOOGLEFINANCE(A903,""PRICE"")"),268.1)</f>
        <v>268.10000000000002</v>
      </c>
      <c r="C903" s="11">
        <f ca="1">IFERROR(__xludf.DUMMYFUNCTION("GOOGLEFINANCE(A903,""PRICEOPEN"")"),263.7)</f>
        <v>263.7</v>
      </c>
      <c r="D903" s="11">
        <f ca="1">IFERROR(__xludf.DUMMYFUNCTION("GOOGLEFINANCE(A903,""HIGH"")"),275.6)</f>
        <v>275.60000000000002</v>
      </c>
      <c r="E903" s="11">
        <f ca="1">IFERROR(__xludf.DUMMYFUNCTION("GOOGLEFINANCE(A903,""LOW"")"),260.5)</f>
        <v>260.5</v>
      </c>
      <c r="F903" s="12" t="str">
        <f t="shared" ca="1" si="28"/>
        <v/>
      </c>
      <c r="G903" s="13">
        <f ca="1">IFERROR(__xludf.DUMMYFUNCTION("GOOGLEFINANCE(A903,""CLOSEYEST"")"),262.25)</f>
        <v>262.25</v>
      </c>
      <c r="H903" s="14" t="str">
        <f t="shared" ca="1" si="34"/>
        <v/>
      </c>
      <c r="I903" s="15">
        <f t="shared" ca="1" si="29"/>
        <v>266.11666666666667</v>
      </c>
      <c r="J903" s="16">
        <f t="shared" ca="1" si="30"/>
        <v>271.73333333333335</v>
      </c>
      <c r="K903" s="16"/>
      <c r="L903" s="16">
        <f t="shared" ca="1" si="31"/>
        <v>256.63333333333333</v>
      </c>
      <c r="M903" s="16">
        <f t="shared" ca="1" si="32"/>
        <v>281.2166666666667</v>
      </c>
      <c r="N903" s="16">
        <f t="shared" ca="1" si="33"/>
        <v>251.01666666666665</v>
      </c>
    </row>
    <row r="904" spans="1:14" ht="24.75" customHeight="1" x14ac:dyDescent="0.8">
      <c r="A904" s="18" t="s">
        <v>867</v>
      </c>
      <c r="B904" s="10">
        <f ca="1">IFERROR(__xludf.DUMMYFUNCTION("GOOGLEFINANCE(A904,""PRICE"")"),6985)</f>
        <v>6985</v>
      </c>
      <c r="C904" s="11">
        <f ca="1">IFERROR(__xludf.DUMMYFUNCTION("GOOGLEFINANCE(A904,""PRICEOPEN"")"),7194)</f>
        <v>7194</v>
      </c>
      <c r="D904" s="11">
        <f ca="1">IFERROR(__xludf.DUMMYFUNCTION("GOOGLEFINANCE(A904,""HIGH"")"),7213)</f>
        <v>7213</v>
      </c>
      <c r="E904" s="11">
        <f ca="1">IFERROR(__xludf.DUMMYFUNCTION("GOOGLEFINANCE(A904,""LOW"")"),6984)</f>
        <v>6984</v>
      </c>
      <c r="F904" s="12" t="str">
        <f t="shared" ca="1" si="28"/>
        <v/>
      </c>
      <c r="G904" s="13">
        <f ca="1">IFERROR(__xludf.DUMMYFUNCTION("GOOGLEFINANCE(A904,""CLOSEYEST"")"),7101.5)</f>
        <v>7101.5</v>
      </c>
      <c r="H904" s="14" t="str">
        <f t="shared" ca="1" si="34"/>
        <v>GAP UP</v>
      </c>
      <c r="I904" s="15">
        <f t="shared" ca="1" si="29"/>
        <v>7099.5</v>
      </c>
      <c r="J904" s="16">
        <f t="shared" ca="1" si="30"/>
        <v>7215</v>
      </c>
      <c r="K904" s="16"/>
      <c r="L904" s="16">
        <f t="shared" ca="1" si="31"/>
        <v>6986</v>
      </c>
      <c r="M904" s="16">
        <f t="shared" ca="1" si="32"/>
        <v>7328.5</v>
      </c>
      <c r="N904" s="16">
        <f t="shared" ca="1" si="33"/>
        <v>6870.5</v>
      </c>
    </row>
    <row r="905" spans="1:14" ht="24.75" customHeight="1" x14ac:dyDescent="0.8">
      <c r="A905" s="18" t="s">
        <v>868</v>
      </c>
      <c r="B905" s="10">
        <f ca="1">IFERROR(__xludf.DUMMYFUNCTION("GOOGLEFINANCE(A905,""PRICE"")"),587.5)</f>
        <v>587.5</v>
      </c>
      <c r="C905" s="11">
        <f ca="1">IFERROR(__xludf.DUMMYFUNCTION("GOOGLEFINANCE(A905,""PRICEOPEN"")"),590.05)</f>
        <v>590.04999999999995</v>
      </c>
      <c r="D905" s="11">
        <f ca="1">IFERROR(__xludf.DUMMYFUNCTION("GOOGLEFINANCE(A905,""HIGH"")"),606.2)</f>
        <v>606.20000000000005</v>
      </c>
      <c r="E905" s="11">
        <f ca="1">IFERROR(__xludf.DUMMYFUNCTION("GOOGLEFINANCE(A905,""LOW"")"),581.6)</f>
        <v>581.6</v>
      </c>
      <c r="F905" s="12" t="str">
        <f t="shared" ca="1" si="28"/>
        <v/>
      </c>
      <c r="G905" s="13">
        <f ca="1">IFERROR(__xludf.DUMMYFUNCTION("GOOGLEFINANCE(A905,""CLOSEYEST"")"),593.25)</f>
        <v>593.25</v>
      </c>
      <c r="H905" s="14" t="str">
        <f t="shared" ca="1" si="34"/>
        <v/>
      </c>
      <c r="I905" s="15">
        <f t="shared" ca="1" si="29"/>
        <v>593.68333333333339</v>
      </c>
      <c r="J905" s="16">
        <f t="shared" ca="1" si="30"/>
        <v>605.76666666666677</v>
      </c>
      <c r="K905" s="16"/>
      <c r="L905" s="16">
        <f t="shared" ca="1" si="31"/>
        <v>581.16666666666674</v>
      </c>
      <c r="M905" s="16">
        <f t="shared" ca="1" si="32"/>
        <v>618.28333333333342</v>
      </c>
      <c r="N905" s="16">
        <f t="shared" ca="1" si="33"/>
        <v>569.08333333333337</v>
      </c>
    </row>
    <row r="906" spans="1:14" ht="24.75" customHeight="1" x14ac:dyDescent="0.8">
      <c r="A906" s="18" t="s">
        <v>869</v>
      </c>
      <c r="B906" s="10" t="str">
        <f ca="1">IFERROR(__xludf.DUMMYFUNCTION("GOOGLEFINANCE(A906,""PRICE"")"),"#N/A")</f>
        <v>#N/A</v>
      </c>
      <c r="C906" s="11" t="str">
        <f ca="1">IFERROR(__xludf.DUMMYFUNCTION("GOOGLEFINANCE(A906,""PRICEOPEN"")"),"#N/A")</f>
        <v>#N/A</v>
      </c>
      <c r="D906" s="11" t="str">
        <f ca="1">IFERROR(__xludf.DUMMYFUNCTION("GOOGLEFINANCE(A906,""HIGH"")"),"#N/A")</f>
        <v>#N/A</v>
      </c>
      <c r="E906" s="11" t="str">
        <f ca="1">IFERROR(__xludf.DUMMYFUNCTION("GOOGLEFINANCE(A906,""LOW"")"),"#N/A")</f>
        <v>#N/A</v>
      </c>
      <c r="F906" s="12" t="str">
        <f t="shared" ca="1" si="28"/>
        <v>SELL</v>
      </c>
      <c r="G906" s="13" t="str">
        <f ca="1">IFERROR(__xludf.DUMMYFUNCTION("GOOGLEFINANCE(A906,""CLOSEYEST"")"),"#N/A")</f>
        <v>#N/A</v>
      </c>
      <c r="H906" s="14" t="e">
        <f t="shared" ca="1" si="34"/>
        <v>#VALUE!</v>
      </c>
      <c r="I906" s="15" t="e">
        <f t="shared" ca="1" si="29"/>
        <v>#VALUE!</v>
      </c>
      <c r="J906" s="16" t="e">
        <f t="shared" ca="1" si="30"/>
        <v>#VALUE!</v>
      </c>
      <c r="K906" s="16"/>
      <c r="L906" s="16" t="e">
        <f t="shared" ca="1" si="31"/>
        <v>#VALUE!</v>
      </c>
      <c r="M906" s="16" t="e">
        <f t="shared" ca="1" si="32"/>
        <v>#VALUE!</v>
      </c>
      <c r="N906" s="16" t="e">
        <f t="shared" ca="1" si="33"/>
        <v>#VALUE!</v>
      </c>
    </row>
    <row r="907" spans="1:14" ht="24.75" customHeight="1" x14ac:dyDescent="0.8">
      <c r="A907" s="18" t="s">
        <v>870</v>
      </c>
      <c r="B907" s="10">
        <f ca="1">IFERROR(__xludf.DUMMYFUNCTION("GOOGLEFINANCE(A907,""PRICE"")"),730.7)</f>
        <v>730.7</v>
      </c>
      <c r="C907" s="11">
        <f ca="1">IFERROR(__xludf.DUMMYFUNCTION("GOOGLEFINANCE(A907,""PRICEOPEN"")"),739.85)</f>
        <v>739.85</v>
      </c>
      <c r="D907" s="11">
        <f ca="1">IFERROR(__xludf.DUMMYFUNCTION("GOOGLEFINANCE(A907,""HIGH"")"),752.8)</f>
        <v>752.8</v>
      </c>
      <c r="E907" s="11">
        <f ca="1">IFERROR(__xludf.DUMMYFUNCTION("GOOGLEFINANCE(A907,""LOW"")"),727.2)</f>
        <v>727.2</v>
      </c>
      <c r="F907" s="12" t="str">
        <f t="shared" ca="1" si="28"/>
        <v/>
      </c>
      <c r="G907" s="13">
        <f ca="1">IFERROR(__xludf.DUMMYFUNCTION("GOOGLEFINANCE(A907,""CLOSEYEST"")"),733.35)</f>
        <v>733.35</v>
      </c>
      <c r="H907" s="14" t="str">
        <f t="shared" ca="1" si="34"/>
        <v/>
      </c>
      <c r="I907" s="15">
        <f t="shared" ca="1" si="29"/>
        <v>737.7833333333333</v>
      </c>
      <c r="J907" s="16">
        <f t="shared" ca="1" si="30"/>
        <v>748.36666666666656</v>
      </c>
      <c r="K907" s="16"/>
      <c r="L907" s="16">
        <f t="shared" ca="1" si="31"/>
        <v>722.76666666666665</v>
      </c>
      <c r="M907" s="16">
        <f t="shared" ca="1" si="32"/>
        <v>763.38333333333321</v>
      </c>
      <c r="N907" s="16">
        <f t="shared" ca="1" si="33"/>
        <v>712.18333333333339</v>
      </c>
    </row>
    <row r="908" spans="1:14" ht="24.75" customHeight="1" x14ac:dyDescent="0.8">
      <c r="A908" s="18" t="s">
        <v>871</v>
      </c>
      <c r="B908" s="10" t="str">
        <f ca="1">IFERROR(__xludf.DUMMYFUNCTION("GOOGLEFINANCE(A908,""PRICE"")"),"#N/A")</f>
        <v>#N/A</v>
      </c>
      <c r="C908" s="11" t="str">
        <f ca="1">IFERROR(__xludf.DUMMYFUNCTION("GOOGLEFINANCE(A908,""PRICEOPEN"")"),"#N/A")</f>
        <v>#N/A</v>
      </c>
      <c r="D908" s="11" t="str">
        <f ca="1">IFERROR(__xludf.DUMMYFUNCTION("GOOGLEFINANCE(A908,""HIGH"")"),"#N/A")</f>
        <v>#N/A</v>
      </c>
      <c r="E908" s="11" t="str">
        <f ca="1">IFERROR(__xludf.DUMMYFUNCTION("GOOGLEFINANCE(A908,""LOW"")"),"#N/A")</f>
        <v>#N/A</v>
      </c>
      <c r="F908" s="12" t="str">
        <f t="shared" ca="1" si="28"/>
        <v>SELL</v>
      </c>
      <c r="G908" s="13" t="str">
        <f ca="1">IFERROR(__xludf.DUMMYFUNCTION("GOOGLEFINANCE(A908,""CLOSEYEST"")"),"#N/A")</f>
        <v>#N/A</v>
      </c>
      <c r="H908" s="14" t="e">
        <f t="shared" ca="1" si="34"/>
        <v>#VALUE!</v>
      </c>
      <c r="I908" s="15" t="e">
        <f t="shared" ca="1" si="29"/>
        <v>#VALUE!</v>
      </c>
      <c r="J908" s="16" t="e">
        <f t="shared" ca="1" si="30"/>
        <v>#VALUE!</v>
      </c>
      <c r="K908" s="16"/>
      <c r="L908" s="16" t="e">
        <f t="shared" ca="1" si="31"/>
        <v>#VALUE!</v>
      </c>
      <c r="M908" s="16" t="e">
        <f t="shared" ca="1" si="32"/>
        <v>#VALUE!</v>
      </c>
      <c r="N908" s="16" t="e">
        <f t="shared" ca="1" si="33"/>
        <v>#VALUE!</v>
      </c>
    </row>
    <row r="909" spans="1:14" ht="24.75" customHeight="1" x14ac:dyDescent="0.8">
      <c r="A909" s="18" t="s">
        <v>872</v>
      </c>
      <c r="B909" s="10">
        <f ca="1">IFERROR(__xludf.DUMMYFUNCTION("GOOGLEFINANCE(A909,""PRICE"")"),5.4)</f>
        <v>5.4</v>
      </c>
      <c r="C909" s="11">
        <f ca="1">IFERROR(__xludf.DUMMYFUNCTION("GOOGLEFINANCE(A909,""PRICEOPEN"")"),5.4)</f>
        <v>5.4</v>
      </c>
      <c r="D909" s="11">
        <f ca="1">IFERROR(__xludf.DUMMYFUNCTION("GOOGLEFINANCE(A909,""HIGH"")"),5.4)</f>
        <v>5.4</v>
      </c>
      <c r="E909" s="11">
        <f ca="1">IFERROR(__xludf.DUMMYFUNCTION("GOOGLEFINANCE(A909,""LOW"")"),5.3)</f>
        <v>5.3</v>
      </c>
      <c r="F909" s="12" t="str">
        <f t="shared" ca="1" si="28"/>
        <v>SELL</v>
      </c>
      <c r="G909" s="13">
        <f ca="1">IFERROR(__xludf.DUMMYFUNCTION("GOOGLEFINANCE(A909,""CLOSEYEST"")"),5.5)</f>
        <v>5.5</v>
      </c>
      <c r="H909" s="14" t="str">
        <f t="shared" ca="1" si="34"/>
        <v>GAP DOWN</v>
      </c>
      <c r="I909" s="15">
        <f t="shared" ca="1" si="29"/>
        <v>5.3999999999999995</v>
      </c>
      <c r="J909" s="16">
        <f t="shared" ca="1" si="30"/>
        <v>5.4999999999999991</v>
      </c>
      <c r="K909" s="16"/>
      <c r="L909" s="16">
        <f t="shared" ca="1" si="31"/>
        <v>5.3999999999999986</v>
      </c>
      <c r="M909" s="16">
        <f t="shared" ca="1" si="32"/>
        <v>5.5</v>
      </c>
      <c r="N909" s="16">
        <f t="shared" ca="1" si="33"/>
        <v>5.2999999999999989</v>
      </c>
    </row>
    <row r="910" spans="1:14" ht="24.75" customHeight="1" x14ac:dyDescent="0.8">
      <c r="A910" s="18" t="s">
        <v>873</v>
      </c>
      <c r="B910" s="10">
        <f ca="1">IFERROR(__xludf.DUMMYFUNCTION("GOOGLEFINANCE(A910,""PRICE"")"),523.9)</f>
        <v>523.9</v>
      </c>
      <c r="C910" s="11">
        <f ca="1">IFERROR(__xludf.DUMMYFUNCTION("GOOGLEFINANCE(A910,""PRICEOPEN"")"),503.45)</f>
        <v>503.45</v>
      </c>
      <c r="D910" s="11">
        <f ca="1">IFERROR(__xludf.DUMMYFUNCTION("GOOGLEFINANCE(A910,""HIGH"")"),525.4)</f>
        <v>525.4</v>
      </c>
      <c r="E910" s="11">
        <f ca="1">IFERROR(__xludf.DUMMYFUNCTION("GOOGLEFINANCE(A910,""LOW"")"),502.1)</f>
        <v>502.1</v>
      </c>
      <c r="F910" s="12" t="str">
        <f t="shared" ca="1" si="28"/>
        <v/>
      </c>
      <c r="G910" s="13">
        <f ca="1">IFERROR(__xludf.DUMMYFUNCTION("GOOGLEFINANCE(A910,""CLOSEYEST"")"),503.8)</f>
        <v>503.8</v>
      </c>
      <c r="H910" s="14" t="str">
        <f t="shared" ca="1" si="34"/>
        <v/>
      </c>
      <c r="I910" s="15">
        <f t="shared" ca="1" si="29"/>
        <v>510.43333333333334</v>
      </c>
      <c r="J910" s="16">
        <f t="shared" ca="1" si="30"/>
        <v>518.76666666666665</v>
      </c>
      <c r="K910" s="16"/>
      <c r="L910" s="16">
        <f t="shared" ca="1" si="31"/>
        <v>495.4666666666667</v>
      </c>
      <c r="M910" s="16">
        <f t="shared" ca="1" si="32"/>
        <v>533.73333333333335</v>
      </c>
      <c r="N910" s="16">
        <f t="shared" ca="1" si="33"/>
        <v>487.13333333333338</v>
      </c>
    </row>
    <row r="911" spans="1:14" ht="24.75" customHeight="1" x14ac:dyDescent="0.8">
      <c r="A911" s="18" t="s">
        <v>874</v>
      </c>
      <c r="B911" s="10">
        <f ca="1">IFERROR(__xludf.DUMMYFUNCTION("GOOGLEFINANCE(A911,""PRICE"")"),308.1)</f>
        <v>308.10000000000002</v>
      </c>
      <c r="C911" s="11">
        <f ca="1">IFERROR(__xludf.DUMMYFUNCTION("GOOGLEFINANCE(A911,""PRICEOPEN"")"),301.8)</f>
        <v>301.8</v>
      </c>
      <c r="D911" s="11">
        <f ca="1">IFERROR(__xludf.DUMMYFUNCTION("GOOGLEFINANCE(A911,""HIGH"")"),310.55)</f>
        <v>310.55</v>
      </c>
      <c r="E911" s="11">
        <f ca="1">IFERROR(__xludf.DUMMYFUNCTION("GOOGLEFINANCE(A911,""LOW"")"),301.8)</f>
        <v>301.8</v>
      </c>
      <c r="F911" s="12" t="str">
        <f t="shared" ca="1" si="28"/>
        <v>BUY</v>
      </c>
      <c r="G911" s="13">
        <f ca="1">IFERROR(__xludf.DUMMYFUNCTION("GOOGLEFINANCE(A911,""CLOSEYEST"")"),300.95)</f>
        <v>300.95</v>
      </c>
      <c r="H911" s="14" t="str">
        <f t="shared" ca="1" si="34"/>
        <v/>
      </c>
      <c r="I911" s="15">
        <f t="shared" ca="1" si="29"/>
        <v>304.43333333333334</v>
      </c>
      <c r="J911" s="16">
        <f t="shared" ca="1" si="30"/>
        <v>307.06666666666666</v>
      </c>
      <c r="K911" s="16"/>
      <c r="L911" s="16">
        <f t="shared" ca="1" si="31"/>
        <v>298.31666666666666</v>
      </c>
      <c r="M911" s="16">
        <f t="shared" ca="1" si="32"/>
        <v>313.18333333333334</v>
      </c>
      <c r="N911" s="16">
        <f t="shared" ca="1" si="33"/>
        <v>295.68333333333334</v>
      </c>
    </row>
    <row r="912" spans="1:14" ht="24.75" customHeight="1" x14ac:dyDescent="0.8">
      <c r="A912" s="18" t="s">
        <v>875</v>
      </c>
      <c r="B912" s="10">
        <f ca="1">IFERROR(__xludf.DUMMYFUNCTION("GOOGLEFINANCE(A912,""PRICE"")"),183)</f>
        <v>183</v>
      </c>
      <c r="C912" s="11">
        <f ca="1">IFERROR(__xludf.DUMMYFUNCTION("GOOGLEFINANCE(A912,""PRICEOPEN"")"),175.62)</f>
        <v>175.62</v>
      </c>
      <c r="D912" s="11">
        <f ca="1">IFERROR(__xludf.DUMMYFUNCTION("GOOGLEFINANCE(A912,""HIGH"")"),184)</f>
        <v>184</v>
      </c>
      <c r="E912" s="11">
        <f ca="1">IFERROR(__xludf.DUMMYFUNCTION("GOOGLEFINANCE(A912,""LOW"")"),174.62)</f>
        <v>174.62</v>
      </c>
      <c r="F912" s="12" t="str">
        <f t="shared" ca="1" si="28"/>
        <v/>
      </c>
      <c r="G912" s="13">
        <f ca="1">IFERROR(__xludf.DUMMYFUNCTION("GOOGLEFINANCE(A912,""CLOSEYEST"")"),175.62)</f>
        <v>175.62</v>
      </c>
      <c r="H912" s="14" t="str">
        <f t="shared" ca="1" si="34"/>
        <v/>
      </c>
      <c r="I912" s="15">
        <f t="shared" ca="1" si="29"/>
        <v>178.08</v>
      </c>
      <c r="J912" s="16">
        <f t="shared" ca="1" si="30"/>
        <v>181.54000000000002</v>
      </c>
      <c r="K912" s="16"/>
      <c r="L912" s="16">
        <f t="shared" ca="1" si="31"/>
        <v>172.16000000000003</v>
      </c>
      <c r="M912" s="16">
        <f t="shared" ca="1" si="32"/>
        <v>187.46</v>
      </c>
      <c r="N912" s="16">
        <f t="shared" ca="1" si="33"/>
        <v>168.70000000000002</v>
      </c>
    </row>
    <row r="913" spans="1:14" ht="24.75" customHeight="1" x14ac:dyDescent="0.8">
      <c r="A913" s="18" t="s">
        <v>876</v>
      </c>
      <c r="B913" s="10">
        <f ca="1">IFERROR(__xludf.DUMMYFUNCTION("GOOGLEFINANCE(A913,""PRICE"")"),487.9)</f>
        <v>487.9</v>
      </c>
      <c r="C913" s="11">
        <f ca="1">IFERROR(__xludf.DUMMYFUNCTION("GOOGLEFINANCE(A913,""PRICEOPEN"")"),469.7)</f>
        <v>469.7</v>
      </c>
      <c r="D913" s="11">
        <f ca="1">IFERROR(__xludf.DUMMYFUNCTION("GOOGLEFINANCE(A913,""HIGH"")"),487.9)</f>
        <v>487.9</v>
      </c>
      <c r="E913" s="11">
        <f ca="1">IFERROR(__xludf.DUMMYFUNCTION("GOOGLEFINANCE(A913,""LOW"")"),464.1)</f>
        <v>464.1</v>
      </c>
      <c r="F913" s="12" t="str">
        <f t="shared" ca="1" si="28"/>
        <v/>
      </c>
      <c r="G913" s="13">
        <f ca="1">IFERROR(__xludf.DUMMYFUNCTION("GOOGLEFINANCE(A913,""CLOSEYEST"")"),465.65)</f>
        <v>465.65</v>
      </c>
      <c r="H913" s="14" t="str">
        <f t="shared" ca="1" si="34"/>
        <v/>
      </c>
      <c r="I913" s="15">
        <f t="shared" ca="1" si="29"/>
        <v>472.55</v>
      </c>
      <c r="J913" s="16">
        <f t="shared" ca="1" si="30"/>
        <v>481</v>
      </c>
      <c r="K913" s="16"/>
      <c r="L913" s="16">
        <f t="shared" ca="1" si="31"/>
        <v>457.20000000000005</v>
      </c>
      <c r="M913" s="16">
        <f t="shared" ca="1" si="32"/>
        <v>496.34999999999997</v>
      </c>
      <c r="N913" s="16">
        <f t="shared" ca="1" si="33"/>
        <v>448.75000000000006</v>
      </c>
    </row>
    <row r="914" spans="1:14" ht="24.75" customHeight="1" x14ac:dyDescent="0.8">
      <c r="A914" s="18" t="s">
        <v>877</v>
      </c>
      <c r="B914" s="10">
        <f ca="1">IFERROR(__xludf.DUMMYFUNCTION("GOOGLEFINANCE(A914,""PRICE"")"),849.3)</f>
        <v>849.3</v>
      </c>
      <c r="C914" s="11">
        <f ca="1">IFERROR(__xludf.DUMMYFUNCTION("GOOGLEFINANCE(A914,""PRICEOPEN"")"),864)</f>
        <v>864</v>
      </c>
      <c r="D914" s="11">
        <f ca="1">IFERROR(__xludf.DUMMYFUNCTION("GOOGLEFINANCE(A914,""HIGH"")"),869.55)</f>
        <v>869.55</v>
      </c>
      <c r="E914" s="11">
        <f ca="1">IFERROR(__xludf.DUMMYFUNCTION("GOOGLEFINANCE(A914,""LOW"")"),835.55)</f>
        <v>835.55</v>
      </c>
      <c r="F914" s="12" t="str">
        <f t="shared" ca="1" si="28"/>
        <v/>
      </c>
      <c r="G914" s="13">
        <f ca="1">IFERROR(__xludf.DUMMYFUNCTION("GOOGLEFINANCE(A914,""CLOSEYEST"")"),859.85)</f>
        <v>859.85</v>
      </c>
      <c r="H914" s="14" t="str">
        <f t="shared" ca="1" si="34"/>
        <v/>
      </c>
      <c r="I914" s="15">
        <f t="shared" ca="1" si="29"/>
        <v>854.98333333333323</v>
      </c>
      <c r="J914" s="16">
        <f t="shared" ca="1" si="30"/>
        <v>874.41666666666652</v>
      </c>
      <c r="K914" s="16"/>
      <c r="L914" s="16">
        <f t="shared" ca="1" si="31"/>
        <v>840.41666666666652</v>
      </c>
      <c r="M914" s="16">
        <f t="shared" ca="1" si="32"/>
        <v>888.98333333333323</v>
      </c>
      <c r="N914" s="16">
        <f t="shared" ca="1" si="33"/>
        <v>820.98333333333323</v>
      </c>
    </row>
    <row r="915" spans="1:14" ht="24.75" customHeight="1" x14ac:dyDescent="0.8">
      <c r="A915" s="18" t="s">
        <v>878</v>
      </c>
      <c r="B915" s="10">
        <f ca="1">IFERROR(__xludf.DUMMYFUNCTION("GOOGLEFINANCE(A915,""PRICE"")"),19.69)</f>
        <v>19.690000000000001</v>
      </c>
      <c r="C915" s="11">
        <f ca="1">IFERROR(__xludf.DUMMYFUNCTION("GOOGLEFINANCE(A915,""PRICEOPEN"")"),19.57)</f>
        <v>19.57</v>
      </c>
      <c r="D915" s="11">
        <f ca="1">IFERROR(__xludf.DUMMYFUNCTION("GOOGLEFINANCE(A915,""HIGH"")"),19.88)</f>
        <v>19.88</v>
      </c>
      <c r="E915" s="11">
        <f ca="1">IFERROR(__xludf.DUMMYFUNCTION("GOOGLEFINANCE(A915,""LOW"")"),19.56)</f>
        <v>19.559999999999999</v>
      </c>
      <c r="F915" s="12" t="str">
        <f t="shared" ca="1" si="28"/>
        <v/>
      </c>
      <c r="G915" s="13">
        <f ca="1">IFERROR(__xludf.DUMMYFUNCTION("GOOGLEFINANCE(A915,""CLOSEYEST"")"),19.48)</f>
        <v>19.48</v>
      </c>
      <c r="H915" s="14" t="str">
        <f t="shared" ca="1" si="34"/>
        <v/>
      </c>
      <c r="I915" s="15">
        <f t="shared" ca="1" si="29"/>
        <v>19.64</v>
      </c>
      <c r="J915" s="16">
        <f t="shared" ca="1" si="30"/>
        <v>19.720000000000002</v>
      </c>
      <c r="K915" s="16"/>
      <c r="L915" s="16">
        <f t="shared" ca="1" si="31"/>
        <v>19.400000000000002</v>
      </c>
      <c r="M915" s="16">
        <f t="shared" ca="1" si="32"/>
        <v>19.96</v>
      </c>
      <c r="N915" s="16">
        <f t="shared" ca="1" si="33"/>
        <v>19.32</v>
      </c>
    </row>
    <row r="916" spans="1:14" ht="24.75" customHeight="1" x14ac:dyDescent="0.8">
      <c r="A916" s="18" t="s">
        <v>879</v>
      </c>
      <c r="B916" s="10">
        <f ca="1">IFERROR(__xludf.DUMMYFUNCTION("GOOGLEFINANCE(A916,""PRICE"")"),865)</f>
        <v>865</v>
      </c>
      <c r="C916" s="11">
        <f ca="1">IFERROR(__xludf.DUMMYFUNCTION("GOOGLEFINANCE(A916,""PRICEOPEN"")"),850)</f>
        <v>850</v>
      </c>
      <c r="D916" s="11">
        <f ca="1">IFERROR(__xludf.DUMMYFUNCTION("GOOGLEFINANCE(A916,""HIGH"")"),865)</f>
        <v>865</v>
      </c>
      <c r="E916" s="11">
        <f ca="1">IFERROR(__xludf.DUMMYFUNCTION("GOOGLEFINANCE(A916,""LOW"")"),839.85)</f>
        <v>839.85</v>
      </c>
      <c r="F916" s="12" t="str">
        <f t="shared" ca="1" si="28"/>
        <v/>
      </c>
      <c r="G916" s="13">
        <f ca="1">IFERROR(__xludf.DUMMYFUNCTION("GOOGLEFINANCE(A916,""CLOSEYEST"")"),843.55)</f>
        <v>843.55</v>
      </c>
      <c r="H916" s="14" t="str">
        <f t="shared" ca="1" si="34"/>
        <v/>
      </c>
      <c r="I916" s="15">
        <f t="shared" ca="1" si="29"/>
        <v>849.46666666666658</v>
      </c>
      <c r="J916" s="16">
        <f t="shared" ca="1" si="30"/>
        <v>859.08333333333314</v>
      </c>
      <c r="K916" s="16"/>
      <c r="L916" s="16">
        <f t="shared" ca="1" si="31"/>
        <v>833.93333333333317</v>
      </c>
      <c r="M916" s="16">
        <f t="shared" ca="1" si="32"/>
        <v>874.61666666666656</v>
      </c>
      <c r="N916" s="16">
        <f t="shared" ca="1" si="33"/>
        <v>824.31666666666661</v>
      </c>
    </row>
    <row r="917" spans="1:14" ht="24.75" customHeight="1" x14ac:dyDescent="0.8">
      <c r="A917" s="18" t="s">
        <v>880</v>
      </c>
      <c r="B917" s="10" t="str">
        <f ca="1">IFERROR(__xludf.DUMMYFUNCTION("GOOGLEFINANCE(A917,""PRICE"")"),"#N/A")</f>
        <v>#N/A</v>
      </c>
      <c r="C917" s="11" t="str">
        <f ca="1">IFERROR(__xludf.DUMMYFUNCTION("GOOGLEFINANCE(A917,""PRICEOPEN"")"),"#N/A")</f>
        <v>#N/A</v>
      </c>
      <c r="D917" s="11" t="str">
        <f ca="1">IFERROR(__xludf.DUMMYFUNCTION("GOOGLEFINANCE(A917,""HIGH"")"),"#N/A")</f>
        <v>#N/A</v>
      </c>
      <c r="E917" s="11" t="str">
        <f ca="1">IFERROR(__xludf.DUMMYFUNCTION("GOOGLEFINANCE(A917,""LOW"")"),"#N/A")</f>
        <v>#N/A</v>
      </c>
      <c r="F917" s="12" t="str">
        <f t="shared" ca="1" si="28"/>
        <v>SELL</v>
      </c>
      <c r="G917" s="13" t="str">
        <f ca="1">IFERROR(__xludf.DUMMYFUNCTION("GOOGLEFINANCE(A917,""CLOSEYEST"")"),"#N/A")</f>
        <v>#N/A</v>
      </c>
      <c r="H917" s="14" t="e">
        <f t="shared" ca="1" si="34"/>
        <v>#VALUE!</v>
      </c>
      <c r="I917" s="15" t="e">
        <f t="shared" ca="1" si="29"/>
        <v>#VALUE!</v>
      </c>
      <c r="J917" s="16" t="e">
        <f t="shared" ca="1" si="30"/>
        <v>#VALUE!</v>
      </c>
      <c r="K917" s="16"/>
      <c r="L917" s="16" t="e">
        <f t="shared" ca="1" si="31"/>
        <v>#VALUE!</v>
      </c>
      <c r="M917" s="16" t="e">
        <f t="shared" ca="1" si="32"/>
        <v>#VALUE!</v>
      </c>
      <c r="N917" s="16" t="e">
        <f t="shared" ca="1" si="33"/>
        <v>#VALUE!</v>
      </c>
    </row>
    <row r="918" spans="1:14" ht="24.75" customHeight="1" x14ac:dyDescent="0.8">
      <c r="A918" s="18" t="s">
        <v>881</v>
      </c>
      <c r="B918" s="10">
        <f ca="1">IFERROR(__xludf.DUMMYFUNCTION("GOOGLEFINANCE(A918,""PRICE"")"),735.75)</f>
        <v>735.75</v>
      </c>
      <c r="C918" s="11">
        <f ca="1">IFERROR(__xludf.DUMMYFUNCTION("GOOGLEFINANCE(A918,""PRICEOPEN"")"),728.8)</f>
        <v>728.8</v>
      </c>
      <c r="D918" s="11">
        <f ca="1">IFERROR(__xludf.DUMMYFUNCTION("GOOGLEFINANCE(A918,""HIGH"")"),738.9)</f>
        <v>738.9</v>
      </c>
      <c r="E918" s="11">
        <f ca="1">IFERROR(__xludf.DUMMYFUNCTION("GOOGLEFINANCE(A918,""LOW"")"),728.8)</f>
        <v>728.8</v>
      </c>
      <c r="F918" s="12" t="str">
        <f t="shared" ca="1" si="28"/>
        <v>BUY</v>
      </c>
      <c r="G918" s="13">
        <f ca="1">IFERROR(__xludf.DUMMYFUNCTION("GOOGLEFINANCE(A918,""CLOSEYEST"")"),727.45)</f>
        <v>727.45</v>
      </c>
      <c r="H918" s="14" t="str">
        <f t="shared" ca="1" si="34"/>
        <v/>
      </c>
      <c r="I918" s="15">
        <f t="shared" ca="1" si="29"/>
        <v>731.71666666666658</v>
      </c>
      <c r="J918" s="16">
        <f t="shared" ca="1" si="30"/>
        <v>734.63333333333321</v>
      </c>
      <c r="K918" s="16"/>
      <c r="L918" s="16">
        <f t="shared" ca="1" si="31"/>
        <v>724.53333333333319</v>
      </c>
      <c r="M918" s="16">
        <f t="shared" ca="1" si="32"/>
        <v>741.81666666666661</v>
      </c>
      <c r="N918" s="16">
        <f t="shared" ca="1" si="33"/>
        <v>721.61666666666656</v>
      </c>
    </row>
    <row r="919" spans="1:14" ht="24.75" customHeight="1" x14ac:dyDescent="0.8">
      <c r="A919" s="18" t="s">
        <v>882</v>
      </c>
      <c r="B919" s="10">
        <f ca="1">IFERROR(__xludf.DUMMYFUNCTION("GOOGLEFINANCE(A919,""PRICE"")"),1007.5)</f>
        <v>1007.5</v>
      </c>
      <c r="C919" s="11">
        <f ca="1">IFERROR(__xludf.DUMMYFUNCTION("GOOGLEFINANCE(A919,""PRICEOPEN"")"),1010.95)</f>
        <v>1010.95</v>
      </c>
      <c r="D919" s="11">
        <f ca="1">IFERROR(__xludf.DUMMYFUNCTION("GOOGLEFINANCE(A919,""HIGH"")"),1020)</f>
        <v>1020</v>
      </c>
      <c r="E919" s="11">
        <f ca="1">IFERROR(__xludf.DUMMYFUNCTION("GOOGLEFINANCE(A919,""LOW"")"),992.4)</f>
        <v>992.4</v>
      </c>
      <c r="F919" s="12" t="str">
        <f t="shared" ca="1" si="28"/>
        <v/>
      </c>
      <c r="G919" s="13">
        <f ca="1">IFERROR(__xludf.DUMMYFUNCTION("GOOGLEFINANCE(A919,""CLOSEYEST"")"),1003.35)</f>
        <v>1003.35</v>
      </c>
      <c r="H919" s="14" t="str">
        <f t="shared" ca="1" si="34"/>
        <v/>
      </c>
      <c r="I919" s="15">
        <f t="shared" ca="1" si="29"/>
        <v>1005.25</v>
      </c>
      <c r="J919" s="16">
        <f t="shared" ca="1" si="30"/>
        <v>1018.1</v>
      </c>
      <c r="K919" s="16"/>
      <c r="L919" s="16">
        <f t="shared" ca="1" si="31"/>
        <v>990.5</v>
      </c>
      <c r="M919" s="16">
        <f t="shared" ca="1" si="32"/>
        <v>1032.8499999999999</v>
      </c>
      <c r="N919" s="16">
        <f t="shared" ca="1" si="33"/>
        <v>977.65</v>
      </c>
    </row>
    <row r="920" spans="1:14" ht="24.75" customHeight="1" x14ac:dyDescent="0.8">
      <c r="A920" s="18" t="s">
        <v>883</v>
      </c>
      <c r="B920" s="10">
        <f ca="1">IFERROR(__xludf.DUMMYFUNCTION("GOOGLEFINANCE(A920,""PRICE"")"),503.75)</f>
        <v>503.75</v>
      </c>
      <c r="C920" s="11">
        <f ca="1">IFERROR(__xludf.DUMMYFUNCTION("GOOGLEFINANCE(A920,""PRICEOPEN"")"),504)</f>
        <v>504</v>
      </c>
      <c r="D920" s="11">
        <f ca="1">IFERROR(__xludf.DUMMYFUNCTION("GOOGLEFINANCE(A920,""HIGH"")"),515.95)</f>
        <v>515.95000000000005</v>
      </c>
      <c r="E920" s="11">
        <f ca="1">IFERROR(__xludf.DUMMYFUNCTION("GOOGLEFINANCE(A920,""LOW"")"),501)</f>
        <v>501</v>
      </c>
      <c r="F920" s="12" t="str">
        <f t="shared" ca="1" si="28"/>
        <v/>
      </c>
      <c r="G920" s="13">
        <f ca="1">IFERROR(__xludf.DUMMYFUNCTION("GOOGLEFINANCE(A920,""CLOSEYEST"")"),510.8)</f>
        <v>510.8</v>
      </c>
      <c r="H920" s="14" t="str">
        <f t="shared" ca="1" si="34"/>
        <v>GAP DOWN</v>
      </c>
      <c r="I920" s="15">
        <f t="shared" ca="1" si="29"/>
        <v>509.25</v>
      </c>
      <c r="J920" s="16">
        <f t="shared" ca="1" si="30"/>
        <v>517.5</v>
      </c>
      <c r="K920" s="16"/>
      <c r="L920" s="16">
        <f t="shared" ca="1" si="31"/>
        <v>502.54999999999995</v>
      </c>
      <c r="M920" s="16">
        <f t="shared" ca="1" si="32"/>
        <v>524.20000000000005</v>
      </c>
      <c r="N920" s="16">
        <f t="shared" ca="1" si="33"/>
        <v>494.29999999999995</v>
      </c>
    </row>
    <row r="921" spans="1:14" ht="24.75" customHeight="1" x14ac:dyDescent="0.8">
      <c r="A921" s="18" t="s">
        <v>884</v>
      </c>
      <c r="B921" s="10">
        <f ca="1">IFERROR(__xludf.DUMMYFUNCTION("GOOGLEFINANCE(A921,""PRICE"")"),2780)</f>
        <v>2780</v>
      </c>
      <c r="C921" s="11">
        <f ca="1">IFERROR(__xludf.DUMMYFUNCTION("GOOGLEFINANCE(A921,""PRICEOPEN"")"),2759)</f>
        <v>2759</v>
      </c>
      <c r="D921" s="11">
        <f ca="1">IFERROR(__xludf.DUMMYFUNCTION("GOOGLEFINANCE(A921,""HIGH"")"),2780)</f>
        <v>2780</v>
      </c>
      <c r="E921" s="11">
        <f ca="1">IFERROR(__xludf.DUMMYFUNCTION("GOOGLEFINANCE(A921,""LOW"")"),2732.2)</f>
        <v>2732.2</v>
      </c>
      <c r="F921" s="12" t="str">
        <f t="shared" ca="1" si="28"/>
        <v/>
      </c>
      <c r="G921" s="13">
        <f ca="1">IFERROR(__xludf.DUMMYFUNCTION("GOOGLEFINANCE(A921,""CLOSEYEST"")"),2739.9)</f>
        <v>2739.9</v>
      </c>
      <c r="H921" s="14" t="str">
        <f t="shared" ca="1" si="34"/>
        <v/>
      </c>
      <c r="I921" s="15">
        <f t="shared" ca="1" si="29"/>
        <v>2750.7000000000003</v>
      </c>
      <c r="J921" s="16">
        <f t="shared" ca="1" si="30"/>
        <v>2769.2000000000007</v>
      </c>
      <c r="K921" s="16"/>
      <c r="L921" s="16">
        <f t="shared" ca="1" si="31"/>
        <v>2721.4000000000005</v>
      </c>
      <c r="M921" s="16">
        <f t="shared" ca="1" si="32"/>
        <v>2798.5000000000005</v>
      </c>
      <c r="N921" s="16">
        <f t="shared" ca="1" si="33"/>
        <v>2702.9</v>
      </c>
    </row>
    <row r="922" spans="1:14" ht="24.75" customHeight="1" x14ac:dyDescent="0.8">
      <c r="A922" s="18" t="s">
        <v>885</v>
      </c>
      <c r="B922" s="10">
        <f ca="1">IFERROR(__xludf.DUMMYFUNCTION("GOOGLEFINANCE(A922,""PRICE"")"),256.5)</f>
        <v>256.5</v>
      </c>
      <c r="C922" s="11">
        <f ca="1">IFERROR(__xludf.DUMMYFUNCTION("GOOGLEFINANCE(A922,""PRICEOPEN"")"),258.55)</f>
        <v>258.55</v>
      </c>
      <c r="D922" s="11">
        <f ca="1">IFERROR(__xludf.DUMMYFUNCTION("GOOGLEFINANCE(A922,""HIGH"")"),262.2)</f>
        <v>262.2</v>
      </c>
      <c r="E922" s="11">
        <f ca="1">IFERROR(__xludf.DUMMYFUNCTION("GOOGLEFINANCE(A922,""LOW"")"),255.25)</f>
        <v>255.25</v>
      </c>
      <c r="F922" s="12" t="str">
        <f t="shared" ca="1" si="28"/>
        <v/>
      </c>
      <c r="G922" s="13">
        <f ca="1">IFERROR(__xludf.DUMMYFUNCTION("GOOGLEFINANCE(A922,""CLOSEYEST"")"),258.55)</f>
        <v>258.55</v>
      </c>
      <c r="H922" s="14" t="str">
        <f t="shared" ca="1" si="34"/>
        <v/>
      </c>
      <c r="I922" s="15">
        <f t="shared" ca="1" si="29"/>
        <v>258.66666666666669</v>
      </c>
      <c r="J922" s="16">
        <f t="shared" ca="1" si="30"/>
        <v>262.08333333333337</v>
      </c>
      <c r="K922" s="16"/>
      <c r="L922" s="16">
        <f t="shared" ca="1" si="31"/>
        <v>255.13333333333338</v>
      </c>
      <c r="M922" s="16">
        <f t="shared" ca="1" si="32"/>
        <v>265.61666666666667</v>
      </c>
      <c r="N922" s="16">
        <f t="shared" ca="1" si="33"/>
        <v>251.7166666666667</v>
      </c>
    </row>
    <row r="923" spans="1:14" ht="24.75" customHeight="1" x14ac:dyDescent="0.8">
      <c r="A923" s="18" t="s">
        <v>886</v>
      </c>
      <c r="B923" s="10">
        <f ca="1">IFERROR(__xludf.DUMMYFUNCTION("GOOGLEFINANCE(A923,""PRICE"")"),99.85)</f>
        <v>99.85</v>
      </c>
      <c r="C923" s="11">
        <f ca="1">IFERROR(__xludf.DUMMYFUNCTION("GOOGLEFINANCE(A923,""PRICEOPEN"")"),99.3)</f>
        <v>99.3</v>
      </c>
      <c r="D923" s="11">
        <f ca="1">IFERROR(__xludf.DUMMYFUNCTION("GOOGLEFINANCE(A923,""HIGH"")"),100.41)</f>
        <v>100.41</v>
      </c>
      <c r="E923" s="11">
        <f ca="1">IFERROR(__xludf.DUMMYFUNCTION("GOOGLEFINANCE(A923,""LOW"")"),98.1)</f>
        <v>98.1</v>
      </c>
      <c r="F923" s="12" t="str">
        <f t="shared" ca="1" si="28"/>
        <v/>
      </c>
      <c r="G923" s="13">
        <f ca="1">IFERROR(__xludf.DUMMYFUNCTION("GOOGLEFINANCE(A923,""CLOSEYEST"")"),100.1)</f>
        <v>100.1</v>
      </c>
      <c r="H923" s="14" t="str">
        <f t="shared" ca="1" si="34"/>
        <v/>
      </c>
      <c r="I923" s="15">
        <f t="shared" ca="1" si="29"/>
        <v>99.536666666666676</v>
      </c>
      <c r="J923" s="16">
        <f t="shared" ca="1" si="30"/>
        <v>100.97333333333336</v>
      </c>
      <c r="K923" s="16"/>
      <c r="L923" s="16">
        <f t="shared" ca="1" si="31"/>
        <v>98.663333333333355</v>
      </c>
      <c r="M923" s="16">
        <f t="shared" ca="1" si="32"/>
        <v>101.84666666666668</v>
      </c>
      <c r="N923" s="16">
        <f t="shared" ca="1" si="33"/>
        <v>97.226666666666674</v>
      </c>
    </row>
    <row r="924" spans="1:14" ht="24.75" customHeight="1" x14ac:dyDescent="0.8">
      <c r="A924" s="18" t="s">
        <v>887</v>
      </c>
      <c r="B924" s="10">
        <f ca="1">IFERROR(__xludf.DUMMYFUNCTION("GOOGLEFINANCE(A924,""PRICE"")"),86.5)</f>
        <v>86.5</v>
      </c>
      <c r="C924" s="11">
        <f ca="1">IFERROR(__xludf.DUMMYFUNCTION("GOOGLEFINANCE(A924,""PRICEOPEN"")"),85.02)</f>
        <v>85.02</v>
      </c>
      <c r="D924" s="11">
        <f ca="1">IFERROR(__xludf.DUMMYFUNCTION("GOOGLEFINANCE(A924,""HIGH"")"),87.84)</f>
        <v>87.84</v>
      </c>
      <c r="E924" s="11">
        <f ca="1">IFERROR(__xludf.DUMMYFUNCTION("GOOGLEFINANCE(A924,""LOW"")"),85.02)</f>
        <v>85.02</v>
      </c>
      <c r="F924" s="12" t="str">
        <f t="shared" ca="1" si="28"/>
        <v>BUY</v>
      </c>
      <c r="G924" s="13">
        <f ca="1">IFERROR(__xludf.DUMMYFUNCTION("GOOGLEFINANCE(A924,""CLOSEYEST"")"),85.7)</f>
        <v>85.7</v>
      </c>
      <c r="H924" s="14" t="str">
        <f t="shared" ca="1" si="34"/>
        <v/>
      </c>
      <c r="I924" s="15">
        <f t="shared" ca="1" si="29"/>
        <v>86.186666666666667</v>
      </c>
      <c r="J924" s="16">
        <f t="shared" ca="1" si="30"/>
        <v>87.353333333333339</v>
      </c>
      <c r="K924" s="16"/>
      <c r="L924" s="16">
        <f t="shared" ca="1" si="31"/>
        <v>84.533333333333331</v>
      </c>
      <c r="M924" s="16">
        <f t="shared" ca="1" si="32"/>
        <v>89.006666666666675</v>
      </c>
      <c r="N924" s="16">
        <f t="shared" ca="1" si="33"/>
        <v>83.36666666666666</v>
      </c>
    </row>
    <row r="925" spans="1:14" ht="24.75" customHeight="1" x14ac:dyDescent="0.8">
      <c r="A925" s="18" t="s">
        <v>888</v>
      </c>
      <c r="B925" s="10">
        <f ca="1">IFERROR(__xludf.DUMMYFUNCTION("GOOGLEFINANCE(A925,""PRICE"")"),274)</f>
        <v>274</v>
      </c>
      <c r="C925" s="11">
        <f ca="1">IFERROR(__xludf.DUMMYFUNCTION("GOOGLEFINANCE(A925,""PRICEOPEN"")"),268.45)</f>
        <v>268.45</v>
      </c>
      <c r="D925" s="11">
        <f ca="1">IFERROR(__xludf.DUMMYFUNCTION("GOOGLEFINANCE(A925,""HIGH"")"),277.1)</f>
        <v>277.10000000000002</v>
      </c>
      <c r="E925" s="11">
        <f ca="1">IFERROR(__xludf.DUMMYFUNCTION("GOOGLEFINANCE(A925,""LOW"")"),263.85)</f>
        <v>263.85000000000002</v>
      </c>
      <c r="F925" s="12" t="str">
        <f t="shared" ca="1" si="28"/>
        <v/>
      </c>
      <c r="G925" s="13">
        <f ca="1">IFERROR(__xludf.DUMMYFUNCTION("GOOGLEFINANCE(A925,""CLOSEYEST"")"),265.9)</f>
        <v>265.89999999999998</v>
      </c>
      <c r="H925" s="14" t="str">
        <f t="shared" ca="1" si="34"/>
        <v/>
      </c>
      <c r="I925" s="15">
        <f t="shared" ca="1" si="29"/>
        <v>268.95</v>
      </c>
      <c r="J925" s="16">
        <f t="shared" ca="1" si="30"/>
        <v>274.04999999999995</v>
      </c>
      <c r="K925" s="16"/>
      <c r="L925" s="16">
        <f t="shared" ca="1" si="31"/>
        <v>260.79999999999995</v>
      </c>
      <c r="M925" s="16">
        <f t="shared" ca="1" si="32"/>
        <v>282.2</v>
      </c>
      <c r="N925" s="16">
        <f t="shared" ca="1" si="33"/>
        <v>255.7</v>
      </c>
    </row>
    <row r="926" spans="1:14" ht="24.75" customHeight="1" x14ac:dyDescent="0.8">
      <c r="A926" s="18" t="s">
        <v>889</v>
      </c>
      <c r="B926" s="10">
        <f ca="1">IFERROR(__xludf.DUMMYFUNCTION("GOOGLEFINANCE(A926,""PRICE"")"),648)</f>
        <v>648</v>
      </c>
      <c r="C926" s="11">
        <f ca="1">IFERROR(__xludf.DUMMYFUNCTION("GOOGLEFINANCE(A926,""PRICEOPEN"")"),645.65)</f>
        <v>645.65</v>
      </c>
      <c r="D926" s="11">
        <f ca="1">IFERROR(__xludf.DUMMYFUNCTION("GOOGLEFINANCE(A926,""HIGH"")"),648)</f>
        <v>648</v>
      </c>
      <c r="E926" s="11">
        <f ca="1">IFERROR(__xludf.DUMMYFUNCTION("GOOGLEFINANCE(A926,""LOW"")"),637.3)</f>
        <v>637.29999999999995</v>
      </c>
      <c r="F926" s="12" t="str">
        <f t="shared" ca="1" si="28"/>
        <v/>
      </c>
      <c r="G926" s="13">
        <f ca="1">IFERROR(__xludf.DUMMYFUNCTION("GOOGLEFINANCE(A926,""CLOSEYEST"")"),644.45)</f>
        <v>644.45000000000005</v>
      </c>
      <c r="H926" s="14" t="str">
        <f t="shared" ca="1" si="34"/>
        <v/>
      </c>
      <c r="I926" s="15">
        <f t="shared" ca="1" si="29"/>
        <v>643.25</v>
      </c>
      <c r="J926" s="16">
        <f t="shared" ca="1" si="30"/>
        <v>649.20000000000005</v>
      </c>
      <c r="K926" s="16"/>
      <c r="L926" s="16">
        <f t="shared" ca="1" si="31"/>
        <v>638.5</v>
      </c>
      <c r="M926" s="16">
        <f t="shared" ca="1" si="32"/>
        <v>653.95000000000005</v>
      </c>
      <c r="N926" s="16">
        <f t="shared" ca="1" si="33"/>
        <v>632.54999999999995</v>
      </c>
    </row>
    <row r="927" spans="1:14" ht="24.75" customHeight="1" x14ac:dyDescent="0.8">
      <c r="A927" s="18" t="s">
        <v>890</v>
      </c>
      <c r="B927" s="10">
        <f ca="1">IFERROR(__xludf.DUMMYFUNCTION("GOOGLEFINANCE(A927,""PRICE"")"),185.45)</f>
        <v>185.45</v>
      </c>
      <c r="C927" s="11">
        <f ca="1">IFERROR(__xludf.DUMMYFUNCTION("GOOGLEFINANCE(A927,""PRICEOPEN"")"),181.57)</f>
        <v>181.57</v>
      </c>
      <c r="D927" s="11">
        <f ca="1">IFERROR(__xludf.DUMMYFUNCTION("GOOGLEFINANCE(A927,""HIGH"")"),185.45)</f>
        <v>185.45</v>
      </c>
      <c r="E927" s="11">
        <f ca="1">IFERROR(__xludf.DUMMYFUNCTION("GOOGLEFINANCE(A927,""LOW"")"),181.57)</f>
        <v>181.57</v>
      </c>
      <c r="F927" s="12" t="str">
        <f t="shared" ca="1" si="28"/>
        <v>BUY</v>
      </c>
      <c r="G927" s="13">
        <f ca="1">IFERROR(__xludf.DUMMYFUNCTION("GOOGLEFINANCE(A927,""CLOSEYEST"")"),181.99)</f>
        <v>181.99</v>
      </c>
      <c r="H927" s="14" t="str">
        <f t="shared" ca="1" si="34"/>
        <v/>
      </c>
      <c r="I927" s="15">
        <f t="shared" ca="1" si="29"/>
        <v>183.00333333333333</v>
      </c>
      <c r="J927" s="16">
        <f t="shared" ca="1" si="30"/>
        <v>184.43666666666667</v>
      </c>
      <c r="K927" s="16"/>
      <c r="L927" s="16">
        <f t="shared" ca="1" si="31"/>
        <v>180.55666666666667</v>
      </c>
      <c r="M927" s="16">
        <f t="shared" ca="1" si="32"/>
        <v>186.88333333333333</v>
      </c>
      <c r="N927" s="16">
        <f t="shared" ca="1" si="33"/>
        <v>179.12333333333333</v>
      </c>
    </row>
    <row r="928" spans="1:14" ht="24.75" customHeight="1" x14ac:dyDescent="0.8">
      <c r="A928" s="18" t="s">
        <v>891</v>
      </c>
      <c r="B928" s="10">
        <f ca="1">IFERROR(__xludf.DUMMYFUNCTION("GOOGLEFINANCE(A928,""PRICE"")"),13.39)</f>
        <v>13.39</v>
      </c>
      <c r="C928" s="11">
        <f ca="1">IFERROR(__xludf.DUMMYFUNCTION("GOOGLEFINANCE(A928,""PRICEOPEN"")"),13.12)</f>
        <v>13.12</v>
      </c>
      <c r="D928" s="11">
        <f ca="1">IFERROR(__xludf.DUMMYFUNCTION("GOOGLEFINANCE(A928,""HIGH"")"),13.64)</f>
        <v>13.64</v>
      </c>
      <c r="E928" s="11">
        <f ca="1">IFERROR(__xludf.DUMMYFUNCTION("GOOGLEFINANCE(A928,""LOW"")"),13.02)</f>
        <v>13.02</v>
      </c>
      <c r="F928" s="12" t="str">
        <f t="shared" ca="1" si="28"/>
        <v/>
      </c>
      <c r="G928" s="13">
        <f ca="1">IFERROR(__xludf.DUMMYFUNCTION("GOOGLEFINANCE(A928,""CLOSEYEST"")"),12.68)</f>
        <v>12.68</v>
      </c>
      <c r="H928" s="14" t="str">
        <f t="shared" ca="1" si="34"/>
        <v>GAP UP</v>
      </c>
      <c r="I928" s="15">
        <f t="shared" ca="1" si="29"/>
        <v>13.113333333333335</v>
      </c>
      <c r="J928" s="16">
        <f t="shared" ca="1" si="30"/>
        <v>13.206666666666671</v>
      </c>
      <c r="K928" s="16"/>
      <c r="L928" s="16">
        <f t="shared" ca="1" si="31"/>
        <v>12.58666666666667</v>
      </c>
      <c r="M928" s="16">
        <f t="shared" ca="1" si="32"/>
        <v>13.733333333333336</v>
      </c>
      <c r="N928" s="16">
        <f t="shared" ca="1" si="33"/>
        <v>12.493333333333334</v>
      </c>
    </row>
    <row r="929" spans="1:14" ht="24.75" customHeight="1" x14ac:dyDescent="0.8">
      <c r="A929" s="18" t="s">
        <v>892</v>
      </c>
      <c r="B929" s="10">
        <f ca="1">IFERROR(__xludf.DUMMYFUNCTION("GOOGLEFINANCE(A929,""PRICE"")"),2192.8)</f>
        <v>2192.8000000000002</v>
      </c>
      <c r="C929" s="11">
        <f ca="1">IFERROR(__xludf.DUMMYFUNCTION("GOOGLEFINANCE(A929,""PRICEOPEN"")"),2204.4)</f>
        <v>2204.4</v>
      </c>
      <c r="D929" s="11">
        <f ca="1">IFERROR(__xludf.DUMMYFUNCTION("GOOGLEFINANCE(A929,""HIGH"")"),2210.4)</f>
        <v>2210.4</v>
      </c>
      <c r="E929" s="11">
        <f ca="1">IFERROR(__xludf.DUMMYFUNCTION("GOOGLEFINANCE(A929,""LOW"")"),2157.2)</f>
        <v>2157.1999999999998</v>
      </c>
      <c r="F929" s="12" t="str">
        <f t="shared" ca="1" si="28"/>
        <v/>
      </c>
      <c r="G929" s="13">
        <f ca="1">IFERROR(__xludf.DUMMYFUNCTION("GOOGLEFINANCE(A929,""CLOSEYEST"")"),2192.9)</f>
        <v>2192.9</v>
      </c>
      <c r="H929" s="14" t="str">
        <f t="shared" ca="1" si="34"/>
        <v/>
      </c>
      <c r="I929" s="15">
        <f t="shared" ca="1" si="29"/>
        <v>2186.8333333333335</v>
      </c>
      <c r="J929" s="16">
        <f t="shared" ca="1" si="30"/>
        <v>2216.4666666666672</v>
      </c>
      <c r="K929" s="16"/>
      <c r="L929" s="16">
        <f t="shared" ca="1" si="31"/>
        <v>2163.2666666666669</v>
      </c>
      <c r="M929" s="16">
        <f t="shared" ca="1" si="32"/>
        <v>2240.0333333333338</v>
      </c>
      <c r="N929" s="16">
        <f t="shared" ca="1" si="33"/>
        <v>2133.6333333333332</v>
      </c>
    </row>
    <row r="930" spans="1:14" ht="24.75" customHeight="1" x14ac:dyDescent="0.8">
      <c r="A930" s="18" t="s">
        <v>893</v>
      </c>
      <c r="B930" s="10">
        <f ca="1">IFERROR(__xludf.DUMMYFUNCTION("GOOGLEFINANCE(A930,""PRICE"")"),68.99)</f>
        <v>68.989999999999995</v>
      </c>
      <c r="C930" s="11">
        <f ca="1">IFERROR(__xludf.DUMMYFUNCTION("GOOGLEFINANCE(A930,""PRICEOPEN"")"),68.21)</f>
        <v>68.209999999999994</v>
      </c>
      <c r="D930" s="11">
        <f ca="1">IFERROR(__xludf.DUMMYFUNCTION("GOOGLEFINANCE(A930,""HIGH"")"),70.95)</f>
        <v>70.95</v>
      </c>
      <c r="E930" s="11">
        <f ca="1">IFERROR(__xludf.DUMMYFUNCTION("GOOGLEFINANCE(A930,""LOW"")"),67.5)</f>
        <v>67.5</v>
      </c>
      <c r="F930" s="12" t="str">
        <f t="shared" ca="1" si="28"/>
        <v/>
      </c>
      <c r="G930" s="13">
        <f ca="1">IFERROR(__xludf.DUMMYFUNCTION("GOOGLEFINANCE(A930,""CLOSEYEST"")"),68.21)</f>
        <v>68.209999999999994</v>
      </c>
      <c r="H930" s="14" t="str">
        <f t="shared" ca="1" si="34"/>
        <v/>
      </c>
      <c r="I930" s="15">
        <f t="shared" ca="1" si="29"/>
        <v>68.886666666666656</v>
      </c>
      <c r="J930" s="16">
        <f t="shared" ca="1" si="30"/>
        <v>70.273333333333312</v>
      </c>
      <c r="K930" s="16"/>
      <c r="L930" s="16">
        <f t="shared" ca="1" si="31"/>
        <v>66.823333333333309</v>
      </c>
      <c r="M930" s="16">
        <f t="shared" ca="1" si="32"/>
        <v>72.336666666666659</v>
      </c>
      <c r="N930" s="16">
        <f t="shared" ca="1" si="33"/>
        <v>65.436666666666653</v>
      </c>
    </row>
    <row r="931" spans="1:14" ht="24.75" customHeight="1" x14ac:dyDescent="0.8">
      <c r="A931" s="18" t="s">
        <v>894</v>
      </c>
      <c r="B931" s="10">
        <f ca="1">IFERROR(__xludf.DUMMYFUNCTION("GOOGLEFINANCE(A931,""PRICE"")"),140.64)</f>
        <v>140.63999999999999</v>
      </c>
      <c r="C931" s="11">
        <f ca="1">IFERROR(__xludf.DUMMYFUNCTION("GOOGLEFINANCE(A931,""PRICEOPEN"")"),140.5)</f>
        <v>140.5</v>
      </c>
      <c r="D931" s="11">
        <f ca="1">IFERROR(__xludf.DUMMYFUNCTION("GOOGLEFINANCE(A931,""HIGH"")"),140.87)</f>
        <v>140.87</v>
      </c>
      <c r="E931" s="11">
        <f ca="1">IFERROR(__xludf.DUMMYFUNCTION("GOOGLEFINANCE(A931,""LOW"")"),139.01)</f>
        <v>139.01</v>
      </c>
      <c r="F931" s="12" t="str">
        <f t="shared" ca="1" si="28"/>
        <v/>
      </c>
      <c r="G931" s="13">
        <f ca="1">IFERROR(__xludf.DUMMYFUNCTION("GOOGLEFINANCE(A931,""CLOSEYEST"")"),139.84)</f>
        <v>139.84</v>
      </c>
      <c r="H931" s="14" t="str">
        <f t="shared" ca="1" si="34"/>
        <v/>
      </c>
      <c r="I931" s="15">
        <f t="shared" ca="1" si="29"/>
        <v>139.90666666666667</v>
      </c>
      <c r="J931" s="16">
        <f t="shared" ca="1" si="30"/>
        <v>140.80333333333334</v>
      </c>
      <c r="K931" s="16"/>
      <c r="L931" s="16">
        <f t="shared" ca="1" si="31"/>
        <v>138.94333333333333</v>
      </c>
      <c r="M931" s="16">
        <f t="shared" ca="1" si="32"/>
        <v>141.76666666666668</v>
      </c>
      <c r="N931" s="16">
        <f t="shared" ca="1" si="33"/>
        <v>138.04666666666665</v>
      </c>
    </row>
    <row r="932" spans="1:14" ht="24.75" customHeight="1" x14ac:dyDescent="0.8">
      <c r="A932" s="18" t="s">
        <v>895</v>
      </c>
      <c r="B932" s="10">
        <f ca="1">IFERROR(__xludf.DUMMYFUNCTION("GOOGLEFINANCE(A932,""PRICE"")"),730)</f>
        <v>730</v>
      </c>
      <c r="C932" s="11">
        <f ca="1">IFERROR(__xludf.DUMMYFUNCTION("GOOGLEFINANCE(A932,""PRICEOPEN"")"),725)</f>
        <v>725</v>
      </c>
      <c r="D932" s="11">
        <f ca="1">IFERROR(__xludf.DUMMYFUNCTION("GOOGLEFINANCE(A932,""HIGH"")"),739.4)</f>
        <v>739.4</v>
      </c>
      <c r="E932" s="11">
        <f ca="1">IFERROR(__xludf.DUMMYFUNCTION("GOOGLEFINANCE(A932,""LOW"")"),718.65)</f>
        <v>718.65</v>
      </c>
      <c r="F932" s="12" t="str">
        <f t="shared" ca="1" si="28"/>
        <v/>
      </c>
      <c r="G932" s="13">
        <f ca="1">IFERROR(__xludf.DUMMYFUNCTION("GOOGLEFINANCE(A932,""CLOSEYEST"")"),722)</f>
        <v>722</v>
      </c>
      <c r="H932" s="14" t="str">
        <f t="shared" ca="1" si="34"/>
        <v/>
      </c>
      <c r="I932" s="15">
        <f t="shared" ca="1" si="29"/>
        <v>726.68333333333339</v>
      </c>
      <c r="J932" s="16">
        <f t="shared" ca="1" si="30"/>
        <v>734.71666666666681</v>
      </c>
      <c r="K932" s="16"/>
      <c r="L932" s="16">
        <f t="shared" ca="1" si="31"/>
        <v>713.96666666666681</v>
      </c>
      <c r="M932" s="16">
        <f t="shared" ca="1" si="32"/>
        <v>747.43333333333339</v>
      </c>
      <c r="N932" s="16">
        <f t="shared" ca="1" si="33"/>
        <v>705.93333333333339</v>
      </c>
    </row>
    <row r="933" spans="1:14" ht="24.75" customHeight="1" x14ac:dyDescent="0.8">
      <c r="A933" s="18" t="s">
        <v>896</v>
      </c>
      <c r="B933" s="10">
        <f ca="1">IFERROR(__xludf.DUMMYFUNCTION("GOOGLEFINANCE(A933,""PRICE"")"),525)</f>
        <v>525</v>
      </c>
      <c r="C933" s="11">
        <f ca="1">IFERROR(__xludf.DUMMYFUNCTION("GOOGLEFINANCE(A933,""PRICEOPEN"")"),523.65)</f>
        <v>523.65</v>
      </c>
      <c r="D933" s="11">
        <f ca="1">IFERROR(__xludf.DUMMYFUNCTION("GOOGLEFINANCE(A933,""HIGH"")"),529.45)</f>
        <v>529.45000000000005</v>
      </c>
      <c r="E933" s="11">
        <f ca="1">IFERROR(__xludf.DUMMYFUNCTION("GOOGLEFINANCE(A933,""LOW"")"),520.2)</f>
        <v>520.20000000000005</v>
      </c>
      <c r="F933" s="12" t="str">
        <f t="shared" ca="1" si="28"/>
        <v/>
      </c>
      <c r="G933" s="13">
        <f ca="1">IFERROR(__xludf.DUMMYFUNCTION("GOOGLEFINANCE(A933,""CLOSEYEST"")"),524.45)</f>
        <v>524.45000000000005</v>
      </c>
      <c r="H933" s="14" t="str">
        <f t="shared" ca="1" si="34"/>
        <v/>
      </c>
      <c r="I933" s="15">
        <f t="shared" ca="1" si="29"/>
        <v>524.70000000000005</v>
      </c>
      <c r="J933" s="16">
        <f t="shared" ca="1" si="30"/>
        <v>529.20000000000005</v>
      </c>
      <c r="K933" s="16"/>
      <c r="L933" s="16">
        <f t="shared" ca="1" si="31"/>
        <v>519.95000000000005</v>
      </c>
      <c r="M933" s="16">
        <f t="shared" ca="1" si="32"/>
        <v>533.95000000000005</v>
      </c>
      <c r="N933" s="16">
        <f t="shared" ca="1" si="33"/>
        <v>515.45000000000005</v>
      </c>
    </row>
    <row r="934" spans="1:14" ht="24.75" customHeight="1" x14ac:dyDescent="0.8">
      <c r="A934" s="18" t="s">
        <v>897</v>
      </c>
      <c r="B934" s="10">
        <f ca="1">IFERROR(__xludf.DUMMYFUNCTION("GOOGLEFINANCE(A934,""PRICE"")"),356.9)</f>
        <v>356.9</v>
      </c>
      <c r="C934" s="11">
        <f ca="1">IFERROR(__xludf.DUMMYFUNCTION("GOOGLEFINANCE(A934,""PRICEOPEN"")"),349.3)</f>
        <v>349.3</v>
      </c>
      <c r="D934" s="11">
        <f ca="1">IFERROR(__xludf.DUMMYFUNCTION("GOOGLEFINANCE(A934,""HIGH"")"),357)</f>
        <v>357</v>
      </c>
      <c r="E934" s="11">
        <f ca="1">IFERROR(__xludf.DUMMYFUNCTION("GOOGLEFINANCE(A934,""LOW"")"),349.2)</f>
        <v>349.2</v>
      </c>
      <c r="F934" s="12" t="str">
        <f t="shared" ca="1" si="28"/>
        <v/>
      </c>
      <c r="G934" s="13">
        <f ca="1">IFERROR(__xludf.DUMMYFUNCTION("GOOGLEFINANCE(A934,""CLOSEYEST"")"),349.2)</f>
        <v>349.2</v>
      </c>
      <c r="H934" s="14" t="str">
        <f t="shared" ca="1" si="34"/>
        <v/>
      </c>
      <c r="I934" s="15">
        <f t="shared" ca="1" si="29"/>
        <v>351.8</v>
      </c>
      <c r="J934" s="16">
        <f t="shared" ca="1" si="30"/>
        <v>354.40000000000003</v>
      </c>
      <c r="K934" s="16"/>
      <c r="L934" s="16">
        <f t="shared" ca="1" si="31"/>
        <v>346.6</v>
      </c>
      <c r="M934" s="16">
        <f t="shared" ca="1" si="32"/>
        <v>359.6</v>
      </c>
      <c r="N934" s="16">
        <f t="shared" ca="1" si="33"/>
        <v>344</v>
      </c>
    </row>
    <row r="935" spans="1:14" ht="24.75" customHeight="1" x14ac:dyDescent="0.8">
      <c r="A935" s="18" t="s">
        <v>898</v>
      </c>
      <c r="B935" s="10">
        <f ca="1">IFERROR(__xludf.DUMMYFUNCTION("GOOGLEFINANCE(A935,""PRICE"")"),178.15)</f>
        <v>178.15</v>
      </c>
      <c r="C935" s="11">
        <f ca="1">IFERROR(__xludf.DUMMYFUNCTION("GOOGLEFINANCE(A935,""PRICEOPEN"")"),178.15)</f>
        <v>178.15</v>
      </c>
      <c r="D935" s="11">
        <f ca="1">IFERROR(__xludf.DUMMYFUNCTION("GOOGLEFINANCE(A935,""HIGH"")"),178.15)</f>
        <v>178.15</v>
      </c>
      <c r="E935" s="11">
        <f ca="1">IFERROR(__xludf.DUMMYFUNCTION("GOOGLEFINANCE(A935,""LOW"")"),178.15)</f>
        <v>178.15</v>
      </c>
      <c r="F935" s="12" t="str">
        <f t="shared" ca="1" si="28"/>
        <v>SELL</v>
      </c>
      <c r="G935" s="13">
        <f ca="1">IFERROR(__xludf.DUMMYFUNCTION("GOOGLEFINANCE(A935,""CLOSEYEST"")"),187.53)</f>
        <v>187.53</v>
      </c>
      <c r="H935" s="14" t="str">
        <f t="shared" ca="1" si="34"/>
        <v>GAP DOWN</v>
      </c>
      <c r="I935" s="15">
        <f t="shared" ca="1" si="29"/>
        <v>181.27666666666667</v>
      </c>
      <c r="J935" s="16">
        <f t="shared" ca="1" si="30"/>
        <v>184.40333333333334</v>
      </c>
      <c r="K935" s="16"/>
      <c r="L935" s="16">
        <f t="shared" ca="1" si="31"/>
        <v>184.40333333333334</v>
      </c>
      <c r="M935" s="16">
        <f t="shared" ca="1" si="32"/>
        <v>181.27666666666667</v>
      </c>
      <c r="N935" s="16">
        <f t="shared" ca="1" si="33"/>
        <v>181.27666666666667</v>
      </c>
    </row>
    <row r="936" spans="1:14" ht="24.75" customHeight="1" x14ac:dyDescent="0.8">
      <c r="A936" s="18" t="s">
        <v>899</v>
      </c>
      <c r="B936" s="10">
        <f ca="1">IFERROR(__xludf.DUMMYFUNCTION("GOOGLEFINANCE(A936,""PRICE"")"),2675)</f>
        <v>2675</v>
      </c>
      <c r="C936" s="11">
        <f ca="1">IFERROR(__xludf.DUMMYFUNCTION("GOOGLEFINANCE(A936,""PRICEOPEN"")"),2699.9)</f>
        <v>2699.9</v>
      </c>
      <c r="D936" s="11">
        <f ca="1">IFERROR(__xludf.DUMMYFUNCTION("GOOGLEFINANCE(A936,""HIGH"")"),2699.9)</f>
        <v>2699.9</v>
      </c>
      <c r="E936" s="11">
        <f ca="1">IFERROR(__xludf.DUMMYFUNCTION("GOOGLEFINANCE(A936,""LOW"")"),2665)</f>
        <v>2665</v>
      </c>
      <c r="F936" s="12" t="str">
        <f t="shared" ca="1" si="28"/>
        <v>SELL</v>
      </c>
      <c r="G936" s="13">
        <f ca="1">IFERROR(__xludf.DUMMYFUNCTION("GOOGLEFINANCE(A936,""CLOSEYEST"")"),2664.5)</f>
        <v>2664.5</v>
      </c>
      <c r="H936" s="14" t="str">
        <f t="shared" ca="1" si="34"/>
        <v>GAP UP</v>
      </c>
      <c r="I936" s="15">
        <f t="shared" ca="1" si="29"/>
        <v>2676.4666666666667</v>
      </c>
      <c r="J936" s="16">
        <f t="shared" ca="1" si="30"/>
        <v>2687.9333333333334</v>
      </c>
      <c r="K936" s="16"/>
      <c r="L936" s="16">
        <f t="shared" ca="1" si="31"/>
        <v>2653.0333333333333</v>
      </c>
      <c r="M936" s="16">
        <f t="shared" ca="1" si="32"/>
        <v>2711.3666666666668</v>
      </c>
      <c r="N936" s="16">
        <f t="shared" ca="1" si="33"/>
        <v>2641.5666666666666</v>
      </c>
    </row>
    <row r="937" spans="1:14" ht="24.75" customHeight="1" x14ac:dyDescent="0.8">
      <c r="A937" s="18" t="s">
        <v>900</v>
      </c>
      <c r="B937" s="10">
        <f ca="1">IFERROR(__xludf.DUMMYFUNCTION("GOOGLEFINANCE(A937,""PRICE"")"),1425)</f>
        <v>1425</v>
      </c>
      <c r="C937" s="11">
        <f ca="1">IFERROR(__xludf.DUMMYFUNCTION("GOOGLEFINANCE(A937,""PRICEOPEN"")"),1440)</f>
        <v>1440</v>
      </c>
      <c r="D937" s="11">
        <f ca="1">IFERROR(__xludf.DUMMYFUNCTION("GOOGLEFINANCE(A937,""HIGH"")"),1449)</f>
        <v>1449</v>
      </c>
      <c r="E937" s="11">
        <f ca="1">IFERROR(__xludf.DUMMYFUNCTION("GOOGLEFINANCE(A937,""LOW"")"),1405.4)</f>
        <v>1405.4</v>
      </c>
      <c r="F937" s="12" t="str">
        <f t="shared" ca="1" si="28"/>
        <v/>
      </c>
      <c r="G937" s="13">
        <f ca="1">IFERROR(__xludf.DUMMYFUNCTION("GOOGLEFINANCE(A937,""CLOSEYEST"")"),1433.6)</f>
        <v>1433.6</v>
      </c>
      <c r="H937" s="14" t="str">
        <f t="shared" ca="1" si="34"/>
        <v/>
      </c>
      <c r="I937" s="15">
        <f t="shared" ca="1" si="29"/>
        <v>1429.3333333333333</v>
      </c>
      <c r="J937" s="16">
        <f t="shared" ca="1" si="30"/>
        <v>1453.2666666666664</v>
      </c>
      <c r="K937" s="16"/>
      <c r="L937" s="16">
        <f t="shared" ca="1" si="31"/>
        <v>1409.6666666666665</v>
      </c>
      <c r="M937" s="16">
        <f t="shared" ca="1" si="32"/>
        <v>1472.9333333333332</v>
      </c>
      <c r="N937" s="16">
        <f t="shared" ca="1" si="33"/>
        <v>1385.7333333333333</v>
      </c>
    </row>
    <row r="938" spans="1:14" ht="24.75" customHeight="1" x14ac:dyDescent="0.8">
      <c r="A938" s="18" t="s">
        <v>901</v>
      </c>
      <c r="B938" s="10">
        <f ca="1">IFERROR(__xludf.DUMMYFUNCTION("GOOGLEFINANCE(A938,""PRICE"")"),147.7)</f>
        <v>147.69999999999999</v>
      </c>
      <c r="C938" s="11">
        <f ca="1">IFERROR(__xludf.DUMMYFUNCTION("GOOGLEFINANCE(A938,""PRICEOPEN"")"),147.01)</f>
        <v>147.01</v>
      </c>
      <c r="D938" s="11">
        <f ca="1">IFERROR(__xludf.DUMMYFUNCTION("GOOGLEFINANCE(A938,""HIGH"")"),150.78)</f>
        <v>150.78</v>
      </c>
      <c r="E938" s="11">
        <f ca="1">IFERROR(__xludf.DUMMYFUNCTION("GOOGLEFINANCE(A938,""LOW"")"),147)</f>
        <v>147</v>
      </c>
      <c r="F938" s="12" t="str">
        <f t="shared" ca="1" si="28"/>
        <v/>
      </c>
      <c r="G938" s="13">
        <f ca="1">IFERROR(__xludf.DUMMYFUNCTION("GOOGLEFINANCE(A938,""CLOSEYEST"")"),148.11)</f>
        <v>148.11000000000001</v>
      </c>
      <c r="H938" s="14" t="str">
        <f t="shared" ca="1" si="34"/>
        <v/>
      </c>
      <c r="I938" s="15">
        <f t="shared" ca="1" si="29"/>
        <v>148.63</v>
      </c>
      <c r="J938" s="16">
        <f t="shared" ca="1" si="30"/>
        <v>150.26</v>
      </c>
      <c r="K938" s="16"/>
      <c r="L938" s="16">
        <f t="shared" ca="1" si="31"/>
        <v>146.47999999999999</v>
      </c>
      <c r="M938" s="16">
        <f t="shared" ca="1" si="32"/>
        <v>152.41</v>
      </c>
      <c r="N938" s="16">
        <f t="shared" ca="1" si="33"/>
        <v>144.85</v>
      </c>
    </row>
    <row r="939" spans="1:14" ht="24.75" customHeight="1" x14ac:dyDescent="0.8">
      <c r="A939" s="18" t="s">
        <v>902</v>
      </c>
      <c r="B939" s="10">
        <f ca="1">IFERROR(__xludf.DUMMYFUNCTION("GOOGLEFINANCE(A939,""PRICE"")"),1218)</f>
        <v>1218</v>
      </c>
      <c r="C939" s="11">
        <f ca="1">IFERROR(__xludf.DUMMYFUNCTION("GOOGLEFINANCE(A939,""PRICEOPEN"")"),1211.1)</f>
        <v>1211.0999999999999</v>
      </c>
      <c r="D939" s="11">
        <f ca="1">IFERROR(__xludf.DUMMYFUNCTION("GOOGLEFINANCE(A939,""HIGH"")"),1238.2)</f>
        <v>1238.2</v>
      </c>
      <c r="E939" s="11">
        <f ca="1">IFERROR(__xludf.DUMMYFUNCTION("GOOGLEFINANCE(A939,""LOW"")"),1206.6)</f>
        <v>1206.5999999999999</v>
      </c>
      <c r="F939" s="12" t="str">
        <f t="shared" ca="1" si="28"/>
        <v/>
      </c>
      <c r="G939" s="13">
        <f ca="1">IFERROR(__xludf.DUMMYFUNCTION("GOOGLEFINANCE(A939,""CLOSEYEST"")"),1206.3)</f>
        <v>1206.3</v>
      </c>
      <c r="H939" s="14" t="str">
        <f t="shared" ca="1" si="34"/>
        <v/>
      </c>
      <c r="I939" s="15">
        <f t="shared" ca="1" si="29"/>
        <v>1217.0333333333335</v>
      </c>
      <c r="J939" s="16">
        <f t="shared" ca="1" si="30"/>
        <v>1227.4666666666672</v>
      </c>
      <c r="K939" s="16"/>
      <c r="L939" s="16">
        <f t="shared" ca="1" si="31"/>
        <v>1195.866666666667</v>
      </c>
      <c r="M939" s="16">
        <f t="shared" ca="1" si="32"/>
        <v>1248.6333333333337</v>
      </c>
      <c r="N939" s="16">
        <f t="shared" ca="1" si="33"/>
        <v>1185.4333333333334</v>
      </c>
    </row>
    <row r="940" spans="1:14" ht="24.75" customHeight="1" x14ac:dyDescent="0.8">
      <c r="A940" s="18" t="s">
        <v>903</v>
      </c>
      <c r="B940" s="10">
        <f ca="1">IFERROR(__xludf.DUMMYFUNCTION("GOOGLEFINANCE(A940,""PRICE"")"),71.2)</f>
        <v>71.2</v>
      </c>
      <c r="C940" s="11">
        <f ca="1">IFERROR(__xludf.DUMMYFUNCTION("GOOGLEFINANCE(A940,""PRICEOPEN"")"),72.59)</f>
        <v>72.59</v>
      </c>
      <c r="D940" s="11">
        <f ca="1">IFERROR(__xludf.DUMMYFUNCTION("GOOGLEFINANCE(A940,""HIGH"")"),72.79)</f>
        <v>72.790000000000006</v>
      </c>
      <c r="E940" s="11">
        <f ca="1">IFERROR(__xludf.DUMMYFUNCTION("GOOGLEFINANCE(A940,""LOW"")"),71)</f>
        <v>71</v>
      </c>
      <c r="F940" s="12" t="str">
        <f t="shared" ca="1" si="28"/>
        <v/>
      </c>
      <c r="G940" s="13">
        <f ca="1">IFERROR(__xludf.DUMMYFUNCTION("GOOGLEFINANCE(A940,""CLOSEYEST"")"),72.35)</f>
        <v>72.349999999999994</v>
      </c>
      <c r="H940" s="14" t="str">
        <f t="shared" ca="1" si="34"/>
        <v/>
      </c>
      <c r="I940" s="15">
        <f t="shared" ca="1" si="29"/>
        <v>72.046666666666667</v>
      </c>
      <c r="J940" s="16">
        <f t="shared" ca="1" si="30"/>
        <v>73.093333333333334</v>
      </c>
      <c r="K940" s="16"/>
      <c r="L940" s="16">
        <f t="shared" ca="1" si="31"/>
        <v>71.303333333333327</v>
      </c>
      <c r="M940" s="16">
        <f t="shared" ca="1" si="32"/>
        <v>73.836666666666673</v>
      </c>
      <c r="N940" s="16">
        <f t="shared" ca="1" si="33"/>
        <v>70.256666666666661</v>
      </c>
    </row>
    <row r="941" spans="1:14" ht="24.75" customHeight="1" x14ac:dyDescent="0.8">
      <c r="A941" s="18" t="s">
        <v>904</v>
      </c>
      <c r="B941" s="10">
        <f ca="1">IFERROR(__xludf.DUMMYFUNCTION("GOOGLEFINANCE(A941,""PRICE"")"),209)</f>
        <v>209</v>
      </c>
      <c r="C941" s="11">
        <f ca="1">IFERROR(__xludf.DUMMYFUNCTION("GOOGLEFINANCE(A941,""PRICEOPEN"")"),208.79)</f>
        <v>208.79</v>
      </c>
      <c r="D941" s="11">
        <f ca="1">IFERROR(__xludf.DUMMYFUNCTION("GOOGLEFINANCE(A941,""HIGH"")"),211)</f>
        <v>211</v>
      </c>
      <c r="E941" s="11">
        <f ca="1">IFERROR(__xludf.DUMMYFUNCTION("GOOGLEFINANCE(A941,""LOW"")"),204.5)</f>
        <v>204.5</v>
      </c>
      <c r="F941" s="12" t="str">
        <f t="shared" ca="1" si="28"/>
        <v/>
      </c>
      <c r="G941" s="13">
        <f ca="1">IFERROR(__xludf.DUMMYFUNCTION("GOOGLEFINANCE(A941,""CLOSEYEST"")"),207.05)</f>
        <v>207.05</v>
      </c>
      <c r="H941" s="14" t="str">
        <f t="shared" ca="1" si="34"/>
        <v/>
      </c>
      <c r="I941" s="15">
        <f t="shared" ca="1" si="29"/>
        <v>207.51666666666665</v>
      </c>
      <c r="J941" s="16">
        <f t="shared" ca="1" si="30"/>
        <v>210.5333333333333</v>
      </c>
      <c r="K941" s="16"/>
      <c r="L941" s="16">
        <f t="shared" ca="1" si="31"/>
        <v>204.0333333333333</v>
      </c>
      <c r="M941" s="16">
        <f t="shared" ca="1" si="32"/>
        <v>214.01666666666665</v>
      </c>
      <c r="N941" s="16">
        <f t="shared" ca="1" si="33"/>
        <v>201.01666666666665</v>
      </c>
    </row>
    <row r="942" spans="1:14" ht="24.75" customHeight="1" x14ac:dyDescent="0.8">
      <c r="A942" s="18" t="s">
        <v>905</v>
      </c>
      <c r="B942" s="10">
        <f ca="1">IFERROR(__xludf.DUMMYFUNCTION("GOOGLEFINANCE(A942,""PRICE"")"),823.5)</f>
        <v>823.5</v>
      </c>
      <c r="C942" s="11">
        <f ca="1">IFERROR(__xludf.DUMMYFUNCTION("GOOGLEFINANCE(A942,""PRICEOPEN"")"),827.9)</f>
        <v>827.9</v>
      </c>
      <c r="D942" s="11">
        <f ca="1">IFERROR(__xludf.DUMMYFUNCTION("GOOGLEFINANCE(A942,""HIGH"")"),831.05)</f>
        <v>831.05</v>
      </c>
      <c r="E942" s="11">
        <f ca="1">IFERROR(__xludf.DUMMYFUNCTION("GOOGLEFINANCE(A942,""LOW"")"),819)</f>
        <v>819</v>
      </c>
      <c r="F942" s="12" t="str">
        <f t="shared" ca="1" si="28"/>
        <v/>
      </c>
      <c r="G942" s="13">
        <f ca="1">IFERROR(__xludf.DUMMYFUNCTION("GOOGLEFINANCE(A942,""CLOSEYEST"")"),823.55)</f>
        <v>823.55</v>
      </c>
      <c r="H942" s="14" t="str">
        <f t="shared" ca="1" si="34"/>
        <v/>
      </c>
      <c r="I942" s="15">
        <f t="shared" ca="1" si="29"/>
        <v>824.5333333333333</v>
      </c>
      <c r="J942" s="16">
        <f t="shared" ca="1" si="30"/>
        <v>830.06666666666661</v>
      </c>
      <c r="K942" s="16"/>
      <c r="L942" s="16">
        <f t="shared" ca="1" si="31"/>
        <v>818.01666666666665</v>
      </c>
      <c r="M942" s="16">
        <f t="shared" ca="1" si="32"/>
        <v>836.58333333333326</v>
      </c>
      <c r="N942" s="16">
        <f t="shared" ca="1" si="33"/>
        <v>812.48333333333335</v>
      </c>
    </row>
    <row r="943" spans="1:14" ht="24.75" customHeight="1" x14ac:dyDescent="0.8">
      <c r="A943" s="18" t="s">
        <v>906</v>
      </c>
      <c r="B943" s="10">
        <f ca="1">IFERROR(__xludf.DUMMYFUNCTION("GOOGLEFINANCE(A943,""PRICE"")"),289)</f>
        <v>289</v>
      </c>
      <c r="C943" s="11">
        <f ca="1">IFERROR(__xludf.DUMMYFUNCTION("GOOGLEFINANCE(A943,""PRICEOPEN"")"),279)</f>
        <v>279</v>
      </c>
      <c r="D943" s="11">
        <f ca="1">IFERROR(__xludf.DUMMYFUNCTION("GOOGLEFINANCE(A943,""HIGH"")"),290)</f>
        <v>290</v>
      </c>
      <c r="E943" s="11">
        <f ca="1">IFERROR(__xludf.DUMMYFUNCTION("GOOGLEFINANCE(A943,""LOW"")"),278.05)</f>
        <v>278.05</v>
      </c>
      <c r="F943" s="12" t="str">
        <f t="shared" ca="1" si="28"/>
        <v/>
      </c>
      <c r="G943" s="13">
        <f ca="1">IFERROR(__xludf.DUMMYFUNCTION("GOOGLEFINANCE(A943,""CLOSEYEST"")"),282.85)</f>
        <v>282.85000000000002</v>
      </c>
      <c r="H943" s="14" t="str">
        <f t="shared" ca="1" si="34"/>
        <v>GAP DOWN</v>
      </c>
      <c r="I943" s="15">
        <f t="shared" ca="1" si="29"/>
        <v>283.63333333333333</v>
      </c>
      <c r="J943" s="16">
        <f t="shared" ca="1" si="30"/>
        <v>289.21666666666664</v>
      </c>
      <c r="K943" s="16"/>
      <c r="L943" s="16">
        <f t="shared" ca="1" si="31"/>
        <v>277.26666666666665</v>
      </c>
      <c r="M943" s="16">
        <f t="shared" ca="1" si="32"/>
        <v>295.58333333333331</v>
      </c>
      <c r="N943" s="16">
        <f t="shared" ca="1" si="33"/>
        <v>271.68333333333334</v>
      </c>
    </row>
    <row r="944" spans="1:14" ht="24.75" customHeight="1" x14ac:dyDescent="0.8">
      <c r="A944" s="18" t="s">
        <v>907</v>
      </c>
      <c r="B944" s="10">
        <f ca="1">IFERROR(__xludf.DUMMYFUNCTION("GOOGLEFINANCE(A944,""PRICE"")"),414.4)</f>
        <v>414.4</v>
      </c>
      <c r="C944" s="11">
        <f ca="1">IFERROR(__xludf.DUMMYFUNCTION("GOOGLEFINANCE(A944,""PRICEOPEN"")"),403)</f>
        <v>403</v>
      </c>
      <c r="D944" s="11">
        <f ca="1">IFERROR(__xludf.DUMMYFUNCTION("GOOGLEFINANCE(A944,""HIGH"")"),425)</f>
        <v>425</v>
      </c>
      <c r="E944" s="11">
        <f ca="1">IFERROR(__xludf.DUMMYFUNCTION("GOOGLEFINANCE(A944,""LOW"")"),398.5)</f>
        <v>398.5</v>
      </c>
      <c r="F944" s="12" t="str">
        <f t="shared" ca="1" si="28"/>
        <v/>
      </c>
      <c r="G944" s="13">
        <f ca="1">IFERROR(__xludf.DUMMYFUNCTION("GOOGLEFINANCE(A944,""CLOSEYEST"")"),401)</f>
        <v>401</v>
      </c>
      <c r="H944" s="14" t="str">
        <f t="shared" ca="1" si="34"/>
        <v/>
      </c>
      <c r="I944" s="15">
        <f t="shared" ca="1" si="29"/>
        <v>408.16666666666669</v>
      </c>
      <c r="J944" s="16">
        <f t="shared" ca="1" si="30"/>
        <v>417.83333333333337</v>
      </c>
      <c r="K944" s="16"/>
      <c r="L944" s="16">
        <f t="shared" ca="1" si="31"/>
        <v>391.33333333333337</v>
      </c>
      <c r="M944" s="16">
        <f t="shared" ca="1" si="32"/>
        <v>434.66666666666669</v>
      </c>
      <c r="N944" s="16">
        <f t="shared" ca="1" si="33"/>
        <v>381.66666666666669</v>
      </c>
    </row>
    <row r="945" spans="1:14" ht="24.75" customHeight="1" x14ac:dyDescent="0.8">
      <c r="A945" s="18" t="s">
        <v>908</v>
      </c>
      <c r="B945" s="10">
        <f ca="1">IFERROR(__xludf.DUMMYFUNCTION("GOOGLEFINANCE(A945,""PRICE"")"),41)</f>
        <v>41</v>
      </c>
      <c r="C945" s="11">
        <f ca="1">IFERROR(__xludf.DUMMYFUNCTION("GOOGLEFINANCE(A945,""PRICEOPEN"")"),41.42)</f>
        <v>41.42</v>
      </c>
      <c r="D945" s="11">
        <f ca="1">IFERROR(__xludf.DUMMYFUNCTION("GOOGLEFINANCE(A945,""HIGH"")"),42.2)</f>
        <v>42.2</v>
      </c>
      <c r="E945" s="11">
        <f ca="1">IFERROR(__xludf.DUMMYFUNCTION("GOOGLEFINANCE(A945,""LOW"")"),40.8)</f>
        <v>40.799999999999997</v>
      </c>
      <c r="F945" s="12" t="str">
        <f t="shared" ca="1" si="28"/>
        <v/>
      </c>
      <c r="G945" s="13">
        <f ca="1">IFERROR(__xludf.DUMMYFUNCTION("GOOGLEFINANCE(A945,""CLOSEYEST"")"),41.42)</f>
        <v>41.42</v>
      </c>
      <c r="H945" s="14" t="str">
        <f t="shared" ca="1" si="34"/>
        <v/>
      </c>
      <c r="I945" s="15">
        <f t="shared" ca="1" si="29"/>
        <v>41.473333333333336</v>
      </c>
      <c r="J945" s="16">
        <f t="shared" ca="1" si="30"/>
        <v>42.146666666666675</v>
      </c>
      <c r="K945" s="16"/>
      <c r="L945" s="16">
        <f t="shared" ca="1" si="31"/>
        <v>40.74666666666667</v>
      </c>
      <c r="M945" s="16">
        <f t="shared" ca="1" si="32"/>
        <v>42.873333333333342</v>
      </c>
      <c r="N945" s="16">
        <f t="shared" ca="1" si="33"/>
        <v>40.073333333333331</v>
      </c>
    </row>
    <row r="946" spans="1:14" ht="24.75" customHeight="1" x14ac:dyDescent="0.8">
      <c r="A946" s="18" t="s">
        <v>909</v>
      </c>
      <c r="B946" s="10">
        <f ca="1">IFERROR(__xludf.DUMMYFUNCTION("GOOGLEFINANCE(A946,""PRICE"")"),1050)</f>
        <v>1050</v>
      </c>
      <c r="C946" s="11">
        <f ca="1">IFERROR(__xludf.DUMMYFUNCTION("GOOGLEFINANCE(A946,""PRICEOPEN"")"),1008.75)</f>
        <v>1008.75</v>
      </c>
      <c r="D946" s="11">
        <f ca="1">IFERROR(__xludf.DUMMYFUNCTION("GOOGLEFINANCE(A946,""HIGH"")"),1050)</f>
        <v>1050</v>
      </c>
      <c r="E946" s="11">
        <f ca="1">IFERROR(__xludf.DUMMYFUNCTION("GOOGLEFINANCE(A946,""LOW"")"),1008.05)</f>
        <v>1008.05</v>
      </c>
      <c r="F946" s="12" t="str">
        <f t="shared" ca="1" si="28"/>
        <v/>
      </c>
      <c r="G946" s="13">
        <f ca="1">IFERROR(__xludf.DUMMYFUNCTION("GOOGLEFINANCE(A946,""CLOSEYEST"")"),1003.85)</f>
        <v>1003.85</v>
      </c>
      <c r="H946" s="14" t="str">
        <f t="shared" ca="1" si="34"/>
        <v/>
      </c>
      <c r="I946" s="15">
        <f t="shared" ca="1" si="29"/>
        <v>1020.6333333333333</v>
      </c>
      <c r="J946" s="16">
        <f t="shared" ca="1" si="30"/>
        <v>1033.2166666666667</v>
      </c>
      <c r="K946" s="16"/>
      <c r="L946" s="16">
        <f t="shared" ca="1" si="31"/>
        <v>991.26666666666665</v>
      </c>
      <c r="M946" s="16">
        <f t="shared" ca="1" si="32"/>
        <v>1062.5833333333335</v>
      </c>
      <c r="N946" s="16">
        <f t="shared" ca="1" si="33"/>
        <v>978.68333333333328</v>
      </c>
    </row>
    <row r="947" spans="1:14" ht="24.75" customHeight="1" x14ac:dyDescent="0.8">
      <c r="A947" s="18" t="s">
        <v>910</v>
      </c>
      <c r="B947" s="10">
        <f ca="1">IFERROR(__xludf.DUMMYFUNCTION("GOOGLEFINANCE(A947,""PRICE"")"),2.24)</f>
        <v>2.2400000000000002</v>
      </c>
      <c r="C947" s="11">
        <f ca="1">IFERROR(__xludf.DUMMYFUNCTION("GOOGLEFINANCE(A947,""PRICEOPEN"")"),2.26)</f>
        <v>2.2599999999999998</v>
      </c>
      <c r="D947" s="11">
        <f ca="1">IFERROR(__xludf.DUMMYFUNCTION("GOOGLEFINANCE(A947,""HIGH"")"),2.3)</f>
        <v>2.2999999999999998</v>
      </c>
      <c r="E947" s="11">
        <f ca="1">IFERROR(__xludf.DUMMYFUNCTION("GOOGLEFINANCE(A947,""LOW"")"),2.22)</f>
        <v>2.2200000000000002</v>
      </c>
      <c r="F947" s="12" t="str">
        <f t="shared" ca="1" si="28"/>
        <v/>
      </c>
      <c r="G947" s="13">
        <f ca="1">IFERROR(__xludf.DUMMYFUNCTION("GOOGLEFINANCE(A947,""CLOSEYEST"")"),2.26)</f>
        <v>2.2599999999999998</v>
      </c>
      <c r="H947" s="14" t="str">
        <f t="shared" ca="1" si="34"/>
        <v/>
      </c>
      <c r="I947" s="15">
        <f t="shared" ca="1" si="29"/>
        <v>2.2599999999999998</v>
      </c>
      <c r="J947" s="16">
        <f t="shared" ca="1" si="30"/>
        <v>2.2999999999999994</v>
      </c>
      <c r="K947" s="16"/>
      <c r="L947" s="16">
        <f t="shared" ca="1" si="31"/>
        <v>2.2199999999999998</v>
      </c>
      <c r="M947" s="16">
        <f t="shared" ca="1" si="32"/>
        <v>2.3399999999999994</v>
      </c>
      <c r="N947" s="16">
        <f t="shared" ca="1" si="33"/>
        <v>2.1800000000000002</v>
      </c>
    </row>
    <row r="948" spans="1:14" ht="24.75" customHeight="1" x14ac:dyDescent="0.8">
      <c r="A948" s="18" t="s">
        <v>911</v>
      </c>
      <c r="B948" s="10">
        <f ca="1">IFERROR(__xludf.DUMMYFUNCTION("GOOGLEFINANCE(A948,""PRICE"")"),1136)</f>
        <v>1136</v>
      </c>
      <c r="C948" s="11">
        <f ca="1">IFERROR(__xludf.DUMMYFUNCTION("GOOGLEFINANCE(A948,""PRICEOPEN"")"),1135.2)</f>
        <v>1135.2</v>
      </c>
      <c r="D948" s="11">
        <f ca="1">IFERROR(__xludf.DUMMYFUNCTION("GOOGLEFINANCE(A948,""HIGH"")"),1158.3)</f>
        <v>1158.3</v>
      </c>
      <c r="E948" s="11">
        <f ca="1">IFERROR(__xludf.DUMMYFUNCTION("GOOGLEFINANCE(A948,""LOW"")"),1122.2)</f>
        <v>1122.2</v>
      </c>
      <c r="F948" s="12" t="str">
        <f t="shared" ca="1" si="28"/>
        <v/>
      </c>
      <c r="G948" s="13">
        <f ca="1">IFERROR(__xludf.DUMMYFUNCTION("GOOGLEFINANCE(A948,""CLOSEYEST"")"),1131)</f>
        <v>1131</v>
      </c>
      <c r="H948" s="14" t="str">
        <f t="shared" ca="1" si="34"/>
        <v/>
      </c>
      <c r="I948" s="15">
        <f t="shared" ca="1" si="29"/>
        <v>1137.1666666666667</v>
      </c>
      <c r="J948" s="16">
        <f t="shared" ca="1" si="30"/>
        <v>1152.1333333333334</v>
      </c>
      <c r="K948" s="16"/>
      <c r="L948" s="16">
        <f t="shared" ca="1" si="31"/>
        <v>1116.0333333333335</v>
      </c>
      <c r="M948" s="16">
        <f t="shared" ca="1" si="32"/>
        <v>1173.2666666666667</v>
      </c>
      <c r="N948" s="16">
        <f t="shared" ca="1" si="33"/>
        <v>1101.0666666666668</v>
      </c>
    </row>
    <row r="949" spans="1:14" ht="24.75" customHeight="1" x14ac:dyDescent="0.8">
      <c r="A949" s="18" t="s">
        <v>912</v>
      </c>
      <c r="B949" s="10">
        <f ca="1">IFERROR(__xludf.DUMMYFUNCTION("GOOGLEFINANCE(A949,""PRICE"")"),1299.8)</f>
        <v>1299.8</v>
      </c>
      <c r="C949" s="11">
        <f ca="1">IFERROR(__xludf.DUMMYFUNCTION("GOOGLEFINANCE(A949,""PRICEOPEN"")"),1336.5)</f>
        <v>1336.5</v>
      </c>
      <c r="D949" s="11">
        <f ca="1">IFERROR(__xludf.DUMMYFUNCTION("GOOGLEFINANCE(A949,""HIGH"")"),1336.5)</f>
        <v>1336.5</v>
      </c>
      <c r="E949" s="11">
        <f ca="1">IFERROR(__xludf.DUMMYFUNCTION("GOOGLEFINANCE(A949,""LOW"")"),1291)</f>
        <v>1291</v>
      </c>
      <c r="F949" s="12" t="str">
        <f t="shared" ca="1" si="28"/>
        <v>SELL</v>
      </c>
      <c r="G949" s="13">
        <f ca="1">IFERROR(__xludf.DUMMYFUNCTION("GOOGLEFINANCE(A949,""CLOSEYEST"")"),1318.1)</f>
        <v>1318.1</v>
      </c>
      <c r="H949" s="14" t="str">
        <f t="shared" ca="1" si="34"/>
        <v>GAP UP</v>
      </c>
      <c r="I949" s="15">
        <f t="shared" ca="1" si="29"/>
        <v>1315.2</v>
      </c>
      <c r="J949" s="16">
        <f t="shared" ca="1" si="30"/>
        <v>1339.4</v>
      </c>
      <c r="K949" s="16"/>
      <c r="L949" s="16">
        <f t="shared" ca="1" si="31"/>
        <v>1293.9000000000001</v>
      </c>
      <c r="M949" s="16">
        <f t="shared" ca="1" si="32"/>
        <v>1360.7</v>
      </c>
      <c r="N949" s="16">
        <f t="shared" ca="1" si="33"/>
        <v>1269.7</v>
      </c>
    </row>
    <row r="950" spans="1:14" ht="24.75" customHeight="1" x14ac:dyDescent="0.8">
      <c r="A950" s="18" t="s">
        <v>913</v>
      </c>
      <c r="B950" s="10">
        <f ca="1">IFERROR(__xludf.DUMMYFUNCTION("GOOGLEFINANCE(A950,""PRICE"")"),594.95)</f>
        <v>594.95000000000005</v>
      </c>
      <c r="C950" s="11">
        <f ca="1">IFERROR(__xludf.DUMMYFUNCTION("GOOGLEFINANCE(A950,""PRICEOPEN"")"),588.35)</f>
        <v>588.35</v>
      </c>
      <c r="D950" s="11">
        <f ca="1">IFERROR(__xludf.DUMMYFUNCTION("GOOGLEFINANCE(A950,""HIGH"")"),595.55)</f>
        <v>595.54999999999995</v>
      </c>
      <c r="E950" s="11">
        <f ca="1">IFERROR(__xludf.DUMMYFUNCTION("GOOGLEFINANCE(A950,""LOW"")"),584.85)</f>
        <v>584.85</v>
      </c>
      <c r="F950" s="12" t="str">
        <f t="shared" ca="1" si="28"/>
        <v/>
      </c>
      <c r="G950" s="13">
        <f ca="1">IFERROR(__xludf.DUMMYFUNCTION("GOOGLEFINANCE(A950,""CLOSEYEST"")"),588.35)</f>
        <v>588.35</v>
      </c>
      <c r="H950" s="14" t="str">
        <f t="shared" ca="1" si="34"/>
        <v/>
      </c>
      <c r="I950" s="15">
        <f t="shared" ca="1" si="29"/>
        <v>589.58333333333337</v>
      </c>
      <c r="J950" s="16">
        <f t="shared" ca="1" si="30"/>
        <v>594.31666666666672</v>
      </c>
      <c r="K950" s="16"/>
      <c r="L950" s="16">
        <f t="shared" ca="1" si="31"/>
        <v>583.61666666666679</v>
      </c>
      <c r="M950" s="16">
        <f t="shared" ca="1" si="32"/>
        <v>600.2833333333333</v>
      </c>
      <c r="N950" s="16">
        <f t="shared" ca="1" si="33"/>
        <v>578.88333333333344</v>
      </c>
    </row>
    <row r="951" spans="1:14" ht="24.75" customHeight="1" x14ac:dyDescent="0.8">
      <c r="A951" s="18" t="s">
        <v>914</v>
      </c>
      <c r="B951" s="10">
        <f ca="1">IFERROR(__xludf.DUMMYFUNCTION("GOOGLEFINANCE(A951,""PRICE"")"),516)</f>
        <v>516</v>
      </c>
      <c r="C951" s="11">
        <f ca="1">IFERROR(__xludf.DUMMYFUNCTION("GOOGLEFINANCE(A951,""PRICEOPEN"")"),497.85)</f>
        <v>497.85</v>
      </c>
      <c r="D951" s="11">
        <f ca="1">IFERROR(__xludf.DUMMYFUNCTION("GOOGLEFINANCE(A951,""HIGH"")"),516)</f>
        <v>516</v>
      </c>
      <c r="E951" s="11">
        <f ca="1">IFERROR(__xludf.DUMMYFUNCTION("GOOGLEFINANCE(A951,""LOW"")"),494)</f>
        <v>494</v>
      </c>
      <c r="F951" s="12" t="str">
        <f t="shared" ca="1" si="28"/>
        <v/>
      </c>
      <c r="G951" s="13">
        <f ca="1">IFERROR(__xludf.DUMMYFUNCTION("GOOGLEFINANCE(A951,""CLOSEYEST"")"),493.45)</f>
        <v>493.45</v>
      </c>
      <c r="H951" s="14" t="str">
        <f t="shared" ca="1" si="34"/>
        <v/>
      </c>
      <c r="I951" s="15">
        <f t="shared" ca="1" si="29"/>
        <v>501.15000000000003</v>
      </c>
      <c r="J951" s="16">
        <f t="shared" ca="1" si="30"/>
        <v>508.30000000000007</v>
      </c>
      <c r="K951" s="16"/>
      <c r="L951" s="16">
        <f t="shared" ca="1" si="31"/>
        <v>486.30000000000007</v>
      </c>
      <c r="M951" s="16">
        <f t="shared" ca="1" si="32"/>
        <v>523.15000000000009</v>
      </c>
      <c r="N951" s="16">
        <f t="shared" ca="1" si="33"/>
        <v>479.15000000000003</v>
      </c>
    </row>
    <row r="952" spans="1:14" ht="24.75" customHeight="1" x14ac:dyDescent="0.8">
      <c r="A952" s="18" t="s">
        <v>915</v>
      </c>
      <c r="B952" s="10">
        <f ca="1">IFERROR(__xludf.DUMMYFUNCTION("GOOGLEFINANCE(A952,""PRICE"")"),69.73)</f>
        <v>69.73</v>
      </c>
      <c r="C952" s="11">
        <f ca="1">IFERROR(__xludf.DUMMYFUNCTION("GOOGLEFINANCE(A952,""PRICEOPEN"")"),69.4)</f>
        <v>69.400000000000006</v>
      </c>
      <c r="D952" s="11">
        <f ca="1">IFERROR(__xludf.DUMMYFUNCTION("GOOGLEFINANCE(A952,""HIGH"")"),69.9)</f>
        <v>69.900000000000006</v>
      </c>
      <c r="E952" s="11">
        <f ca="1">IFERROR(__xludf.DUMMYFUNCTION("GOOGLEFINANCE(A952,""LOW"")"),68.81)</f>
        <v>68.81</v>
      </c>
      <c r="F952" s="12" t="str">
        <f t="shared" ca="1" si="28"/>
        <v/>
      </c>
      <c r="G952" s="13">
        <f ca="1">IFERROR(__xludf.DUMMYFUNCTION("GOOGLEFINANCE(A952,""CLOSEYEST"")"),69.37)</f>
        <v>69.37</v>
      </c>
      <c r="H952" s="14" t="str">
        <f t="shared" ca="1" si="34"/>
        <v/>
      </c>
      <c r="I952" s="15">
        <f t="shared" ca="1" si="29"/>
        <v>69.36</v>
      </c>
      <c r="J952" s="16">
        <f t="shared" ca="1" si="30"/>
        <v>69.91</v>
      </c>
      <c r="K952" s="16"/>
      <c r="L952" s="16">
        <f t="shared" ca="1" si="31"/>
        <v>68.819999999999993</v>
      </c>
      <c r="M952" s="16">
        <f t="shared" ca="1" si="32"/>
        <v>70.45</v>
      </c>
      <c r="N952" s="16">
        <f t="shared" ca="1" si="33"/>
        <v>68.27</v>
      </c>
    </row>
    <row r="953" spans="1:14" ht="24.75" customHeight="1" x14ac:dyDescent="0.8">
      <c r="A953" s="18" t="s">
        <v>916</v>
      </c>
      <c r="B953" s="10">
        <f ca="1">IFERROR(__xludf.DUMMYFUNCTION("GOOGLEFINANCE(A953,""PRICE"")"),282.1)</f>
        <v>282.10000000000002</v>
      </c>
      <c r="C953" s="11">
        <f ca="1">IFERROR(__xludf.DUMMYFUNCTION("GOOGLEFINANCE(A953,""PRICEOPEN"")"),277.45)</f>
        <v>277.45</v>
      </c>
      <c r="D953" s="11">
        <f ca="1">IFERROR(__xludf.DUMMYFUNCTION("GOOGLEFINANCE(A953,""HIGH"")"),284.4)</f>
        <v>284.39999999999998</v>
      </c>
      <c r="E953" s="11">
        <f ca="1">IFERROR(__xludf.DUMMYFUNCTION("GOOGLEFINANCE(A953,""LOW"")"),275.15)</f>
        <v>275.14999999999998</v>
      </c>
      <c r="F953" s="12" t="str">
        <f t="shared" ca="1" si="28"/>
        <v/>
      </c>
      <c r="G953" s="13">
        <f ca="1">IFERROR(__xludf.DUMMYFUNCTION("GOOGLEFINANCE(A953,""CLOSEYEST"")"),276.75)</f>
        <v>276.75</v>
      </c>
      <c r="H953" s="14" t="str">
        <f t="shared" ca="1" si="34"/>
        <v/>
      </c>
      <c r="I953" s="15">
        <f t="shared" ca="1" si="29"/>
        <v>278.76666666666665</v>
      </c>
      <c r="J953" s="16">
        <f t="shared" ca="1" si="30"/>
        <v>282.38333333333333</v>
      </c>
      <c r="K953" s="16"/>
      <c r="L953" s="16">
        <f t="shared" ca="1" si="31"/>
        <v>273.13333333333333</v>
      </c>
      <c r="M953" s="16">
        <f t="shared" ca="1" si="32"/>
        <v>288.01666666666665</v>
      </c>
      <c r="N953" s="16">
        <f t="shared" ca="1" si="33"/>
        <v>269.51666666666665</v>
      </c>
    </row>
    <row r="954" spans="1:14" ht="24.75" customHeight="1" x14ac:dyDescent="0.8">
      <c r="A954" s="18" t="s">
        <v>917</v>
      </c>
      <c r="B954" s="10">
        <f ca="1">IFERROR(__xludf.DUMMYFUNCTION("GOOGLEFINANCE(A954,""PRICE"")"),111.99)</f>
        <v>111.99</v>
      </c>
      <c r="C954" s="11">
        <f ca="1">IFERROR(__xludf.DUMMYFUNCTION("GOOGLEFINANCE(A954,""PRICEOPEN"")"),111.6)</f>
        <v>111.6</v>
      </c>
      <c r="D954" s="11">
        <f ca="1">IFERROR(__xludf.DUMMYFUNCTION("GOOGLEFINANCE(A954,""HIGH"")"),113.04)</f>
        <v>113.04</v>
      </c>
      <c r="E954" s="11">
        <f ca="1">IFERROR(__xludf.DUMMYFUNCTION("GOOGLEFINANCE(A954,""LOW"")"),110.73)</f>
        <v>110.73</v>
      </c>
      <c r="F954" s="12" t="str">
        <f t="shared" ca="1" si="28"/>
        <v/>
      </c>
      <c r="G954" s="13">
        <f ca="1">IFERROR(__xludf.DUMMYFUNCTION("GOOGLEFINANCE(A954,""CLOSEYEST"")"),111.32)</f>
        <v>111.32</v>
      </c>
      <c r="H954" s="14" t="str">
        <f t="shared" ca="1" si="34"/>
        <v/>
      </c>
      <c r="I954" s="15">
        <f t="shared" ca="1" si="29"/>
        <v>111.69666666666667</v>
      </c>
      <c r="J954" s="16">
        <f t="shared" ca="1" si="30"/>
        <v>112.66333333333334</v>
      </c>
      <c r="K954" s="16"/>
      <c r="L954" s="16">
        <f t="shared" ca="1" si="31"/>
        <v>110.35333333333334</v>
      </c>
      <c r="M954" s="16">
        <f t="shared" ca="1" si="32"/>
        <v>114.00666666666667</v>
      </c>
      <c r="N954" s="16">
        <f t="shared" ca="1" si="33"/>
        <v>109.38666666666667</v>
      </c>
    </row>
    <row r="955" spans="1:14" ht="24.75" customHeight="1" x14ac:dyDescent="0.8">
      <c r="A955" s="18" t="s">
        <v>918</v>
      </c>
      <c r="B955" s="10" t="str">
        <f ca="1">IFERROR(__xludf.DUMMYFUNCTION("GOOGLEFINANCE(A955,""PRICE"")"),"#N/A")</f>
        <v>#N/A</v>
      </c>
      <c r="C955" s="11" t="str">
        <f ca="1">IFERROR(__xludf.DUMMYFUNCTION("GOOGLEFINANCE(A955,""PRICEOPEN"")"),"#N/A")</f>
        <v>#N/A</v>
      </c>
      <c r="D955" s="11" t="str">
        <f ca="1">IFERROR(__xludf.DUMMYFUNCTION("GOOGLEFINANCE(A955,""HIGH"")"),"#N/A")</f>
        <v>#N/A</v>
      </c>
      <c r="E955" s="11" t="str">
        <f ca="1">IFERROR(__xludf.DUMMYFUNCTION("GOOGLEFINANCE(A955,""LOW"")"),"#N/A")</f>
        <v>#N/A</v>
      </c>
      <c r="F955" s="12" t="str">
        <f t="shared" ca="1" si="28"/>
        <v>SELL</v>
      </c>
      <c r="G955" s="13" t="str">
        <f ca="1">IFERROR(__xludf.DUMMYFUNCTION("GOOGLEFINANCE(A955,""CLOSEYEST"")"),"#N/A")</f>
        <v>#N/A</v>
      </c>
      <c r="H955" s="14" t="e">
        <f t="shared" ca="1" si="34"/>
        <v>#VALUE!</v>
      </c>
      <c r="I955" s="15" t="e">
        <f t="shared" ca="1" si="29"/>
        <v>#VALUE!</v>
      </c>
      <c r="J955" s="16" t="e">
        <f t="shared" ca="1" si="30"/>
        <v>#VALUE!</v>
      </c>
      <c r="K955" s="16"/>
      <c r="L955" s="16" t="e">
        <f t="shared" ca="1" si="31"/>
        <v>#VALUE!</v>
      </c>
      <c r="M955" s="16" t="e">
        <f t="shared" ca="1" si="32"/>
        <v>#VALUE!</v>
      </c>
      <c r="N955" s="16" t="e">
        <f t="shared" ca="1" si="33"/>
        <v>#VALUE!</v>
      </c>
    </row>
    <row r="956" spans="1:14" ht="24.75" customHeight="1" x14ac:dyDescent="0.8">
      <c r="A956" s="18" t="s">
        <v>919</v>
      </c>
      <c r="B956" s="10">
        <f ca="1">IFERROR(__xludf.DUMMYFUNCTION("GOOGLEFINANCE(A956,""PRICE"")"),288.25)</f>
        <v>288.25</v>
      </c>
      <c r="C956" s="11">
        <f ca="1">IFERROR(__xludf.DUMMYFUNCTION("GOOGLEFINANCE(A956,""PRICEOPEN"")"),284.4)</f>
        <v>284.39999999999998</v>
      </c>
      <c r="D956" s="11">
        <f ca="1">IFERROR(__xludf.DUMMYFUNCTION("GOOGLEFINANCE(A956,""HIGH"")"),288.8)</f>
        <v>288.8</v>
      </c>
      <c r="E956" s="11">
        <f ca="1">IFERROR(__xludf.DUMMYFUNCTION("GOOGLEFINANCE(A956,""LOW"")"),282.7)</f>
        <v>282.7</v>
      </c>
      <c r="F956" s="12" t="str">
        <f t="shared" ca="1" si="28"/>
        <v/>
      </c>
      <c r="G956" s="13">
        <f ca="1">IFERROR(__xludf.DUMMYFUNCTION("GOOGLEFINANCE(A956,""CLOSEYEST"")"),283.05)</f>
        <v>283.05</v>
      </c>
      <c r="H956" s="14" t="str">
        <f t="shared" ca="1" si="34"/>
        <v/>
      </c>
      <c r="I956" s="15">
        <f t="shared" ca="1" si="29"/>
        <v>284.84999999999997</v>
      </c>
      <c r="J956" s="16">
        <f t="shared" ca="1" si="30"/>
        <v>286.99999999999994</v>
      </c>
      <c r="K956" s="16"/>
      <c r="L956" s="16">
        <f t="shared" ca="1" si="31"/>
        <v>280.89999999999992</v>
      </c>
      <c r="M956" s="16">
        <f t="shared" ca="1" si="32"/>
        <v>290.95</v>
      </c>
      <c r="N956" s="16">
        <f t="shared" ca="1" si="33"/>
        <v>278.74999999999994</v>
      </c>
    </row>
    <row r="957" spans="1:14" ht="24.75" customHeight="1" x14ac:dyDescent="0.8">
      <c r="A957" s="18" t="s">
        <v>920</v>
      </c>
      <c r="B957" s="10">
        <f ca="1">IFERROR(__xludf.DUMMYFUNCTION("GOOGLEFINANCE(A957,""PRICE"")"),11.6)</f>
        <v>11.6</v>
      </c>
      <c r="C957" s="11">
        <f ca="1">IFERROR(__xludf.DUMMYFUNCTION("GOOGLEFINANCE(A957,""PRICEOPEN"")"),11.56)</f>
        <v>11.56</v>
      </c>
      <c r="D957" s="11">
        <f ca="1">IFERROR(__xludf.DUMMYFUNCTION("GOOGLEFINANCE(A957,""HIGH"")"),11.65)</f>
        <v>11.65</v>
      </c>
      <c r="E957" s="11">
        <f ca="1">IFERROR(__xludf.DUMMYFUNCTION("GOOGLEFINANCE(A957,""LOW"")"),11.45)</f>
        <v>11.45</v>
      </c>
      <c r="F957" s="12" t="str">
        <f t="shared" ca="1" si="28"/>
        <v/>
      </c>
      <c r="G957" s="13">
        <f ca="1">IFERROR(__xludf.DUMMYFUNCTION("GOOGLEFINANCE(A957,""CLOSEYEST"")"),11.57)</f>
        <v>11.57</v>
      </c>
      <c r="H957" s="14" t="str">
        <f t="shared" ca="1" si="34"/>
        <v/>
      </c>
      <c r="I957" s="15">
        <f t="shared" ca="1" si="29"/>
        <v>11.556666666666667</v>
      </c>
      <c r="J957" s="16">
        <f t="shared" ca="1" si="30"/>
        <v>11.663333333333334</v>
      </c>
      <c r="K957" s="16"/>
      <c r="L957" s="16">
        <f t="shared" ca="1" si="31"/>
        <v>11.463333333333333</v>
      </c>
      <c r="M957" s="16">
        <f t="shared" ca="1" si="32"/>
        <v>11.756666666666668</v>
      </c>
      <c r="N957" s="16">
        <f t="shared" ca="1" si="33"/>
        <v>11.356666666666666</v>
      </c>
    </row>
    <row r="958" spans="1:14" ht="24.75" customHeight="1" x14ac:dyDescent="0.8">
      <c r="A958" s="18" t="s">
        <v>921</v>
      </c>
      <c r="B958" s="10">
        <f ca="1">IFERROR(__xludf.DUMMYFUNCTION("GOOGLEFINANCE(A958,""PRICE"")"),1.86)</f>
        <v>1.86</v>
      </c>
      <c r="C958" s="11">
        <f ca="1">IFERROR(__xludf.DUMMYFUNCTION("GOOGLEFINANCE(A958,""PRICEOPEN"")"),1.85)</f>
        <v>1.85</v>
      </c>
      <c r="D958" s="11">
        <f ca="1">IFERROR(__xludf.DUMMYFUNCTION("GOOGLEFINANCE(A958,""HIGH"")"),1.87)</f>
        <v>1.87</v>
      </c>
      <c r="E958" s="11">
        <f ca="1">IFERROR(__xludf.DUMMYFUNCTION("GOOGLEFINANCE(A958,""LOW"")"),1.73)</f>
        <v>1.73</v>
      </c>
      <c r="F958" s="12" t="str">
        <f t="shared" ca="1" si="28"/>
        <v/>
      </c>
      <c r="G958" s="13">
        <f ca="1">IFERROR(__xludf.DUMMYFUNCTION("GOOGLEFINANCE(A958,""CLOSEYEST"")"),1.79)</f>
        <v>1.79</v>
      </c>
      <c r="H958" s="14" t="str">
        <f t="shared" ca="1" si="34"/>
        <v>GAP UP</v>
      </c>
      <c r="I958" s="15">
        <f t="shared" ca="1" si="29"/>
        <v>1.7966666666666669</v>
      </c>
      <c r="J958" s="16">
        <f t="shared" ca="1" si="30"/>
        <v>1.8633333333333337</v>
      </c>
      <c r="K958" s="16"/>
      <c r="L958" s="16">
        <f t="shared" ca="1" si="31"/>
        <v>1.7233333333333336</v>
      </c>
      <c r="M958" s="16">
        <f t="shared" ca="1" si="32"/>
        <v>1.936666666666667</v>
      </c>
      <c r="N958" s="16">
        <f t="shared" ca="1" si="33"/>
        <v>1.6566666666666667</v>
      </c>
    </row>
    <row r="959" spans="1:14" ht="24.75" customHeight="1" x14ac:dyDescent="0.8">
      <c r="A959" s="18" t="s">
        <v>922</v>
      </c>
      <c r="B959" s="10">
        <f ca="1">IFERROR(__xludf.DUMMYFUNCTION("GOOGLEFINANCE(A959,""PRICE"")"),387.85)</f>
        <v>387.85</v>
      </c>
      <c r="C959" s="11">
        <f ca="1">IFERROR(__xludf.DUMMYFUNCTION("GOOGLEFINANCE(A959,""PRICEOPEN"")"),375)</f>
        <v>375</v>
      </c>
      <c r="D959" s="11">
        <f ca="1">IFERROR(__xludf.DUMMYFUNCTION("GOOGLEFINANCE(A959,""HIGH"")"),393.3)</f>
        <v>393.3</v>
      </c>
      <c r="E959" s="11">
        <f ca="1">IFERROR(__xludf.DUMMYFUNCTION("GOOGLEFINANCE(A959,""LOW"")"),375)</f>
        <v>375</v>
      </c>
      <c r="F959" s="12" t="str">
        <f t="shared" ca="1" si="28"/>
        <v>BUY</v>
      </c>
      <c r="G959" s="13">
        <f ca="1">IFERROR(__xludf.DUMMYFUNCTION("GOOGLEFINANCE(A959,""CLOSEYEST"")"),376.65)</f>
        <v>376.65</v>
      </c>
      <c r="H959" s="14" t="str">
        <f t="shared" ca="1" si="34"/>
        <v/>
      </c>
      <c r="I959" s="15">
        <f t="shared" ca="1" si="29"/>
        <v>381.64999999999992</v>
      </c>
      <c r="J959" s="16">
        <f t="shared" ca="1" si="30"/>
        <v>388.29999999999984</v>
      </c>
      <c r="K959" s="16"/>
      <c r="L959" s="16">
        <f t="shared" ca="1" si="31"/>
        <v>369.99999999999983</v>
      </c>
      <c r="M959" s="16">
        <f t="shared" ca="1" si="32"/>
        <v>399.94999999999993</v>
      </c>
      <c r="N959" s="16">
        <f t="shared" ca="1" si="33"/>
        <v>363.34999999999991</v>
      </c>
    </row>
    <row r="960" spans="1:14" ht="24.75" customHeight="1" x14ac:dyDescent="0.8">
      <c r="A960" s="18" t="s">
        <v>923</v>
      </c>
      <c r="B960" s="10">
        <f ca="1">IFERROR(__xludf.DUMMYFUNCTION("GOOGLEFINANCE(A960,""PRICE"")"),268)</f>
        <v>268</v>
      </c>
      <c r="C960" s="11">
        <f ca="1">IFERROR(__xludf.DUMMYFUNCTION("GOOGLEFINANCE(A960,""PRICEOPEN"")"),260)</f>
        <v>260</v>
      </c>
      <c r="D960" s="11">
        <f ca="1">IFERROR(__xludf.DUMMYFUNCTION("GOOGLEFINANCE(A960,""HIGH"")"),270)</f>
        <v>270</v>
      </c>
      <c r="E960" s="11">
        <f ca="1">IFERROR(__xludf.DUMMYFUNCTION("GOOGLEFINANCE(A960,""LOW"")"),257.29)</f>
        <v>257.29000000000002</v>
      </c>
      <c r="F960" s="12" t="str">
        <f t="shared" ca="1" si="28"/>
        <v/>
      </c>
      <c r="G960" s="13">
        <f ca="1">IFERROR(__xludf.DUMMYFUNCTION("GOOGLEFINANCE(A960,""CLOSEYEST"")"),257.97)</f>
        <v>257.97000000000003</v>
      </c>
      <c r="H960" s="14" t="str">
        <f t="shared" ca="1" si="34"/>
        <v/>
      </c>
      <c r="I960" s="15">
        <f t="shared" ca="1" si="29"/>
        <v>261.75333333333333</v>
      </c>
      <c r="J960" s="16">
        <f t="shared" ca="1" si="30"/>
        <v>266.21666666666664</v>
      </c>
      <c r="K960" s="16"/>
      <c r="L960" s="16">
        <f t="shared" ca="1" si="31"/>
        <v>253.50666666666666</v>
      </c>
      <c r="M960" s="16">
        <f t="shared" ca="1" si="32"/>
        <v>274.46333333333331</v>
      </c>
      <c r="N960" s="16">
        <f t="shared" ca="1" si="33"/>
        <v>249.04333333333335</v>
      </c>
    </row>
    <row r="961" spans="1:14" ht="24.75" customHeight="1" x14ac:dyDescent="0.8">
      <c r="A961" s="18" t="s">
        <v>924</v>
      </c>
      <c r="B961" s="10">
        <f ca="1">IFERROR(__xludf.DUMMYFUNCTION("GOOGLEFINANCE(A961,""PRICE"")"),487)</f>
        <v>487</v>
      </c>
      <c r="C961" s="11">
        <f ca="1">IFERROR(__xludf.DUMMYFUNCTION("GOOGLEFINANCE(A961,""PRICEOPEN"")"),482)</f>
        <v>482</v>
      </c>
      <c r="D961" s="11">
        <f ca="1">IFERROR(__xludf.DUMMYFUNCTION("GOOGLEFINANCE(A961,""HIGH"")"),487.25)</f>
        <v>487.25</v>
      </c>
      <c r="E961" s="11">
        <f ca="1">IFERROR(__xludf.DUMMYFUNCTION("GOOGLEFINANCE(A961,""LOW"")"),475.15)</f>
        <v>475.15</v>
      </c>
      <c r="F961" s="12" t="str">
        <f t="shared" ca="1" si="28"/>
        <v/>
      </c>
      <c r="G961" s="13">
        <f ca="1">IFERROR(__xludf.DUMMYFUNCTION("GOOGLEFINANCE(A961,""CLOSEYEST"")"),477.75)</f>
        <v>477.75</v>
      </c>
      <c r="H961" s="14" t="str">
        <f t="shared" ca="1" si="34"/>
        <v/>
      </c>
      <c r="I961" s="15">
        <f t="shared" ca="1" si="29"/>
        <v>480.05</v>
      </c>
      <c r="J961" s="16">
        <f t="shared" ca="1" si="30"/>
        <v>484.95000000000005</v>
      </c>
      <c r="K961" s="16"/>
      <c r="L961" s="16">
        <f t="shared" ca="1" si="31"/>
        <v>472.85</v>
      </c>
      <c r="M961" s="16">
        <f t="shared" ca="1" si="32"/>
        <v>492.15000000000003</v>
      </c>
      <c r="N961" s="16">
        <f t="shared" ca="1" si="33"/>
        <v>467.95</v>
      </c>
    </row>
    <row r="962" spans="1:14" ht="24.75" customHeight="1" x14ac:dyDescent="0.8">
      <c r="A962" s="18" t="s">
        <v>925</v>
      </c>
      <c r="B962" s="10">
        <f ca="1">IFERROR(__xludf.DUMMYFUNCTION("GOOGLEFINANCE(A962,""PRICE"")"),498.9)</f>
        <v>498.9</v>
      </c>
      <c r="C962" s="11">
        <f ca="1">IFERROR(__xludf.DUMMYFUNCTION("GOOGLEFINANCE(A962,""PRICEOPEN"")"),504.95)</f>
        <v>504.95</v>
      </c>
      <c r="D962" s="11">
        <f ca="1">IFERROR(__xludf.DUMMYFUNCTION("GOOGLEFINANCE(A962,""HIGH"")"),509.7)</f>
        <v>509.7</v>
      </c>
      <c r="E962" s="11">
        <f ca="1">IFERROR(__xludf.DUMMYFUNCTION("GOOGLEFINANCE(A962,""LOW"")"),491.3)</f>
        <v>491.3</v>
      </c>
      <c r="F962" s="12" t="str">
        <f t="shared" ca="1" si="28"/>
        <v/>
      </c>
      <c r="G962" s="13">
        <f ca="1">IFERROR(__xludf.DUMMYFUNCTION("GOOGLEFINANCE(A962,""CLOSEYEST"")"),504.1)</f>
        <v>504.1</v>
      </c>
      <c r="H962" s="14" t="str">
        <f t="shared" ca="1" si="34"/>
        <v/>
      </c>
      <c r="I962" s="15">
        <f t="shared" ca="1" si="29"/>
        <v>501.7</v>
      </c>
      <c r="J962" s="16">
        <f t="shared" ca="1" si="30"/>
        <v>512.09999999999991</v>
      </c>
      <c r="K962" s="16"/>
      <c r="L962" s="16">
        <f t="shared" ca="1" si="31"/>
        <v>493.7</v>
      </c>
      <c r="M962" s="16">
        <f t="shared" ca="1" si="32"/>
        <v>520.09999999999991</v>
      </c>
      <c r="N962" s="16">
        <f t="shared" ca="1" si="33"/>
        <v>483.30000000000007</v>
      </c>
    </row>
    <row r="963" spans="1:14" ht="24.75" customHeight="1" x14ac:dyDescent="0.8">
      <c r="A963" s="18" t="s">
        <v>926</v>
      </c>
      <c r="B963" s="10">
        <f ca="1">IFERROR(__xludf.DUMMYFUNCTION("GOOGLEFINANCE(A963,""PRICE"")"),90.42)</f>
        <v>90.42</v>
      </c>
      <c r="C963" s="11">
        <f ca="1">IFERROR(__xludf.DUMMYFUNCTION("GOOGLEFINANCE(A963,""PRICEOPEN"")"),91.7)</f>
        <v>91.7</v>
      </c>
      <c r="D963" s="11">
        <f ca="1">IFERROR(__xludf.DUMMYFUNCTION("GOOGLEFINANCE(A963,""HIGH"")"),92.32)</f>
        <v>92.32</v>
      </c>
      <c r="E963" s="11">
        <f ca="1">IFERROR(__xludf.DUMMYFUNCTION("GOOGLEFINANCE(A963,""LOW"")"),90.4)</f>
        <v>90.4</v>
      </c>
      <c r="F963" s="12" t="str">
        <f t="shared" ca="1" si="28"/>
        <v/>
      </c>
      <c r="G963" s="13">
        <f ca="1">IFERROR(__xludf.DUMMYFUNCTION("GOOGLEFINANCE(A963,""CLOSEYEST"")"),91.64)</f>
        <v>91.64</v>
      </c>
      <c r="H963" s="14" t="str">
        <f t="shared" ca="1" si="34"/>
        <v/>
      </c>
      <c r="I963" s="15">
        <f t="shared" ca="1" si="29"/>
        <v>91.453333333333333</v>
      </c>
      <c r="J963" s="16">
        <f t="shared" ca="1" si="30"/>
        <v>92.506666666666661</v>
      </c>
      <c r="K963" s="16"/>
      <c r="L963" s="16">
        <f t="shared" ca="1" si="31"/>
        <v>90.586666666666673</v>
      </c>
      <c r="M963" s="16">
        <f t="shared" ca="1" si="32"/>
        <v>93.373333333333321</v>
      </c>
      <c r="N963" s="16">
        <f t="shared" ca="1" si="33"/>
        <v>89.533333333333346</v>
      </c>
    </row>
    <row r="964" spans="1:14" ht="24.75" customHeight="1" x14ac:dyDescent="0.8">
      <c r="A964" s="18" t="s">
        <v>927</v>
      </c>
      <c r="B964" s="10">
        <f ca="1">IFERROR(__xludf.DUMMYFUNCTION("GOOGLEFINANCE(A964,""PRICE"")"),8.72)</f>
        <v>8.7200000000000006</v>
      </c>
      <c r="C964" s="11">
        <f ca="1">IFERROR(__xludf.DUMMYFUNCTION("GOOGLEFINANCE(A964,""PRICEOPEN"")"),8.58)</f>
        <v>8.58</v>
      </c>
      <c r="D964" s="11">
        <f ca="1">IFERROR(__xludf.DUMMYFUNCTION("GOOGLEFINANCE(A964,""HIGH"")"),8.82)</f>
        <v>8.82</v>
      </c>
      <c r="E964" s="11">
        <f ca="1">IFERROR(__xludf.DUMMYFUNCTION("GOOGLEFINANCE(A964,""LOW"")"),8.57)</f>
        <v>8.57</v>
      </c>
      <c r="F964" s="12" t="str">
        <f t="shared" ca="1" si="28"/>
        <v/>
      </c>
      <c r="G964" s="13">
        <f ca="1">IFERROR(__xludf.DUMMYFUNCTION("GOOGLEFINANCE(A964,""CLOSEYEST"")"),8.4)</f>
        <v>8.4</v>
      </c>
      <c r="H964" s="14" t="str">
        <f t="shared" ca="1" si="34"/>
        <v>GAP UP</v>
      </c>
      <c r="I964" s="15">
        <f t="shared" ca="1" si="29"/>
        <v>8.5966666666666658</v>
      </c>
      <c r="J964" s="16">
        <f t="shared" ca="1" si="30"/>
        <v>8.6233333333333313</v>
      </c>
      <c r="K964" s="16"/>
      <c r="L964" s="16">
        <f t="shared" ca="1" si="31"/>
        <v>8.3733333333333313</v>
      </c>
      <c r="M964" s="16">
        <f t="shared" ca="1" si="32"/>
        <v>8.8466666666666658</v>
      </c>
      <c r="N964" s="16">
        <f t="shared" ca="1" si="33"/>
        <v>8.3466666666666658</v>
      </c>
    </row>
    <row r="965" spans="1:14" ht="24.75" customHeight="1" x14ac:dyDescent="0.8">
      <c r="A965" s="18" t="s">
        <v>928</v>
      </c>
      <c r="B965" s="10">
        <f ca="1">IFERROR(__xludf.DUMMYFUNCTION("GOOGLEFINANCE(A965,""PRICE"")"),199.85)</f>
        <v>199.85</v>
      </c>
      <c r="C965" s="11">
        <f ca="1">IFERROR(__xludf.DUMMYFUNCTION("GOOGLEFINANCE(A965,""PRICEOPEN"")"),199.89)</f>
        <v>199.89</v>
      </c>
      <c r="D965" s="11">
        <f ca="1">IFERROR(__xludf.DUMMYFUNCTION("GOOGLEFINANCE(A965,""HIGH"")"),200.5)</f>
        <v>200.5</v>
      </c>
      <c r="E965" s="11">
        <f ca="1">IFERROR(__xludf.DUMMYFUNCTION("GOOGLEFINANCE(A965,""LOW"")"),197.75)</f>
        <v>197.75</v>
      </c>
      <c r="F965" s="12" t="str">
        <f t="shared" ca="1" si="28"/>
        <v/>
      </c>
      <c r="G965" s="13">
        <f ca="1">IFERROR(__xludf.DUMMYFUNCTION("GOOGLEFINANCE(A965,""CLOSEYEST"")"),198.2)</f>
        <v>198.2</v>
      </c>
      <c r="H965" s="14" t="str">
        <f t="shared" ca="1" si="34"/>
        <v/>
      </c>
      <c r="I965" s="15">
        <f t="shared" ca="1" si="29"/>
        <v>198.81666666666669</v>
      </c>
      <c r="J965" s="16">
        <f t="shared" ca="1" si="30"/>
        <v>199.88333333333338</v>
      </c>
      <c r="K965" s="16"/>
      <c r="L965" s="16">
        <f t="shared" ca="1" si="31"/>
        <v>197.13333333333338</v>
      </c>
      <c r="M965" s="16">
        <f t="shared" ca="1" si="32"/>
        <v>201.56666666666669</v>
      </c>
      <c r="N965" s="16">
        <f t="shared" ca="1" si="33"/>
        <v>196.06666666666669</v>
      </c>
    </row>
    <row r="966" spans="1:14" ht="24.75" customHeight="1" x14ac:dyDescent="0.8">
      <c r="A966" s="18" t="s">
        <v>929</v>
      </c>
      <c r="B966" s="10">
        <f ca="1">IFERROR(__xludf.DUMMYFUNCTION("GOOGLEFINANCE(A966,""PRICE"")"),178.8)</f>
        <v>178.8</v>
      </c>
      <c r="C966" s="11">
        <f ca="1">IFERROR(__xludf.DUMMYFUNCTION("GOOGLEFINANCE(A966,""PRICEOPEN"")"),173.29)</f>
        <v>173.29</v>
      </c>
      <c r="D966" s="11">
        <f ca="1">IFERROR(__xludf.DUMMYFUNCTION("GOOGLEFINANCE(A966,""HIGH"")"),181.9)</f>
        <v>181.9</v>
      </c>
      <c r="E966" s="11">
        <f ca="1">IFERROR(__xludf.DUMMYFUNCTION("GOOGLEFINANCE(A966,""LOW"")"),173.29)</f>
        <v>173.29</v>
      </c>
      <c r="F966" s="12" t="str">
        <f t="shared" ca="1" si="28"/>
        <v>BUY</v>
      </c>
      <c r="G966" s="13">
        <f ca="1">IFERROR(__xludf.DUMMYFUNCTION("GOOGLEFINANCE(A966,""CLOSEYEST"")"),173.29)</f>
        <v>173.29</v>
      </c>
      <c r="H966" s="14" t="str">
        <f t="shared" ca="1" si="34"/>
        <v/>
      </c>
      <c r="I966" s="15">
        <f t="shared" ca="1" si="29"/>
        <v>176.16</v>
      </c>
      <c r="J966" s="16">
        <f t="shared" ca="1" si="30"/>
        <v>179.03</v>
      </c>
      <c r="K966" s="16"/>
      <c r="L966" s="16">
        <f t="shared" ca="1" si="31"/>
        <v>170.42</v>
      </c>
      <c r="M966" s="16">
        <f t="shared" ca="1" si="32"/>
        <v>184.77</v>
      </c>
      <c r="N966" s="16">
        <f t="shared" ca="1" si="33"/>
        <v>167.54999999999998</v>
      </c>
    </row>
    <row r="967" spans="1:14" ht="24.75" customHeight="1" x14ac:dyDescent="0.8">
      <c r="A967" s="18" t="s">
        <v>930</v>
      </c>
      <c r="B967" s="10">
        <f ca="1">IFERROR(__xludf.DUMMYFUNCTION("GOOGLEFINANCE(A967,""PRICE"")"),169.5)</f>
        <v>169.5</v>
      </c>
      <c r="C967" s="11">
        <f ca="1">IFERROR(__xludf.DUMMYFUNCTION("GOOGLEFINANCE(A967,""PRICEOPEN"")"),166.95)</f>
        <v>166.95</v>
      </c>
      <c r="D967" s="11">
        <f ca="1">IFERROR(__xludf.DUMMYFUNCTION("GOOGLEFINANCE(A967,""HIGH"")"),171.04)</f>
        <v>171.04</v>
      </c>
      <c r="E967" s="11">
        <f ca="1">IFERROR(__xludf.DUMMYFUNCTION("GOOGLEFINANCE(A967,""LOW"")"),165.73)</f>
        <v>165.73</v>
      </c>
      <c r="F967" s="12" t="str">
        <f t="shared" ca="1" si="28"/>
        <v/>
      </c>
      <c r="G967" s="13">
        <f ca="1">IFERROR(__xludf.DUMMYFUNCTION("GOOGLEFINANCE(A967,""CLOSEYEST"")"),166.19)</f>
        <v>166.19</v>
      </c>
      <c r="H967" s="14" t="str">
        <f t="shared" ca="1" si="34"/>
        <v/>
      </c>
      <c r="I967" s="15">
        <f t="shared" ca="1" si="29"/>
        <v>167.65333333333334</v>
      </c>
      <c r="J967" s="16">
        <f t="shared" ca="1" si="30"/>
        <v>169.57666666666668</v>
      </c>
      <c r="K967" s="16"/>
      <c r="L967" s="16">
        <f t="shared" ca="1" si="31"/>
        <v>164.26666666666668</v>
      </c>
      <c r="M967" s="16">
        <f t="shared" ca="1" si="32"/>
        <v>172.96333333333334</v>
      </c>
      <c r="N967" s="16">
        <f t="shared" ca="1" si="33"/>
        <v>162.34333333333333</v>
      </c>
    </row>
    <row r="968" spans="1:14" ht="24.75" customHeight="1" x14ac:dyDescent="0.8">
      <c r="A968" s="18" t="s">
        <v>931</v>
      </c>
      <c r="B968" s="10">
        <f ca="1">IFERROR(__xludf.DUMMYFUNCTION("GOOGLEFINANCE(A968,""PRICE"")"),81.35)</f>
        <v>81.349999999999994</v>
      </c>
      <c r="C968" s="11">
        <f ca="1">IFERROR(__xludf.DUMMYFUNCTION("GOOGLEFINANCE(A968,""PRICEOPEN"")"),78.45)</f>
        <v>78.45</v>
      </c>
      <c r="D968" s="11">
        <f ca="1">IFERROR(__xludf.DUMMYFUNCTION("GOOGLEFINANCE(A968,""HIGH"")"),82.15)</f>
        <v>82.15</v>
      </c>
      <c r="E968" s="11">
        <f ca="1">IFERROR(__xludf.DUMMYFUNCTION("GOOGLEFINANCE(A968,""LOW"")"),78.45)</f>
        <v>78.45</v>
      </c>
      <c r="F968" s="12" t="str">
        <f t="shared" ca="1" si="28"/>
        <v>BUY</v>
      </c>
      <c r="G968" s="13">
        <f ca="1">IFERROR(__xludf.DUMMYFUNCTION("GOOGLEFINANCE(A968,""CLOSEYEST"")"),78.45)</f>
        <v>78.45</v>
      </c>
      <c r="H968" s="14" t="str">
        <f t="shared" ca="1" si="34"/>
        <v/>
      </c>
      <c r="I968" s="15">
        <f t="shared" ca="1" si="29"/>
        <v>79.683333333333337</v>
      </c>
      <c r="J968" s="16">
        <f t="shared" ca="1" si="30"/>
        <v>80.916666666666671</v>
      </c>
      <c r="K968" s="16"/>
      <c r="L968" s="16">
        <f t="shared" ca="1" si="31"/>
        <v>77.216666666666669</v>
      </c>
      <c r="M968" s="16">
        <f t="shared" ca="1" si="32"/>
        <v>83.38333333333334</v>
      </c>
      <c r="N968" s="16">
        <f t="shared" ca="1" si="33"/>
        <v>75.983333333333334</v>
      </c>
    </row>
    <row r="969" spans="1:14" ht="24.75" customHeight="1" x14ac:dyDescent="0.8">
      <c r="A969" s="18" t="s">
        <v>932</v>
      </c>
      <c r="B969" s="10">
        <f ca="1">IFERROR(__xludf.DUMMYFUNCTION("GOOGLEFINANCE(A969,""PRICE"")"),196.16)</f>
        <v>196.16</v>
      </c>
      <c r="C969" s="11">
        <f ca="1">IFERROR(__xludf.DUMMYFUNCTION("GOOGLEFINANCE(A969,""PRICEOPEN"")"),203.7)</f>
        <v>203.7</v>
      </c>
      <c r="D969" s="11">
        <f ca="1">IFERROR(__xludf.DUMMYFUNCTION("GOOGLEFINANCE(A969,""HIGH"")"),203.7)</f>
        <v>203.7</v>
      </c>
      <c r="E969" s="11">
        <f ca="1">IFERROR(__xludf.DUMMYFUNCTION("GOOGLEFINANCE(A969,""LOW"")"),196.01)</f>
        <v>196.01</v>
      </c>
      <c r="F969" s="12" t="str">
        <f t="shared" ca="1" si="28"/>
        <v>SELL</v>
      </c>
      <c r="G969" s="13">
        <f ca="1">IFERROR(__xludf.DUMMYFUNCTION("GOOGLEFINANCE(A969,""CLOSEYEST"")"),198.9)</f>
        <v>198.9</v>
      </c>
      <c r="H969" s="14" t="str">
        <f t="shared" ca="1" si="34"/>
        <v>GAP UP</v>
      </c>
      <c r="I969" s="15">
        <f t="shared" ca="1" si="29"/>
        <v>199.53666666666666</v>
      </c>
      <c r="J969" s="16">
        <f t="shared" ca="1" si="30"/>
        <v>203.06333333333333</v>
      </c>
      <c r="K969" s="16"/>
      <c r="L969" s="16">
        <f t="shared" ca="1" si="31"/>
        <v>195.37333333333333</v>
      </c>
      <c r="M969" s="16">
        <f t="shared" ca="1" si="32"/>
        <v>207.22666666666666</v>
      </c>
      <c r="N969" s="16">
        <f t="shared" ca="1" si="33"/>
        <v>191.84666666666666</v>
      </c>
    </row>
    <row r="970" spans="1:14" ht="24.75" customHeight="1" x14ac:dyDescent="0.8">
      <c r="A970" s="18" t="s">
        <v>933</v>
      </c>
      <c r="B970" s="10">
        <f ca="1">IFERROR(__xludf.DUMMYFUNCTION("GOOGLEFINANCE(A970,""PRICE"")"),1.45)</f>
        <v>1.45</v>
      </c>
      <c r="C970" s="11">
        <f ca="1">IFERROR(__xludf.DUMMYFUNCTION("GOOGLEFINANCE(A970,""PRICEOPEN"")"),1.4)</f>
        <v>1.4</v>
      </c>
      <c r="D970" s="11">
        <f ca="1">IFERROR(__xludf.DUMMYFUNCTION("GOOGLEFINANCE(A970,""HIGH"")"),1.45)</f>
        <v>1.45</v>
      </c>
      <c r="E970" s="11">
        <f ca="1">IFERROR(__xludf.DUMMYFUNCTION("GOOGLEFINANCE(A970,""LOW"")"),1.38)</f>
        <v>1.38</v>
      </c>
      <c r="F970" s="12" t="str">
        <f t="shared" ca="1" si="28"/>
        <v/>
      </c>
      <c r="G970" s="13">
        <f ca="1">IFERROR(__xludf.DUMMYFUNCTION("GOOGLEFINANCE(A970,""CLOSEYEST"")"),1.39)</f>
        <v>1.39</v>
      </c>
      <c r="H970" s="14" t="str">
        <f t="shared" ca="1" si="34"/>
        <v/>
      </c>
      <c r="I970" s="15">
        <f t="shared" ca="1" si="29"/>
        <v>1.4066666666666665</v>
      </c>
      <c r="J970" s="16">
        <f t="shared" ca="1" si="30"/>
        <v>1.4333333333333331</v>
      </c>
      <c r="K970" s="16"/>
      <c r="L970" s="16">
        <f t="shared" ca="1" si="31"/>
        <v>1.3633333333333331</v>
      </c>
      <c r="M970" s="16">
        <f t="shared" ca="1" si="32"/>
        <v>1.4766666666666666</v>
      </c>
      <c r="N970" s="16">
        <f t="shared" ca="1" si="33"/>
        <v>1.3366666666666664</v>
      </c>
    </row>
    <row r="971" spans="1:14" ht="24.75" customHeight="1" x14ac:dyDescent="0.8">
      <c r="A971" s="18" t="s">
        <v>934</v>
      </c>
      <c r="B971" s="10" t="str">
        <f ca="1">IFERROR(__xludf.DUMMYFUNCTION("GOOGLEFINANCE(A971,""PRICE"")"),"#N/A")</f>
        <v>#N/A</v>
      </c>
      <c r="C971" s="11" t="str">
        <f ca="1">IFERROR(__xludf.DUMMYFUNCTION("GOOGLEFINANCE(A971,""PRICEOPEN"")"),"#N/A")</f>
        <v>#N/A</v>
      </c>
      <c r="D971" s="11" t="str">
        <f ca="1">IFERROR(__xludf.DUMMYFUNCTION("GOOGLEFINANCE(A971,""HIGH"")"),"#N/A")</f>
        <v>#N/A</v>
      </c>
      <c r="E971" s="11" t="str">
        <f ca="1">IFERROR(__xludf.DUMMYFUNCTION("GOOGLEFINANCE(A971,""LOW"")"),"#N/A")</f>
        <v>#N/A</v>
      </c>
      <c r="F971" s="12" t="str">
        <f t="shared" ca="1" si="28"/>
        <v>SELL</v>
      </c>
      <c r="G971" s="13" t="str">
        <f ca="1">IFERROR(__xludf.DUMMYFUNCTION("GOOGLEFINANCE(A971,""CLOSEYEST"")"),"#N/A")</f>
        <v>#N/A</v>
      </c>
      <c r="H971" s="14" t="e">
        <f t="shared" ca="1" si="34"/>
        <v>#VALUE!</v>
      </c>
      <c r="I971" s="15" t="e">
        <f t="shared" ca="1" si="29"/>
        <v>#VALUE!</v>
      </c>
      <c r="J971" s="16" t="e">
        <f t="shared" ca="1" si="30"/>
        <v>#VALUE!</v>
      </c>
      <c r="K971" s="16"/>
      <c r="L971" s="16" t="e">
        <f t="shared" ca="1" si="31"/>
        <v>#VALUE!</v>
      </c>
      <c r="M971" s="16" t="e">
        <f t="shared" ca="1" si="32"/>
        <v>#VALUE!</v>
      </c>
      <c r="N971" s="16" t="e">
        <f t="shared" ca="1" si="33"/>
        <v>#VALUE!</v>
      </c>
    </row>
    <row r="972" spans="1:14" ht="24.75" customHeight="1" x14ac:dyDescent="0.8">
      <c r="A972" s="18" t="s">
        <v>935</v>
      </c>
      <c r="B972" s="10">
        <f ca="1">IFERROR(__xludf.DUMMYFUNCTION("GOOGLEFINANCE(A972,""PRICE"")"),95.66)</f>
        <v>95.66</v>
      </c>
      <c r="C972" s="11">
        <f ca="1">IFERROR(__xludf.DUMMYFUNCTION("GOOGLEFINANCE(A972,""PRICEOPEN"")"),93.1)</f>
        <v>93.1</v>
      </c>
      <c r="D972" s="11">
        <f ca="1">IFERROR(__xludf.DUMMYFUNCTION("GOOGLEFINANCE(A972,""HIGH"")"),96.5)</f>
        <v>96.5</v>
      </c>
      <c r="E972" s="11">
        <f ca="1">IFERROR(__xludf.DUMMYFUNCTION("GOOGLEFINANCE(A972,""LOW"")"),91.66)</f>
        <v>91.66</v>
      </c>
      <c r="F972" s="12" t="str">
        <f t="shared" ca="1" si="28"/>
        <v/>
      </c>
      <c r="G972" s="13">
        <f ca="1">IFERROR(__xludf.DUMMYFUNCTION("GOOGLEFINANCE(A972,""CLOSEYEST"")"),92.11)</f>
        <v>92.11</v>
      </c>
      <c r="H972" s="14" t="str">
        <f t="shared" ca="1" si="34"/>
        <v>GAP UP</v>
      </c>
      <c r="I972" s="15">
        <f t="shared" ca="1" si="29"/>
        <v>93.423333333333332</v>
      </c>
      <c r="J972" s="16">
        <f t="shared" ca="1" si="30"/>
        <v>95.186666666666667</v>
      </c>
      <c r="K972" s="16"/>
      <c r="L972" s="16">
        <f t="shared" ca="1" si="31"/>
        <v>90.346666666666664</v>
      </c>
      <c r="M972" s="16">
        <f t="shared" ca="1" si="32"/>
        <v>98.263333333333335</v>
      </c>
      <c r="N972" s="16">
        <f t="shared" ca="1" si="33"/>
        <v>88.583333333333329</v>
      </c>
    </row>
    <row r="973" spans="1:14" ht="24.75" customHeight="1" x14ac:dyDescent="0.8">
      <c r="A973" s="18" t="s">
        <v>936</v>
      </c>
      <c r="B973" s="10">
        <f ca="1">IFERROR(__xludf.DUMMYFUNCTION("GOOGLEFINANCE(A973,""PRICE"")"),652.5)</f>
        <v>652.5</v>
      </c>
      <c r="C973" s="11">
        <f ca="1">IFERROR(__xludf.DUMMYFUNCTION("GOOGLEFINANCE(A973,""PRICEOPEN"")"),666.35)</f>
        <v>666.35</v>
      </c>
      <c r="D973" s="11">
        <f ca="1">IFERROR(__xludf.DUMMYFUNCTION("GOOGLEFINANCE(A973,""HIGH"")"),666.8)</f>
        <v>666.8</v>
      </c>
      <c r="E973" s="11">
        <f ca="1">IFERROR(__xludf.DUMMYFUNCTION("GOOGLEFINANCE(A973,""LOW"")"),650.5)</f>
        <v>650.5</v>
      </c>
      <c r="F973" s="12" t="str">
        <f t="shared" ca="1" si="28"/>
        <v/>
      </c>
      <c r="G973" s="13">
        <f ca="1">IFERROR(__xludf.DUMMYFUNCTION("GOOGLEFINANCE(A973,""CLOSEYEST"")"),663.05)</f>
        <v>663.05</v>
      </c>
      <c r="H973" s="14" t="str">
        <f t="shared" ca="1" si="34"/>
        <v/>
      </c>
      <c r="I973" s="15">
        <f t="shared" ca="1" si="29"/>
        <v>660.11666666666667</v>
      </c>
      <c r="J973" s="16">
        <f t="shared" ca="1" si="30"/>
        <v>669.73333333333335</v>
      </c>
      <c r="K973" s="16"/>
      <c r="L973" s="16">
        <f t="shared" ca="1" si="31"/>
        <v>653.43333333333339</v>
      </c>
      <c r="M973" s="16">
        <f t="shared" ca="1" si="32"/>
        <v>676.41666666666663</v>
      </c>
      <c r="N973" s="16">
        <f t="shared" ca="1" si="33"/>
        <v>643.81666666666672</v>
      </c>
    </row>
    <row r="974" spans="1:14" ht="24.75" customHeight="1" x14ac:dyDescent="0.8">
      <c r="A974" s="18" t="s">
        <v>937</v>
      </c>
      <c r="B974" s="10">
        <f ca="1">IFERROR(__xludf.DUMMYFUNCTION("GOOGLEFINANCE(A974,""PRICE"")"),403)</f>
        <v>403</v>
      </c>
      <c r="C974" s="11">
        <f ca="1">IFERROR(__xludf.DUMMYFUNCTION("GOOGLEFINANCE(A974,""PRICEOPEN"")"),415)</f>
        <v>415</v>
      </c>
      <c r="D974" s="11">
        <f ca="1">IFERROR(__xludf.DUMMYFUNCTION("GOOGLEFINANCE(A974,""HIGH"")"),416.05)</f>
        <v>416.05</v>
      </c>
      <c r="E974" s="11">
        <f ca="1">IFERROR(__xludf.DUMMYFUNCTION("GOOGLEFINANCE(A974,""LOW"")"),401.55)</f>
        <v>401.55</v>
      </c>
      <c r="F974" s="12" t="str">
        <f t="shared" ca="1" si="28"/>
        <v/>
      </c>
      <c r="G974" s="13">
        <f ca="1">IFERROR(__xludf.DUMMYFUNCTION("GOOGLEFINANCE(A974,""CLOSEYEST"")"),410.25)</f>
        <v>410.25</v>
      </c>
      <c r="H974" s="14" t="str">
        <f t="shared" ca="1" si="34"/>
        <v>GAP UP</v>
      </c>
      <c r="I974" s="15">
        <f t="shared" ca="1" si="29"/>
        <v>409.2833333333333</v>
      </c>
      <c r="J974" s="16">
        <f t="shared" ca="1" si="30"/>
        <v>417.01666666666659</v>
      </c>
      <c r="K974" s="16"/>
      <c r="L974" s="16">
        <f t="shared" ca="1" si="31"/>
        <v>402.51666666666659</v>
      </c>
      <c r="M974" s="16">
        <f t="shared" ca="1" si="32"/>
        <v>423.7833333333333</v>
      </c>
      <c r="N974" s="16">
        <f t="shared" ca="1" si="33"/>
        <v>394.7833333333333</v>
      </c>
    </row>
    <row r="975" spans="1:14" ht="24.75" customHeight="1" x14ac:dyDescent="0.8">
      <c r="A975" s="18" t="s">
        <v>938</v>
      </c>
      <c r="B975" s="10">
        <f ca="1">IFERROR(__xludf.DUMMYFUNCTION("GOOGLEFINANCE(A975,""PRICE"")"),433)</f>
        <v>433</v>
      </c>
      <c r="C975" s="11">
        <f ca="1">IFERROR(__xludf.DUMMYFUNCTION("GOOGLEFINANCE(A975,""PRICEOPEN"")"),432)</f>
        <v>432</v>
      </c>
      <c r="D975" s="11">
        <f ca="1">IFERROR(__xludf.DUMMYFUNCTION("GOOGLEFINANCE(A975,""HIGH"")"),433.45)</f>
        <v>433.45</v>
      </c>
      <c r="E975" s="11">
        <f ca="1">IFERROR(__xludf.DUMMYFUNCTION("GOOGLEFINANCE(A975,""LOW"")"),426.45)</f>
        <v>426.45</v>
      </c>
      <c r="F975" s="12" t="str">
        <f t="shared" ca="1" si="28"/>
        <v/>
      </c>
      <c r="G975" s="13">
        <f ca="1">IFERROR(__xludf.DUMMYFUNCTION("GOOGLEFINANCE(A975,""CLOSEYEST"")"),426.5)</f>
        <v>426.5</v>
      </c>
      <c r="H975" s="14" t="str">
        <f t="shared" ca="1" si="34"/>
        <v>GAP UP</v>
      </c>
      <c r="I975" s="15">
        <f t="shared" ca="1" si="29"/>
        <v>428.8</v>
      </c>
      <c r="J975" s="16">
        <f t="shared" ca="1" si="30"/>
        <v>431.15000000000003</v>
      </c>
      <c r="K975" s="16"/>
      <c r="L975" s="16">
        <f t="shared" ca="1" si="31"/>
        <v>424.15000000000003</v>
      </c>
      <c r="M975" s="16">
        <f t="shared" ca="1" si="32"/>
        <v>435.8</v>
      </c>
      <c r="N975" s="16">
        <f t="shared" ca="1" si="33"/>
        <v>421.8</v>
      </c>
    </row>
    <row r="976" spans="1:14" ht="24.75" customHeight="1" x14ac:dyDescent="0.8">
      <c r="A976" s="18" t="s">
        <v>939</v>
      </c>
      <c r="B976" s="10">
        <f ca="1">IFERROR(__xludf.DUMMYFUNCTION("GOOGLEFINANCE(A976,""PRICE"")"),1.32)</f>
        <v>1.32</v>
      </c>
      <c r="C976" s="11">
        <f ca="1">IFERROR(__xludf.DUMMYFUNCTION("GOOGLEFINANCE(A976,""PRICEOPEN"")"),1.32)</f>
        <v>1.32</v>
      </c>
      <c r="D976" s="11">
        <f ca="1">IFERROR(__xludf.DUMMYFUNCTION("GOOGLEFINANCE(A976,""HIGH"")"),1.32)</f>
        <v>1.32</v>
      </c>
      <c r="E976" s="11">
        <f ca="1">IFERROR(__xludf.DUMMYFUNCTION("GOOGLEFINANCE(A976,""LOW"")"),1.32)</f>
        <v>1.32</v>
      </c>
      <c r="F976" s="12" t="str">
        <f t="shared" ca="1" si="28"/>
        <v>SELL</v>
      </c>
      <c r="G976" s="13">
        <f ca="1">IFERROR(__xludf.DUMMYFUNCTION("GOOGLEFINANCE(A976,""CLOSEYEST"")"),1.32)</f>
        <v>1.32</v>
      </c>
      <c r="H976" s="14" t="str">
        <f t="shared" ca="1" si="34"/>
        <v/>
      </c>
      <c r="I976" s="15">
        <f t="shared" ca="1" si="29"/>
        <v>1.32</v>
      </c>
      <c r="J976" s="16">
        <f t="shared" ca="1" si="30"/>
        <v>1.32</v>
      </c>
      <c r="K976" s="16"/>
      <c r="L976" s="16">
        <f t="shared" ca="1" si="31"/>
        <v>1.32</v>
      </c>
      <c r="M976" s="16">
        <f t="shared" ca="1" si="32"/>
        <v>1.32</v>
      </c>
      <c r="N976" s="16">
        <f t="shared" ca="1" si="33"/>
        <v>1.32</v>
      </c>
    </row>
    <row r="977" spans="1:14" ht="24.75" customHeight="1" x14ac:dyDescent="0.8">
      <c r="A977" s="18" t="s">
        <v>940</v>
      </c>
      <c r="B977" s="10">
        <f ca="1">IFERROR(__xludf.DUMMYFUNCTION("GOOGLEFINANCE(A977,""PRICE"")"),5310)</f>
        <v>5310</v>
      </c>
      <c r="C977" s="11">
        <f ca="1">IFERROR(__xludf.DUMMYFUNCTION("GOOGLEFINANCE(A977,""PRICEOPEN"")"),5140)</f>
        <v>5140</v>
      </c>
      <c r="D977" s="11">
        <f ca="1">IFERROR(__xludf.DUMMYFUNCTION("GOOGLEFINANCE(A977,""HIGH"")"),5345)</f>
        <v>5345</v>
      </c>
      <c r="E977" s="11">
        <f ca="1">IFERROR(__xludf.DUMMYFUNCTION("GOOGLEFINANCE(A977,""LOW"")"),5076.5)</f>
        <v>5076.5</v>
      </c>
      <c r="F977" s="12" t="str">
        <f t="shared" ca="1" si="28"/>
        <v/>
      </c>
      <c r="G977" s="13">
        <f ca="1">IFERROR(__xludf.DUMMYFUNCTION("GOOGLEFINANCE(A977,""CLOSEYEST"")"),5118)</f>
        <v>5118</v>
      </c>
      <c r="H977" s="14" t="str">
        <f t="shared" ca="1" si="34"/>
        <v/>
      </c>
      <c r="I977" s="15">
        <f t="shared" ca="1" si="29"/>
        <v>5179.833333333333</v>
      </c>
      <c r="J977" s="16">
        <f t="shared" ca="1" si="30"/>
        <v>5283.1666666666661</v>
      </c>
      <c r="K977" s="16"/>
      <c r="L977" s="16">
        <f t="shared" ca="1" si="31"/>
        <v>5014.6666666666661</v>
      </c>
      <c r="M977" s="16">
        <f t="shared" ca="1" si="32"/>
        <v>5448.333333333333</v>
      </c>
      <c r="N977" s="16">
        <f t="shared" ca="1" si="33"/>
        <v>4911.333333333333</v>
      </c>
    </row>
    <row r="978" spans="1:14" ht="24.75" customHeight="1" x14ac:dyDescent="0.8">
      <c r="A978" s="18" t="s">
        <v>941</v>
      </c>
      <c r="B978" s="10">
        <f ca="1">IFERROR(__xludf.DUMMYFUNCTION("GOOGLEFINANCE(A978,""PRICE"")"),294.5)</f>
        <v>294.5</v>
      </c>
      <c r="C978" s="11">
        <f ca="1">IFERROR(__xludf.DUMMYFUNCTION("GOOGLEFINANCE(A978,""PRICEOPEN"")"),295.85)</f>
        <v>295.85000000000002</v>
      </c>
      <c r="D978" s="11">
        <f ca="1">IFERROR(__xludf.DUMMYFUNCTION("GOOGLEFINANCE(A978,""HIGH"")"),303)</f>
        <v>303</v>
      </c>
      <c r="E978" s="11">
        <f ca="1">IFERROR(__xludf.DUMMYFUNCTION("GOOGLEFINANCE(A978,""LOW"")"),291.05)</f>
        <v>291.05</v>
      </c>
      <c r="F978" s="12" t="str">
        <f t="shared" ca="1" si="28"/>
        <v/>
      </c>
      <c r="G978" s="13">
        <f ca="1">IFERROR(__xludf.DUMMYFUNCTION("GOOGLEFINANCE(A978,""CLOSEYEST"")"),295.85)</f>
        <v>295.85000000000002</v>
      </c>
      <c r="H978" s="14" t="str">
        <f t="shared" ca="1" si="34"/>
        <v/>
      </c>
      <c r="I978" s="15">
        <f t="shared" ca="1" si="29"/>
        <v>296.63333333333333</v>
      </c>
      <c r="J978" s="16">
        <f t="shared" ca="1" si="30"/>
        <v>302.21666666666664</v>
      </c>
      <c r="K978" s="16"/>
      <c r="L978" s="16">
        <f t="shared" ca="1" si="31"/>
        <v>290.26666666666665</v>
      </c>
      <c r="M978" s="16">
        <f t="shared" ca="1" si="32"/>
        <v>308.58333333333331</v>
      </c>
      <c r="N978" s="16">
        <f t="shared" ca="1" si="33"/>
        <v>284.68333333333334</v>
      </c>
    </row>
    <row r="979" spans="1:14" ht="24.75" customHeight="1" x14ac:dyDescent="0.8">
      <c r="A979" s="18" t="s">
        <v>942</v>
      </c>
      <c r="B979" s="10" t="str">
        <f ca="1">IFERROR(__xludf.DUMMYFUNCTION("GOOGLEFINANCE(A979,""PRICE"")"),"#N/A")</f>
        <v>#N/A</v>
      </c>
      <c r="C979" s="11" t="str">
        <f ca="1">IFERROR(__xludf.DUMMYFUNCTION("GOOGLEFINANCE(A979,""PRICEOPEN"")"),"#N/A")</f>
        <v>#N/A</v>
      </c>
      <c r="D979" s="11" t="str">
        <f ca="1">IFERROR(__xludf.DUMMYFUNCTION("GOOGLEFINANCE(A979,""HIGH"")"),"#N/A")</f>
        <v>#N/A</v>
      </c>
      <c r="E979" s="11" t="str">
        <f ca="1">IFERROR(__xludf.DUMMYFUNCTION("GOOGLEFINANCE(A979,""LOW"")"),"#N/A")</f>
        <v>#N/A</v>
      </c>
      <c r="F979" s="12" t="str">
        <f t="shared" ca="1" si="28"/>
        <v>SELL</v>
      </c>
      <c r="G979" s="13" t="str">
        <f ca="1">IFERROR(__xludf.DUMMYFUNCTION("GOOGLEFINANCE(A979,""CLOSEYEST"")"),"#N/A")</f>
        <v>#N/A</v>
      </c>
      <c r="H979" s="14" t="e">
        <f t="shared" ca="1" si="34"/>
        <v>#VALUE!</v>
      </c>
      <c r="I979" s="15" t="e">
        <f t="shared" ca="1" si="29"/>
        <v>#VALUE!</v>
      </c>
      <c r="J979" s="16" t="e">
        <f t="shared" ca="1" si="30"/>
        <v>#VALUE!</v>
      </c>
      <c r="K979" s="16"/>
      <c r="L979" s="16" t="e">
        <f t="shared" ca="1" si="31"/>
        <v>#VALUE!</v>
      </c>
      <c r="M979" s="16" t="e">
        <f t="shared" ca="1" si="32"/>
        <v>#VALUE!</v>
      </c>
      <c r="N979" s="16" t="e">
        <f t="shared" ca="1" si="33"/>
        <v>#VALUE!</v>
      </c>
    </row>
    <row r="980" spans="1:14" ht="24.75" customHeight="1" x14ac:dyDescent="0.8">
      <c r="A980" s="18" t="s">
        <v>943</v>
      </c>
      <c r="B980" s="10">
        <f ca="1">IFERROR(__xludf.DUMMYFUNCTION("GOOGLEFINANCE(A980,""PRICE"")"),9155)</f>
        <v>9155</v>
      </c>
      <c r="C980" s="11">
        <f ca="1">IFERROR(__xludf.DUMMYFUNCTION("GOOGLEFINANCE(A980,""PRICEOPEN"")"),8880)</f>
        <v>8880</v>
      </c>
      <c r="D980" s="11">
        <f ca="1">IFERROR(__xludf.DUMMYFUNCTION("GOOGLEFINANCE(A980,""HIGH"")"),9270.5)</f>
        <v>9270.5</v>
      </c>
      <c r="E980" s="11">
        <f ca="1">IFERROR(__xludf.DUMMYFUNCTION("GOOGLEFINANCE(A980,""LOW"")"),8800)</f>
        <v>8800</v>
      </c>
      <c r="F980" s="12" t="str">
        <f t="shared" ca="1" si="28"/>
        <v/>
      </c>
      <c r="G980" s="13">
        <f ca="1">IFERROR(__xludf.DUMMYFUNCTION("GOOGLEFINANCE(A980,""CLOSEYEST"")"),8882.5)</f>
        <v>8882.5</v>
      </c>
      <c r="H980" s="14" t="str">
        <f t="shared" ca="1" si="34"/>
        <v/>
      </c>
      <c r="I980" s="15">
        <f t="shared" ca="1" si="29"/>
        <v>8984.3333333333339</v>
      </c>
      <c r="J980" s="16">
        <f t="shared" ca="1" si="30"/>
        <v>9168.6666666666679</v>
      </c>
      <c r="K980" s="16"/>
      <c r="L980" s="16">
        <f t="shared" ca="1" si="31"/>
        <v>8698.1666666666679</v>
      </c>
      <c r="M980" s="16">
        <f t="shared" ca="1" si="32"/>
        <v>9454.8333333333339</v>
      </c>
      <c r="N980" s="16">
        <f t="shared" ca="1" si="33"/>
        <v>8513.8333333333339</v>
      </c>
    </row>
    <row r="981" spans="1:14" ht="24.75" customHeight="1" x14ac:dyDescent="0.8">
      <c r="A981" s="18" t="s">
        <v>944</v>
      </c>
      <c r="B981" s="10">
        <f ca="1">IFERROR(__xludf.DUMMYFUNCTION("GOOGLEFINANCE(A981,""PRICE"")"),751)</f>
        <v>751</v>
      </c>
      <c r="C981" s="11">
        <f ca="1">IFERROR(__xludf.DUMMYFUNCTION("GOOGLEFINANCE(A981,""PRICEOPEN"")"),740)</f>
        <v>740</v>
      </c>
      <c r="D981" s="11">
        <f ca="1">IFERROR(__xludf.DUMMYFUNCTION("GOOGLEFINANCE(A981,""HIGH"")"),757.9)</f>
        <v>757.9</v>
      </c>
      <c r="E981" s="11">
        <f ca="1">IFERROR(__xludf.DUMMYFUNCTION("GOOGLEFINANCE(A981,""LOW"")"),740)</f>
        <v>740</v>
      </c>
      <c r="F981" s="12" t="str">
        <f t="shared" ca="1" si="28"/>
        <v>BUY</v>
      </c>
      <c r="G981" s="13">
        <f ca="1">IFERROR(__xludf.DUMMYFUNCTION("GOOGLEFINANCE(A981,""CLOSEYEST"")"),744.15)</f>
        <v>744.15</v>
      </c>
      <c r="H981" s="14" t="str">
        <f t="shared" ca="1" si="34"/>
        <v/>
      </c>
      <c r="I981" s="15">
        <f t="shared" ca="1" si="29"/>
        <v>747.35</v>
      </c>
      <c r="J981" s="16">
        <f t="shared" ca="1" si="30"/>
        <v>754.7</v>
      </c>
      <c r="K981" s="16"/>
      <c r="L981" s="16">
        <f t="shared" ca="1" si="31"/>
        <v>736.80000000000007</v>
      </c>
      <c r="M981" s="16">
        <f t="shared" ca="1" si="32"/>
        <v>765.25</v>
      </c>
      <c r="N981" s="16">
        <f t="shared" ca="1" si="33"/>
        <v>729.45</v>
      </c>
    </row>
    <row r="982" spans="1:14" ht="24.75" customHeight="1" x14ac:dyDescent="0.8">
      <c r="A982" s="18" t="s">
        <v>945</v>
      </c>
      <c r="B982" s="10">
        <f ca="1">IFERROR(__xludf.DUMMYFUNCTION("GOOGLEFINANCE(A982,""PRICE"")"),484)</f>
        <v>484</v>
      </c>
      <c r="C982" s="11">
        <f ca="1">IFERROR(__xludf.DUMMYFUNCTION("GOOGLEFINANCE(A982,""PRICEOPEN"")"),489.75)</f>
        <v>489.75</v>
      </c>
      <c r="D982" s="11">
        <f ca="1">IFERROR(__xludf.DUMMYFUNCTION("GOOGLEFINANCE(A982,""HIGH"")"),489.75)</f>
        <v>489.75</v>
      </c>
      <c r="E982" s="11">
        <f ca="1">IFERROR(__xludf.DUMMYFUNCTION("GOOGLEFINANCE(A982,""LOW"")"),480.95)</f>
        <v>480.95</v>
      </c>
      <c r="F982" s="12" t="str">
        <f t="shared" ca="1" si="28"/>
        <v>SELL</v>
      </c>
      <c r="G982" s="13">
        <f ca="1">IFERROR(__xludf.DUMMYFUNCTION("GOOGLEFINANCE(A982,""CLOSEYEST"")"),487.2)</f>
        <v>487.2</v>
      </c>
      <c r="H982" s="14" t="str">
        <f t="shared" ca="1" si="34"/>
        <v/>
      </c>
      <c r="I982" s="15">
        <f t="shared" ca="1" si="29"/>
        <v>485.9666666666667</v>
      </c>
      <c r="J982" s="16">
        <f t="shared" ca="1" si="30"/>
        <v>490.98333333333341</v>
      </c>
      <c r="K982" s="16"/>
      <c r="L982" s="16">
        <f t="shared" ca="1" si="31"/>
        <v>482.18333333333339</v>
      </c>
      <c r="M982" s="16">
        <f t="shared" ca="1" si="32"/>
        <v>494.76666666666671</v>
      </c>
      <c r="N982" s="16">
        <f t="shared" ca="1" si="33"/>
        <v>477.16666666666669</v>
      </c>
    </row>
    <row r="983" spans="1:14" ht="24.75" customHeight="1" x14ac:dyDescent="0.8">
      <c r="A983" s="18" t="s">
        <v>946</v>
      </c>
      <c r="B983" s="10">
        <f ca="1">IFERROR(__xludf.DUMMYFUNCTION("GOOGLEFINANCE(A983,""PRICE"")"),101.3)</f>
        <v>101.3</v>
      </c>
      <c r="C983" s="11">
        <f ca="1">IFERROR(__xludf.DUMMYFUNCTION("GOOGLEFINANCE(A983,""PRICEOPEN"")"),96.42)</f>
        <v>96.42</v>
      </c>
      <c r="D983" s="11">
        <f ca="1">IFERROR(__xludf.DUMMYFUNCTION("GOOGLEFINANCE(A983,""HIGH"")"),103.97)</f>
        <v>103.97</v>
      </c>
      <c r="E983" s="11">
        <f ca="1">IFERROR(__xludf.DUMMYFUNCTION("GOOGLEFINANCE(A983,""LOW"")"),96.41)</f>
        <v>96.41</v>
      </c>
      <c r="F983" s="12" t="str">
        <f t="shared" ca="1" si="28"/>
        <v/>
      </c>
      <c r="G983" s="13">
        <f ca="1">IFERROR(__xludf.DUMMYFUNCTION("GOOGLEFINANCE(A983,""CLOSEYEST"")"),96.42)</f>
        <v>96.42</v>
      </c>
      <c r="H983" s="14" t="str">
        <f t="shared" ca="1" si="34"/>
        <v/>
      </c>
      <c r="I983" s="15">
        <f t="shared" ca="1" si="29"/>
        <v>98.933333333333337</v>
      </c>
      <c r="J983" s="16">
        <f t="shared" ca="1" si="30"/>
        <v>101.45666666666668</v>
      </c>
      <c r="K983" s="16"/>
      <c r="L983" s="16">
        <f t="shared" ca="1" si="31"/>
        <v>93.896666666666675</v>
      </c>
      <c r="M983" s="16">
        <f t="shared" ca="1" si="32"/>
        <v>106.49333333333334</v>
      </c>
      <c r="N983" s="16">
        <f t="shared" ca="1" si="33"/>
        <v>91.373333333333335</v>
      </c>
    </row>
    <row r="984" spans="1:14" ht="24.75" customHeight="1" x14ac:dyDescent="0.8">
      <c r="A984" s="18" t="s">
        <v>947</v>
      </c>
      <c r="B984" s="10" t="str">
        <f ca="1">IFERROR(__xludf.DUMMYFUNCTION("GOOGLEFINANCE(A984,""PRICE"")"),"#N/A")</f>
        <v>#N/A</v>
      </c>
      <c r="C984" s="11" t="str">
        <f ca="1">IFERROR(__xludf.DUMMYFUNCTION("GOOGLEFINANCE(A984,""PRICEOPEN"")"),"#N/A")</f>
        <v>#N/A</v>
      </c>
      <c r="D984" s="11" t="str">
        <f ca="1">IFERROR(__xludf.DUMMYFUNCTION("GOOGLEFINANCE(A984,""HIGH"")"),"#N/A")</f>
        <v>#N/A</v>
      </c>
      <c r="E984" s="11" t="str">
        <f ca="1">IFERROR(__xludf.DUMMYFUNCTION("GOOGLEFINANCE(A984,""LOW"")"),"#N/A")</f>
        <v>#N/A</v>
      </c>
      <c r="F984" s="12" t="str">
        <f t="shared" ca="1" si="28"/>
        <v>SELL</v>
      </c>
      <c r="G984" s="13" t="str">
        <f ca="1">IFERROR(__xludf.DUMMYFUNCTION("GOOGLEFINANCE(A984,""CLOSEYEST"")"),"#N/A")</f>
        <v>#N/A</v>
      </c>
      <c r="H984" s="14" t="e">
        <f t="shared" ca="1" si="34"/>
        <v>#VALUE!</v>
      </c>
      <c r="I984" s="15" t="e">
        <f t="shared" ca="1" si="29"/>
        <v>#VALUE!</v>
      </c>
      <c r="J984" s="16" t="e">
        <f t="shared" ca="1" si="30"/>
        <v>#VALUE!</v>
      </c>
      <c r="K984" s="16"/>
      <c r="L984" s="16" t="e">
        <f t="shared" ca="1" si="31"/>
        <v>#VALUE!</v>
      </c>
      <c r="M984" s="16" t="e">
        <f t="shared" ca="1" si="32"/>
        <v>#VALUE!</v>
      </c>
      <c r="N984" s="16" t="e">
        <f t="shared" ca="1" si="33"/>
        <v>#VALUE!</v>
      </c>
    </row>
    <row r="985" spans="1:14" ht="24.75" customHeight="1" x14ac:dyDescent="0.8">
      <c r="A985" s="18" t="s">
        <v>948</v>
      </c>
      <c r="B985" s="10">
        <f ca="1">IFERROR(__xludf.DUMMYFUNCTION("GOOGLEFINANCE(A985,""PRICE"")"),27.5)</f>
        <v>27.5</v>
      </c>
      <c r="C985" s="11">
        <f ca="1">IFERROR(__xludf.DUMMYFUNCTION("GOOGLEFINANCE(A985,""PRICEOPEN"")"),27.55)</f>
        <v>27.55</v>
      </c>
      <c r="D985" s="11">
        <f ca="1">IFERROR(__xludf.DUMMYFUNCTION("GOOGLEFINANCE(A985,""HIGH"")"),27.86)</f>
        <v>27.86</v>
      </c>
      <c r="E985" s="11">
        <f ca="1">IFERROR(__xludf.DUMMYFUNCTION("GOOGLEFINANCE(A985,""LOW"")"),26.5)</f>
        <v>26.5</v>
      </c>
      <c r="F985" s="12" t="str">
        <f t="shared" ca="1" si="28"/>
        <v/>
      </c>
      <c r="G985" s="13">
        <f ca="1">IFERROR(__xludf.DUMMYFUNCTION("GOOGLEFINANCE(A985,""CLOSEYEST"")"),26.78)</f>
        <v>26.78</v>
      </c>
      <c r="H985" s="14" t="str">
        <f t="shared" ca="1" si="34"/>
        <v>GAP UP</v>
      </c>
      <c r="I985" s="15">
        <f t="shared" ca="1" si="29"/>
        <v>27.046666666666667</v>
      </c>
      <c r="J985" s="16">
        <f t="shared" ca="1" si="30"/>
        <v>27.593333333333334</v>
      </c>
      <c r="K985" s="16"/>
      <c r="L985" s="16">
        <f t="shared" ca="1" si="31"/>
        <v>26.233333333333334</v>
      </c>
      <c r="M985" s="16">
        <f t="shared" ca="1" si="32"/>
        <v>28.406666666666666</v>
      </c>
      <c r="N985" s="16">
        <f t="shared" ca="1" si="33"/>
        <v>25.686666666666667</v>
      </c>
    </row>
    <row r="986" spans="1:14" ht="24.75" customHeight="1" x14ac:dyDescent="0.8">
      <c r="A986" s="18" t="s">
        <v>949</v>
      </c>
      <c r="B986" s="10">
        <f ca="1">IFERROR(__xludf.DUMMYFUNCTION("GOOGLEFINANCE(A986,""PRICE"")"),150)</f>
        <v>150</v>
      </c>
      <c r="C986" s="11">
        <f ca="1">IFERROR(__xludf.DUMMYFUNCTION("GOOGLEFINANCE(A986,""PRICEOPEN"")"),150.19)</f>
        <v>150.19</v>
      </c>
      <c r="D986" s="11">
        <f ca="1">IFERROR(__xludf.DUMMYFUNCTION("GOOGLEFINANCE(A986,""HIGH"")"),152)</f>
        <v>152</v>
      </c>
      <c r="E986" s="11">
        <f ca="1">IFERROR(__xludf.DUMMYFUNCTION("GOOGLEFINANCE(A986,""LOW"")"),149.1)</f>
        <v>149.1</v>
      </c>
      <c r="F986" s="12" t="str">
        <f t="shared" ca="1" si="28"/>
        <v/>
      </c>
      <c r="G986" s="13">
        <f ca="1">IFERROR(__xludf.DUMMYFUNCTION("GOOGLEFINANCE(A986,""CLOSEYEST"")"),149.1)</f>
        <v>149.1</v>
      </c>
      <c r="H986" s="14" t="str">
        <f t="shared" ca="1" si="34"/>
        <v/>
      </c>
      <c r="I986" s="15">
        <f t="shared" ca="1" si="29"/>
        <v>150.06666666666669</v>
      </c>
      <c r="J986" s="16">
        <f t="shared" ca="1" si="30"/>
        <v>151.03333333333339</v>
      </c>
      <c r="K986" s="16"/>
      <c r="L986" s="16">
        <f t="shared" ca="1" si="31"/>
        <v>148.13333333333338</v>
      </c>
      <c r="M986" s="16">
        <f t="shared" ca="1" si="32"/>
        <v>152.9666666666667</v>
      </c>
      <c r="N986" s="16">
        <f t="shared" ca="1" si="33"/>
        <v>147.16666666666669</v>
      </c>
    </row>
    <row r="987" spans="1:14" ht="24.75" customHeight="1" x14ac:dyDescent="0.8">
      <c r="A987" s="18" t="s">
        <v>950</v>
      </c>
      <c r="B987" s="10">
        <f ca="1">IFERROR(__xludf.DUMMYFUNCTION("GOOGLEFINANCE(A987,""PRICE"")"),2315)</f>
        <v>2315</v>
      </c>
      <c r="C987" s="11">
        <f ca="1">IFERROR(__xludf.DUMMYFUNCTION("GOOGLEFINANCE(A987,""PRICEOPEN"")"),2361.1)</f>
        <v>2361.1</v>
      </c>
      <c r="D987" s="11">
        <f ca="1">IFERROR(__xludf.DUMMYFUNCTION("GOOGLEFINANCE(A987,""HIGH"")"),2362.6)</f>
        <v>2362.6</v>
      </c>
      <c r="E987" s="11">
        <f ca="1">IFERROR(__xludf.DUMMYFUNCTION("GOOGLEFINANCE(A987,""LOW"")"),2315)</f>
        <v>2315</v>
      </c>
      <c r="F987" s="12" t="str">
        <f t="shared" ca="1" si="28"/>
        <v/>
      </c>
      <c r="G987" s="13">
        <f ca="1">IFERROR(__xludf.DUMMYFUNCTION("GOOGLEFINANCE(A987,""CLOSEYEST"")"),2323.2)</f>
        <v>2323.1999999999998</v>
      </c>
      <c r="H987" s="14" t="str">
        <f t="shared" ca="1" si="34"/>
        <v>GAP UP</v>
      </c>
      <c r="I987" s="15">
        <f t="shared" ca="1" si="29"/>
        <v>2333.6</v>
      </c>
      <c r="J987" s="16">
        <f t="shared" ca="1" si="30"/>
        <v>2352.1999999999998</v>
      </c>
      <c r="K987" s="16"/>
      <c r="L987" s="16">
        <f t="shared" ca="1" si="31"/>
        <v>2304.6</v>
      </c>
      <c r="M987" s="16">
        <f t="shared" ca="1" si="32"/>
        <v>2381.1999999999998</v>
      </c>
      <c r="N987" s="16">
        <f t="shared" ca="1" si="33"/>
        <v>2286</v>
      </c>
    </row>
    <row r="988" spans="1:14" ht="24.75" customHeight="1" x14ac:dyDescent="0.8">
      <c r="A988" s="18" t="s">
        <v>951</v>
      </c>
      <c r="B988" s="10">
        <f ca="1">IFERROR(__xludf.DUMMYFUNCTION("GOOGLEFINANCE(A988,""PRICE"")"),384)</f>
        <v>384</v>
      </c>
      <c r="C988" s="11">
        <f ca="1">IFERROR(__xludf.DUMMYFUNCTION("GOOGLEFINANCE(A988,""PRICEOPEN"")"),384.8)</f>
        <v>384.8</v>
      </c>
      <c r="D988" s="11">
        <f ca="1">IFERROR(__xludf.DUMMYFUNCTION("GOOGLEFINANCE(A988,""HIGH"")"),390)</f>
        <v>390</v>
      </c>
      <c r="E988" s="11">
        <f ca="1">IFERROR(__xludf.DUMMYFUNCTION("GOOGLEFINANCE(A988,""LOW"")"),377.9)</f>
        <v>377.9</v>
      </c>
      <c r="F988" s="12" t="str">
        <f t="shared" ca="1" si="28"/>
        <v/>
      </c>
      <c r="G988" s="13">
        <f ca="1">IFERROR(__xludf.DUMMYFUNCTION("GOOGLEFINANCE(A988,""CLOSEYEST"")"),383.95)</f>
        <v>383.95</v>
      </c>
      <c r="H988" s="14" t="str">
        <f t="shared" ca="1" si="34"/>
        <v/>
      </c>
      <c r="I988" s="15">
        <f t="shared" ca="1" si="29"/>
        <v>383.95</v>
      </c>
      <c r="J988" s="16">
        <f t="shared" ca="1" si="30"/>
        <v>390</v>
      </c>
      <c r="K988" s="16"/>
      <c r="L988" s="16">
        <f t="shared" ca="1" si="31"/>
        <v>377.9</v>
      </c>
      <c r="M988" s="16">
        <f t="shared" ca="1" si="32"/>
        <v>396.05</v>
      </c>
      <c r="N988" s="16">
        <f t="shared" ca="1" si="33"/>
        <v>371.84999999999997</v>
      </c>
    </row>
    <row r="989" spans="1:14" ht="24.75" customHeight="1" x14ac:dyDescent="0.8">
      <c r="A989" s="18" t="s">
        <v>952</v>
      </c>
      <c r="B989" s="10">
        <f ca="1">IFERROR(__xludf.DUMMYFUNCTION("GOOGLEFINANCE(A989,""PRICE"")"),264.7)</f>
        <v>264.7</v>
      </c>
      <c r="C989" s="11">
        <f ca="1">IFERROR(__xludf.DUMMYFUNCTION("GOOGLEFINANCE(A989,""PRICEOPEN"")"),259.9)</f>
        <v>259.89999999999998</v>
      </c>
      <c r="D989" s="11">
        <f ca="1">IFERROR(__xludf.DUMMYFUNCTION("GOOGLEFINANCE(A989,""HIGH"")"),267.5)</f>
        <v>267.5</v>
      </c>
      <c r="E989" s="11">
        <f ca="1">IFERROR(__xludf.DUMMYFUNCTION("GOOGLEFINANCE(A989,""LOW"")"),255)</f>
        <v>255</v>
      </c>
      <c r="F989" s="12" t="str">
        <f t="shared" ca="1" si="28"/>
        <v/>
      </c>
      <c r="G989" s="13">
        <f ca="1">IFERROR(__xludf.DUMMYFUNCTION("GOOGLEFINANCE(A989,""CLOSEYEST"")"),258.1)</f>
        <v>258.10000000000002</v>
      </c>
      <c r="H989" s="14" t="str">
        <f t="shared" ca="1" si="34"/>
        <v/>
      </c>
      <c r="I989" s="15">
        <f t="shared" ca="1" si="29"/>
        <v>260.2</v>
      </c>
      <c r="J989" s="16">
        <f t="shared" ca="1" si="30"/>
        <v>265.39999999999998</v>
      </c>
      <c r="K989" s="16"/>
      <c r="L989" s="16">
        <f t="shared" ca="1" si="31"/>
        <v>252.89999999999998</v>
      </c>
      <c r="M989" s="16">
        <f t="shared" ca="1" si="32"/>
        <v>272.7</v>
      </c>
      <c r="N989" s="16">
        <f t="shared" ca="1" si="33"/>
        <v>247.7</v>
      </c>
    </row>
    <row r="990" spans="1:14" ht="24.75" customHeight="1" x14ac:dyDescent="0.8">
      <c r="A990" s="18" t="s">
        <v>953</v>
      </c>
      <c r="B990" s="10">
        <f ca="1">IFERROR(__xludf.DUMMYFUNCTION("GOOGLEFINANCE(A990,""PRICE"")"),151.41)</f>
        <v>151.41</v>
      </c>
      <c r="C990" s="11">
        <f ca="1">IFERROR(__xludf.DUMMYFUNCTION("GOOGLEFINANCE(A990,""PRICEOPEN"")"),152.98)</f>
        <v>152.97999999999999</v>
      </c>
      <c r="D990" s="11">
        <f ca="1">IFERROR(__xludf.DUMMYFUNCTION("GOOGLEFINANCE(A990,""HIGH"")"),153.95)</f>
        <v>153.94999999999999</v>
      </c>
      <c r="E990" s="11">
        <f ca="1">IFERROR(__xludf.DUMMYFUNCTION("GOOGLEFINANCE(A990,""LOW"")"),150.86)</f>
        <v>150.86000000000001</v>
      </c>
      <c r="F990" s="12" t="str">
        <f t="shared" ca="1" si="28"/>
        <v/>
      </c>
      <c r="G990" s="13">
        <f ca="1">IFERROR(__xludf.DUMMYFUNCTION("GOOGLEFINANCE(A990,""CLOSEYEST"")"),152.98)</f>
        <v>152.97999999999999</v>
      </c>
      <c r="H990" s="14" t="str">
        <f t="shared" ca="1" si="34"/>
        <v/>
      </c>
      <c r="I990" s="15">
        <f t="shared" ca="1" si="29"/>
        <v>152.59666666666666</v>
      </c>
      <c r="J990" s="16">
        <f t="shared" ca="1" si="30"/>
        <v>154.33333333333331</v>
      </c>
      <c r="K990" s="16"/>
      <c r="L990" s="16">
        <f t="shared" ca="1" si="31"/>
        <v>151.24333333333334</v>
      </c>
      <c r="M990" s="16">
        <f t="shared" ca="1" si="32"/>
        <v>155.68666666666664</v>
      </c>
      <c r="N990" s="16">
        <f t="shared" ca="1" si="33"/>
        <v>149.50666666666669</v>
      </c>
    </row>
    <row r="991" spans="1:14" ht="24.75" customHeight="1" x14ac:dyDescent="0.8">
      <c r="A991" s="18" t="s">
        <v>954</v>
      </c>
      <c r="B991" s="10">
        <f ca="1">IFERROR(__xludf.DUMMYFUNCTION("GOOGLEFINANCE(A991,""PRICE"")"),109.49)</f>
        <v>109.49</v>
      </c>
      <c r="C991" s="11">
        <f ca="1">IFERROR(__xludf.DUMMYFUNCTION("GOOGLEFINANCE(A991,""PRICEOPEN"")"),104)</f>
        <v>104</v>
      </c>
      <c r="D991" s="11">
        <f ca="1">IFERROR(__xludf.DUMMYFUNCTION("GOOGLEFINANCE(A991,""HIGH"")"),111)</f>
        <v>111</v>
      </c>
      <c r="E991" s="11">
        <f ca="1">IFERROR(__xludf.DUMMYFUNCTION("GOOGLEFINANCE(A991,""LOW"")"),104)</f>
        <v>104</v>
      </c>
      <c r="F991" s="12" t="str">
        <f t="shared" ca="1" si="28"/>
        <v>BUY</v>
      </c>
      <c r="G991" s="13">
        <f ca="1">IFERROR(__xludf.DUMMYFUNCTION("GOOGLEFINANCE(A991,""CLOSEYEST"")"),107.33)</f>
        <v>107.33</v>
      </c>
      <c r="H991" s="14" t="str">
        <f t="shared" ca="1" si="34"/>
        <v>GAP DOWN</v>
      </c>
      <c r="I991" s="15">
        <f t="shared" ca="1" si="29"/>
        <v>107.44333333333333</v>
      </c>
      <c r="J991" s="16">
        <f t="shared" ca="1" si="30"/>
        <v>110.88666666666666</v>
      </c>
      <c r="K991" s="16"/>
      <c r="L991" s="16">
        <f t="shared" ca="1" si="31"/>
        <v>103.88666666666666</v>
      </c>
      <c r="M991" s="16">
        <f t="shared" ca="1" si="32"/>
        <v>114.44333333333333</v>
      </c>
      <c r="N991" s="16">
        <f t="shared" ca="1" si="33"/>
        <v>100.44333333333333</v>
      </c>
    </row>
    <row r="992" spans="1:14" ht="24.75" customHeight="1" x14ac:dyDescent="0.8">
      <c r="A992" s="18" t="s">
        <v>955</v>
      </c>
      <c r="B992" s="10">
        <f ca="1">IFERROR(__xludf.DUMMYFUNCTION("GOOGLEFINANCE(A992,""PRICE"")"),1.02)</f>
        <v>1.02</v>
      </c>
      <c r="C992" s="11" t="str">
        <f ca="1">IFERROR(__xludf.DUMMYFUNCTION("GOOGLEFINANCE(A992,""PRICEOPEN"")"),"#N/A")</f>
        <v>#N/A</v>
      </c>
      <c r="D992" s="11" t="str">
        <f ca="1">IFERROR(__xludf.DUMMYFUNCTION("GOOGLEFINANCE(A992,""HIGH"")"),"#N/A")</f>
        <v>#N/A</v>
      </c>
      <c r="E992" s="11" t="str">
        <f ca="1">IFERROR(__xludf.DUMMYFUNCTION("GOOGLEFINANCE(A992,""LOW"")"),"#N/A")</f>
        <v>#N/A</v>
      </c>
      <c r="F992" s="12" t="str">
        <f t="shared" ca="1" si="28"/>
        <v>SELL</v>
      </c>
      <c r="G992" s="13">
        <f ca="1">IFERROR(__xludf.DUMMYFUNCTION("GOOGLEFINANCE(A992,""CLOSEYEST"")"),1.02)</f>
        <v>1.02</v>
      </c>
      <c r="H992" s="14" t="str">
        <f t="shared" ca="1" si="34"/>
        <v>GAP UP</v>
      </c>
      <c r="I992" s="15" t="e">
        <f t="shared" ca="1" si="29"/>
        <v>#VALUE!</v>
      </c>
      <c r="J992" s="16" t="e">
        <f t="shared" ca="1" si="30"/>
        <v>#VALUE!</v>
      </c>
      <c r="K992" s="16"/>
      <c r="L992" s="16" t="e">
        <f t="shared" ca="1" si="31"/>
        <v>#VALUE!</v>
      </c>
      <c r="M992" s="16" t="e">
        <f t="shared" ca="1" si="32"/>
        <v>#VALUE!</v>
      </c>
      <c r="N992" s="16" t="e">
        <f t="shared" ca="1" si="33"/>
        <v>#VALUE!</v>
      </c>
    </row>
    <row r="993" spans="1:14" ht="24.75" customHeight="1" x14ac:dyDescent="0.8">
      <c r="A993" s="18" t="s">
        <v>956</v>
      </c>
      <c r="B993" s="10">
        <f ca="1">IFERROR(__xludf.DUMMYFUNCTION("GOOGLEFINANCE(A993,""PRICE"")"),181.82)</f>
        <v>181.82</v>
      </c>
      <c r="C993" s="11">
        <f ca="1">IFERROR(__xludf.DUMMYFUNCTION("GOOGLEFINANCE(A993,""PRICEOPEN"")"),182.1)</f>
        <v>182.1</v>
      </c>
      <c r="D993" s="11">
        <f ca="1">IFERROR(__xludf.DUMMYFUNCTION("GOOGLEFINANCE(A993,""HIGH"")"),182.1)</f>
        <v>182.1</v>
      </c>
      <c r="E993" s="11">
        <f ca="1">IFERROR(__xludf.DUMMYFUNCTION("GOOGLEFINANCE(A993,""LOW"")"),181.82)</f>
        <v>181.82</v>
      </c>
      <c r="F993" s="12" t="str">
        <f t="shared" ca="1" si="28"/>
        <v>SELL</v>
      </c>
      <c r="G993" s="13">
        <f ca="1">IFERROR(__xludf.DUMMYFUNCTION("GOOGLEFINANCE(A993,""CLOSEYEST"")"),181.28)</f>
        <v>181.28</v>
      </c>
      <c r="H993" s="14" t="str">
        <f t="shared" ca="1" si="34"/>
        <v/>
      </c>
      <c r="I993" s="15">
        <f t="shared" ca="1" si="29"/>
        <v>181.73333333333332</v>
      </c>
      <c r="J993" s="16">
        <f t="shared" ca="1" si="30"/>
        <v>181.64666666666665</v>
      </c>
      <c r="K993" s="16"/>
      <c r="L993" s="16">
        <f t="shared" ca="1" si="31"/>
        <v>181.36666666666665</v>
      </c>
      <c r="M993" s="16">
        <f t="shared" ca="1" si="32"/>
        <v>182.01333333333332</v>
      </c>
      <c r="N993" s="16">
        <f t="shared" ca="1" si="33"/>
        <v>181.45333333333332</v>
      </c>
    </row>
    <row r="994" spans="1:14" ht="24.75" customHeight="1" x14ac:dyDescent="0.8">
      <c r="A994" s="18" t="s">
        <v>957</v>
      </c>
      <c r="B994" s="10">
        <f ca="1">IFERROR(__xludf.DUMMYFUNCTION("GOOGLEFINANCE(A994,""PRICE"")"),375)</f>
        <v>375</v>
      </c>
      <c r="C994" s="11">
        <f ca="1">IFERROR(__xludf.DUMMYFUNCTION("GOOGLEFINANCE(A994,""PRICEOPEN"")"),363.7)</f>
        <v>363.7</v>
      </c>
      <c r="D994" s="11">
        <f ca="1">IFERROR(__xludf.DUMMYFUNCTION("GOOGLEFINANCE(A994,""HIGH"")"),375.7)</f>
        <v>375.7</v>
      </c>
      <c r="E994" s="11">
        <f ca="1">IFERROR(__xludf.DUMMYFUNCTION("GOOGLEFINANCE(A994,""LOW"")"),363.65)</f>
        <v>363.65</v>
      </c>
      <c r="F994" s="12" t="str">
        <f t="shared" ca="1" si="28"/>
        <v/>
      </c>
      <c r="G994" s="13">
        <f ca="1">IFERROR(__xludf.DUMMYFUNCTION("GOOGLEFINANCE(A994,""CLOSEYEST"")"),366.7)</f>
        <v>366.7</v>
      </c>
      <c r="H994" s="14" t="str">
        <f t="shared" ca="1" si="34"/>
        <v/>
      </c>
      <c r="I994" s="15">
        <f t="shared" ca="1" si="29"/>
        <v>368.68333333333334</v>
      </c>
      <c r="J994" s="16">
        <f t="shared" ca="1" si="30"/>
        <v>373.7166666666667</v>
      </c>
      <c r="K994" s="16"/>
      <c r="L994" s="16">
        <f t="shared" ca="1" si="31"/>
        <v>361.66666666666669</v>
      </c>
      <c r="M994" s="16">
        <f t="shared" ca="1" si="32"/>
        <v>380.73333333333335</v>
      </c>
      <c r="N994" s="16">
        <f t="shared" ca="1" si="33"/>
        <v>356.63333333333333</v>
      </c>
    </row>
    <row r="995" spans="1:14" ht="24.75" customHeight="1" x14ac:dyDescent="0.8">
      <c r="A995" s="18" t="s">
        <v>958</v>
      </c>
      <c r="B995" s="10" t="str">
        <f ca="1">IFERROR(__xludf.DUMMYFUNCTION("GOOGLEFINANCE(A995,""PRICE"")"),"#N/A")</f>
        <v>#N/A</v>
      </c>
      <c r="C995" s="11" t="str">
        <f ca="1">IFERROR(__xludf.DUMMYFUNCTION("GOOGLEFINANCE(A995,""PRICEOPEN"")"),"#N/A")</f>
        <v>#N/A</v>
      </c>
      <c r="D995" s="11" t="str">
        <f ca="1">IFERROR(__xludf.DUMMYFUNCTION("GOOGLEFINANCE(A995,""HIGH"")"),"#N/A")</f>
        <v>#N/A</v>
      </c>
      <c r="E995" s="11" t="str">
        <f ca="1">IFERROR(__xludf.DUMMYFUNCTION("GOOGLEFINANCE(A995,""LOW"")"),"#N/A")</f>
        <v>#N/A</v>
      </c>
      <c r="F995" s="12" t="str">
        <f t="shared" ca="1" si="28"/>
        <v>SELL</v>
      </c>
      <c r="G995" s="13" t="str">
        <f ca="1">IFERROR(__xludf.DUMMYFUNCTION("GOOGLEFINANCE(A995,""CLOSEYEST"")"),"#N/A")</f>
        <v>#N/A</v>
      </c>
      <c r="H995" s="14" t="e">
        <f t="shared" ca="1" si="34"/>
        <v>#VALUE!</v>
      </c>
      <c r="I995" s="15" t="e">
        <f t="shared" ca="1" si="29"/>
        <v>#VALUE!</v>
      </c>
      <c r="J995" s="16" t="e">
        <f t="shared" ca="1" si="30"/>
        <v>#VALUE!</v>
      </c>
      <c r="K995" s="16"/>
      <c r="L995" s="16" t="e">
        <f t="shared" ca="1" si="31"/>
        <v>#VALUE!</v>
      </c>
      <c r="M995" s="16" t="e">
        <f t="shared" ca="1" si="32"/>
        <v>#VALUE!</v>
      </c>
      <c r="N995" s="16" t="e">
        <f t="shared" ca="1" si="33"/>
        <v>#VALUE!</v>
      </c>
    </row>
    <row r="996" spans="1:14" ht="24.75" customHeight="1" x14ac:dyDescent="0.8">
      <c r="A996" s="18" t="s">
        <v>959</v>
      </c>
      <c r="B996" s="10">
        <f ca="1">IFERROR(__xludf.DUMMYFUNCTION("GOOGLEFINANCE(A996,""PRICE"")"),7.56)</f>
        <v>7.56</v>
      </c>
      <c r="C996" s="11">
        <f ca="1">IFERROR(__xludf.DUMMYFUNCTION("GOOGLEFINANCE(A996,""PRICEOPEN"")"),7.56)</f>
        <v>7.56</v>
      </c>
      <c r="D996" s="11">
        <f ca="1">IFERROR(__xludf.DUMMYFUNCTION("GOOGLEFINANCE(A996,""HIGH"")"),7.56)</f>
        <v>7.56</v>
      </c>
      <c r="E996" s="11">
        <f ca="1">IFERROR(__xludf.DUMMYFUNCTION("GOOGLEFINANCE(A996,""LOW"")"),7.34)</f>
        <v>7.34</v>
      </c>
      <c r="F996" s="12" t="str">
        <f t="shared" ca="1" si="28"/>
        <v>SELL</v>
      </c>
      <c r="G996" s="13">
        <f ca="1">IFERROR(__xludf.DUMMYFUNCTION("GOOGLEFINANCE(A996,""CLOSEYEST"")"),7.2)</f>
        <v>7.2</v>
      </c>
      <c r="H996" s="14" t="str">
        <f t="shared" ca="1" si="34"/>
        <v>GAP UP</v>
      </c>
      <c r="I996" s="15">
        <f t="shared" ca="1" si="29"/>
        <v>7.3666666666666663</v>
      </c>
      <c r="J996" s="16">
        <f t="shared" ca="1" si="30"/>
        <v>7.3933333333333326</v>
      </c>
      <c r="K996" s="16"/>
      <c r="L996" s="16">
        <f t="shared" ca="1" si="31"/>
        <v>7.1733333333333329</v>
      </c>
      <c r="M996" s="16">
        <f t="shared" ca="1" si="32"/>
        <v>7.586666666666666</v>
      </c>
      <c r="N996" s="16">
        <f t="shared" ca="1" si="33"/>
        <v>7.1466666666666665</v>
      </c>
    </row>
    <row r="997" spans="1:14" ht="24.75" customHeight="1" x14ac:dyDescent="0.8">
      <c r="A997" s="18" t="s">
        <v>960</v>
      </c>
      <c r="B997" s="10" t="str">
        <f ca="1">IFERROR(__xludf.DUMMYFUNCTION("GOOGLEFINANCE(A997,""PRICE"")"),"#N/A")</f>
        <v>#N/A</v>
      </c>
      <c r="C997" s="11" t="str">
        <f ca="1">IFERROR(__xludf.DUMMYFUNCTION("GOOGLEFINANCE(A997,""PRICEOPEN"")"),"#N/A")</f>
        <v>#N/A</v>
      </c>
      <c r="D997" s="11" t="str">
        <f ca="1">IFERROR(__xludf.DUMMYFUNCTION("GOOGLEFINANCE(A997,""HIGH"")"),"#N/A")</f>
        <v>#N/A</v>
      </c>
      <c r="E997" s="11" t="str">
        <f ca="1">IFERROR(__xludf.DUMMYFUNCTION("GOOGLEFINANCE(A997,""LOW"")"),"#N/A")</f>
        <v>#N/A</v>
      </c>
      <c r="F997" s="12" t="str">
        <f t="shared" ca="1" si="28"/>
        <v>SELL</v>
      </c>
      <c r="G997" s="13" t="str">
        <f ca="1">IFERROR(__xludf.DUMMYFUNCTION("GOOGLEFINANCE(A997,""CLOSEYEST"")"),"#N/A")</f>
        <v>#N/A</v>
      </c>
      <c r="H997" s="14" t="e">
        <f t="shared" ca="1" si="34"/>
        <v>#VALUE!</v>
      </c>
      <c r="I997" s="15" t="e">
        <f t="shared" ca="1" si="29"/>
        <v>#VALUE!</v>
      </c>
      <c r="J997" s="16" t="e">
        <f t="shared" ca="1" si="30"/>
        <v>#VALUE!</v>
      </c>
      <c r="K997" s="16"/>
      <c r="L997" s="16" t="e">
        <f t="shared" ca="1" si="31"/>
        <v>#VALUE!</v>
      </c>
      <c r="M997" s="16" t="e">
        <f t="shared" ca="1" si="32"/>
        <v>#VALUE!</v>
      </c>
      <c r="N997" s="16" t="e">
        <f t="shared" ca="1" si="33"/>
        <v>#VALUE!</v>
      </c>
    </row>
    <row r="998" spans="1:14" ht="24.75" customHeight="1" x14ac:dyDescent="0.8">
      <c r="A998" s="18" t="s">
        <v>961</v>
      </c>
      <c r="B998" s="10">
        <f ca="1">IFERROR(__xludf.DUMMYFUNCTION("GOOGLEFINANCE(A998,""PRICE"")"),1145)</f>
        <v>1145</v>
      </c>
      <c r="C998" s="11">
        <f ca="1">IFERROR(__xludf.DUMMYFUNCTION("GOOGLEFINANCE(A998,""PRICEOPEN"")"),1176.5)</f>
        <v>1176.5</v>
      </c>
      <c r="D998" s="11">
        <f ca="1">IFERROR(__xludf.DUMMYFUNCTION("GOOGLEFINANCE(A998,""HIGH"")"),1188)</f>
        <v>1188</v>
      </c>
      <c r="E998" s="11">
        <f ca="1">IFERROR(__xludf.DUMMYFUNCTION("GOOGLEFINANCE(A998,""LOW"")"),1145)</f>
        <v>1145</v>
      </c>
      <c r="F998" s="12" t="str">
        <f t="shared" ca="1" si="28"/>
        <v/>
      </c>
      <c r="G998" s="13">
        <f ca="1">IFERROR(__xludf.DUMMYFUNCTION("GOOGLEFINANCE(A998,""CLOSEYEST"")"),1158.9)</f>
        <v>1158.9000000000001</v>
      </c>
      <c r="H998" s="14" t="str">
        <f t="shared" ca="1" si="34"/>
        <v>GAP UP</v>
      </c>
      <c r="I998" s="15">
        <f t="shared" ca="1" si="29"/>
        <v>1163.9666666666667</v>
      </c>
      <c r="J998" s="16">
        <f t="shared" ca="1" si="30"/>
        <v>1182.9333333333334</v>
      </c>
      <c r="K998" s="16"/>
      <c r="L998" s="16">
        <f t="shared" ca="1" si="31"/>
        <v>1139.9333333333334</v>
      </c>
      <c r="M998" s="16">
        <f t="shared" ca="1" si="32"/>
        <v>1206.9666666666667</v>
      </c>
      <c r="N998" s="16">
        <f t="shared" ca="1" si="33"/>
        <v>1120.9666666666667</v>
      </c>
    </row>
    <row r="999" spans="1:14" ht="24.75" customHeight="1" x14ac:dyDescent="0.8">
      <c r="A999" s="18" t="s">
        <v>962</v>
      </c>
      <c r="B999" s="10">
        <f ca="1">IFERROR(__xludf.DUMMYFUNCTION("GOOGLEFINANCE(A999,""PRICE"")"),0.06)</f>
        <v>0.06</v>
      </c>
      <c r="C999" s="11">
        <f ca="1">IFERROR(__xludf.DUMMYFUNCTION("GOOGLEFINANCE(A999,""PRICEOPEN"")"),0.05)</f>
        <v>0.05</v>
      </c>
      <c r="D999" s="11">
        <f ca="1">IFERROR(__xludf.DUMMYFUNCTION("GOOGLEFINANCE(A999,""HIGH"")"),0.06)</f>
        <v>0.06</v>
      </c>
      <c r="E999" s="11">
        <f ca="1">IFERROR(__xludf.DUMMYFUNCTION("GOOGLEFINANCE(A999,""LOW"")"),0.05)</f>
        <v>0.05</v>
      </c>
      <c r="F999" s="12" t="str">
        <f t="shared" ca="1" si="28"/>
        <v>BUY</v>
      </c>
      <c r="G999" s="13">
        <f ca="1">IFERROR(__xludf.DUMMYFUNCTION("GOOGLEFINANCE(A999,""CLOSEYEST"")"),0.05)</f>
        <v>0.05</v>
      </c>
      <c r="H999" s="14" t="str">
        <f t="shared" ca="1" si="34"/>
        <v/>
      </c>
      <c r="I999" s="15">
        <f t="shared" ca="1" si="29"/>
        <v>5.3333333333333337E-2</v>
      </c>
      <c r="J999" s="16">
        <f t="shared" ca="1" si="30"/>
        <v>5.6666666666666671E-2</v>
      </c>
      <c r="K999" s="16"/>
      <c r="L999" s="16">
        <f t="shared" ca="1" si="31"/>
        <v>4.6666666666666676E-2</v>
      </c>
      <c r="M999" s="16">
        <f t="shared" ca="1" si="32"/>
        <v>6.3333333333333325E-2</v>
      </c>
      <c r="N999" s="16">
        <f t="shared" ca="1" si="33"/>
        <v>4.3333333333333342E-2</v>
      </c>
    </row>
    <row r="1000" spans="1:14" ht="24.75" customHeight="1" x14ac:dyDescent="0.8">
      <c r="A1000" s="18" t="s">
        <v>963</v>
      </c>
      <c r="B1000" s="10" t="str">
        <f ca="1">IFERROR(__xludf.DUMMYFUNCTION("GOOGLEFINANCE(A1000,""PRICE"")"),"#N/A")</f>
        <v>#N/A</v>
      </c>
      <c r="C1000" s="11" t="str">
        <f ca="1">IFERROR(__xludf.DUMMYFUNCTION("GOOGLEFINANCE(A1000,""PRICEOPEN"")"),"#N/A")</f>
        <v>#N/A</v>
      </c>
      <c r="D1000" s="11" t="str">
        <f ca="1">IFERROR(__xludf.DUMMYFUNCTION("GOOGLEFINANCE(A1000,""HIGH"")"),"#N/A")</f>
        <v>#N/A</v>
      </c>
      <c r="E1000" s="11" t="str">
        <f ca="1">IFERROR(__xludf.DUMMYFUNCTION("GOOGLEFINANCE(A1000,""LOW"")"),"#N/A")</f>
        <v>#N/A</v>
      </c>
      <c r="F1000" s="12" t="str">
        <f t="shared" ca="1" si="28"/>
        <v>SELL</v>
      </c>
      <c r="G1000" s="13" t="str">
        <f ca="1">IFERROR(__xludf.DUMMYFUNCTION("GOOGLEFINANCE(A1000,""CLOSEYEST"")"),"#N/A")</f>
        <v>#N/A</v>
      </c>
      <c r="H1000" s="14" t="e">
        <f t="shared" ca="1" si="34"/>
        <v>#VALUE!</v>
      </c>
      <c r="I1000" s="15" t="e">
        <f t="shared" ca="1" si="29"/>
        <v>#VALUE!</v>
      </c>
      <c r="J1000" s="16" t="e">
        <f t="shared" ca="1" si="30"/>
        <v>#VALUE!</v>
      </c>
      <c r="K1000" s="16"/>
      <c r="L1000" s="16" t="e">
        <f t="shared" ca="1" si="31"/>
        <v>#VALUE!</v>
      </c>
      <c r="M1000" s="16" t="e">
        <f t="shared" ca="1" si="32"/>
        <v>#VALUE!</v>
      </c>
      <c r="N1000" s="16" t="e">
        <f t="shared" ca="1" si="33"/>
        <v>#VALUE!</v>
      </c>
    </row>
    <row r="1001" spans="1:14" ht="24.75" customHeight="1" x14ac:dyDescent="0.8">
      <c r="A1001" s="18" t="s">
        <v>964</v>
      </c>
      <c r="B1001" s="10">
        <f ca="1">IFERROR(__xludf.DUMMYFUNCTION("GOOGLEFINANCE(A1001,""PRICE"")"),1.85)</f>
        <v>1.85</v>
      </c>
      <c r="C1001" s="11">
        <f ca="1">IFERROR(__xludf.DUMMYFUNCTION("GOOGLEFINANCE(A1001,""PRICEOPEN"")"),1.77)</f>
        <v>1.77</v>
      </c>
      <c r="D1001" s="11">
        <f ca="1">IFERROR(__xludf.DUMMYFUNCTION("GOOGLEFINANCE(A1001,""HIGH"")"),1.85)</f>
        <v>1.85</v>
      </c>
      <c r="E1001" s="11">
        <f ca="1">IFERROR(__xludf.DUMMYFUNCTION("GOOGLEFINANCE(A1001,""LOW"")"),1.73)</f>
        <v>1.73</v>
      </c>
      <c r="F1001" s="12" t="str">
        <f t="shared" ca="1" si="28"/>
        <v/>
      </c>
      <c r="G1001" s="13">
        <f ca="1">IFERROR(__xludf.DUMMYFUNCTION("GOOGLEFINANCE(A1001,""CLOSEYEST"")"),1.77)</f>
        <v>1.77</v>
      </c>
      <c r="H1001" s="14" t="str">
        <f t="shared" ca="1" si="34"/>
        <v/>
      </c>
      <c r="I1001" s="15">
        <f t="shared" ca="1" si="29"/>
        <v>1.7833333333333332</v>
      </c>
      <c r="J1001" s="16">
        <f t="shared" ca="1" si="30"/>
        <v>1.8366666666666664</v>
      </c>
      <c r="K1001" s="16"/>
      <c r="L1001" s="16">
        <f t="shared" ca="1" si="31"/>
        <v>1.7166666666666663</v>
      </c>
      <c r="M1001" s="16">
        <f t="shared" ca="1" si="32"/>
        <v>1.9033333333333333</v>
      </c>
      <c r="N1001" s="16">
        <f t="shared" ca="1" si="33"/>
        <v>1.6633333333333331</v>
      </c>
    </row>
    <row r="1002" spans="1:14" ht="24.75" customHeight="1" x14ac:dyDescent="0.8">
      <c r="A1002" s="18" t="s">
        <v>965</v>
      </c>
      <c r="B1002" s="10">
        <f ca="1">IFERROR(__xludf.DUMMYFUNCTION("GOOGLEFINANCE(A1002,""PRICE"")"),1260)</f>
        <v>1260</v>
      </c>
      <c r="C1002" s="11">
        <f ca="1">IFERROR(__xludf.DUMMYFUNCTION("GOOGLEFINANCE(A1002,""PRICEOPEN"")"),1263.7)</f>
        <v>1263.7</v>
      </c>
      <c r="D1002" s="11">
        <f ca="1">IFERROR(__xludf.DUMMYFUNCTION("GOOGLEFINANCE(A1002,""HIGH"")"),1279)</f>
        <v>1279</v>
      </c>
      <c r="E1002" s="11">
        <f ca="1">IFERROR(__xludf.DUMMYFUNCTION("GOOGLEFINANCE(A1002,""LOW"")"),1244.6)</f>
        <v>1244.5999999999999</v>
      </c>
      <c r="F1002" s="12" t="str">
        <f t="shared" ca="1" si="28"/>
        <v/>
      </c>
      <c r="G1002" s="13">
        <f ca="1">IFERROR(__xludf.DUMMYFUNCTION("GOOGLEFINANCE(A1002,""CLOSEYEST"")"),1260.2)</f>
        <v>1260.2</v>
      </c>
      <c r="H1002" s="14" t="str">
        <f t="shared" ca="1" si="34"/>
        <v/>
      </c>
      <c r="I1002" s="15">
        <f t="shared" ca="1" si="29"/>
        <v>1261.2666666666667</v>
      </c>
      <c r="J1002" s="16">
        <f t="shared" ca="1" si="30"/>
        <v>1277.9333333333334</v>
      </c>
      <c r="K1002" s="16"/>
      <c r="L1002" s="16">
        <f t="shared" ca="1" si="31"/>
        <v>1243.5333333333333</v>
      </c>
      <c r="M1002" s="16">
        <f t="shared" ca="1" si="32"/>
        <v>1295.6666666666667</v>
      </c>
      <c r="N1002" s="16">
        <f t="shared" ca="1" si="33"/>
        <v>1226.8666666666666</v>
      </c>
    </row>
    <row r="1003" spans="1:14" ht="24.75" customHeight="1" x14ac:dyDescent="0.8">
      <c r="A1003" s="18" t="s">
        <v>966</v>
      </c>
      <c r="B1003" s="10">
        <f ca="1">IFERROR(__xludf.DUMMYFUNCTION("GOOGLEFINANCE(A1003,""PRICE"")"),1101)</f>
        <v>1101</v>
      </c>
      <c r="C1003" s="11">
        <f ca="1">IFERROR(__xludf.DUMMYFUNCTION("GOOGLEFINANCE(A1003,""PRICEOPEN"")"),1085)</f>
        <v>1085</v>
      </c>
      <c r="D1003" s="11">
        <f ca="1">IFERROR(__xludf.DUMMYFUNCTION("GOOGLEFINANCE(A1003,""HIGH"")"),1118.5)</f>
        <v>1118.5</v>
      </c>
      <c r="E1003" s="11">
        <f ca="1">IFERROR(__xludf.DUMMYFUNCTION("GOOGLEFINANCE(A1003,""LOW"")"),1076)</f>
        <v>1076</v>
      </c>
      <c r="F1003" s="12" t="str">
        <f t="shared" ca="1" si="28"/>
        <v/>
      </c>
      <c r="G1003" s="13">
        <f ca="1">IFERROR(__xludf.DUMMYFUNCTION("GOOGLEFINANCE(A1003,""CLOSEYEST"")"),1082.6)</f>
        <v>1082.5999999999999</v>
      </c>
      <c r="H1003" s="14" t="str">
        <f t="shared" ca="1" si="34"/>
        <v/>
      </c>
      <c r="I1003" s="15">
        <f t="shared" ca="1" si="29"/>
        <v>1092.3666666666666</v>
      </c>
      <c r="J1003" s="16">
        <f t="shared" ca="1" si="30"/>
        <v>1108.7333333333331</v>
      </c>
      <c r="K1003" s="16"/>
      <c r="L1003" s="16">
        <f t="shared" ca="1" si="31"/>
        <v>1066.2333333333331</v>
      </c>
      <c r="M1003" s="16">
        <f t="shared" ca="1" si="32"/>
        <v>1134.8666666666666</v>
      </c>
      <c r="N1003" s="16">
        <f t="shared" ca="1" si="33"/>
        <v>1049.8666666666666</v>
      </c>
    </row>
    <row r="1004" spans="1:14" ht="24.75" customHeight="1" x14ac:dyDescent="0.8">
      <c r="A1004" s="18" t="s">
        <v>967</v>
      </c>
      <c r="B1004" s="10">
        <f ca="1">IFERROR(__xludf.DUMMYFUNCTION("GOOGLEFINANCE(A1004,""PRICE"")"),207)</f>
        <v>207</v>
      </c>
      <c r="C1004" s="11">
        <f ca="1">IFERROR(__xludf.DUMMYFUNCTION("GOOGLEFINANCE(A1004,""PRICEOPEN"")"),200)</f>
        <v>200</v>
      </c>
      <c r="D1004" s="11">
        <f ca="1">IFERROR(__xludf.DUMMYFUNCTION("GOOGLEFINANCE(A1004,""HIGH"")"),207.89)</f>
        <v>207.89</v>
      </c>
      <c r="E1004" s="11">
        <f ca="1">IFERROR(__xludf.DUMMYFUNCTION("GOOGLEFINANCE(A1004,""LOW"")"),198.93)</f>
        <v>198.93</v>
      </c>
      <c r="F1004" s="12" t="str">
        <f t="shared" ca="1" si="28"/>
        <v/>
      </c>
      <c r="G1004" s="13">
        <f ca="1">IFERROR(__xludf.DUMMYFUNCTION("GOOGLEFINANCE(A1004,""CLOSEYEST"")"),198.93)</f>
        <v>198.93</v>
      </c>
      <c r="H1004" s="14" t="str">
        <f t="shared" ca="1" si="34"/>
        <v/>
      </c>
      <c r="I1004" s="15">
        <f t="shared" ca="1" si="29"/>
        <v>201.91666666666666</v>
      </c>
      <c r="J1004" s="16">
        <f t="shared" ca="1" si="30"/>
        <v>204.90333333333331</v>
      </c>
      <c r="K1004" s="16"/>
      <c r="L1004" s="16">
        <f t="shared" ca="1" si="31"/>
        <v>195.94333333333333</v>
      </c>
      <c r="M1004" s="16">
        <f t="shared" ca="1" si="32"/>
        <v>210.87666666666664</v>
      </c>
      <c r="N1004" s="16">
        <f t="shared" ca="1" si="33"/>
        <v>192.95666666666668</v>
      </c>
    </row>
    <row r="1005" spans="1:14" ht="24.75" customHeight="1" x14ac:dyDescent="0.8">
      <c r="A1005" s="18" t="s">
        <v>968</v>
      </c>
      <c r="B1005" s="10" t="str">
        <f ca="1">IFERROR(__xludf.DUMMYFUNCTION("GOOGLEFINANCE(A1005,""PRICE"")"),"#N/A")</f>
        <v>#N/A</v>
      </c>
      <c r="C1005" s="11" t="str">
        <f ca="1">IFERROR(__xludf.DUMMYFUNCTION("GOOGLEFINANCE(A1005,""PRICEOPEN"")"),"#N/A")</f>
        <v>#N/A</v>
      </c>
      <c r="D1005" s="11" t="str">
        <f ca="1">IFERROR(__xludf.DUMMYFUNCTION("GOOGLEFINANCE(A1005,""HIGH"")"),"#N/A")</f>
        <v>#N/A</v>
      </c>
      <c r="E1005" s="11" t="str">
        <f ca="1">IFERROR(__xludf.DUMMYFUNCTION("GOOGLEFINANCE(A1005,""LOW"")"),"#N/A")</f>
        <v>#N/A</v>
      </c>
      <c r="F1005" s="12" t="str">
        <f t="shared" ca="1" si="28"/>
        <v>SELL</v>
      </c>
      <c r="G1005" s="13" t="str">
        <f ca="1">IFERROR(__xludf.DUMMYFUNCTION("GOOGLEFINANCE(A1005,""CLOSEYEST"")"),"#N/A")</f>
        <v>#N/A</v>
      </c>
      <c r="H1005" s="14" t="e">
        <f t="shared" ca="1" si="34"/>
        <v>#VALUE!</v>
      </c>
      <c r="I1005" s="15" t="e">
        <f t="shared" ca="1" si="29"/>
        <v>#VALUE!</v>
      </c>
      <c r="J1005" s="16" t="e">
        <f t="shared" ca="1" si="30"/>
        <v>#VALUE!</v>
      </c>
      <c r="K1005" s="16"/>
      <c r="L1005" s="16" t="e">
        <f t="shared" ca="1" si="31"/>
        <v>#VALUE!</v>
      </c>
      <c r="M1005" s="16" t="e">
        <f t="shared" ca="1" si="32"/>
        <v>#VALUE!</v>
      </c>
      <c r="N1005" s="16" t="e">
        <f t="shared" ca="1" si="33"/>
        <v>#VALUE!</v>
      </c>
    </row>
    <row r="1006" spans="1:14" ht="24.75" customHeight="1" x14ac:dyDescent="0.8">
      <c r="A1006" s="18" t="s">
        <v>969</v>
      </c>
      <c r="B1006" s="10" t="str">
        <f ca="1">IFERROR(__xludf.DUMMYFUNCTION("GOOGLEFINANCE(A1006,""PRICE"")"),"#N/A")</f>
        <v>#N/A</v>
      </c>
      <c r="C1006" s="11" t="str">
        <f ca="1">IFERROR(__xludf.DUMMYFUNCTION("GOOGLEFINANCE(A1006,""PRICEOPEN"")"),"#N/A")</f>
        <v>#N/A</v>
      </c>
      <c r="D1006" s="11" t="str">
        <f ca="1">IFERROR(__xludf.DUMMYFUNCTION("GOOGLEFINANCE(A1006,""HIGH"")"),"#N/A")</f>
        <v>#N/A</v>
      </c>
      <c r="E1006" s="11" t="str">
        <f ca="1">IFERROR(__xludf.DUMMYFUNCTION("GOOGLEFINANCE(A1006,""LOW"")"),"#N/A")</f>
        <v>#N/A</v>
      </c>
      <c r="F1006" s="12" t="str">
        <f t="shared" ca="1" si="28"/>
        <v>SELL</v>
      </c>
      <c r="G1006" s="13" t="str">
        <f ca="1">IFERROR(__xludf.DUMMYFUNCTION("GOOGLEFINANCE(A1006,""CLOSEYEST"")"),"#N/A")</f>
        <v>#N/A</v>
      </c>
      <c r="H1006" s="14" t="e">
        <f t="shared" ca="1" si="34"/>
        <v>#VALUE!</v>
      </c>
      <c r="I1006" s="15" t="e">
        <f t="shared" ca="1" si="29"/>
        <v>#VALUE!</v>
      </c>
      <c r="J1006" s="16" t="e">
        <f t="shared" ca="1" si="30"/>
        <v>#VALUE!</v>
      </c>
      <c r="K1006" s="16"/>
      <c r="L1006" s="16" t="e">
        <f t="shared" ca="1" si="31"/>
        <v>#VALUE!</v>
      </c>
      <c r="M1006" s="16" t="e">
        <f t="shared" ca="1" si="32"/>
        <v>#VALUE!</v>
      </c>
      <c r="N1006" s="16" t="e">
        <f t="shared" ca="1" si="33"/>
        <v>#VALUE!</v>
      </c>
    </row>
    <row r="1007" spans="1:14" ht="24.75" customHeight="1" x14ac:dyDescent="0.8">
      <c r="A1007" s="18" t="s">
        <v>970</v>
      </c>
      <c r="B1007" s="10">
        <f ca="1">IFERROR(__xludf.DUMMYFUNCTION("GOOGLEFINANCE(A1007,""PRICE"")"),689.4)</f>
        <v>689.4</v>
      </c>
      <c r="C1007" s="11">
        <f ca="1">IFERROR(__xludf.DUMMYFUNCTION("GOOGLEFINANCE(A1007,""PRICEOPEN"")"),672)</f>
        <v>672</v>
      </c>
      <c r="D1007" s="11">
        <f ca="1">IFERROR(__xludf.DUMMYFUNCTION("GOOGLEFINANCE(A1007,""HIGH"")"),711.8)</f>
        <v>711.8</v>
      </c>
      <c r="E1007" s="11">
        <f ca="1">IFERROR(__xludf.DUMMYFUNCTION("GOOGLEFINANCE(A1007,""LOW"")"),662.25)</f>
        <v>662.25</v>
      </c>
      <c r="F1007" s="12" t="str">
        <f t="shared" ca="1" si="28"/>
        <v/>
      </c>
      <c r="G1007" s="13">
        <f ca="1">IFERROR(__xludf.DUMMYFUNCTION("GOOGLEFINANCE(A1007,""CLOSEYEST"")"),670.1)</f>
        <v>670.1</v>
      </c>
      <c r="H1007" s="14" t="str">
        <f t="shared" ca="1" si="34"/>
        <v/>
      </c>
      <c r="I1007" s="15">
        <f t="shared" ca="1" si="29"/>
        <v>681.38333333333333</v>
      </c>
      <c r="J1007" s="16">
        <f t="shared" ca="1" si="30"/>
        <v>700.51666666666665</v>
      </c>
      <c r="K1007" s="16"/>
      <c r="L1007" s="16">
        <f t="shared" ca="1" si="31"/>
        <v>650.9666666666667</v>
      </c>
      <c r="M1007" s="16">
        <f t="shared" ca="1" si="32"/>
        <v>730.93333333333328</v>
      </c>
      <c r="N1007" s="16">
        <f t="shared" ca="1" si="33"/>
        <v>631.83333333333337</v>
      </c>
    </row>
    <row r="1008" spans="1:14" ht="24.75" customHeight="1" x14ac:dyDescent="0.8">
      <c r="A1008" s="18" t="s">
        <v>971</v>
      </c>
      <c r="B1008" s="10">
        <f ca="1">IFERROR(__xludf.DUMMYFUNCTION("GOOGLEFINANCE(A1008,""PRICE"")"),2271.9)</f>
        <v>2271.9</v>
      </c>
      <c r="C1008" s="11">
        <f ca="1">IFERROR(__xludf.DUMMYFUNCTION("GOOGLEFINANCE(A1008,""PRICEOPEN"")"),2263.5)</f>
        <v>2263.5</v>
      </c>
      <c r="D1008" s="11">
        <f ca="1">IFERROR(__xludf.DUMMYFUNCTION("GOOGLEFINANCE(A1008,""HIGH"")"),2281.2)</f>
        <v>2281.1999999999998</v>
      </c>
      <c r="E1008" s="11">
        <f ca="1">IFERROR(__xludf.DUMMYFUNCTION("GOOGLEFINANCE(A1008,""LOW"")"),2250)</f>
        <v>2250</v>
      </c>
      <c r="F1008" s="12" t="str">
        <f t="shared" ca="1" si="28"/>
        <v/>
      </c>
      <c r="G1008" s="13">
        <f ca="1">IFERROR(__xludf.DUMMYFUNCTION("GOOGLEFINANCE(A1008,""CLOSEYEST"")"),2264.8)</f>
        <v>2264.8000000000002</v>
      </c>
      <c r="H1008" s="14" t="str">
        <f t="shared" ca="1" si="34"/>
        <v/>
      </c>
      <c r="I1008" s="15">
        <f t="shared" ca="1" si="29"/>
        <v>2265.3333333333335</v>
      </c>
      <c r="J1008" s="16">
        <f t="shared" ca="1" si="30"/>
        <v>2280.666666666667</v>
      </c>
      <c r="K1008" s="16"/>
      <c r="L1008" s="16">
        <f t="shared" ca="1" si="31"/>
        <v>2249.4666666666672</v>
      </c>
      <c r="M1008" s="16">
        <f t="shared" ca="1" si="32"/>
        <v>2296.5333333333333</v>
      </c>
      <c r="N1008" s="16">
        <f t="shared" ca="1" si="33"/>
        <v>2234.1333333333337</v>
      </c>
    </row>
    <row r="1009" spans="1:14" ht="24.75" customHeight="1" x14ac:dyDescent="0.8">
      <c r="A1009" s="18" t="s">
        <v>972</v>
      </c>
      <c r="B1009" s="10">
        <f ca="1">IFERROR(__xludf.DUMMYFUNCTION("GOOGLEFINANCE(A1009,""PRICE"")"),3294.6)</f>
        <v>3294.6</v>
      </c>
      <c r="C1009" s="11">
        <f ca="1">IFERROR(__xludf.DUMMYFUNCTION("GOOGLEFINANCE(A1009,""PRICEOPEN"")"),3137)</f>
        <v>3137</v>
      </c>
      <c r="D1009" s="11">
        <f ca="1">IFERROR(__xludf.DUMMYFUNCTION("GOOGLEFINANCE(A1009,""HIGH"")"),3294.6)</f>
        <v>3294.6</v>
      </c>
      <c r="E1009" s="11">
        <f ca="1">IFERROR(__xludf.DUMMYFUNCTION("GOOGLEFINANCE(A1009,""LOW"")"),3018.7)</f>
        <v>3018.7</v>
      </c>
      <c r="F1009" s="12" t="str">
        <f t="shared" ca="1" si="28"/>
        <v/>
      </c>
      <c r="G1009" s="13">
        <f ca="1">IFERROR(__xludf.DUMMYFUNCTION("GOOGLEFINANCE(A1009,""CLOSEYEST"")"),3137.8)</f>
        <v>3137.8</v>
      </c>
      <c r="H1009" s="14" t="str">
        <f t="shared" ca="1" si="34"/>
        <v/>
      </c>
      <c r="I1009" s="15">
        <f t="shared" ca="1" si="29"/>
        <v>3150.3666666666663</v>
      </c>
      <c r="J1009" s="16">
        <f t="shared" ca="1" si="30"/>
        <v>3282.0333333333328</v>
      </c>
      <c r="K1009" s="16"/>
      <c r="L1009" s="16">
        <f t="shared" ca="1" si="31"/>
        <v>3006.1333333333328</v>
      </c>
      <c r="M1009" s="16">
        <f t="shared" ca="1" si="32"/>
        <v>3426.2666666666664</v>
      </c>
      <c r="N1009" s="16">
        <f t="shared" ca="1" si="33"/>
        <v>2874.4666666666662</v>
      </c>
    </row>
    <row r="1010" spans="1:14" ht="24.75" customHeight="1" x14ac:dyDescent="0.8">
      <c r="A1010" s="18" t="s">
        <v>973</v>
      </c>
      <c r="B1010" s="10" t="str">
        <f ca="1">IFERROR(__xludf.DUMMYFUNCTION("GOOGLEFINANCE(A1010,""PRICE"")"),"#N/A")</f>
        <v>#N/A</v>
      </c>
      <c r="C1010" s="11" t="str">
        <f ca="1">IFERROR(__xludf.DUMMYFUNCTION("GOOGLEFINANCE(A1010,""PRICEOPEN"")"),"#N/A")</f>
        <v>#N/A</v>
      </c>
      <c r="D1010" s="11" t="str">
        <f ca="1">IFERROR(__xludf.DUMMYFUNCTION("GOOGLEFINANCE(A1010,""HIGH"")"),"#N/A")</f>
        <v>#N/A</v>
      </c>
      <c r="E1010" s="11" t="str">
        <f ca="1">IFERROR(__xludf.DUMMYFUNCTION("GOOGLEFINANCE(A1010,""LOW"")"),"#N/A")</f>
        <v>#N/A</v>
      </c>
      <c r="F1010" s="12" t="str">
        <f t="shared" ca="1" si="28"/>
        <v>SELL</v>
      </c>
      <c r="G1010" s="13" t="str">
        <f ca="1">IFERROR(__xludf.DUMMYFUNCTION("GOOGLEFINANCE(A1010,""CLOSEYEST"")"),"#N/A")</f>
        <v>#N/A</v>
      </c>
      <c r="H1010" s="14" t="e">
        <f t="shared" ca="1" si="34"/>
        <v>#VALUE!</v>
      </c>
      <c r="I1010" s="15" t="e">
        <f t="shared" ca="1" si="29"/>
        <v>#VALUE!</v>
      </c>
      <c r="J1010" s="16" t="e">
        <f t="shared" ca="1" si="30"/>
        <v>#VALUE!</v>
      </c>
      <c r="K1010" s="16"/>
      <c r="L1010" s="16" t="e">
        <f t="shared" ca="1" si="31"/>
        <v>#VALUE!</v>
      </c>
      <c r="M1010" s="16" t="e">
        <f t="shared" ca="1" si="32"/>
        <v>#VALUE!</v>
      </c>
      <c r="N1010" s="16" t="e">
        <f t="shared" ca="1" si="33"/>
        <v>#VALUE!</v>
      </c>
    </row>
    <row r="1011" spans="1:14" ht="24.75" customHeight="1" x14ac:dyDescent="0.8">
      <c r="A1011" s="18" t="s">
        <v>974</v>
      </c>
      <c r="B1011" s="10">
        <f ca="1">IFERROR(__xludf.DUMMYFUNCTION("GOOGLEFINANCE(A1011,""PRICE"")"),83.5)</f>
        <v>83.5</v>
      </c>
      <c r="C1011" s="11">
        <f ca="1">IFERROR(__xludf.DUMMYFUNCTION("GOOGLEFINANCE(A1011,""PRICEOPEN"")"),81.34)</f>
        <v>81.34</v>
      </c>
      <c r="D1011" s="11">
        <f ca="1">IFERROR(__xludf.DUMMYFUNCTION("GOOGLEFINANCE(A1011,""HIGH"")"),83.69)</f>
        <v>83.69</v>
      </c>
      <c r="E1011" s="11">
        <f ca="1">IFERROR(__xludf.DUMMYFUNCTION("GOOGLEFINANCE(A1011,""LOW"")"),80.71)</f>
        <v>80.709999999999994</v>
      </c>
      <c r="F1011" s="12" t="str">
        <f t="shared" ca="1" si="28"/>
        <v/>
      </c>
      <c r="G1011" s="13">
        <f ca="1">IFERROR(__xludf.DUMMYFUNCTION("GOOGLEFINANCE(A1011,""CLOSEYEST"")"),81.34)</f>
        <v>81.34</v>
      </c>
      <c r="H1011" s="14" t="str">
        <f t="shared" ca="1" si="34"/>
        <v/>
      </c>
      <c r="I1011" s="15">
        <f t="shared" ca="1" si="29"/>
        <v>81.913333333333327</v>
      </c>
      <c r="J1011" s="16">
        <f t="shared" ca="1" si="30"/>
        <v>83.11666666666666</v>
      </c>
      <c r="K1011" s="16"/>
      <c r="L1011" s="16">
        <f t="shared" ca="1" si="31"/>
        <v>80.136666666666656</v>
      </c>
      <c r="M1011" s="16">
        <f t="shared" ca="1" si="32"/>
        <v>84.893333333333331</v>
      </c>
      <c r="N1011" s="16">
        <f t="shared" ca="1" si="33"/>
        <v>78.933333333333323</v>
      </c>
    </row>
    <row r="1012" spans="1:14" ht="24.75" customHeight="1" x14ac:dyDescent="0.8">
      <c r="A1012" s="18" t="s">
        <v>975</v>
      </c>
      <c r="B1012" s="10">
        <f ca="1">IFERROR(__xludf.DUMMYFUNCTION("GOOGLEFINANCE(A1012,""PRICE"")"),57.21)</f>
        <v>57.21</v>
      </c>
      <c r="C1012" s="11">
        <f ca="1">IFERROR(__xludf.DUMMYFUNCTION("GOOGLEFINANCE(A1012,""PRICEOPEN"")"),55.11)</f>
        <v>55.11</v>
      </c>
      <c r="D1012" s="11">
        <f ca="1">IFERROR(__xludf.DUMMYFUNCTION("GOOGLEFINANCE(A1012,""HIGH"")"),59)</f>
        <v>59</v>
      </c>
      <c r="E1012" s="11">
        <f ca="1">IFERROR(__xludf.DUMMYFUNCTION("GOOGLEFINANCE(A1012,""LOW"")"),55.1)</f>
        <v>55.1</v>
      </c>
      <c r="F1012" s="12" t="str">
        <f t="shared" ca="1" si="28"/>
        <v/>
      </c>
      <c r="G1012" s="13">
        <f ca="1">IFERROR(__xludf.DUMMYFUNCTION("GOOGLEFINANCE(A1012,""CLOSEYEST"")"),56)</f>
        <v>56</v>
      </c>
      <c r="H1012" s="14" t="str">
        <f t="shared" ca="1" si="34"/>
        <v>GAP DOWN</v>
      </c>
      <c r="I1012" s="15">
        <f t="shared" ca="1" si="29"/>
        <v>56.699999999999996</v>
      </c>
      <c r="J1012" s="16">
        <f t="shared" ca="1" si="30"/>
        <v>58.29999999999999</v>
      </c>
      <c r="K1012" s="16"/>
      <c r="L1012" s="16">
        <f t="shared" ca="1" si="31"/>
        <v>54.399999999999991</v>
      </c>
      <c r="M1012" s="16">
        <f t="shared" ca="1" si="32"/>
        <v>60.599999999999994</v>
      </c>
      <c r="N1012" s="16">
        <f t="shared" ca="1" si="33"/>
        <v>52.8</v>
      </c>
    </row>
    <row r="1013" spans="1:14" ht="24.75" customHeight="1" x14ac:dyDescent="0.8">
      <c r="A1013" s="18" t="s">
        <v>976</v>
      </c>
      <c r="B1013" s="10" t="str">
        <f ca="1">IFERROR(__xludf.DUMMYFUNCTION("GOOGLEFINANCE(A1013,""PRICE"")"),"#N/A")</f>
        <v>#N/A</v>
      </c>
      <c r="C1013" s="11" t="str">
        <f ca="1">IFERROR(__xludf.DUMMYFUNCTION("GOOGLEFINANCE(A1013,""PRICEOPEN"")"),"#N/A")</f>
        <v>#N/A</v>
      </c>
      <c r="D1013" s="11" t="str">
        <f ca="1">IFERROR(__xludf.DUMMYFUNCTION("GOOGLEFINANCE(A1013,""HIGH"")"),"#N/A")</f>
        <v>#N/A</v>
      </c>
      <c r="E1013" s="11" t="str">
        <f ca="1">IFERROR(__xludf.DUMMYFUNCTION("GOOGLEFINANCE(A1013,""LOW"")"),"#N/A")</f>
        <v>#N/A</v>
      </c>
      <c r="F1013" s="12" t="str">
        <f t="shared" ca="1" si="28"/>
        <v>SELL</v>
      </c>
      <c r="G1013" s="13" t="str">
        <f ca="1">IFERROR(__xludf.DUMMYFUNCTION("GOOGLEFINANCE(A1013,""CLOSEYEST"")"),"#N/A")</f>
        <v>#N/A</v>
      </c>
      <c r="H1013" s="14" t="e">
        <f t="shared" ca="1" si="34"/>
        <v>#VALUE!</v>
      </c>
      <c r="I1013" s="15" t="e">
        <f t="shared" ca="1" si="29"/>
        <v>#VALUE!</v>
      </c>
      <c r="J1013" s="16" t="e">
        <f t="shared" ca="1" si="30"/>
        <v>#VALUE!</v>
      </c>
      <c r="K1013" s="16"/>
      <c r="L1013" s="16" t="e">
        <f t="shared" ca="1" si="31"/>
        <v>#VALUE!</v>
      </c>
      <c r="M1013" s="16" t="e">
        <f t="shared" ca="1" si="32"/>
        <v>#VALUE!</v>
      </c>
      <c r="N1013" s="16" t="e">
        <f t="shared" ca="1" si="33"/>
        <v>#VALUE!</v>
      </c>
    </row>
    <row r="1014" spans="1:14" ht="24.75" customHeight="1" x14ac:dyDescent="0.8">
      <c r="A1014" s="18" t="s">
        <v>977</v>
      </c>
      <c r="B1014" s="10">
        <f ca="1">IFERROR(__xludf.DUMMYFUNCTION("GOOGLEFINANCE(A1014,""PRICE"")"),1298)</f>
        <v>1298</v>
      </c>
      <c r="C1014" s="11">
        <f ca="1">IFERROR(__xludf.DUMMYFUNCTION("GOOGLEFINANCE(A1014,""PRICEOPEN"")"),1314.8)</f>
        <v>1314.8</v>
      </c>
      <c r="D1014" s="11">
        <f ca="1">IFERROR(__xludf.DUMMYFUNCTION("GOOGLEFINANCE(A1014,""HIGH"")"),1349)</f>
        <v>1349</v>
      </c>
      <c r="E1014" s="11">
        <f ca="1">IFERROR(__xludf.DUMMYFUNCTION("GOOGLEFINANCE(A1014,""LOW"")"),1286.7)</f>
        <v>1286.7</v>
      </c>
      <c r="F1014" s="12" t="str">
        <f t="shared" ca="1" si="28"/>
        <v/>
      </c>
      <c r="G1014" s="13">
        <f ca="1">IFERROR(__xludf.DUMMYFUNCTION("GOOGLEFINANCE(A1014,""CLOSEYEST"")"),1306.7)</f>
        <v>1306.7</v>
      </c>
      <c r="H1014" s="14" t="str">
        <f t="shared" ca="1" si="34"/>
        <v/>
      </c>
      <c r="I1014" s="15">
        <f t="shared" ca="1" si="29"/>
        <v>1314.1333333333332</v>
      </c>
      <c r="J1014" s="16">
        <f t="shared" ca="1" si="30"/>
        <v>1341.5666666666664</v>
      </c>
      <c r="K1014" s="16"/>
      <c r="L1014" s="16">
        <f t="shared" ca="1" si="31"/>
        <v>1279.2666666666664</v>
      </c>
      <c r="M1014" s="16">
        <f t="shared" ca="1" si="32"/>
        <v>1376.4333333333332</v>
      </c>
      <c r="N1014" s="16">
        <f t="shared" ca="1" si="33"/>
        <v>1251.8333333333333</v>
      </c>
    </row>
    <row r="1015" spans="1:14" ht="24.75" customHeight="1" x14ac:dyDescent="0.8">
      <c r="A1015" s="18" t="s">
        <v>978</v>
      </c>
      <c r="B1015" s="10">
        <f ca="1">IFERROR(__xludf.DUMMYFUNCTION("GOOGLEFINANCE(A1015,""PRICE"")"),1520)</f>
        <v>1520</v>
      </c>
      <c r="C1015" s="11">
        <f ca="1">IFERROR(__xludf.DUMMYFUNCTION("GOOGLEFINANCE(A1015,""PRICEOPEN"")"),1438.8)</f>
        <v>1438.8</v>
      </c>
      <c r="D1015" s="11">
        <f ca="1">IFERROR(__xludf.DUMMYFUNCTION("GOOGLEFINANCE(A1015,""HIGH"")"),1521)</f>
        <v>1521</v>
      </c>
      <c r="E1015" s="11">
        <f ca="1">IFERROR(__xludf.DUMMYFUNCTION("GOOGLEFINANCE(A1015,""LOW"")"),1434.7)</f>
        <v>1434.7</v>
      </c>
      <c r="F1015" s="12" t="str">
        <f t="shared" ca="1" si="28"/>
        <v/>
      </c>
      <c r="G1015" s="13">
        <f ca="1">IFERROR(__xludf.DUMMYFUNCTION("GOOGLEFINANCE(A1015,""CLOSEYEST"")"),1438.8)</f>
        <v>1438.8</v>
      </c>
      <c r="H1015" s="14" t="str">
        <f t="shared" ca="1" si="34"/>
        <v/>
      </c>
      <c r="I1015" s="15">
        <f t="shared" ca="1" si="29"/>
        <v>1464.8333333333333</v>
      </c>
      <c r="J1015" s="16">
        <f t="shared" ca="1" si="30"/>
        <v>1494.9666666666665</v>
      </c>
      <c r="K1015" s="16"/>
      <c r="L1015" s="16">
        <f t="shared" ca="1" si="31"/>
        <v>1408.6666666666665</v>
      </c>
      <c r="M1015" s="16">
        <f t="shared" ca="1" si="32"/>
        <v>1551.1333333333332</v>
      </c>
      <c r="N1015" s="16">
        <f t="shared" ca="1" si="33"/>
        <v>1378.5333333333333</v>
      </c>
    </row>
    <row r="1016" spans="1:14" ht="24.75" customHeight="1" x14ac:dyDescent="0.8">
      <c r="A1016" s="18" t="s">
        <v>979</v>
      </c>
      <c r="B1016" s="10">
        <f ca="1">IFERROR(__xludf.DUMMYFUNCTION("GOOGLEFINANCE(A1016,""PRICE"")"),13.67)</f>
        <v>13.67</v>
      </c>
      <c r="C1016" s="11">
        <f ca="1">IFERROR(__xludf.DUMMYFUNCTION("GOOGLEFINANCE(A1016,""PRICEOPEN"")"),13.2)</f>
        <v>13.2</v>
      </c>
      <c r="D1016" s="11">
        <f ca="1">IFERROR(__xludf.DUMMYFUNCTION("GOOGLEFINANCE(A1016,""HIGH"")"),13.67)</f>
        <v>13.67</v>
      </c>
      <c r="E1016" s="11">
        <f ca="1">IFERROR(__xludf.DUMMYFUNCTION("GOOGLEFINANCE(A1016,""LOW"")"),13)</f>
        <v>13</v>
      </c>
      <c r="F1016" s="12" t="str">
        <f t="shared" ca="1" si="28"/>
        <v/>
      </c>
      <c r="G1016" s="13">
        <f ca="1">IFERROR(__xludf.DUMMYFUNCTION("GOOGLEFINANCE(A1016,""CLOSEYEST"")"),13.02)</f>
        <v>13.02</v>
      </c>
      <c r="H1016" s="14" t="str">
        <f t="shared" ca="1" si="34"/>
        <v>GAP UP</v>
      </c>
      <c r="I1016" s="15">
        <f t="shared" ca="1" si="29"/>
        <v>13.229999999999999</v>
      </c>
      <c r="J1016" s="16">
        <f t="shared" ca="1" si="30"/>
        <v>13.459999999999997</v>
      </c>
      <c r="K1016" s="16"/>
      <c r="L1016" s="16">
        <f t="shared" ca="1" si="31"/>
        <v>12.789999999999997</v>
      </c>
      <c r="M1016" s="16">
        <f t="shared" ca="1" si="32"/>
        <v>13.899999999999999</v>
      </c>
      <c r="N1016" s="16">
        <f t="shared" ca="1" si="33"/>
        <v>12.559999999999999</v>
      </c>
    </row>
    <row r="1017" spans="1:14" ht="24.75" customHeight="1" x14ac:dyDescent="0.8">
      <c r="A1017" s="18" t="s">
        <v>980</v>
      </c>
      <c r="B1017" s="10" t="str">
        <f ca="1">IFERROR(__xludf.DUMMYFUNCTION("GOOGLEFINANCE(A1017,""PRICE"")"),"#N/A")</f>
        <v>#N/A</v>
      </c>
      <c r="C1017" s="11" t="str">
        <f ca="1">IFERROR(__xludf.DUMMYFUNCTION("GOOGLEFINANCE(A1017,""PRICEOPEN"")"),"#N/A")</f>
        <v>#N/A</v>
      </c>
      <c r="D1017" s="11" t="str">
        <f ca="1">IFERROR(__xludf.DUMMYFUNCTION("GOOGLEFINANCE(A1017,""HIGH"")"),"#N/A")</f>
        <v>#N/A</v>
      </c>
      <c r="E1017" s="11" t="str">
        <f ca="1">IFERROR(__xludf.DUMMYFUNCTION("GOOGLEFINANCE(A1017,""LOW"")"),"#N/A")</f>
        <v>#N/A</v>
      </c>
      <c r="F1017" s="12" t="str">
        <f t="shared" ca="1" si="28"/>
        <v>SELL</v>
      </c>
      <c r="G1017" s="13" t="str">
        <f ca="1">IFERROR(__xludf.DUMMYFUNCTION("GOOGLEFINANCE(A1017,""CLOSEYEST"")"),"#N/A")</f>
        <v>#N/A</v>
      </c>
      <c r="H1017" s="14" t="e">
        <f t="shared" ca="1" si="34"/>
        <v>#VALUE!</v>
      </c>
      <c r="I1017" s="15" t="e">
        <f t="shared" ca="1" si="29"/>
        <v>#VALUE!</v>
      </c>
      <c r="J1017" s="16" t="e">
        <f t="shared" ca="1" si="30"/>
        <v>#VALUE!</v>
      </c>
      <c r="K1017" s="16"/>
      <c r="L1017" s="16" t="e">
        <f t="shared" ca="1" si="31"/>
        <v>#VALUE!</v>
      </c>
      <c r="M1017" s="16" t="e">
        <f t="shared" ca="1" si="32"/>
        <v>#VALUE!</v>
      </c>
      <c r="N1017" s="16" t="e">
        <f t="shared" ca="1" si="33"/>
        <v>#VALUE!</v>
      </c>
    </row>
    <row r="1018" spans="1:14" ht="24.75" customHeight="1" x14ac:dyDescent="0.8">
      <c r="A1018" s="18" t="s">
        <v>981</v>
      </c>
      <c r="B1018" s="10">
        <f ca="1">IFERROR(__xludf.DUMMYFUNCTION("GOOGLEFINANCE(A1018,""PRICE"")"),15.14)</f>
        <v>15.14</v>
      </c>
      <c r="C1018" s="11">
        <f ca="1">IFERROR(__xludf.DUMMYFUNCTION("GOOGLEFINANCE(A1018,""PRICEOPEN"")"),14.8)</f>
        <v>14.8</v>
      </c>
      <c r="D1018" s="11">
        <f ca="1">IFERROR(__xludf.DUMMYFUNCTION("GOOGLEFINANCE(A1018,""HIGH"")"),15.15)</f>
        <v>15.15</v>
      </c>
      <c r="E1018" s="11">
        <f ca="1">IFERROR(__xludf.DUMMYFUNCTION("GOOGLEFINANCE(A1018,""LOW"")"),14.73)</f>
        <v>14.73</v>
      </c>
      <c r="F1018" s="12" t="str">
        <f t="shared" ca="1" si="28"/>
        <v/>
      </c>
      <c r="G1018" s="13">
        <f ca="1">IFERROR(__xludf.DUMMYFUNCTION("GOOGLEFINANCE(A1018,""CLOSEYEST"")"),14.89)</f>
        <v>14.89</v>
      </c>
      <c r="H1018" s="14" t="str">
        <f t="shared" ca="1" si="34"/>
        <v/>
      </c>
      <c r="I1018" s="15">
        <f t="shared" ca="1" si="29"/>
        <v>14.923333333333334</v>
      </c>
      <c r="J1018" s="16">
        <f t="shared" ca="1" si="30"/>
        <v>15.116666666666667</v>
      </c>
      <c r="K1018" s="16"/>
      <c r="L1018" s="16">
        <f t="shared" ca="1" si="31"/>
        <v>14.696666666666667</v>
      </c>
      <c r="M1018" s="16">
        <f t="shared" ca="1" si="32"/>
        <v>15.343333333333334</v>
      </c>
      <c r="N1018" s="16">
        <f t="shared" ca="1" si="33"/>
        <v>14.503333333333334</v>
      </c>
    </row>
    <row r="1019" spans="1:14" ht="24.75" customHeight="1" x14ac:dyDescent="0.8">
      <c r="A1019" s="18" t="s">
        <v>982</v>
      </c>
      <c r="B1019" s="10">
        <f ca="1">IFERROR(__xludf.DUMMYFUNCTION("GOOGLEFINANCE(A1019,""PRICE"")"),641.25)</f>
        <v>641.25</v>
      </c>
      <c r="C1019" s="11">
        <f ca="1">IFERROR(__xludf.DUMMYFUNCTION("GOOGLEFINANCE(A1019,""PRICEOPEN"")"),630.05)</f>
        <v>630.04999999999995</v>
      </c>
      <c r="D1019" s="11">
        <f ca="1">IFERROR(__xludf.DUMMYFUNCTION("GOOGLEFINANCE(A1019,""HIGH"")"),648)</f>
        <v>648</v>
      </c>
      <c r="E1019" s="11">
        <f ca="1">IFERROR(__xludf.DUMMYFUNCTION("GOOGLEFINANCE(A1019,""LOW"")"),621.05)</f>
        <v>621.04999999999995</v>
      </c>
      <c r="F1019" s="12" t="str">
        <f t="shared" ca="1" si="28"/>
        <v/>
      </c>
      <c r="G1019" s="13">
        <f ca="1">IFERROR(__xludf.DUMMYFUNCTION("GOOGLEFINANCE(A1019,""CLOSEYEST"")"),625.75)</f>
        <v>625.75</v>
      </c>
      <c r="H1019" s="14" t="str">
        <f t="shared" ca="1" si="34"/>
        <v/>
      </c>
      <c r="I1019" s="15">
        <f t="shared" ca="1" si="29"/>
        <v>631.6</v>
      </c>
      <c r="J1019" s="16">
        <f t="shared" ca="1" si="30"/>
        <v>642.15000000000009</v>
      </c>
      <c r="K1019" s="16"/>
      <c r="L1019" s="16">
        <f t="shared" ca="1" si="31"/>
        <v>615.20000000000005</v>
      </c>
      <c r="M1019" s="16">
        <f t="shared" ca="1" si="32"/>
        <v>658.55000000000007</v>
      </c>
      <c r="N1019" s="16">
        <f t="shared" ca="1" si="33"/>
        <v>604.65</v>
      </c>
    </row>
    <row r="1020" spans="1:14" ht="24.75" customHeight="1" x14ac:dyDescent="0.8">
      <c r="A1020" s="18" t="s">
        <v>983</v>
      </c>
      <c r="B1020" s="10">
        <f ca="1">IFERROR(__xludf.DUMMYFUNCTION("GOOGLEFINANCE(A1020,""PRICE"")"),133)</f>
        <v>133</v>
      </c>
      <c r="C1020" s="11">
        <f ca="1">IFERROR(__xludf.DUMMYFUNCTION("GOOGLEFINANCE(A1020,""PRICEOPEN"")"),134.36)</f>
        <v>134.36000000000001</v>
      </c>
      <c r="D1020" s="11">
        <f ca="1">IFERROR(__xludf.DUMMYFUNCTION("GOOGLEFINANCE(A1020,""HIGH"")"),136.05)</f>
        <v>136.05000000000001</v>
      </c>
      <c r="E1020" s="11">
        <f ca="1">IFERROR(__xludf.DUMMYFUNCTION("GOOGLEFINANCE(A1020,""LOW"")"),132)</f>
        <v>132</v>
      </c>
      <c r="F1020" s="12" t="str">
        <f t="shared" ca="1" si="28"/>
        <v/>
      </c>
      <c r="G1020" s="13">
        <f ca="1">IFERROR(__xludf.DUMMYFUNCTION("GOOGLEFINANCE(A1020,""CLOSEYEST"")"),133.88)</f>
        <v>133.88</v>
      </c>
      <c r="H1020" s="14" t="str">
        <f t="shared" ca="1" si="34"/>
        <v/>
      </c>
      <c r="I1020" s="15">
        <f t="shared" ca="1" si="29"/>
        <v>133.97666666666666</v>
      </c>
      <c r="J1020" s="16">
        <f t="shared" ca="1" si="30"/>
        <v>135.95333333333332</v>
      </c>
      <c r="K1020" s="16"/>
      <c r="L1020" s="16">
        <f t="shared" ca="1" si="31"/>
        <v>131.90333333333331</v>
      </c>
      <c r="M1020" s="16">
        <f t="shared" ca="1" si="32"/>
        <v>138.02666666666667</v>
      </c>
      <c r="N1020" s="16">
        <f t="shared" ca="1" si="33"/>
        <v>129.92666666666665</v>
      </c>
    </row>
    <row r="1021" spans="1:14" ht="24.75" customHeight="1" x14ac:dyDescent="0.8">
      <c r="A1021" s="18" t="s">
        <v>984</v>
      </c>
      <c r="B1021" s="10">
        <f ca="1">IFERROR(__xludf.DUMMYFUNCTION("GOOGLEFINANCE(A1021,""PRICE"")"),551.85)</f>
        <v>551.85</v>
      </c>
      <c r="C1021" s="11">
        <f ca="1">IFERROR(__xludf.DUMMYFUNCTION("GOOGLEFINANCE(A1021,""PRICEOPEN"")"),554.95)</f>
        <v>554.95000000000005</v>
      </c>
      <c r="D1021" s="11">
        <f ca="1">IFERROR(__xludf.DUMMYFUNCTION("GOOGLEFINANCE(A1021,""HIGH"")"),559.4)</f>
        <v>559.4</v>
      </c>
      <c r="E1021" s="11">
        <f ca="1">IFERROR(__xludf.DUMMYFUNCTION("GOOGLEFINANCE(A1021,""LOW"")"),541.35)</f>
        <v>541.35</v>
      </c>
      <c r="F1021" s="12" t="str">
        <f t="shared" ca="1" si="28"/>
        <v/>
      </c>
      <c r="G1021" s="13">
        <f ca="1">IFERROR(__xludf.DUMMYFUNCTION("GOOGLEFINANCE(A1021,""CLOSEYEST"")"),552.45)</f>
        <v>552.45000000000005</v>
      </c>
      <c r="H1021" s="14" t="str">
        <f t="shared" ca="1" si="34"/>
        <v/>
      </c>
      <c r="I1021" s="15">
        <f t="shared" ca="1" si="29"/>
        <v>551.06666666666672</v>
      </c>
      <c r="J1021" s="16">
        <f t="shared" ca="1" si="30"/>
        <v>560.78333333333342</v>
      </c>
      <c r="K1021" s="16"/>
      <c r="L1021" s="16">
        <f t="shared" ca="1" si="31"/>
        <v>542.73333333333346</v>
      </c>
      <c r="M1021" s="16">
        <f t="shared" ca="1" si="32"/>
        <v>569.11666666666667</v>
      </c>
      <c r="N1021" s="16">
        <f t="shared" ca="1" si="33"/>
        <v>533.01666666666677</v>
      </c>
    </row>
    <row r="1022" spans="1:14" ht="24.75" customHeight="1" x14ac:dyDescent="0.8">
      <c r="A1022" s="18" t="s">
        <v>985</v>
      </c>
      <c r="B1022" s="10">
        <f ca="1">IFERROR(__xludf.DUMMYFUNCTION("GOOGLEFINANCE(A1022,""PRICE"")"),5578)</f>
        <v>5578</v>
      </c>
      <c r="C1022" s="11">
        <f ca="1">IFERROR(__xludf.DUMMYFUNCTION("GOOGLEFINANCE(A1022,""PRICEOPEN"")"),5549)</f>
        <v>5549</v>
      </c>
      <c r="D1022" s="11">
        <f ca="1">IFERROR(__xludf.DUMMYFUNCTION("GOOGLEFINANCE(A1022,""HIGH"")"),5675)</f>
        <v>5675</v>
      </c>
      <c r="E1022" s="11">
        <f ca="1">IFERROR(__xludf.DUMMYFUNCTION("GOOGLEFINANCE(A1022,""LOW"")"),5426)</f>
        <v>5426</v>
      </c>
      <c r="F1022" s="12" t="str">
        <f t="shared" ca="1" si="28"/>
        <v/>
      </c>
      <c r="G1022" s="13">
        <f ca="1">IFERROR(__xludf.DUMMYFUNCTION("GOOGLEFINANCE(A1022,""CLOSEYEST"")"),5514)</f>
        <v>5514</v>
      </c>
      <c r="H1022" s="14" t="str">
        <f t="shared" ca="1" si="34"/>
        <v/>
      </c>
      <c r="I1022" s="15">
        <f t="shared" ca="1" si="29"/>
        <v>5538.333333333333</v>
      </c>
      <c r="J1022" s="16">
        <f t="shared" ca="1" si="30"/>
        <v>5650.6666666666661</v>
      </c>
      <c r="K1022" s="16"/>
      <c r="L1022" s="16">
        <f t="shared" ca="1" si="31"/>
        <v>5401.6666666666661</v>
      </c>
      <c r="M1022" s="16">
        <f t="shared" ca="1" si="32"/>
        <v>5787.333333333333</v>
      </c>
      <c r="N1022" s="16">
        <f t="shared" ca="1" si="33"/>
        <v>5289.333333333333</v>
      </c>
    </row>
    <row r="1023" spans="1:14" ht="24.75" customHeight="1" x14ac:dyDescent="0.8">
      <c r="A1023" s="18" t="s">
        <v>986</v>
      </c>
      <c r="B1023" s="10">
        <f ca="1">IFERROR(__xludf.DUMMYFUNCTION("GOOGLEFINANCE(A1023,""PRICE"")"),331.2)</f>
        <v>331.2</v>
      </c>
      <c r="C1023" s="11">
        <f ca="1">IFERROR(__xludf.DUMMYFUNCTION("GOOGLEFINANCE(A1023,""PRICEOPEN"")"),328)</f>
        <v>328</v>
      </c>
      <c r="D1023" s="11">
        <f ca="1">IFERROR(__xludf.DUMMYFUNCTION("GOOGLEFINANCE(A1023,""HIGH"")"),333.45)</f>
        <v>333.45</v>
      </c>
      <c r="E1023" s="11">
        <f ca="1">IFERROR(__xludf.DUMMYFUNCTION("GOOGLEFINANCE(A1023,""LOW"")"),327.75)</f>
        <v>327.75</v>
      </c>
      <c r="F1023" s="12" t="str">
        <f t="shared" ca="1" si="28"/>
        <v/>
      </c>
      <c r="G1023" s="13">
        <f ca="1">IFERROR(__xludf.DUMMYFUNCTION("GOOGLEFINANCE(A1023,""CLOSEYEST"")"),327.6)</f>
        <v>327.60000000000002</v>
      </c>
      <c r="H1023" s="14" t="str">
        <f t="shared" ca="1" si="34"/>
        <v/>
      </c>
      <c r="I1023" s="15">
        <f t="shared" ca="1" si="29"/>
        <v>329.6</v>
      </c>
      <c r="J1023" s="16">
        <f t="shared" ca="1" si="30"/>
        <v>331.45000000000005</v>
      </c>
      <c r="K1023" s="16"/>
      <c r="L1023" s="16">
        <f t="shared" ca="1" si="31"/>
        <v>325.75000000000006</v>
      </c>
      <c r="M1023" s="16">
        <f t="shared" ca="1" si="32"/>
        <v>335.3</v>
      </c>
      <c r="N1023" s="16">
        <f t="shared" ca="1" si="33"/>
        <v>323.90000000000003</v>
      </c>
    </row>
    <row r="1024" spans="1:14" ht="24.75" customHeight="1" x14ac:dyDescent="0.8">
      <c r="A1024" s="18" t="s">
        <v>987</v>
      </c>
      <c r="B1024" s="10">
        <f ca="1">IFERROR(__xludf.DUMMYFUNCTION("GOOGLEFINANCE(A1024,""PRICE"")"),978.5)</f>
        <v>978.5</v>
      </c>
      <c r="C1024" s="11">
        <f ca="1">IFERROR(__xludf.DUMMYFUNCTION("GOOGLEFINANCE(A1024,""PRICEOPEN"")"),951.85)</f>
        <v>951.85</v>
      </c>
      <c r="D1024" s="11">
        <f ca="1">IFERROR(__xludf.DUMMYFUNCTION("GOOGLEFINANCE(A1024,""HIGH"")"),982.3)</f>
        <v>982.3</v>
      </c>
      <c r="E1024" s="11">
        <f ca="1">IFERROR(__xludf.DUMMYFUNCTION("GOOGLEFINANCE(A1024,""LOW"")"),949.75)</f>
        <v>949.75</v>
      </c>
      <c r="F1024" s="12" t="str">
        <f t="shared" ca="1" si="28"/>
        <v/>
      </c>
      <c r="G1024" s="13">
        <f ca="1">IFERROR(__xludf.DUMMYFUNCTION("GOOGLEFINANCE(A1024,""CLOSEYEST"")"),951.85)</f>
        <v>951.85</v>
      </c>
      <c r="H1024" s="14" t="str">
        <f t="shared" ca="1" si="34"/>
        <v/>
      </c>
      <c r="I1024" s="15">
        <f t="shared" ca="1" si="29"/>
        <v>961.30000000000007</v>
      </c>
      <c r="J1024" s="16">
        <f t="shared" ca="1" si="30"/>
        <v>972.85000000000014</v>
      </c>
      <c r="K1024" s="16"/>
      <c r="L1024" s="16">
        <f t="shared" ca="1" si="31"/>
        <v>940.30000000000018</v>
      </c>
      <c r="M1024" s="16">
        <f t="shared" ca="1" si="32"/>
        <v>993.85</v>
      </c>
      <c r="N1024" s="16">
        <f t="shared" ca="1" si="33"/>
        <v>928.75000000000011</v>
      </c>
    </row>
    <row r="1025" spans="1:14" ht="24.75" customHeight="1" x14ac:dyDescent="0.8">
      <c r="A1025" s="18" t="s">
        <v>988</v>
      </c>
      <c r="B1025" s="10">
        <f ca="1">IFERROR(__xludf.DUMMYFUNCTION("GOOGLEFINANCE(A1025,""PRICE"")"),41.4)</f>
        <v>41.4</v>
      </c>
      <c r="C1025" s="11">
        <f ca="1">IFERROR(__xludf.DUMMYFUNCTION("GOOGLEFINANCE(A1025,""PRICEOPEN"")"),41.81)</f>
        <v>41.81</v>
      </c>
      <c r="D1025" s="11">
        <f ca="1">IFERROR(__xludf.DUMMYFUNCTION("GOOGLEFINANCE(A1025,""HIGH"")"),42.08)</f>
        <v>42.08</v>
      </c>
      <c r="E1025" s="11">
        <f ca="1">IFERROR(__xludf.DUMMYFUNCTION("GOOGLEFINANCE(A1025,""LOW"")"),41.26)</f>
        <v>41.26</v>
      </c>
      <c r="F1025" s="12" t="str">
        <f t="shared" ca="1" si="28"/>
        <v/>
      </c>
      <c r="G1025" s="13">
        <f ca="1">IFERROR(__xludf.DUMMYFUNCTION("GOOGLEFINANCE(A1025,""CLOSEYEST"")"),41.8)</f>
        <v>41.8</v>
      </c>
      <c r="H1025" s="14" t="str">
        <f t="shared" ca="1" si="34"/>
        <v/>
      </c>
      <c r="I1025" s="15">
        <f t="shared" ca="1" si="29"/>
        <v>41.713333333333331</v>
      </c>
      <c r="J1025" s="16">
        <f t="shared" ca="1" si="30"/>
        <v>42.166666666666664</v>
      </c>
      <c r="K1025" s="16"/>
      <c r="L1025" s="16">
        <f t="shared" ca="1" si="31"/>
        <v>41.346666666666664</v>
      </c>
      <c r="M1025" s="16">
        <f t="shared" ca="1" si="32"/>
        <v>42.533333333333331</v>
      </c>
      <c r="N1025" s="16">
        <f t="shared" ca="1" si="33"/>
        <v>40.893333333333331</v>
      </c>
    </row>
    <row r="1026" spans="1:14" ht="24.75" customHeight="1" x14ac:dyDescent="0.8">
      <c r="A1026" s="18" t="s">
        <v>989</v>
      </c>
      <c r="B1026" s="10">
        <f ca="1">IFERROR(__xludf.DUMMYFUNCTION("GOOGLEFINANCE(A1026,""PRICE"")"),712)</f>
        <v>712</v>
      </c>
      <c r="C1026" s="11">
        <f ca="1">IFERROR(__xludf.DUMMYFUNCTION("GOOGLEFINANCE(A1026,""PRICEOPEN"")"),681.3)</f>
        <v>681.3</v>
      </c>
      <c r="D1026" s="11">
        <f ca="1">IFERROR(__xludf.DUMMYFUNCTION("GOOGLEFINANCE(A1026,""HIGH"")"),724)</f>
        <v>724</v>
      </c>
      <c r="E1026" s="11">
        <f ca="1">IFERROR(__xludf.DUMMYFUNCTION("GOOGLEFINANCE(A1026,""LOW"")"),680.85)</f>
        <v>680.85</v>
      </c>
      <c r="F1026" s="12" t="str">
        <f t="shared" ca="1" si="28"/>
        <v/>
      </c>
      <c r="G1026" s="13">
        <f ca="1">IFERROR(__xludf.DUMMYFUNCTION("GOOGLEFINANCE(A1026,""CLOSEYEST"")"),683.35)</f>
        <v>683.35</v>
      </c>
      <c r="H1026" s="14" t="str">
        <f t="shared" ca="1" si="34"/>
        <v/>
      </c>
      <c r="I1026" s="15">
        <f t="shared" ca="1" si="29"/>
        <v>696.06666666666661</v>
      </c>
      <c r="J1026" s="16">
        <f t="shared" ca="1" si="30"/>
        <v>711.28333333333319</v>
      </c>
      <c r="K1026" s="16"/>
      <c r="L1026" s="16">
        <f t="shared" ca="1" si="31"/>
        <v>668.13333333333321</v>
      </c>
      <c r="M1026" s="16">
        <f t="shared" ca="1" si="32"/>
        <v>739.21666666666658</v>
      </c>
      <c r="N1026" s="16">
        <f t="shared" ca="1" si="33"/>
        <v>652.91666666666663</v>
      </c>
    </row>
    <row r="1027" spans="1:14" ht="24.75" customHeight="1" x14ac:dyDescent="0.8">
      <c r="A1027" s="18" t="s">
        <v>990</v>
      </c>
      <c r="B1027" s="10">
        <f ca="1">IFERROR(__xludf.DUMMYFUNCTION("GOOGLEFINANCE(A1027,""PRICE"")"),1458)</f>
        <v>1458</v>
      </c>
      <c r="C1027" s="11">
        <f ca="1">IFERROR(__xludf.DUMMYFUNCTION("GOOGLEFINANCE(A1027,""PRICEOPEN"")"),1432)</f>
        <v>1432</v>
      </c>
      <c r="D1027" s="11">
        <f ca="1">IFERROR(__xludf.DUMMYFUNCTION("GOOGLEFINANCE(A1027,""HIGH"")"),1459.9)</f>
        <v>1459.9</v>
      </c>
      <c r="E1027" s="11">
        <f ca="1">IFERROR(__xludf.DUMMYFUNCTION("GOOGLEFINANCE(A1027,""LOW"")"),1426.8)</f>
        <v>1426.8</v>
      </c>
      <c r="F1027" s="12" t="str">
        <f t="shared" ca="1" si="28"/>
        <v/>
      </c>
      <c r="G1027" s="13">
        <f ca="1">IFERROR(__xludf.DUMMYFUNCTION("GOOGLEFINANCE(A1027,""CLOSEYEST"")"),1424.9)</f>
        <v>1424.9</v>
      </c>
      <c r="H1027" s="14" t="str">
        <f t="shared" ca="1" si="34"/>
        <v/>
      </c>
      <c r="I1027" s="15">
        <f t="shared" ca="1" si="29"/>
        <v>1437.2</v>
      </c>
      <c r="J1027" s="16">
        <f t="shared" ca="1" si="30"/>
        <v>1447.6000000000001</v>
      </c>
      <c r="K1027" s="16"/>
      <c r="L1027" s="16">
        <f t="shared" ca="1" si="31"/>
        <v>1414.5</v>
      </c>
      <c r="M1027" s="16">
        <f t="shared" ca="1" si="32"/>
        <v>1470.3000000000002</v>
      </c>
      <c r="N1027" s="16">
        <f t="shared" ca="1" si="33"/>
        <v>1404.1</v>
      </c>
    </row>
    <row r="1028" spans="1:14" ht="24.75" customHeight="1" x14ac:dyDescent="0.8">
      <c r="A1028" s="18" t="s">
        <v>991</v>
      </c>
      <c r="B1028" s="10">
        <f ca="1">IFERROR(__xludf.DUMMYFUNCTION("GOOGLEFINANCE(A1028,""PRICE"")"),738.65)</f>
        <v>738.65</v>
      </c>
      <c r="C1028" s="11">
        <f ca="1">IFERROR(__xludf.DUMMYFUNCTION("GOOGLEFINANCE(A1028,""PRICEOPEN"")"),716.9)</f>
        <v>716.9</v>
      </c>
      <c r="D1028" s="11">
        <f ca="1">IFERROR(__xludf.DUMMYFUNCTION("GOOGLEFINANCE(A1028,""HIGH"")"),744.9)</f>
        <v>744.9</v>
      </c>
      <c r="E1028" s="11">
        <f ca="1">IFERROR(__xludf.DUMMYFUNCTION("GOOGLEFINANCE(A1028,""LOW"")"),710.4)</f>
        <v>710.4</v>
      </c>
      <c r="F1028" s="12" t="str">
        <f t="shared" ca="1" si="28"/>
        <v/>
      </c>
      <c r="G1028" s="13">
        <f ca="1">IFERROR(__xludf.DUMMYFUNCTION("GOOGLEFINANCE(A1028,""CLOSEYEST"")"),715.2)</f>
        <v>715.2</v>
      </c>
      <c r="H1028" s="14" t="str">
        <f t="shared" ca="1" si="34"/>
        <v/>
      </c>
      <c r="I1028" s="15">
        <f t="shared" ca="1" si="29"/>
        <v>723.5</v>
      </c>
      <c r="J1028" s="16">
        <f t="shared" ca="1" si="30"/>
        <v>736.6</v>
      </c>
      <c r="K1028" s="16"/>
      <c r="L1028" s="16">
        <f t="shared" ca="1" si="31"/>
        <v>702.1</v>
      </c>
      <c r="M1028" s="16">
        <f t="shared" ca="1" si="32"/>
        <v>758</v>
      </c>
      <c r="N1028" s="16">
        <f t="shared" ca="1" si="33"/>
        <v>689</v>
      </c>
    </row>
    <row r="1029" spans="1:14" ht="24.75" customHeight="1" x14ac:dyDescent="0.8">
      <c r="A1029" s="18" t="s">
        <v>992</v>
      </c>
      <c r="B1029" s="10" t="str">
        <f ca="1">IFERROR(__xludf.DUMMYFUNCTION("GOOGLEFINANCE(A1029,""PRICE"")"),"#N/A")</f>
        <v>#N/A</v>
      </c>
      <c r="C1029" s="11" t="str">
        <f ca="1">IFERROR(__xludf.DUMMYFUNCTION("GOOGLEFINANCE(A1029,""PRICEOPEN"")"),"#N/A")</f>
        <v>#N/A</v>
      </c>
      <c r="D1029" s="11" t="str">
        <f ca="1">IFERROR(__xludf.DUMMYFUNCTION("GOOGLEFINANCE(A1029,""HIGH"")"),"#N/A")</f>
        <v>#N/A</v>
      </c>
      <c r="E1029" s="11" t="str">
        <f ca="1">IFERROR(__xludf.DUMMYFUNCTION("GOOGLEFINANCE(A1029,""LOW"")"),"#N/A")</f>
        <v>#N/A</v>
      </c>
      <c r="F1029" s="12" t="str">
        <f t="shared" ca="1" si="28"/>
        <v>SELL</v>
      </c>
      <c r="G1029" s="13" t="str">
        <f ca="1">IFERROR(__xludf.DUMMYFUNCTION("GOOGLEFINANCE(A1029,""CLOSEYEST"")"),"#N/A")</f>
        <v>#N/A</v>
      </c>
      <c r="H1029" s="14" t="e">
        <f t="shared" ca="1" si="34"/>
        <v>#VALUE!</v>
      </c>
      <c r="I1029" s="15" t="e">
        <f t="shared" ca="1" si="29"/>
        <v>#VALUE!</v>
      </c>
      <c r="J1029" s="16" t="e">
        <f t="shared" ca="1" si="30"/>
        <v>#VALUE!</v>
      </c>
      <c r="K1029" s="16"/>
      <c r="L1029" s="16" t="e">
        <f t="shared" ca="1" si="31"/>
        <v>#VALUE!</v>
      </c>
      <c r="M1029" s="16" t="e">
        <f t="shared" ca="1" si="32"/>
        <v>#VALUE!</v>
      </c>
      <c r="N1029" s="16" t="e">
        <f t="shared" ca="1" si="33"/>
        <v>#VALUE!</v>
      </c>
    </row>
    <row r="1030" spans="1:14" ht="24.75" customHeight="1" x14ac:dyDescent="0.8">
      <c r="A1030" s="18" t="s">
        <v>993</v>
      </c>
      <c r="B1030" s="10">
        <f ca="1">IFERROR(__xludf.DUMMYFUNCTION("GOOGLEFINANCE(A1030,""PRICE"")"),5.09)</f>
        <v>5.09</v>
      </c>
      <c r="C1030" s="11">
        <f ca="1">IFERROR(__xludf.DUMMYFUNCTION("GOOGLEFINANCE(A1030,""PRICEOPEN"")"),5.07)</f>
        <v>5.07</v>
      </c>
      <c r="D1030" s="11">
        <f ca="1">IFERROR(__xludf.DUMMYFUNCTION("GOOGLEFINANCE(A1030,""HIGH"")"),5.16)</f>
        <v>5.16</v>
      </c>
      <c r="E1030" s="11">
        <f ca="1">IFERROR(__xludf.DUMMYFUNCTION("GOOGLEFINANCE(A1030,""LOW"")"),5.06)</f>
        <v>5.0599999999999996</v>
      </c>
      <c r="F1030" s="12" t="str">
        <f t="shared" ca="1" si="28"/>
        <v/>
      </c>
      <c r="G1030" s="13">
        <f ca="1">IFERROR(__xludf.DUMMYFUNCTION("GOOGLEFINANCE(A1030,""CLOSEYEST"")"),5.13)</f>
        <v>5.13</v>
      </c>
      <c r="H1030" s="14" t="str">
        <f t="shared" ca="1" si="34"/>
        <v>GAP DOWN</v>
      </c>
      <c r="I1030" s="15">
        <f t="shared" ca="1" si="29"/>
        <v>5.1166666666666663</v>
      </c>
      <c r="J1030" s="16">
        <f t="shared" ca="1" si="30"/>
        <v>5.1733333333333329</v>
      </c>
      <c r="K1030" s="16"/>
      <c r="L1030" s="16">
        <f t="shared" ca="1" si="31"/>
        <v>5.0733333333333324</v>
      </c>
      <c r="M1030" s="16">
        <f t="shared" ca="1" si="32"/>
        <v>5.2166666666666668</v>
      </c>
      <c r="N1030" s="16">
        <f t="shared" ca="1" si="33"/>
        <v>5.0166666666666657</v>
      </c>
    </row>
    <row r="1031" spans="1:14" ht="24.75" customHeight="1" x14ac:dyDescent="0.8">
      <c r="A1031" s="18" t="s">
        <v>994</v>
      </c>
      <c r="B1031" s="10">
        <f ca="1">IFERROR(__xludf.DUMMYFUNCTION("GOOGLEFINANCE(A1031,""PRICE"")"),208)</f>
        <v>208</v>
      </c>
      <c r="C1031" s="11">
        <f ca="1">IFERROR(__xludf.DUMMYFUNCTION("GOOGLEFINANCE(A1031,""PRICEOPEN"")"),194)</f>
        <v>194</v>
      </c>
      <c r="D1031" s="11">
        <f ca="1">IFERROR(__xludf.DUMMYFUNCTION("GOOGLEFINANCE(A1031,""HIGH"")"),212.96)</f>
        <v>212.96</v>
      </c>
      <c r="E1031" s="11">
        <f ca="1">IFERROR(__xludf.DUMMYFUNCTION("GOOGLEFINANCE(A1031,""LOW"")"),194)</f>
        <v>194</v>
      </c>
      <c r="F1031" s="12" t="str">
        <f t="shared" ca="1" si="28"/>
        <v>BUY</v>
      </c>
      <c r="G1031" s="13">
        <f ca="1">IFERROR(__xludf.DUMMYFUNCTION("GOOGLEFINANCE(A1031,""CLOSEYEST"")"),191.41)</f>
        <v>191.41</v>
      </c>
      <c r="H1031" s="14" t="str">
        <f t="shared" ca="1" si="34"/>
        <v>GAP UP</v>
      </c>
      <c r="I1031" s="15">
        <f t="shared" ca="1" si="29"/>
        <v>199.45666666666668</v>
      </c>
      <c r="J1031" s="16">
        <f t="shared" ca="1" si="30"/>
        <v>204.91333333333336</v>
      </c>
      <c r="K1031" s="16"/>
      <c r="L1031" s="16">
        <f t="shared" ca="1" si="31"/>
        <v>185.95333333333335</v>
      </c>
      <c r="M1031" s="16">
        <f t="shared" ca="1" si="32"/>
        <v>218.41666666666669</v>
      </c>
      <c r="N1031" s="16">
        <f t="shared" ca="1" si="33"/>
        <v>180.49666666666667</v>
      </c>
    </row>
    <row r="1032" spans="1:14" ht="24.75" customHeight="1" x14ac:dyDescent="0.8">
      <c r="A1032" s="18" t="s">
        <v>995</v>
      </c>
      <c r="B1032" s="10">
        <f ca="1">IFERROR(__xludf.DUMMYFUNCTION("GOOGLEFINANCE(A1032,""PRICE"")"),1089)</f>
        <v>1089</v>
      </c>
      <c r="C1032" s="11">
        <f ca="1">IFERROR(__xludf.DUMMYFUNCTION("GOOGLEFINANCE(A1032,""PRICEOPEN"")"),1085.1)</f>
        <v>1085.0999999999999</v>
      </c>
      <c r="D1032" s="11">
        <f ca="1">IFERROR(__xludf.DUMMYFUNCTION("GOOGLEFINANCE(A1032,""HIGH"")"),1102.2)</f>
        <v>1102.2</v>
      </c>
      <c r="E1032" s="11">
        <f ca="1">IFERROR(__xludf.DUMMYFUNCTION("GOOGLEFINANCE(A1032,""LOW"")"),1075.7)</f>
        <v>1075.7</v>
      </c>
      <c r="F1032" s="12" t="str">
        <f t="shared" ca="1" si="28"/>
        <v/>
      </c>
      <c r="G1032" s="13">
        <f ca="1">IFERROR(__xludf.DUMMYFUNCTION("GOOGLEFINANCE(A1032,""CLOSEYEST"")"),1088.5)</f>
        <v>1088.5</v>
      </c>
      <c r="H1032" s="14" t="str">
        <f t="shared" ca="1" si="34"/>
        <v/>
      </c>
      <c r="I1032" s="15">
        <f t="shared" ca="1" si="29"/>
        <v>1088.8</v>
      </c>
      <c r="J1032" s="16">
        <f t="shared" ca="1" si="30"/>
        <v>1101.8999999999999</v>
      </c>
      <c r="K1032" s="16"/>
      <c r="L1032" s="16">
        <f t="shared" ca="1" si="31"/>
        <v>1075.3999999999999</v>
      </c>
      <c r="M1032" s="16">
        <f t="shared" ca="1" si="32"/>
        <v>1115.3</v>
      </c>
      <c r="N1032" s="16">
        <f t="shared" ca="1" si="33"/>
        <v>1062.3</v>
      </c>
    </row>
    <row r="1033" spans="1:14" ht="24.75" customHeight="1" x14ac:dyDescent="0.8">
      <c r="A1033" s="18" t="s">
        <v>996</v>
      </c>
      <c r="B1033" s="10">
        <f ca="1">IFERROR(__xludf.DUMMYFUNCTION("GOOGLEFINANCE(A1033,""PRICE"")"),86)</f>
        <v>86</v>
      </c>
      <c r="C1033" s="11">
        <f ca="1">IFERROR(__xludf.DUMMYFUNCTION("GOOGLEFINANCE(A1033,""PRICEOPEN"")"),79.5)</f>
        <v>79.5</v>
      </c>
      <c r="D1033" s="11">
        <f ca="1">IFERROR(__xludf.DUMMYFUNCTION("GOOGLEFINANCE(A1033,""HIGH"")"),86.4)</f>
        <v>86.4</v>
      </c>
      <c r="E1033" s="11">
        <f ca="1">IFERROR(__xludf.DUMMYFUNCTION("GOOGLEFINANCE(A1033,""LOW"")"),78.6)</f>
        <v>78.599999999999994</v>
      </c>
      <c r="F1033" s="12" t="str">
        <f t="shared" ca="1" si="28"/>
        <v/>
      </c>
      <c r="G1033" s="13">
        <f ca="1">IFERROR(__xludf.DUMMYFUNCTION("GOOGLEFINANCE(A1033,""CLOSEYEST"")"),79.09)</f>
        <v>79.09</v>
      </c>
      <c r="H1033" s="14" t="str">
        <f t="shared" ca="1" si="34"/>
        <v/>
      </c>
      <c r="I1033" s="15">
        <f t="shared" ca="1" si="29"/>
        <v>81.36333333333333</v>
      </c>
      <c r="J1033" s="16">
        <f t="shared" ca="1" si="30"/>
        <v>84.126666666666665</v>
      </c>
      <c r="K1033" s="16"/>
      <c r="L1033" s="16">
        <f t="shared" ca="1" si="31"/>
        <v>76.326666666666654</v>
      </c>
      <c r="M1033" s="16">
        <f t="shared" ca="1" si="32"/>
        <v>89.163333333333341</v>
      </c>
      <c r="N1033" s="16">
        <f t="shared" ca="1" si="33"/>
        <v>73.563333333333318</v>
      </c>
    </row>
    <row r="1034" spans="1:14" ht="24.75" customHeight="1" x14ac:dyDescent="0.8">
      <c r="A1034" s="18" t="s">
        <v>997</v>
      </c>
      <c r="B1034" s="10">
        <f ca="1">IFERROR(__xludf.DUMMYFUNCTION("GOOGLEFINANCE(A1034,""PRICE"")"),1694)</f>
        <v>1694</v>
      </c>
      <c r="C1034" s="11">
        <f ca="1">IFERROR(__xludf.DUMMYFUNCTION("GOOGLEFINANCE(A1034,""PRICEOPEN"")"),1620)</f>
        <v>1620</v>
      </c>
      <c r="D1034" s="11">
        <f ca="1">IFERROR(__xludf.DUMMYFUNCTION("GOOGLEFINANCE(A1034,""HIGH"")"),1699)</f>
        <v>1699</v>
      </c>
      <c r="E1034" s="11">
        <f ca="1">IFERROR(__xludf.DUMMYFUNCTION("GOOGLEFINANCE(A1034,""LOW"")"),1620)</f>
        <v>1620</v>
      </c>
      <c r="F1034" s="12" t="str">
        <f t="shared" ca="1" si="28"/>
        <v>BUY</v>
      </c>
      <c r="G1034" s="13">
        <f ca="1">IFERROR(__xludf.DUMMYFUNCTION("GOOGLEFINANCE(A1034,""CLOSEYEST"")"),1626)</f>
        <v>1626</v>
      </c>
      <c r="H1034" s="14" t="str">
        <f t="shared" ca="1" si="34"/>
        <v/>
      </c>
      <c r="I1034" s="15">
        <f t="shared" ca="1" si="29"/>
        <v>1648.3333333333333</v>
      </c>
      <c r="J1034" s="16">
        <f t="shared" ca="1" si="30"/>
        <v>1676.6666666666665</v>
      </c>
      <c r="K1034" s="16"/>
      <c r="L1034" s="16">
        <f t="shared" ca="1" si="31"/>
        <v>1597.6666666666665</v>
      </c>
      <c r="M1034" s="16">
        <f t="shared" ca="1" si="32"/>
        <v>1727.3333333333333</v>
      </c>
      <c r="N1034" s="16">
        <f t="shared" ca="1" si="33"/>
        <v>1569.3333333333333</v>
      </c>
    </row>
    <row r="1035" spans="1:14" ht="24.75" customHeight="1" x14ac:dyDescent="0.8">
      <c r="A1035" s="18" t="s">
        <v>998</v>
      </c>
      <c r="B1035" s="10">
        <f ca="1">IFERROR(__xludf.DUMMYFUNCTION("GOOGLEFINANCE(A1035,""PRICE"")"),141)</f>
        <v>141</v>
      </c>
      <c r="C1035" s="11">
        <f ca="1">IFERROR(__xludf.DUMMYFUNCTION("GOOGLEFINANCE(A1035,""PRICEOPEN"")"),138.84)</f>
        <v>138.84</v>
      </c>
      <c r="D1035" s="11">
        <f ca="1">IFERROR(__xludf.DUMMYFUNCTION("GOOGLEFINANCE(A1035,""HIGH"")"),141.4)</f>
        <v>141.4</v>
      </c>
      <c r="E1035" s="11">
        <f ca="1">IFERROR(__xludf.DUMMYFUNCTION("GOOGLEFINANCE(A1035,""LOW"")"),138.1)</f>
        <v>138.1</v>
      </c>
      <c r="F1035" s="12" t="str">
        <f t="shared" ca="1" si="28"/>
        <v/>
      </c>
      <c r="G1035" s="13">
        <f ca="1">IFERROR(__xludf.DUMMYFUNCTION("GOOGLEFINANCE(A1035,""CLOSEYEST"")"),138.84)</f>
        <v>138.84</v>
      </c>
      <c r="H1035" s="14" t="str">
        <f t="shared" ca="1" si="34"/>
        <v/>
      </c>
      <c r="I1035" s="15">
        <f t="shared" ca="1" si="29"/>
        <v>139.44666666666669</v>
      </c>
      <c r="J1035" s="16">
        <f t="shared" ca="1" si="30"/>
        <v>140.79333333333338</v>
      </c>
      <c r="K1035" s="16"/>
      <c r="L1035" s="16">
        <f t="shared" ca="1" si="31"/>
        <v>137.49333333333337</v>
      </c>
      <c r="M1035" s="16">
        <f t="shared" ca="1" si="32"/>
        <v>142.7466666666667</v>
      </c>
      <c r="N1035" s="16">
        <f t="shared" ca="1" si="33"/>
        <v>136.14666666666668</v>
      </c>
    </row>
    <row r="1036" spans="1:14" ht="24.75" customHeight="1" x14ac:dyDescent="0.8">
      <c r="A1036" s="18" t="s">
        <v>999</v>
      </c>
      <c r="B1036" s="10">
        <f ca="1">IFERROR(__xludf.DUMMYFUNCTION("GOOGLEFINANCE(A1036,""PRICE"")"),96.2)</f>
        <v>96.2</v>
      </c>
      <c r="C1036" s="11">
        <f ca="1">IFERROR(__xludf.DUMMYFUNCTION("GOOGLEFINANCE(A1036,""PRICEOPEN"")"),94.5)</f>
        <v>94.5</v>
      </c>
      <c r="D1036" s="11">
        <f ca="1">IFERROR(__xludf.DUMMYFUNCTION("GOOGLEFINANCE(A1036,""HIGH"")"),97.15)</f>
        <v>97.15</v>
      </c>
      <c r="E1036" s="11">
        <f ca="1">IFERROR(__xludf.DUMMYFUNCTION("GOOGLEFINANCE(A1036,""LOW"")"),94.5)</f>
        <v>94.5</v>
      </c>
      <c r="F1036" s="12" t="str">
        <f t="shared" ca="1" si="28"/>
        <v>BUY</v>
      </c>
      <c r="G1036" s="13">
        <f ca="1">IFERROR(__xludf.DUMMYFUNCTION("GOOGLEFINANCE(A1036,""CLOSEYEST"")"),95.24)</f>
        <v>95.24</v>
      </c>
      <c r="H1036" s="14" t="str">
        <f t="shared" ca="1" si="34"/>
        <v/>
      </c>
      <c r="I1036" s="15">
        <f t="shared" ca="1" si="29"/>
        <v>95.63</v>
      </c>
      <c r="J1036" s="16">
        <f t="shared" ca="1" si="30"/>
        <v>96.759999999999991</v>
      </c>
      <c r="K1036" s="16"/>
      <c r="L1036" s="16">
        <f t="shared" ca="1" si="31"/>
        <v>94.109999999999985</v>
      </c>
      <c r="M1036" s="16">
        <f t="shared" ca="1" si="32"/>
        <v>98.28</v>
      </c>
      <c r="N1036" s="16">
        <f t="shared" ca="1" si="33"/>
        <v>92.97999999999999</v>
      </c>
    </row>
    <row r="1037" spans="1:14" ht="24.75" customHeight="1" x14ac:dyDescent="0.8">
      <c r="A1037" s="18" t="s">
        <v>1000</v>
      </c>
      <c r="B1037" s="10" t="str">
        <f ca="1">IFERROR(__xludf.DUMMYFUNCTION("GOOGLEFINANCE(A1037,""PRICE"")"),"#N/A")</f>
        <v>#N/A</v>
      </c>
      <c r="C1037" s="11" t="str">
        <f ca="1">IFERROR(__xludf.DUMMYFUNCTION("GOOGLEFINANCE(A1037,""PRICEOPEN"")"),"#N/A")</f>
        <v>#N/A</v>
      </c>
      <c r="D1037" s="11" t="str">
        <f ca="1">IFERROR(__xludf.DUMMYFUNCTION("GOOGLEFINANCE(A1037,""HIGH"")"),"#N/A")</f>
        <v>#N/A</v>
      </c>
      <c r="E1037" s="11" t="str">
        <f ca="1">IFERROR(__xludf.DUMMYFUNCTION("GOOGLEFINANCE(A1037,""LOW"")"),"#N/A")</f>
        <v>#N/A</v>
      </c>
      <c r="F1037" s="12" t="str">
        <f t="shared" ca="1" si="28"/>
        <v>SELL</v>
      </c>
      <c r="G1037" s="13" t="str">
        <f ca="1">IFERROR(__xludf.DUMMYFUNCTION("GOOGLEFINANCE(A1037,""CLOSEYEST"")"),"#N/A")</f>
        <v>#N/A</v>
      </c>
      <c r="H1037" s="14" t="e">
        <f t="shared" ca="1" si="34"/>
        <v>#VALUE!</v>
      </c>
      <c r="I1037" s="15" t="e">
        <f t="shared" ca="1" si="29"/>
        <v>#VALUE!</v>
      </c>
      <c r="J1037" s="16" t="e">
        <f t="shared" ca="1" si="30"/>
        <v>#VALUE!</v>
      </c>
      <c r="K1037" s="16"/>
      <c r="L1037" s="16" t="e">
        <f t="shared" ca="1" si="31"/>
        <v>#VALUE!</v>
      </c>
      <c r="M1037" s="16" t="e">
        <f t="shared" ca="1" si="32"/>
        <v>#VALUE!</v>
      </c>
      <c r="N1037" s="16" t="e">
        <f t="shared" ca="1" si="33"/>
        <v>#VALUE!</v>
      </c>
    </row>
    <row r="1038" spans="1:14" ht="24.75" customHeight="1" x14ac:dyDescent="0.8">
      <c r="A1038" s="18" t="s">
        <v>1001</v>
      </c>
      <c r="B1038" s="10">
        <f ca="1">IFERROR(__xludf.DUMMYFUNCTION("GOOGLEFINANCE(A1038,""PRICE"")"),175.4)</f>
        <v>175.4</v>
      </c>
      <c r="C1038" s="11">
        <f ca="1">IFERROR(__xludf.DUMMYFUNCTION("GOOGLEFINANCE(A1038,""PRICEOPEN"")"),175.29)</f>
        <v>175.29</v>
      </c>
      <c r="D1038" s="11">
        <f ca="1">IFERROR(__xludf.DUMMYFUNCTION("GOOGLEFINANCE(A1038,""HIGH"")"),176.67)</f>
        <v>176.67</v>
      </c>
      <c r="E1038" s="11">
        <f ca="1">IFERROR(__xludf.DUMMYFUNCTION("GOOGLEFINANCE(A1038,""LOW"")"),175.05)</f>
        <v>175.05</v>
      </c>
      <c r="F1038" s="12" t="str">
        <f t="shared" ca="1" si="28"/>
        <v/>
      </c>
      <c r="G1038" s="13">
        <f ca="1">IFERROR(__xludf.DUMMYFUNCTION("GOOGLEFINANCE(A1038,""CLOSEYEST"")"),175.07)</f>
        <v>175.07</v>
      </c>
      <c r="H1038" s="14" t="str">
        <f t="shared" ca="1" si="34"/>
        <v/>
      </c>
      <c r="I1038" s="15">
        <f t="shared" ca="1" si="29"/>
        <v>175.59666666666666</v>
      </c>
      <c r="J1038" s="16">
        <f t="shared" ca="1" si="30"/>
        <v>176.14333333333332</v>
      </c>
      <c r="K1038" s="16"/>
      <c r="L1038" s="16">
        <f t="shared" ca="1" si="31"/>
        <v>174.52333333333334</v>
      </c>
      <c r="M1038" s="16">
        <f t="shared" ca="1" si="32"/>
        <v>177.21666666666664</v>
      </c>
      <c r="N1038" s="16">
        <f t="shared" ca="1" si="33"/>
        <v>173.97666666666669</v>
      </c>
    </row>
    <row r="1039" spans="1:14" ht="24.75" customHeight="1" x14ac:dyDescent="0.8">
      <c r="A1039" s="18" t="s">
        <v>1002</v>
      </c>
      <c r="B1039" s="10">
        <f ca="1">IFERROR(__xludf.DUMMYFUNCTION("GOOGLEFINANCE(A1039,""PRICE"")"),178)</f>
        <v>178</v>
      </c>
      <c r="C1039" s="11">
        <f ca="1">IFERROR(__xludf.DUMMYFUNCTION("GOOGLEFINANCE(A1039,""PRICEOPEN"")"),176)</f>
        <v>176</v>
      </c>
      <c r="D1039" s="11">
        <f ca="1">IFERROR(__xludf.DUMMYFUNCTION("GOOGLEFINANCE(A1039,""HIGH"")"),182.4)</f>
        <v>182.4</v>
      </c>
      <c r="E1039" s="11">
        <f ca="1">IFERROR(__xludf.DUMMYFUNCTION("GOOGLEFINANCE(A1039,""LOW"")"),174)</f>
        <v>174</v>
      </c>
      <c r="F1039" s="12" t="str">
        <f t="shared" ca="1" si="28"/>
        <v/>
      </c>
      <c r="G1039" s="13">
        <f ca="1">IFERROR(__xludf.DUMMYFUNCTION("GOOGLEFINANCE(A1039,""CLOSEYEST"")"),173.85)</f>
        <v>173.85</v>
      </c>
      <c r="H1039" s="14" t="str">
        <f t="shared" ca="1" si="34"/>
        <v>GAP UP</v>
      </c>
      <c r="I1039" s="15">
        <f t="shared" ca="1" si="29"/>
        <v>176.75</v>
      </c>
      <c r="J1039" s="16">
        <f t="shared" ca="1" si="30"/>
        <v>179.5</v>
      </c>
      <c r="K1039" s="16"/>
      <c r="L1039" s="16">
        <f t="shared" ca="1" si="31"/>
        <v>171.1</v>
      </c>
      <c r="M1039" s="16">
        <f t="shared" ca="1" si="32"/>
        <v>185.15</v>
      </c>
      <c r="N1039" s="16">
        <f t="shared" ca="1" si="33"/>
        <v>168.35</v>
      </c>
    </row>
    <row r="1040" spans="1:14" ht="24.75" customHeight="1" x14ac:dyDescent="0.8">
      <c r="A1040" s="18" t="s">
        <v>1003</v>
      </c>
      <c r="B1040" s="10">
        <f ca="1">IFERROR(__xludf.DUMMYFUNCTION("GOOGLEFINANCE(A1040,""PRICE"")"),162.8)</f>
        <v>162.80000000000001</v>
      </c>
      <c r="C1040" s="11">
        <f ca="1">IFERROR(__xludf.DUMMYFUNCTION("GOOGLEFINANCE(A1040,""PRICEOPEN"")"),158.7)</f>
        <v>158.69999999999999</v>
      </c>
      <c r="D1040" s="11">
        <f ca="1">IFERROR(__xludf.DUMMYFUNCTION("GOOGLEFINANCE(A1040,""HIGH"")"),165.39)</f>
        <v>165.39</v>
      </c>
      <c r="E1040" s="11">
        <f ca="1">IFERROR(__xludf.DUMMYFUNCTION("GOOGLEFINANCE(A1040,""LOW"")"),157.67)</f>
        <v>157.66999999999999</v>
      </c>
      <c r="F1040" s="12" t="str">
        <f t="shared" ca="1" si="28"/>
        <v/>
      </c>
      <c r="G1040" s="13">
        <f ca="1">IFERROR(__xludf.DUMMYFUNCTION("GOOGLEFINANCE(A1040,""CLOSEYEST"")"),158.84)</f>
        <v>158.84</v>
      </c>
      <c r="H1040" s="14" t="str">
        <f t="shared" ca="1" si="34"/>
        <v/>
      </c>
      <c r="I1040" s="15">
        <f t="shared" ca="1" si="29"/>
        <v>160.63333333333333</v>
      </c>
      <c r="J1040" s="16">
        <f t="shared" ca="1" si="30"/>
        <v>163.59666666666666</v>
      </c>
      <c r="K1040" s="16"/>
      <c r="L1040" s="16">
        <f t="shared" ca="1" si="31"/>
        <v>155.87666666666667</v>
      </c>
      <c r="M1040" s="16">
        <f t="shared" ca="1" si="32"/>
        <v>168.35333333333332</v>
      </c>
      <c r="N1040" s="16">
        <f t="shared" ca="1" si="33"/>
        <v>152.91333333333333</v>
      </c>
    </row>
    <row r="1041" spans="1:14" ht="24.75" customHeight="1" x14ac:dyDescent="0.8">
      <c r="A1041" s="18" t="s">
        <v>1004</v>
      </c>
      <c r="B1041" s="10">
        <f ca="1">IFERROR(__xludf.DUMMYFUNCTION("GOOGLEFINANCE(A1041,""PRICE"")"),196.9)</f>
        <v>196.9</v>
      </c>
      <c r="C1041" s="11">
        <f ca="1">IFERROR(__xludf.DUMMYFUNCTION("GOOGLEFINANCE(A1041,""PRICEOPEN"")"),182.9)</f>
        <v>182.9</v>
      </c>
      <c r="D1041" s="11">
        <f ca="1">IFERROR(__xludf.DUMMYFUNCTION("GOOGLEFINANCE(A1041,""HIGH"")"),198.99)</f>
        <v>198.99</v>
      </c>
      <c r="E1041" s="11">
        <f ca="1">IFERROR(__xludf.DUMMYFUNCTION("GOOGLEFINANCE(A1041,""LOW"")"),180.42)</f>
        <v>180.42</v>
      </c>
      <c r="F1041" s="12" t="str">
        <f t="shared" ca="1" si="28"/>
        <v/>
      </c>
      <c r="G1041" s="13">
        <f ca="1">IFERROR(__xludf.DUMMYFUNCTION("GOOGLEFINANCE(A1041,""CLOSEYEST"")"),182.33)</f>
        <v>182.33</v>
      </c>
      <c r="H1041" s="14" t="str">
        <f t="shared" ca="1" si="34"/>
        <v/>
      </c>
      <c r="I1041" s="15">
        <f t="shared" ca="1" si="29"/>
        <v>187.24666666666667</v>
      </c>
      <c r="J1041" s="16">
        <f t="shared" ca="1" si="30"/>
        <v>194.07333333333335</v>
      </c>
      <c r="K1041" s="16"/>
      <c r="L1041" s="16">
        <f t="shared" ca="1" si="31"/>
        <v>175.50333333333333</v>
      </c>
      <c r="M1041" s="16">
        <f t="shared" ca="1" si="32"/>
        <v>205.81666666666669</v>
      </c>
      <c r="N1041" s="16">
        <f t="shared" ca="1" si="33"/>
        <v>168.67666666666665</v>
      </c>
    </row>
    <row r="1042" spans="1:14" ht="24.75" customHeight="1" x14ac:dyDescent="0.8">
      <c r="A1042" s="18" t="s">
        <v>1005</v>
      </c>
      <c r="B1042" s="10">
        <f ca="1">IFERROR(__xludf.DUMMYFUNCTION("GOOGLEFINANCE(A1042,""PRICE"")"),7955)</f>
        <v>7955</v>
      </c>
      <c r="C1042" s="11">
        <f ca="1">IFERROR(__xludf.DUMMYFUNCTION("GOOGLEFINANCE(A1042,""PRICEOPEN"")"),7668.5)</f>
        <v>7668.5</v>
      </c>
      <c r="D1042" s="11">
        <f ca="1">IFERROR(__xludf.DUMMYFUNCTION("GOOGLEFINANCE(A1042,""HIGH"")"),8247)</f>
        <v>8247</v>
      </c>
      <c r="E1042" s="11">
        <f ca="1">IFERROR(__xludf.DUMMYFUNCTION("GOOGLEFINANCE(A1042,""LOW"")"),7668.5)</f>
        <v>7668.5</v>
      </c>
      <c r="F1042" s="12" t="str">
        <f t="shared" ca="1" si="28"/>
        <v>BUY</v>
      </c>
      <c r="G1042" s="13">
        <f ca="1">IFERROR(__xludf.DUMMYFUNCTION("GOOGLEFINANCE(A1042,""CLOSEYEST"")"),7607.5)</f>
        <v>7607.5</v>
      </c>
      <c r="H1042" s="14" t="str">
        <f t="shared" ca="1" si="34"/>
        <v/>
      </c>
      <c r="I1042" s="15">
        <f t="shared" ca="1" si="29"/>
        <v>7841</v>
      </c>
      <c r="J1042" s="16">
        <f t="shared" ca="1" si="30"/>
        <v>8013.5</v>
      </c>
      <c r="K1042" s="16"/>
      <c r="L1042" s="16">
        <f t="shared" ca="1" si="31"/>
        <v>7435</v>
      </c>
      <c r="M1042" s="16">
        <f t="shared" ca="1" si="32"/>
        <v>8419.5</v>
      </c>
      <c r="N1042" s="16">
        <f t="shared" ca="1" si="33"/>
        <v>7262.5</v>
      </c>
    </row>
    <row r="1043" spans="1:14" ht="24.75" customHeight="1" x14ac:dyDescent="0.8">
      <c r="A1043" s="18" t="s">
        <v>1006</v>
      </c>
      <c r="B1043" s="10">
        <f ca="1">IFERROR(__xludf.DUMMYFUNCTION("GOOGLEFINANCE(A1043,""PRICE"")"),23.95)</f>
        <v>23.95</v>
      </c>
      <c r="C1043" s="11">
        <f ca="1">IFERROR(__xludf.DUMMYFUNCTION("GOOGLEFINANCE(A1043,""PRICEOPEN"")"),23.99)</f>
        <v>23.99</v>
      </c>
      <c r="D1043" s="11">
        <f ca="1">IFERROR(__xludf.DUMMYFUNCTION("GOOGLEFINANCE(A1043,""HIGH"")"),26.14)</f>
        <v>26.14</v>
      </c>
      <c r="E1043" s="11">
        <f ca="1">IFERROR(__xludf.DUMMYFUNCTION("GOOGLEFINANCE(A1043,""LOW"")"),23.8)</f>
        <v>23.8</v>
      </c>
      <c r="F1043" s="12" t="str">
        <f t="shared" ca="1" si="28"/>
        <v/>
      </c>
      <c r="G1043" s="13">
        <f ca="1">IFERROR(__xludf.DUMMYFUNCTION("GOOGLEFINANCE(A1043,""CLOSEYEST"")"),23.9)</f>
        <v>23.9</v>
      </c>
      <c r="H1043" s="14" t="str">
        <f t="shared" ca="1" si="34"/>
        <v/>
      </c>
      <c r="I1043" s="15">
        <f t="shared" ca="1" si="29"/>
        <v>24.613333333333333</v>
      </c>
      <c r="J1043" s="16">
        <f t="shared" ca="1" si="30"/>
        <v>25.426666666666666</v>
      </c>
      <c r="K1043" s="16"/>
      <c r="L1043" s="16">
        <f t="shared" ca="1" si="31"/>
        <v>23.086666666666666</v>
      </c>
      <c r="M1043" s="16">
        <f t="shared" ca="1" si="32"/>
        <v>26.953333333333333</v>
      </c>
      <c r="N1043" s="16">
        <f t="shared" ca="1" si="33"/>
        <v>22.273333333333333</v>
      </c>
    </row>
    <row r="1044" spans="1:14" ht="24.75" customHeight="1" x14ac:dyDescent="0.8">
      <c r="A1044" s="18" t="s">
        <v>1007</v>
      </c>
      <c r="B1044" s="10">
        <f ca="1">IFERROR(__xludf.DUMMYFUNCTION("GOOGLEFINANCE(A1044,""PRICE"")"),8.54)</f>
        <v>8.5399999999999991</v>
      </c>
      <c r="C1044" s="11">
        <f ca="1">IFERROR(__xludf.DUMMYFUNCTION("GOOGLEFINANCE(A1044,""PRICEOPEN"")"),8.49)</f>
        <v>8.49</v>
      </c>
      <c r="D1044" s="11">
        <f ca="1">IFERROR(__xludf.DUMMYFUNCTION("GOOGLEFINANCE(A1044,""HIGH"")"),8.58)</f>
        <v>8.58</v>
      </c>
      <c r="E1044" s="11">
        <f ca="1">IFERROR(__xludf.DUMMYFUNCTION("GOOGLEFINANCE(A1044,""LOW"")"),8.37)</f>
        <v>8.3699999999999992</v>
      </c>
      <c r="F1044" s="12" t="str">
        <f t="shared" ref="F1044:F1298" ca="1" si="35">IF(C1044=D1044,"SELL",IF(C1044=E1044,"BUY", ""))</f>
        <v/>
      </c>
      <c r="G1044" s="13">
        <f ca="1">IFERROR(__xludf.DUMMYFUNCTION("GOOGLEFINANCE(A1044,""CLOSEYEST"")"),8.37)</f>
        <v>8.3699999999999992</v>
      </c>
      <c r="H1044" s="14" t="str">
        <f t="shared" ca="1" si="34"/>
        <v>GAP UP</v>
      </c>
      <c r="I1044" s="15">
        <f t="shared" ref="I1044:I1298" ca="1" si="36">(D1044+E1044+G1044)/3</f>
        <v>8.44</v>
      </c>
      <c r="J1044" s="16">
        <f t="shared" ref="J1044:J1298" ca="1" si="37">(I1044*2)-E1044</f>
        <v>8.51</v>
      </c>
      <c r="K1044" s="16"/>
      <c r="L1044" s="16">
        <f t="shared" ref="L1044:L1298" ca="1" si="38">(I1044*2)-D1044</f>
        <v>8.2999999999999989</v>
      </c>
      <c r="M1044" s="16">
        <f t="shared" ref="M1044:M1298" ca="1" si="39">I1044+(J1044-L1044)</f>
        <v>8.65</v>
      </c>
      <c r="N1044" s="16">
        <f t="shared" ref="N1044:N1298" ca="1" si="40">I1044-(J1044-L1044)</f>
        <v>8.2299999999999986</v>
      </c>
    </row>
    <row r="1045" spans="1:14" ht="24.75" customHeight="1" x14ac:dyDescent="0.8">
      <c r="A1045" s="18" t="s">
        <v>1008</v>
      </c>
      <c r="B1045" s="10">
        <f ca="1">IFERROR(__xludf.DUMMYFUNCTION("GOOGLEFINANCE(A1045,""PRICE"")"),429)</f>
        <v>429</v>
      </c>
      <c r="C1045" s="11">
        <f ca="1">IFERROR(__xludf.DUMMYFUNCTION("GOOGLEFINANCE(A1045,""PRICEOPEN"")"),419.8)</f>
        <v>419.8</v>
      </c>
      <c r="D1045" s="11">
        <f ca="1">IFERROR(__xludf.DUMMYFUNCTION("GOOGLEFINANCE(A1045,""HIGH"")"),429)</f>
        <v>429</v>
      </c>
      <c r="E1045" s="11">
        <f ca="1">IFERROR(__xludf.DUMMYFUNCTION("GOOGLEFINANCE(A1045,""LOW"")"),415.55)</f>
        <v>415.55</v>
      </c>
      <c r="F1045" s="12" t="str">
        <f t="shared" ca="1" si="35"/>
        <v/>
      </c>
      <c r="G1045" s="13">
        <f ca="1">IFERROR(__xludf.DUMMYFUNCTION("GOOGLEFINANCE(A1045,""CLOSEYEST"")"),416.85)</f>
        <v>416.85</v>
      </c>
      <c r="H1045" s="14" t="str">
        <f t="shared" ca="1" si="34"/>
        <v/>
      </c>
      <c r="I1045" s="15">
        <f t="shared" ca="1" si="36"/>
        <v>420.4666666666667</v>
      </c>
      <c r="J1045" s="16">
        <f t="shared" ca="1" si="37"/>
        <v>425.38333333333338</v>
      </c>
      <c r="K1045" s="16"/>
      <c r="L1045" s="16">
        <f t="shared" ca="1" si="38"/>
        <v>411.93333333333339</v>
      </c>
      <c r="M1045" s="16">
        <f t="shared" ca="1" si="39"/>
        <v>433.91666666666669</v>
      </c>
      <c r="N1045" s="16">
        <f t="shared" ca="1" si="40"/>
        <v>407.01666666666671</v>
      </c>
    </row>
    <row r="1046" spans="1:14" ht="24.75" customHeight="1" x14ac:dyDescent="0.8">
      <c r="A1046" s="18" t="s">
        <v>1009</v>
      </c>
      <c r="B1046" s="10">
        <f ca="1">IFERROR(__xludf.DUMMYFUNCTION("GOOGLEFINANCE(A1046,""PRICE"")"),5300)</f>
        <v>5300</v>
      </c>
      <c r="C1046" s="11">
        <f ca="1">IFERROR(__xludf.DUMMYFUNCTION("GOOGLEFINANCE(A1046,""PRICEOPEN"")"),5192)</f>
        <v>5192</v>
      </c>
      <c r="D1046" s="11">
        <f ca="1">IFERROR(__xludf.DUMMYFUNCTION("GOOGLEFINANCE(A1046,""HIGH"")"),5425)</f>
        <v>5425</v>
      </c>
      <c r="E1046" s="11">
        <f ca="1">IFERROR(__xludf.DUMMYFUNCTION("GOOGLEFINANCE(A1046,""LOW"")"),5192)</f>
        <v>5192</v>
      </c>
      <c r="F1046" s="12" t="str">
        <f t="shared" ca="1" si="35"/>
        <v>BUY</v>
      </c>
      <c r="G1046" s="13">
        <f ca="1">IFERROR(__xludf.DUMMYFUNCTION("GOOGLEFINANCE(A1046,""CLOSEYEST"")"),5191.9)</f>
        <v>5191.8999999999996</v>
      </c>
      <c r="H1046" s="14" t="str">
        <f t="shared" ref="H1046:H1300" ca="1" si="41">IF(C1046&gt;=(G1046+(G1046*1%)),"GAP UP",IF(C1046&lt;=(G1046-(G1046*1%)),"GAP DOWN",""))</f>
        <v/>
      </c>
      <c r="I1046" s="15">
        <f t="shared" ca="1" si="36"/>
        <v>5269.6333333333332</v>
      </c>
      <c r="J1046" s="16">
        <f t="shared" ca="1" si="37"/>
        <v>5347.2666666666664</v>
      </c>
      <c r="K1046" s="16"/>
      <c r="L1046" s="16">
        <f t="shared" ca="1" si="38"/>
        <v>5114.2666666666664</v>
      </c>
      <c r="M1046" s="16">
        <f t="shared" ca="1" si="39"/>
        <v>5502.6333333333332</v>
      </c>
      <c r="N1046" s="16">
        <f t="shared" ca="1" si="40"/>
        <v>5036.6333333333332</v>
      </c>
    </row>
    <row r="1047" spans="1:14" ht="24.75" customHeight="1" x14ac:dyDescent="0.8">
      <c r="A1047" s="18" t="s">
        <v>1010</v>
      </c>
      <c r="B1047" s="10">
        <f ca="1">IFERROR(__xludf.DUMMYFUNCTION("GOOGLEFINANCE(A1047,""PRICE"")"),133.99)</f>
        <v>133.99</v>
      </c>
      <c r="C1047" s="11">
        <f ca="1">IFERROR(__xludf.DUMMYFUNCTION("GOOGLEFINANCE(A1047,""PRICEOPEN"")"),133.24)</f>
        <v>133.24</v>
      </c>
      <c r="D1047" s="11">
        <f ca="1">IFERROR(__xludf.DUMMYFUNCTION("GOOGLEFINANCE(A1047,""HIGH"")"),134.98)</f>
        <v>134.97999999999999</v>
      </c>
      <c r="E1047" s="11">
        <f ca="1">IFERROR(__xludf.DUMMYFUNCTION("GOOGLEFINANCE(A1047,""LOW"")"),130.2)</f>
        <v>130.19999999999999</v>
      </c>
      <c r="F1047" s="12" t="str">
        <f t="shared" ca="1" si="35"/>
        <v/>
      </c>
      <c r="G1047" s="13">
        <f ca="1">IFERROR(__xludf.DUMMYFUNCTION("GOOGLEFINANCE(A1047,""CLOSEYEST"")"),132.58)</f>
        <v>132.58000000000001</v>
      </c>
      <c r="H1047" s="14" t="str">
        <f t="shared" ca="1" si="41"/>
        <v/>
      </c>
      <c r="I1047" s="15">
        <f t="shared" ca="1" si="36"/>
        <v>132.58666666666667</v>
      </c>
      <c r="J1047" s="16">
        <f t="shared" ca="1" si="37"/>
        <v>134.97333333333336</v>
      </c>
      <c r="K1047" s="16"/>
      <c r="L1047" s="16">
        <f t="shared" ca="1" si="38"/>
        <v>130.19333333333336</v>
      </c>
      <c r="M1047" s="16">
        <f t="shared" ca="1" si="39"/>
        <v>137.36666666666667</v>
      </c>
      <c r="N1047" s="16">
        <f t="shared" ca="1" si="40"/>
        <v>127.80666666666667</v>
      </c>
    </row>
    <row r="1048" spans="1:14" ht="24.75" customHeight="1" x14ac:dyDescent="0.8">
      <c r="A1048" s="18" t="s">
        <v>1011</v>
      </c>
      <c r="B1048" s="10">
        <f ca="1">IFERROR(__xludf.DUMMYFUNCTION("GOOGLEFINANCE(A1048,""PRICE"")"),48.7)</f>
        <v>48.7</v>
      </c>
      <c r="C1048" s="11">
        <f ca="1">IFERROR(__xludf.DUMMYFUNCTION("GOOGLEFINANCE(A1048,""PRICEOPEN"")"),48)</f>
        <v>48</v>
      </c>
      <c r="D1048" s="11">
        <f ca="1">IFERROR(__xludf.DUMMYFUNCTION("GOOGLEFINANCE(A1048,""HIGH"")"),49.43)</f>
        <v>49.43</v>
      </c>
      <c r="E1048" s="11">
        <f ca="1">IFERROR(__xludf.DUMMYFUNCTION("GOOGLEFINANCE(A1048,""LOW"")"),48)</f>
        <v>48</v>
      </c>
      <c r="F1048" s="12" t="str">
        <f t="shared" ca="1" si="35"/>
        <v>BUY</v>
      </c>
      <c r="G1048" s="13">
        <f ca="1">IFERROR(__xludf.DUMMYFUNCTION("GOOGLEFINANCE(A1048,""CLOSEYEST"")"),48.14)</f>
        <v>48.14</v>
      </c>
      <c r="H1048" s="14" t="str">
        <f t="shared" ca="1" si="41"/>
        <v/>
      </c>
      <c r="I1048" s="15">
        <f t="shared" ca="1" si="36"/>
        <v>48.523333333333333</v>
      </c>
      <c r="J1048" s="16">
        <f t="shared" ca="1" si="37"/>
        <v>49.046666666666667</v>
      </c>
      <c r="K1048" s="16"/>
      <c r="L1048" s="16">
        <f t="shared" ca="1" si="38"/>
        <v>47.616666666666667</v>
      </c>
      <c r="M1048" s="16">
        <f t="shared" ca="1" si="39"/>
        <v>49.953333333333333</v>
      </c>
      <c r="N1048" s="16">
        <f t="shared" ca="1" si="40"/>
        <v>47.093333333333334</v>
      </c>
    </row>
    <row r="1049" spans="1:14" ht="24.75" customHeight="1" x14ac:dyDescent="0.8">
      <c r="A1049" s="18" t="s">
        <v>1012</v>
      </c>
      <c r="B1049" s="10">
        <f ca="1">IFERROR(__xludf.DUMMYFUNCTION("GOOGLEFINANCE(A1049,""PRICE"")"),103.05)</f>
        <v>103.05</v>
      </c>
      <c r="C1049" s="11">
        <f ca="1">IFERROR(__xludf.DUMMYFUNCTION("GOOGLEFINANCE(A1049,""PRICEOPEN"")"),107.39)</f>
        <v>107.39</v>
      </c>
      <c r="D1049" s="11">
        <f ca="1">IFERROR(__xludf.DUMMYFUNCTION("GOOGLEFINANCE(A1049,""HIGH"")"),107.39)</f>
        <v>107.39</v>
      </c>
      <c r="E1049" s="11">
        <f ca="1">IFERROR(__xludf.DUMMYFUNCTION("GOOGLEFINANCE(A1049,""LOW"")"),102.02)</f>
        <v>102.02</v>
      </c>
      <c r="F1049" s="12" t="str">
        <f t="shared" ca="1" si="35"/>
        <v>SELL</v>
      </c>
      <c r="G1049" s="13">
        <f ca="1">IFERROR(__xludf.DUMMYFUNCTION("GOOGLEFINANCE(A1049,""CLOSEYEST"")"),107.39)</f>
        <v>107.39</v>
      </c>
      <c r="H1049" s="14" t="str">
        <f t="shared" ca="1" si="41"/>
        <v/>
      </c>
      <c r="I1049" s="15">
        <f t="shared" ca="1" si="36"/>
        <v>105.60000000000001</v>
      </c>
      <c r="J1049" s="16">
        <f t="shared" ca="1" si="37"/>
        <v>109.18000000000002</v>
      </c>
      <c r="K1049" s="16"/>
      <c r="L1049" s="16">
        <f t="shared" ca="1" si="38"/>
        <v>103.81000000000002</v>
      </c>
      <c r="M1049" s="16">
        <f t="shared" ca="1" si="39"/>
        <v>110.97000000000001</v>
      </c>
      <c r="N1049" s="16">
        <f t="shared" ca="1" si="40"/>
        <v>100.23</v>
      </c>
    </row>
    <row r="1050" spans="1:14" ht="24.75" customHeight="1" x14ac:dyDescent="0.8">
      <c r="A1050" s="18" t="s">
        <v>1013</v>
      </c>
      <c r="B1050" s="10">
        <f ca="1">IFERROR(__xludf.DUMMYFUNCTION("GOOGLEFINANCE(A1050,""PRICE"")"),1.87)</f>
        <v>1.87</v>
      </c>
      <c r="C1050" s="11">
        <f ca="1">IFERROR(__xludf.DUMMYFUNCTION("GOOGLEFINANCE(A1050,""PRICEOPEN"")"),1.97)</f>
        <v>1.97</v>
      </c>
      <c r="D1050" s="11">
        <f ca="1">IFERROR(__xludf.DUMMYFUNCTION("GOOGLEFINANCE(A1050,""HIGH"")"),2.06)</f>
        <v>2.06</v>
      </c>
      <c r="E1050" s="11">
        <f ca="1">IFERROR(__xludf.DUMMYFUNCTION("GOOGLEFINANCE(A1050,""LOW"")"),1.87)</f>
        <v>1.87</v>
      </c>
      <c r="F1050" s="12" t="str">
        <f t="shared" ca="1" si="35"/>
        <v/>
      </c>
      <c r="G1050" s="13">
        <f ca="1">IFERROR(__xludf.DUMMYFUNCTION("GOOGLEFINANCE(A1050,""CLOSEYEST"")"),1.97)</f>
        <v>1.97</v>
      </c>
      <c r="H1050" s="14" t="str">
        <f t="shared" ca="1" si="41"/>
        <v/>
      </c>
      <c r="I1050" s="15">
        <f t="shared" ca="1" si="36"/>
        <v>1.9666666666666668</v>
      </c>
      <c r="J1050" s="16">
        <f t="shared" ca="1" si="37"/>
        <v>2.0633333333333335</v>
      </c>
      <c r="K1050" s="16"/>
      <c r="L1050" s="16">
        <f t="shared" ca="1" si="38"/>
        <v>1.8733333333333335</v>
      </c>
      <c r="M1050" s="16">
        <f t="shared" ca="1" si="39"/>
        <v>2.1566666666666667</v>
      </c>
      <c r="N1050" s="16">
        <f t="shared" ca="1" si="40"/>
        <v>1.7766666666666668</v>
      </c>
    </row>
    <row r="1051" spans="1:14" ht="24.75" customHeight="1" x14ac:dyDescent="0.8">
      <c r="A1051" s="18" t="s">
        <v>1014</v>
      </c>
      <c r="B1051" s="10">
        <f ca="1">IFERROR(__xludf.DUMMYFUNCTION("GOOGLEFINANCE(A1051,""PRICE"")"),258.75)</f>
        <v>258.75</v>
      </c>
      <c r="C1051" s="11">
        <f ca="1">IFERROR(__xludf.DUMMYFUNCTION("GOOGLEFINANCE(A1051,""PRICEOPEN"")"),253.1)</f>
        <v>253.1</v>
      </c>
      <c r="D1051" s="11">
        <f ca="1">IFERROR(__xludf.DUMMYFUNCTION("GOOGLEFINANCE(A1051,""HIGH"")"),258.75)</f>
        <v>258.75</v>
      </c>
      <c r="E1051" s="11">
        <f ca="1">IFERROR(__xludf.DUMMYFUNCTION("GOOGLEFINANCE(A1051,""LOW"")"),251)</f>
        <v>251</v>
      </c>
      <c r="F1051" s="12" t="str">
        <f t="shared" ca="1" si="35"/>
        <v/>
      </c>
      <c r="G1051" s="13">
        <f ca="1">IFERROR(__xludf.DUMMYFUNCTION("GOOGLEFINANCE(A1051,""CLOSEYEST"")"),253.1)</f>
        <v>253.1</v>
      </c>
      <c r="H1051" s="14" t="str">
        <f t="shared" ca="1" si="41"/>
        <v/>
      </c>
      <c r="I1051" s="15">
        <f t="shared" ca="1" si="36"/>
        <v>254.28333333333333</v>
      </c>
      <c r="J1051" s="16">
        <f t="shared" ca="1" si="37"/>
        <v>257.56666666666666</v>
      </c>
      <c r="K1051" s="16"/>
      <c r="L1051" s="16">
        <f t="shared" ca="1" si="38"/>
        <v>249.81666666666666</v>
      </c>
      <c r="M1051" s="16">
        <f t="shared" ca="1" si="39"/>
        <v>262.0333333333333</v>
      </c>
      <c r="N1051" s="16">
        <f t="shared" ca="1" si="40"/>
        <v>246.53333333333333</v>
      </c>
    </row>
    <row r="1052" spans="1:14" ht="24.75" customHeight="1" x14ac:dyDescent="0.8">
      <c r="A1052" s="18" t="s">
        <v>1015</v>
      </c>
      <c r="B1052" s="10">
        <f ca="1">IFERROR(__xludf.DUMMYFUNCTION("GOOGLEFINANCE(A1052,""PRICE"")"),140)</f>
        <v>140</v>
      </c>
      <c r="C1052" s="11">
        <f ca="1">IFERROR(__xludf.DUMMYFUNCTION("GOOGLEFINANCE(A1052,""PRICEOPEN"")"),128.4)</f>
        <v>128.4</v>
      </c>
      <c r="D1052" s="11">
        <f ca="1">IFERROR(__xludf.DUMMYFUNCTION("GOOGLEFINANCE(A1052,""HIGH"")"),140.4)</f>
        <v>140.4</v>
      </c>
      <c r="E1052" s="11">
        <f ca="1">IFERROR(__xludf.DUMMYFUNCTION("GOOGLEFINANCE(A1052,""LOW"")"),127.59)</f>
        <v>127.59</v>
      </c>
      <c r="F1052" s="12" t="str">
        <f t="shared" ca="1" si="35"/>
        <v/>
      </c>
      <c r="G1052" s="13">
        <f ca="1">IFERROR(__xludf.DUMMYFUNCTION("GOOGLEFINANCE(A1052,""CLOSEYEST"")"),128.4)</f>
        <v>128.4</v>
      </c>
      <c r="H1052" s="14" t="str">
        <f t="shared" ca="1" si="41"/>
        <v/>
      </c>
      <c r="I1052" s="15">
        <f t="shared" ca="1" si="36"/>
        <v>132.13</v>
      </c>
      <c r="J1052" s="16">
        <f t="shared" ca="1" si="37"/>
        <v>136.66999999999999</v>
      </c>
      <c r="K1052" s="16"/>
      <c r="L1052" s="16">
        <f t="shared" ca="1" si="38"/>
        <v>123.85999999999999</v>
      </c>
      <c r="M1052" s="16">
        <f t="shared" ca="1" si="39"/>
        <v>144.94</v>
      </c>
      <c r="N1052" s="16">
        <f t="shared" ca="1" si="40"/>
        <v>119.32</v>
      </c>
    </row>
    <row r="1053" spans="1:14" ht="24.75" customHeight="1" x14ac:dyDescent="0.8">
      <c r="A1053" s="18" t="s">
        <v>1016</v>
      </c>
      <c r="B1053" s="10">
        <f ca="1">IFERROR(__xludf.DUMMYFUNCTION("GOOGLEFINANCE(A1053,""PRICE"")"),158)</f>
        <v>158</v>
      </c>
      <c r="C1053" s="11">
        <f ca="1">IFERROR(__xludf.DUMMYFUNCTION("GOOGLEFINANCE(A1053,""PRICEOPEN"")"),155.01)</f>
        <v>155.01</v>
      </c>
      <c r="D1053" s="11">
        <f ca="1">IFERROR(__xludf.DUMMYFUNCTION("GOOGLEFINANCE(A1053,""HIGH"")"),158)</f>
        <v>158</v>
      </c>
      <c r="E1053" s="11">
        <f ca="1">IFERROR(__xludf.DUMMYFUNCTION("GOOGLEFINANCE(A1053,""LOW"")"),151.31)</f>
        <v>151.31</v>
      </c>
      <c r="F1053" s="12" t="str">
        <f t="shared" ca="1" si="35"/>
        <v/>
      </c>
      <c r="G1053" s="13">
        <f ca="1">IFERROR(__xludf.DUMMYFUNCTION("GOOGLEFINANCE(A1053,""CLOSEYEST"")"),156)</f>
        <v>156</v>
      </c>
      <c r="H1053" s="14" t="str">
        <f t="shared" ca="1" si="41"/>
        <v/>
      </c>
      <c r="I1053" s="15">
        <f t="shared" ca="1" si="36"/>
        <v>155.10333333333332</v>
      </c>
      <c r="J1053" s="16">
        <f t="shared" ca="1" si="37"/>
        <v>158.89666666666665</v>
      </c>
      <c r="K1053" s="16"/>
      <c r="L1053" s="16">
        <f t="shared" ca="1" si="38"/>
        <v>152.20666666666665</v>
      </c>
      <c r="M1053" s="16">
        <f t="shared" ca="1" si="39"/>
        <v>161.79333333333332</v>
      </c>
      <c r="N1053" s="16">
        <f t="shared" ca="1" si="40"/>
        <v>148.41333333333333</v>
      </c>
    </row>
    <row r="1054" spans="1:14" ht="24.75" customHeight="1" x14ac:dyDescent="0.8">
      <c r="A1054" s="18" t="s">
        <v>1017</v>
      </c>
      <c r="B1054" s="10">
        <f ca="1">IFERROR(__xludf.DUMMYFUNCTION("GOOGLEFINANCE(A1054,""PRICE"")"),998)</f>
        <v>998</v>
      </c>
      <c r="C1054" s="11">
        <f ca="1">IFERROR(__xludf.DUMMYFUNCTION("GOOGLEFINANCE(A1054,""PRICEOPEN"")"),1011.1)</f>
        <v>1011.1</v>
      </c>
      <c r="D1054" s="11">
        <f ca="1">IFERROR(__xludf.DUMMYFUNCTION("GOOGLEFINANCE(A1054,""HIGH"")"),1011.1)</f>
        <v>1011.1</v>
      </c>
      <c r="E1054" s="11">
        <f ca="1">IFERROR(__xludf.DUMMYFUNCTION("GOOGLEFINANCE(A1054,""LOW"")"),991.45)</f>
        <v>991.45</v>
      </c>
      <c r="F1054" s="12" t="str">
        <f t="shared" ca="1" si="35"/>
        <v>SELL</v>
      </c>
      <c r="G1054" s="13">
        <f ca="1">IFERROR(__xludf.DUMMYFUNCTION("GOOGLEFINANCE(A1054,""CLOSEYEST"")"),1005.85)</f>
        <v>1005.85</v>
      </c>
      <c r="H1054" s="14" t="str">
        <f t="shared" ca="1" si="41"/>
        <v/>
      </c>
      <c r="I1054" s="15">
        <f t="shared" ca="1" si="36"/>
        <v>1002.8000000000001</v>
      </c>
      <c r="J1054" s="16">
        <f t="shared" ca="1" si="37"/>
        <v>1014.1500000000001</v>
      </c>
      <c r="K1054" s="16"/>
      <c r="L1054" s="16">
        <f t="shared" ca="1" si="38"/>
        <v>994.50000000000011</v>
      </c>
      <c r="M1054" s="16">
        <f t="shared" ca="1" si="39"/>
        <v>1022.45</v>
      </c>
      <c r="N1054" s="16">
        <f t="shared" ca="1" si="40"/>
        <v>983.15000000000009</v>
      </c>
    </row>
    <row r="1055" spans="1:14" ht="24.75" customHeight="1" x14ac:dyDescent="0.8">
      <c r="A1055" s="18" t="s">
        <v>1018</v>
      </c>
      <c r="B1055" s="10" t="str">
        <f ca="1">IFERROR(__xludf.DUMMYFUNCTION("GOOGLEFINANCE(A1055,""PRICE"")"),"#N/A")</f>
        <v>#N/A</v>
      </c>
      <c r="C1055" s="11" t="str">
        <f ca="1">IFERROR(__xludf.DUMMYFUNCTION("GOOGLEFINANCE(A1055,""PRICEOPEN"")"),"#N/A")</f>
        <v>#N/A</v>
      </c>
      <c r="D1055" s="11" t="str">
        <f ca="1">IFERROR(__xludf.DUMMYFUNCTION("GOOGLEFINANCE(A1055,""HIGH"")"),"#N/A")</f>
        <v>#N/A</v>
      </c>
      <c r="E1055" s="11" t="str">
        <f ca="1">IFERROR(__xludf.DUMMYFUNCTION("GOOGLEFINANCE(A1055,""LOW"")"),"#N/A")</f>
        <v>#N/A</v>
      </c>
      <c r="F1055" s="12" t="str">
        <f t="shared" ca="1" si="35"/>
        <v>SELL</v>
      </c>
      <c r="G1055" s="13" t="str">
        <f ca="1">IFERROR(__xludf.DUMMYFUNCTION("GOOGLEFINANCE(A1055,""CLOSEYEST"")"),"#N/A")</f>
        <v>#N/A</v>
      </c>
      <c r="H1055" s="14" t="e">
        <f t="shared" ca="1" si="41"/>
        <v>#VALUE!</v>
      </c>
      <c r="I1055" s="15" t="e">
        <f t="shared" ca="1" si="36"/>
        <v>#VALUE!</v>
      </c>
      <c r="J1055" s="16" t="e">
        <f t="shared" ca="1" si="37"/>
        <v>#VALUE!</v>
      </c>
      <c r="K1055" s="16"/>
      <c r="L1055" s="16" t="e">
        <f t="shared" ca="1" si="38"/>
        <v>#VALUE!</v>
      </c>
      <c r="M1055" s="16" t="e">
        <f t="shared" ca="1" si="39"/>
        <v>#VALUE!</v>
      </c>
      <c r="N1055" s="16" t="e">
        <f t="shared" ca="1" si="40"/>
        <v>#VALUE!</v>
      </c>
    </row>
    <row r="1056" spans="1:14" ht="24.75" customHeight="1" x14ac:dyDescent="0.8">
      <c r="A1056" s="18" t="s">
        <v>1019</v>
      </c>
      <c r="B1056" s="10">
        <f ca="1">IFERROR(__xludf.DUMMYFUNCTION("GOOGLEFINANCE(A1056,""PRICE"")"),128.9)</f>
        <v>128.9</v>
      </c>
      <c r="C1056" s="11">
        <f ca="1">IFERROR(__xludf.DUMMYFUNCTION("GOOGLEFINANCE(A1056,""PRICEOPEN"")"),129.6)</f>
        <v>129.6</v>
      </c>
      <c r="D1056" s="11">
        <f ca="1">IFERROR(__xludf.DUMMYFUNCTION("GOOGLEFINANCE(A1056,""HIGH"")"),130.3)</f>
        <v>130.30000000000001</v>
      </c>
      <c r="E1056" s="11">
        <f ca="1">IFERROR(__xludf.DUMMYFUNCTION("GOOGLEFINANCE(A1056,""LOW"")"),126.8)</f>
        <v>126.8</v>
      </c>
      <c r="F1056" s="12" t="str">
        <f t="shared" ca="1" si="35"/>
        <v/>
      </c>
      <c r="G1056" s="13">
        <f ca="1">IFERROR(__xludf.DUMMYFUNCTION("GOOGLEFINANCE(A1056,""CLOSEYEST"")"),128.63)</f>
        <v>128.63</v>
      </c>
      <c r="H1056" s="14" t="str">
        <f t="shared" ca="1" si="41"/>
        <v/>
      </c>
      <c r="I1056" s="15">
        <f t="shared" ca="1" si="36"/>
        <v>128.57666666666668</v>
      </c>
      <c r="J1056" s="16">
        <f t="shared" ca="1" si="37"/>
        <v>130.35333333333335</v>
      </c>
      <c r="K1056" s="16"/>
      <c r="L1056" s="16">
        <f t="shared" ca="1" si="38"/>
        <v>126.85333333333335</v>
      </c>
      <c r="M1056" s="16">
        <f t="shared" ca="1" si="39"/>
        <v>132.07666666666668</v>
      </c>
      <c r="N1056" s="16">
        <f t="shared" ca="1" si="40"/>
        <v>125.07666666666668</v>
      </c>
    </row>
    <row r="1057" spans="1:14" ht="24.75" customHeight="1" x14ac:dyDescent="0.8">
      <c r="A1057" s="18" t="s">
        <v>1020</v>
      </c>
      <c r="B1057" s="10">
        <f ca="1">IFERROR(__xludf.DUMMYFUNCTION("GOOGLEFINANCE(A1057,""PRICE"")"),62.28)</f>
        <v>62.28</v>
      </c>
      <c r="C1057" s="11">
        <f ca="1">IFERROR(__xludf.DUMMYFUNCTION("GOOGLEFINANCE(A1057,""PRICEOPEN"")"),62.35)</f>
        <v>62.35</v>
      </c>
      <c r="D1057" s="11">
        <f ca="1">IFERROR(__xludf.DUMMYFUNCTION("GOOGLEFINANCE(A1057,""HIGH"")"),64.69)</f>
        <v>64.69</v>
      </c>
      <c r="E1057" s="11">
        <f ca="1">IFERROR(__xludf.DUMMYFUNCTION("GOOGLEFINANCE(A1057,""LOW"")"),61.35)</f>
        <v>61.35</v>
      </c>
      <c r="F1057" s="12" t="str">
        <f t="shared" ca="1" si="35"/>
        <v/>
      </c>
      <c r="G1057" s="13">
        <f ca="1">IFERROR(__xludf.DUMMYFUNCTION("GOOGLEFINANCE(A1057,""CLOSEYEST"")"),61.75)</f>
        <v>61.75</v>
      </c>
      <c r="H1057" s="14" t="str">
        <f t="shared" ca="1" si="41"/>
        <v/>
      </c>
      <c r="I1057" s="15">
        <f t="shared" ca="1" si="36"/>
        <v>62.596666666666664</v>
      </c>
      <c r="J1057" s="16">
        <f t="shared" ca="1" si="37"/>
        <v>63.843333333333327</v>
      </c>
      <c r="K1057" s="16"/>
      <c r="L1057" s="16">
        <f t="shared" ca="1" si="38"/>
        <v>60.50333333333333</v>
      </c>
      <c r="M1057" s="16">
        <f t="shared" ca="1" si="39"/>
        <v>65.936666666666667</v>
      </c>
      <c r="N1057" s="16">
        <f t="shared" ca="1" si="40"/>
        <v>59.256666666666668</v>
      </c>
    </row>
    <row r="1058" spans="1:14" ht="24.75" customHeight="1" x14ac:dyDescent="0.8">
      <c r="A1058" s="18" t="s">
        <v>1021</v>
      </c>
      <c r="B1058" s="10">
        <f ca="1">IFERROR(__xludf.DUMMYFUNCTION("GOOGLEFINANCE(A1058,""PRICE"")"),466)</f>
        <v>466</v>
      </c>
      <c r="C1058" s="11">
        <f ca="1">IFERROR(__xludf.DUMMYFUNCTION("GOOGLEFINANCE(A1058,""PRICEOPEN"")"),464.4)</f>
        <v>464.4</v>
      </c>
      <c r="D1058" s="11">
        <f ca="1">IFERROR(__xludf.DUMMYFUNCTION("GOOGLEFINANCE(A1058,""HIGH"")"),472.85)</f>
        <v>472.85</v>
      </c>
      <c r="E1058" s="11">
        <f ca="1">IFERROR(__xludf.DUMMYFUNCTION("GOOGLEFINANCE(A1058,""LOW"")"),464.4)</f>
        <v>464.4</v>
      </c>
      <c r="F1058" s="12" t="str">
        <f t="shared" ca="1" si="35"/>
        <v>BUY</v>
      </c>
      <c r="G1058" s="13">
        <f ca="1">IFERROR(__xludf.DUMMYFUNCTION("GOOGLEFINANCE(A1058,""CLOSEYEST"")"),464.4)</f>
        <v>464.4</v>
      </c>
      <c r="H1058" s="14" t="str">
        <f t="shared" ca="1" si="41"/>
        <v/>
      </c>
      <c r="I1058" s="15">
        <f t="shared" ca="1" si="36"/>
        <v>467.2166666666667</v>
      </c>
      <c r="J1058" s="16">
        <f t="shared" ca="1" si="37"/>
        <v>470.03333333333342</v>
      </c>
      <c r="K1058" s="16"/>
      <c r="L1058" s="16">
        <f t="shared" ca="1" si="38"/>
        <v>461.58333333333337</v>
      </c>
      <c r="M1058" s="16">
        <f t="shared" ca="1" si="39"/>
        <v>475.66666666666674</v>
      </c>
      <c r="N1058" s="16">
        <f t="shared" ca="1" si="40"/>
        <v>458.76666666666665</v>
      </c>
    </row>
    <row r="1059" spans="1:14" ht="24.75" customHeight="1" x14ac:dyDescent="0.8">
      <c r="A1059" s="18" t="s">
        <v>1022</v>
      </c>
      <c r="B1059" s="10">
        <f ca="1">IFERROR(__xludf.DUMMYFUNCTION("GOOGLEFINANCE(A1059,""PRICE"")"),523)</f>
        <v>523</v>
      </c>
      <c r="C1059" s="11">
        <f ca="1">IFERROR(__xludf.DUMMYFUNCTION("GOOGLEFINANCE(A1059,""PRICEOPEN"")"),523.9)</f>
        <v>523.9</v>
      </c>
      <c r="D1059" s="11">
        <f ca="1">IFERROR(__xludf.DUMMYFUNCTION("GOOGLEFINANCE(A1059,""HIGH"")"),529)</f>
        <v>529</v>
      </c>
      <c r="E1059" s="11">
        <f ca="1">IFERROR(__xludf.DUMMYFUNCTION("GOOGLEFINANCE(A1059,""LOW"")"),520.3)</f>
        <v>520.29999999999995</v>
      </c>
      <c r="F1059" s="12" t="str">
        <f t="shared" ca="1" si="35"/>
        <v/>
      </c>
      <c r="G1059" s="13">
        <f ca="1">IFERROR(__xludf.DUMMYFUNCTION("GOOGLEFINANCE(A1059,""CLOSEYEST"")"),526.45)</f>
        <v>526.45000000000005</v>
      </c>
      <c r="H1059" s="14" t="str">
        <f t="shared" ca="1" si="41"/>
        <v/>
      </c>
      <c r="I1059" s="15">
        <f t="shared" ca="1" si="36"/>
        <v>525.25</v>
      </c>
      <c r="J1059" s="16">
        <f t="shared" ca="1" si="37"/>
        <v>530.20000000000005</v>
      </c>
      <c r="K1059" s="16"/>
      <c r="L1059" s="16">
        <f t="shared" ca="1" si="38"/>
        <v>521.5</v>
      </c>
      <c r="M1059" s="16">
        <f t="shared" ca="1" si="39"/>
        <v>533.95000000000005</v>
      </c>
      <c r="N1059" s="16">
        <f t="shared" ca="1" si="40"/>
        <v>516.54999999999995</v>
      </c>
    </row>
    <row r="1060" spans="1:14" ht="24.75" customHeight="1" x14ac:dyDescent="0.8">
      <c r="A1060" s="18" t="s">
        <v>1023</v>
      </c>
      <c r="B1060" s="10">
        <f ca="1">IFERROR(__xludf.DUMMYFUNCTION("GOOGLEFINANCE(A1060,""PRICE"")"),110.5)</f>
        <v>110.5</v>
      </c>
      <c r="C1060" s="11">
        <f ca="1">IFERROR(__xludf.DUMMYFUNCTION("GOOGLEFINANCE(A1060,""PRICEOPEN"")"),109)</f>
        <v>109</v>
      </c>
      <c r="D1060" s="11">
        <f ca="1">IFERROR(__xludf.DUMMYFUNCTION("GOOGLEFINANCE(A1060,""HIGH"")"),113)</f>
        <v>113</v>
      </c>
      <c r="E1060" s="11">
        <f ca="1">IFERROR(__xludf.DUMMYFUNCTION("GOOGLEFINANCE(A1060,""LOW"")"),109)</f>
        <v>109</v>
      </c>
      <c r="F1060" s="12" t="str">
        <f t="shared" ca="1" si="35"/>
        <v>BUY</v>
      </c>
      <c r="G1060" s="13">
        <f ca="1">IFERROR(__xludf.DUMMYFUNCTION("GOOGLEFINANCE(A1060,""CLOSEYEST"")"),109.51)</f>
        <v>109.51</v>
      </c>
      <c r="H1060" s="14" t="str">
        <f t="shared" ca="1" si="41"/>
        <v/>
      </c>
      <c r="I1060" s="15">
        <f t="shared" ca="1" si="36"/>
        <v>110.50333333333333</v>
      </c>
      <c r="J1060" s="16">
        <f t="shared" ca="1" si="37"/>
        <v>112.00666666666666</v>
      </c>
      <c r="K1060" s="16"/>
      <c r="L1060" s="16">
        <f t="shared" ca="1" si="38"/>
        <v>108.00666666666666</v>
      </c>
      <c r="M1060" s="16">
        <f t="shared" ca="1" si="39"/>
        <v>114.50333333333333</v>
      </c>
      <c r="N1060" s="16">
        <f t="shared" ca="1" si="40"/>
        <v>106.50333333333333</v>
      </c>
    </row>
    <row r="1061" spans="1:14" ht="24.75" customHeight="1" x14ac:dyDescent="0.8">
      <c r="A1061" s="18" t="s">
        <v>1024</v>
      </c>
      <c r="B1061" s="10">
        <f ca="1">IFERROR(__xludf.DUMMYFUNCTION("GOOGLEFINANCE(A1061,""PRICE"")"),299)</f>
        <v>299</v>
      </c>
      <c r="C1061" s="11">
        <f ca="1">IFERROR(__xludf.DUMMYFUNCTION("GOOGLEFINANCE(A1061,""PRICEOPEN"")"),293.95)</f>
        <v>293.95</v>
      </c>
      <c r="D1061" s="11">
        <f ca="1">IFERROR(__xludf.DUMMYFUNCTION("GOOGLEFINANCE(A1061,""HIGH"")"),299.8)</f>
        <v>299.8</v>
      </c>
      <c r="E1061" s="11">
        <f ca="1">IFERROR(__xludf.DUMMYFUNCTION("GOOGLEFINANCE(A1061,""LOW"")"),285)</f>
        <v>285</v>
      </c>
      <c r="F1061" s="12" t="str">
        <f t="shared" ca="1" si="35"/>
        <v/>
      </c>
      <c r="G1061" s="13">
        <f ca="1">IFERROR(__xludf.DUMMYFUNCTION("GOOGLEFINANCE(A1061,""CLOSEYEST"")"),293.95)</f>
        <v>293.95</v>
      </c>
      <c r="H1061" s="14" t="str">
        <f t="shared" ca="1" si="41"/>
        <v/>
      </c>
      <c r="I1061" s="15">
        <f t="shared" ca="1" si="36"/>
        <v>292.91666666666669</v>
      </c>
      <c r="J1061" s="16">
        <f t="shared" ca="1" si="37"/>
        <v>300.83333333333337</v>
      </c>
      <c r="K1061" s="16"/>
      <c r="L1061" s="16">
        <f t="shared" ca="1" si="38"/>
        <v>286.03333333333336</v>
      </c>
      <c r="M1061" s="16">
        <f t="shared" ca="1" si="39"/>
        <v>307.7166666666667</v>
      </c>
      <c r="N1061" s="16">
        <f t="shared" ca="1" si="40"/>
        <v>278.11666666666667</v>
      </c>
    </row>
    <row r="1062" spans="1:14" ht="24.75" customHeight="1" x14ac:dyDescent="0.8">
      <c r="A1062" s="18" t="s">
        <v>1025</v>
      </c>
      <c r="B1062" s="10">
        <f ca="1">IFERROR(__xludf.DUMMYFUNCTION("GOOGLEFINANCE(A1062,""PRICE"")"),2488.9)</f>
        <v>2488.9</v>
      </c>
      <c r="C1062" s="11">
        <f ca="1">IFERROR(__xludf.DUMMYFUNCTION("GOOGLEFINANCE(A1062,""PRICEOPEN"")"),2694.9)</f>
        <v>2694.9</v>
      </c>
      <c r="D1062" s="11">
        <f ca="1">IFERROR(__xludf.DUMMYFUNCTION("GOOGLEFINANCE(A1062,""HIGH"")"),2729)</f>
        <v>2729</v>
      </c>
      <c r="E1062" s="11">
        <f ca="1">IFERROR(__xludf.DUMMYFUNCTION("GOOGLEFINANCE(A1062,""LOW"")"),2424.4)</f>
        <v>2424.4</v>
      </c>
      <c r="F1062" s="12" t="str">
        <f t="shared" ca="1" si="35"/>
        <v/>
      </c>
      <c r="G1062" s="13">
        <f ca="1">IFERROR(__xludf.DUMMYFUNCTION("GOOGLEFINANCE(A1062,""CLOSEYEST"")"),2693.7)</f>
        <v>2693.7</v>
      </c>
      <c r="H1062" s="14" t="str">
        <f t="shared" ca="1" si="41"/>
        <v/>
      </c>
      <c r="I1062" s="15">
        <f t="shared" ca="1" si="36"/>
        <v>2615.6999999999998</v>
      </c>
      <c r="J1062" s="16">
        <f t="shared" ca="1" si="37"/>
        <v>2806.9999999999995</v>
      </c>
      <c r="K1062" s="16"/>
      <c r="L1062" s="16">
        <f t="shared" ca="1" si="38"/>
        <v>2502.3999999999996</v>
      </c>
      <c r="M1062" s="16">
        <f t="shared" ca="1" si="39"/>
        <v>2920.2999999999997</v>
      </c>
      <c r="N1062" s="16">
        <f t="shared" ca="1" si="40"/>
        <v>2311.1</v>
      </c>
    </row>
    <row r="1063" spans="1:14" ht="24.75" customHeight="1" x14ac:dyDescent="0.8">
      <c r="A1063" s="18" t="s">
        <v>1026</v>
      </c>
      <c r="B1063" s="10">
        <f ca="1">IFERROR(__xludf.DUMMYFUNCTION("GOOGLEFINANCE(A1063,""PRICE"")"),115.6)</f>
        <v>115.6</v>
      </c>
      <c r="C1063" s="11">
        <f ca="1">IFERROR(__xludf.DUMMYFUNCTION("GOOGLEFINANCE(A1063,""PRICEOPEN"")"),115.26)</f>
        <v>115.26</v>
      </c>
      <c r="D1063" s="11">
        <f ca="1">IFERROR(__xludf.DUMMYFUNCTION("GOOGLEFINANCE(A1063,""HIGH"")"),117.68)</f>
        <v>117.68</v>
      </c>
      <c r="E1063" s="11">
        <f ca="1">IFERROR(__xludf.DUMMYFUNCTION("GOOGLEFINANCE(A1063,""LOW"")"),114.5)</f>
        <v>114.5</v>
      </c>
      <c r="F1063" s="12" t="str">
        <f t="shared" ca="1" si="35"/>
        <v/>
      </c>
      <c r="G1063" s="13">
        <f ca="1">IFERROR(__xludf.DUMMYFUNCTION("GOOGLEFINANCE(A1063,""CLOSEYEST"")"),116.81)</f>
        <v>116.81</v>
      </c>
      <c r="H1063" s="14" t="str">
        <f t="shared" ca="1" si="41"/>
        <v>GAP DOWN</v>
      </c>
      <c r="I1063" s="15">
        <f t="shared" ca="1" si="36"/>
        <v>116.33</v>
      </c>
      <c r="J1063" s="16">
        <f t="shared" ca="1" si="37"/>
        <v>118.16</v>
      </c>
      <c r="K1063" s="16"/>
      <c r="L1063" s="16">
        <f t="shared" ca="1" si="38"/>
        <v>114.97999999999999</v>
      </c>
      <c r="M1063" s="16">
        <f t="shared" ca="1" si="39"/>
        <v>119.51</v>
      </c>
      <c r="N1063" s="16">
        <f t="shared" ca="1" si="40"/>
        <v>113.14999999999999</v>
      </c>
    </row>
    <row r="1064" spans="1:14" ht="24.75" customHeight="1" x14ac:dyDescent="0.8">
      <c r="A1064" s="18" t="s">
        <v>1027</v>
      </c>
      <c r="B1064" s="10">
        <f ca="1">IFERROR(__xludf.DUMMYFUNCTION("GOOGLEFINANCE(A1064,""PRICE"")"),220.01)</f>
        <v>220.01</v>
      </c>
      <c r="C1064" s="11">
        <f ca="1">IFERROR(__xludf.DUMMYFUNCTION("GOOGLEFINANCE(A1064,""PRICEOPEN"")"),218)</f>
        <v>218</v>
      </c>
      <c r="D1064" s="11">
        <f ca="1">IFERROR(__xludf.DUMMYFUNCTION("GOOGLEFINANCE(A1064,""HIGH"")"),223.68)</f>
        <v>223.68</v>
      </c>
      <c r="E1064" s="11">
        <f ca="1">IFERROR(__xludf.DUMMYFUNCTION("GOOGLEFINANCE(A1064,""LOW"")"),218)</f>
        <v>218</v>
      </c>
      <c r="F1064" s="12" t="str">
        <f t="shared" ca="1" si="35"/>
        <v>BUY</v>
      </c>
      <c r="G1064" s="13">
        <f ca="1">IFERROR(__xludf.DUMMYFUNCTION("GOOGLEFINANCE(A1064,""CLOSEYEST"")"),219.15)</f>
        <v>219.15</v>
      </c>
      <c r="H1064" s="14" t="str">
        <f t="shared" ca="1" si="41"/>
        <v/>
      </c>
      <c r="I1064" s="15">
        <f t="shared" ca="1" si="36"/>
        <v>220.27666666666667</v>
      </c>
      <c r="J1064" s="16">
        <f t="shared" ca="1" si="37"/>
        <v>222.55333333333334</v>
      </c>
      <c r="K1064" s="16"/>
      <c r="L1064" s="16">
        <f t="shared" ca="1" si="38"/>
        <v>216.87333333333333</v>
      </c>
      <c r="M1064" s="16">
        <f t="shared" ca="1" si="39"/>
        <v>225.95666666666668</v>
      </c>
      <c r="N1064" s="16">
        <f t="shared" ca="1" si="40"/>
        <v>214.59666666666666</v>
      </c>
    </row>
    <row r="1065" spans="1:14" ht="24.75" customHeight="1" x14ac:dyDescent="0.8">
      <c r="A1065" s="18" t="s">
        <v>1028</v>
      </c>
      <c r="B1065" s="10">
        <f ca="1">IFERROR(__xludf.DUMMYFUNCTION("GOOGLEFINANCE(A1065,""PRICE"")"),395.15)</f>
        <v>395.15</v>
      </c>
      <c r="C1065" s="11">
        <f ca="1">IFERROR(__xludf.DUMMYFUNCTION("GOOGLEFINANCE(A1065,""PRICEOPEN"")"),401)</f>
        <v>401</v>
      </c>
      <c r="D1065" s="11">
        <f ca="1">IFERROR(__xludf.DUMMYFUNCTION("GOOGLEFINANCE(A1065,""HIGH"")"),403.9)</f>
        <v>403.9</v>
      </c>
      <c r="E1065" s="11">
        <f ca="1">IFERROR(__xludf.DUMMYFUNCTION("GOOGLEFINANCE(A1065,""LOW"")"),394)</f>
        <v>394</v>
      </c>
      <c r="F1065" s="12" t="str">
        <f t="shared" ca="1" si="35"/>
        <v/>
      </c>
      <c r="G1065" s="13">
        <f ca="1">IFERROR(__xludf.DUMMYFUNCTION("GOOGLEFINANCE(A1065,""CLOSEYEST"")"),395.95)</f>
        <v>395.95</v>
      </c>
      <c r="H1065" s="14" t="str">
        <f t="shared" ca="1" si="41"/>
        <v>GAP UP</v>
      </c>
      <c r="I1065" s="15">
        <f t="shared" ca="1" si="36"/>
        <v>397.95</v>
      </c>
      <c r="J1065" s="16">
        <f t="shared" ca="1" si="37"/>
        <v>401.9</v>
      </c>
      <c r="K1065" s="16"/>
      <c r="L1065" s="16">
        <f t="shared" ca="1" si="38"/>
        <v>392</v>
      </c>
      <c r="M1065" s="16">
        <f t="shared" ca="1" si="39"/>
        <v>407.84999999999997</v>
      </c>
      <c r="N1065" s="16">
        <f t="shared" ca="1" si="40"/>
        <v>388.05</v>
      </c>
    </row>
    <row r="1066" spans="1:14" ht="24.75" customHeight="1" x14ac:dyDescent="0.8">
      <c r="A1066" s="18" t="s">
        <v>1029</v>
      </c>
      <c r="B1066" s="10">
        <f ca="1">IFERROR(__xludf.DUMMYFUNCTION("GOOGLEFINANCE(A1066,""PRICE"")"),1138)</f>
        <v>1138</v>
      </c>
      <c r="C1066" s="11">
        <f ca="1">IFERROR(__xludf.DUMMYFUNCTION("GOOGLEFINANCE(A1066,""PRICEOPEN"")"),1155)</f>
        <v>1155</v>
      </c>
      <c r="D1066" s="11">
        <f ca="1">IFERROR(__xludf.DUMMYFUNCTION("GOOGLEFINANCE(A1066,""HIGH"")"),1162.3)</f>
        <v>1162.3</v>
      </c>
      <c r="E1066" s="11">
        <f ca="1">IFERROR(__xludf.DUMMYFUNCTION("GOOGLEFINANCE(A1066,""LOW"")"),1131.1)</f>
        <v>1131.0999999999999</v>
      </c>
      <c r="F1066" s="12" t="str">
        <f t="shared" ca="1" si="35"/>
        <v/>
      </c>
      <c r="G1066" s="13">
        <f ca="1">IFERROR(__xludf.DUMMYFUNCTION("GOOGLEFINANCE(A1066,""CLOSEYEST"")"),1150.2)</f>
        <v>1150.2</v>
      </c>
      <c r="H1066" s="14" t="str">
        <f t="shared" ca="1" si="41"/>
        <v/>
      </c>
      <c r="I1066" s="15">
        <f t="shared" ca="1" si="36"/>
        <v>1147.8666666666666</v>
      </c>
      <c r="J1066" s="16">
        <f t="shared" ca="1" si="37"/>
        <v>1164.6333333333332</v>
      </c>
      <c r="K1066" s="16"/>
      <c r="L1066" s="16">
        <f t="shared" ca="1" si="38"/>
        <v>1133.4333333333332</v>
      </c>
      <c r="M1066" s="16">
        <f t="shared" ca="1" si="39"/>
        <v>1179.0666666666666</v>
      </c>
      <c r="N1066" s="16">
        <f t="shared" ca="1" si="40"/>
        <v>1116.6666666666665</v>
      </c>
    </row>
    <row r="1067" spans="1:14" ht="24.75" customHeight="1" x14ac:dyDescent="0.8">
      <c r="A1067" s="18" t="s">
        <v>1030</v>
      </c>
      <c r="B1067" s="10" t="str">
        <f ca="1">IFERROR(__xludf.DUMMYFUNCTION("GOOGLEFINANCE(A1067,""PRICE"")"),"#N/A")</f>
        <v>#N/A</v>
      </c>
      <c r="C1067" s="11" t="str">
        <f ca="1">IFERROR(__xludf.DUMMYFUNCTION("GOOGLEFINANCE(A1067,""PRICEOPEN"")"),"#N/A")</f>
        <v>#N/A</v>
      </c>
      <c r="D1067" s="11" t="str">
        <f ca="1">IFERROR(__xludf.DUMMYFUNCTION("GOOGLEFINANCE(A1067,""HIGH"")"),"#N/A")</f>
        <v>#N/A</v>
      </c>
      <c r="E1067" s="11" t="str">
        <f ca="1">IFERROR(__xludf.DUMMYFUNCTION("GOOGLEFINANCE(A1067,""LOW"")"),"#N/A")</f>
        <v>#N/A</v>
      </c>
      <c r="F1067" s="12" t="str">
        <f t="shared" ca="1" si="35"/>
        <v>SELL</v>
      </c>
      <c r="G1067" s="13" t="str">
        <f ca="1">IFERROR(__xludf.DUMMYFUNCTION("GOOGLEFINANCE(A1067,""CLOSEYEST"")"),"#N/A")</f>
        <v>#N/A</v>
      </c>
      <c r="H1067" s="14" t="e">
        <f t="shared" ca="1" si="41"/>
        <v>#VALUE!</v>
      </c>
      <c r="I1067" s="15" t="e">
        <f t="shared" ca="1" si="36"/>
        <v>#VALUE!</v>
      </c>
      <c r="J1067" s="16" t="e">
        <f t="shared" ca="1" si="37"/>
        <v>#VALUE!</v>
      </c>
      <c r="K1067" s="16"/>
      <c r="L1067" s="16" t="e">
        <f t="shared" ca="1" si="38"/>
        <v>#VALUE!</v>
      </c>
      <c r="M1067" s="16" t="e">
        <f t="shared" ca="1" si="39"/>
        <v>#VALUE!</v>
      </c>
      <c r="N1067" s="16" t="e">
        <f t="shared" ca="1" si="40"/>
        <v>#VALUE!</v>
      </c>
    </row>
    <row r="1068" spans="1:14" ht="24.75" customHeight="1" x14ac:dyDescent="0.8">
      <c r="A1068" s="18" t="s">
        <v>1031</v>
      </c>
      <c r="B1068" s="10">
        <f ca="1">IFERROR(__xludf.DUMMYFUNCTION("GOOGLEFINANCE(A1068,""PRICE"")"),652)</f>
        <v>652</v>
      </c>
      <c r="C1068" s="11">
        <f ca="1">IFERROR(__xludf.DUMMYFUNCTION("GOOGLEFINANCE(A1068,""PRICEOPEN"")"),664.5)</f>
        <v>664.5</v>
      </c>
      <c r="D1068" s="11">
        <f ca="1">IFERROR(__xludf.DUMMYFUNCTION("GOOGLEFINANCE(A1068,""HIGH"")"),665.15)</f>
        <v>665.15</v>
      </c>
      <c r="E1068" s="11">
        <f ca="1">IFERROR(__xludf.DUMMYFUNCTION("GOOGLEFINANCE(A1068,""LOW"")"),648.2)</f>
        <v>648.20000000000005</v>
      </c>
      <c r="F1068" s="12" t="str">
        <f t="shared" ca="1" si="35"/>
        <v/>
      </c>
      <c r="G1068" s="13">
        <f ca="1">IFERROR(__xludf.DUMMYFUNCTION("GOOGLEFINANCE(A1068,""CLOSEYEST"")"),656.1)</f>
        <v>656.1</v>
      </c>
      <c r="H1068" s="14" t="str">
        <f t="shared" ca="1" si="41"/>
        <v>GAP UP</v>
      </c>
      <c r="I1068" s="15">
        <f t="shared" ca="1" si="36"/>
        <v>656.48333333333323</v>
      </c>
      <c r="J1068" s="16">
        <f t="shared" ca="1" si="37"/>
        <v>664.76666666666642</v>
      </c>
      <c r="K1068" s="16"/>
      <c r="L1068" s="16">
        <f t="shared" ca="1" si="38"/>
        <v>647.81666666666649</v>
      </c>
      <c r="M1068" s="16">
        <f t="shared" ca="1" si="39"/>
        <v>673.43333333333317</v>
      </c>
      <c r="N1068" s="16">
        <f t="shared" ca="1" si="40"/>
        <v>639.5333333333333</v>
      </c>
    </row>
    <row r="1069" spans="1:14" ht="24.75" customHeight="1" x14ac:dyDescent="0.8">
      <c r="A1069" s="18" t="s">
        <v>1032</v>
      </c>
      <c r="B1069" s="10">
        <f ca="1">IFERROR(__xludf.DUMMYFUNCTION("GOOGLEFINANCE(A1069,""PRICE"")"),79.56)</f>
        <v>79.56</v>
      </c>
      <c r="C1069" s="11">
        <f ca="1">IFERROR(__xludf.DUMMYFUNCTION("GOOGLEFINANCE(A1069,""PRICEOPEN"")"),79.61)</f>
        <v>79.61</v>
      </c>
      <c r="D1069" s="11">
        <f ca="1">IFERROR(__xludf.DUMMYFUNCTION("GOOGLEFINANCE(A1069,""HIGH"")"),81.39)</f>
        <v>81.39</v>
      </c>
      <c r="E1069" s="11">
        <f ca="1">IFERROR(__xludf.DUMMYFUNCTION("GOOGLEFINANCE(A1069,""LOW"")"),79)</f>
        <v>79</v>
      </c>
      <c r="F1069" s="12" t="str">
        <f t="shared" ca="1" si="35"/>
        <v/>
      </c>
      <c r="G1069" s="13">
        <f ca="1">IFERROR(__xludf.DUMMYFUNCTION("GOOGLEFINANCE(A1069,""CLOSEYEST"")"),80.45)</f>
        <v>80.45</v>
      </c>
      <c r="H1069" s="14" t="str">
        <f t="shared" ca="1" si="41"/>
        <v>GAP DOWN</v>
      </c>
      <c r="I1069" s="15">
        <f t="shared" ca="1" si="36"/>
        <v>80.279999999999987</v>
      </c>
      <c r="J1069" s="16">
        <f t="shared" ca="1" si="37"/>
        <v>81.559999999999974</v>
      </c>
      <c r="K1069" s="16"/>
      <c r="L1069" s="16">
        <f t="shared" ca="1" si="38"/>
        <v>79.169999999999973</v>
      </c>
      <c r="M1069" s="16">
        <f t="shared" ca="1" si="39"/>
        <v>82.669999999999987</v>
      </c>
      <c r="N1069" s="16">
        <f t="shared" ca="1" si="40"/>
        <v>77.889999999999986</v>
      </c>
    </row>
    <row r="1070" spans="1:14" ht="24.75" customHeight="1" x14ac:dyDescent="0.8">
      <c r="A1070" s="18" t="s">
        <v>1033</v>
      </c>
      <c r="B1070" s="10">
        <f ca="1">IFERROR(__xludf.DUMMYFUNCTION("GOOGLEFINANCE(A1070,""PRICE"")"),14.39)</f>
        <v>14.39</v>
      </c>
      <c r="C1070" s="11">
        <f ca="1">IFERROR(__xludf.DUMMYFUNCTION("GOOGLEFINANCE(A1070,""PRICEOPEN"")"),14.11)</f>
        <v>14.11</v>
      </c>
      <c r="D1070" s="11">
        <f ca="1">IFERROR(__xludf.DUMMYFUNCTION("GOOGLEFINANCE(A1070,""HIGH"")"),14.39)</f>
        <v>14.39</v>
      </c>
      <c r="E1070" s="11">
        <f ca="1">IFERROR(__xludf.DUMMYFUNCTION("GOOGLEFINANCE(A1070,""LOW"")"),14.11)</f>
        <v>14.11</v>
      </c>
      <c r="F1070" s="12" t="str">
        <f t="shared" ca="1" si="35"/>
        <v>BUY</v>
      </c>
      <c r="G1070" s="13">
        <f ca="1">IFERROR(__xludf.DUMMYFUNCTION("GOOGLEFINANCE(A1070,""CLOSEYEST"")"),14.11)</f>
        <v>14.11</v>
      </c>
      <c r="H1070" s="14" t="str">
        <f t="shared" ca="1" si="41"/>
        <v/>
      </c>
      <c r="I1070" s="15">
        <f t="shared" ca="1" si="36"/>
        <v>14.203333333333333</v>
      </c>
      <c r="J1070" s="16">
        <f t="shared" ca="1" si="37"/>
        <v>14.296666666666667</v>
      </c>
      <c r="K1070" s="16"/>
      <c r="L1070" s="16">
        <f t="shared" ca="1" si="38"/>
        <v>14.016666666666666</v>
      </c>
      <c r="M1070" s="16">
        <f t="shared" ca="1" si="39"/>
        <v>14.483333333333334</v>
      </c>
      <c r="N1070" s="16">
        <f t="shared" ca="1" si="40"/>
        <v>13.923333333333332</v>
      </c>
    </row>
    <row r="1071" spans="1:14" ht="24.75" customHeight="1" x14ac:dyDescent="0.8">
      <c r="A1071" s="18" t="s">
        <v>1034</v>
      </c>
      <c r="B1071" s="10">
        <f ca="1">IFERROR(__xludf.DUMMYFUNCTION("GOOGLEFINANCE(A1071,""PRICE"")"),70.91)</f>
        <v>70.91</v>
      </c>
      <c r="C1071" s="11">
        <f ca="1">IFERROR(__xludf.DUMMYFUNCTION("GOOGLEFINANCE(A1071,""PRICEOPEN"")"),67.39)</f>
        <v>67.39</v>
      </c>
      <c r="D1071" s="11">
        <f ca="1">IFERROR(__xludf.DUMMYFUNCTION("GOOGLEFINANCE(A1071,""HIGH"")"),72.17)</f>
        <v>72.17</v>
      </c>
      <c r="E1071" s="11">
        <f ca="1">IFERROR(__xludf.DUMMYFUNCTION("GOOGLEFINANCE(A1071,""LOW"")"),66)</f>
        <v>66</v>
      </c>
      <c r="F1071" s="12" t="str">
        <f t="shared" ca="1" si="35"/>
        <v/>
      </c>
      <c r="G1071" s="13">
        <f ca="1">IFERROR(__xludf.DUMMYFUNCTION("GOOGLEFINANCE(A1071,""CLOSEYEST"")"),67.48)</f>
        <v>67.48</v>
      </c>
      <c r="H1071" s="14" t="str">
        <f t="shared" ca="1" si="41"/>
        <v/>
      </c>
      <c r="I1071" s="15">
        <f t="shared" ca="1" si="36"/>
        <v>68.550000000000011</v>
      </c>
      <c r="J1071" s="16">
        <f t="shared" ca="1" si="37"/>
        <v>71.100000000000023</v>
      </c>
      <c r="K1071" s="16"/>
      <c r="L1071" s="16">
        <f t="shared" ca="1" si="38"/>
        <v>64.930000000000021</v>
      </c>
      <c r="M1071" s="16">
        <f t="shared" ca="1" si="39"/>
        <v>74.720000000000013</v>
      </c>
      <c r="N1071" s="16">
        <f t="shared" ca="1" si="40"/>
        <v>62.38000000000001</v>
      </c>
    </row>
    <row r="1072" spans="1:14" ht="24.75" customHeight="1" x14ac:dyDescent="0.8">
      <c r="A1072" s="18" t="s">
        <v>1035</v>
      </c>
      <c r="B1072" s="10">
        <f ca="1">IFERROR(__xludf.DUMMYFUNCTION("GOOGLEFINANCE(A1072,""PRICE"")"),8.94)</f>
        <v>8.94</v>
      </c>
      <c r="C1072" s="11">
        <f ca="1">IFERROR(__xludf.DUMMYFUNCTION("GOOGLEFINANCE(A1072,""PRICEOPEN"")"),9.01)</f>
        <v>9.01</v>
      </c>
      <c r="D1072" s="11">
        <f ca="1">IFERROR(__xludf.DUMMYFUNCTION("GOOGLEFINANCE(A1072,""HIGH"")"),9.03)</f>
        <v>9.0299999999999994</v>
      </c>
      <c r="E1072" s="11">
        <f ca="1">IFERROR(__xludf.DUMMYFUNCTION("GOOGLEFINANCE(A1072,""LOW"")"),8.81)</f>
        <v>8.81</v>
      </c>
      <c r="F1072" s="12" t="str">
        <f t="shared" ca="1" si="35"/>
        <v/>
      </c>
      <c r="G1072" s="13">
        <f ca="1">IFERROR(__xludf.DUMMYFUNCTION("GOOGLEFINANCE(A1072,""CLOSEYEST"")"),8.98)</f>
        <v>8.98</v>
      </c>
      <c r="H1072" s="14" t="str">
        <f t="shared" ca="1" si="41"/>
        <v/>
      </c>
      <c r="I1072" s="15">
        <f t="shared" ca="1" si="36"/>
        <v>8.94</v>
      </c>
      <c r="J1072" s="16">
        <f t="shared" ca="1" si="37"/>
        <v>9.0699999999999985</v>
      </c>
      <c r="K1072" s="16"/>
      <c r="L1072" s="16">
        <f t="shared" ca="1" si="38"/>
        <v>8.85</v>
      </c>
      <c r="M1072" s="16">
        <f t="shared" ca="1" si="39"/>
        <v>9.1599999999999984</v>
      </c>
      <c r="N1072" s="16">
        <f t="shared" ca="1" si="40"/>
        <v>8.7200000000000006</v>
      </c>
    </row>
    <row r="1073" spans="1:14" ht="24.75" customHeight="1" x14ac:dyDescent="0.8">
      <c r="A1073" s="18" t="s">
        <v>1036</v>
      </c>
      <c r="B1073" s="10">
        <f ca="1">IFERROR(__xludf.DUMMYFUNCTION("GOOGLEFINANCE(A1073,""PRICE"")"),58.31)</f>
        <v>58.31</v>
      </c>
      <c r="C1073" s="11">
        <f ca="1">IFERROR(__xludf.DUMMYFUNCTION("GOOGLEFINANCE(A1073,""PRICEOPEN"")"),57.86)</f>
        <v>57.86</v>
      </c>
      <c r="D1073" s="11">
        <f ca="1">IFERROR(__xludf.DUMMYFUNCTION("GOOGLEFINANCE(A1073,""HIGH"")"),59.2)</f>
        <v>59.2</v>
      </c>
      <c r="E1073" s="11">
        <f ca="1">IFERROR(__xludf.DUMMYFUNCTION("GOOGLEFINANCE(A1073,""LOW"")"),57.64)</f>
        <v>57.64</v>
      </c>
      <c r="F1073" s="12" t="str">
        <f t="shared" ca="1" si="35"/>
        <v/>
      </c>
      <c r="G1073" s="13">
        <f ca="1">IFERROR(__xludf.DUMMYFUNCTION("GOOGLEFINANCE(A1073,""CLOSEYEST"")"),57.86)</f>
        <v>57.86</v>
      </c>
      <c r="H1073" s="14" t="str">
        <f t="shared" ca="1" si="41"/>
        <v/>
      </c>
      <c r="I1073" s="15">
        <f t="shared" ca="1" si="36"/>
        <v>58.233333333333327</v>
      </c>
      <c r="J1073" s="16">
        <f t="shared" ca="1" si="37"/>
        <v>58.826666666666654</v>
      </c>
      <c r="K1073" s="16"/>
      <c r="L1073" s="16">
        <f t="shared" ca="1" si="38"/>
        <v>57.266666666666652</v>
      </c>
      <c r="M1073" s="16">
        <f t="shared" ca="1" si="39"/>
        <v>59.793333333333329</v>
      </c>
      <c r="N1073" s="16">
        <f t="shared" ca="1" si="40"/>
        <v>56.673333333333325</v>
      </c>
    </row>
    <row r="1074" spans="1:14" ht="24.75" customHeight="1" x14ac:dyDescent="0.8">
      <c r="A1074" s="18" t="s">
        <v>1037</v>
      </c>
      <c r="B1074" s="10">
        <f ca="1">IFERROR(__xludf.DUMMYFUNCTION("GOOGLEFINANCE(A1074,""PRICE"")"),29.62)</f>
        <v>29.62</v>
      </c>
      <c r="C1074" s="11">
        <f ca="1">IFERROR(__xludf.DUMMYFUNCTION("GOOGLEFINANCE(A1074,""PRICEOPEN"")"),28.84)</f>
        <v>28.84</v>
      </c>
      <c r="D1074" s="11">
        <f ca="1">IFERROR(__xludf.DUMMYFUNCTION("GOOGLEFINANCE(A1074,""HIGH"")"),30)</f>
        <v>30</v>
      </c>
      <c r="E1074" s="11">
        <f ca="1">IFERROR(__xludf.DUMMYFUNCTION("GOOGLEFINANCE(A1074,""LOW"")"),28.65)</f>
        <v>28.65</v>
      </c>
      <c r="F1074" s="12" t="str">
        <f t="shared" ca="1" si="35"/>
        <v/>
      </c>
      <c r="G1074" s="13">
        <f ca="1">IFERROR(__xludf.DUMMYFUNCTION("GOOGLEFINANCE(A1074,""CLOSEYEST"")"),28.8)</f>
        <v>28.8</v>
      </c>
      <c r="H1074" s="14" t="str">
        <f t="shared" ca="1" si="41"/>
        <v/>
      </c>
      <c r="I1074" s="15">
        <f t="shared" ca="1" si="36"/>
        <v>29.150000000000002</v>
      </c>
      <c r="J1074" s="16">
        <f t="shared" ca="1" si="37"/>
        <v>29.650000000000006</v>
      </c>
      <c r="K1074" s="16"/>
      <c r="L1074" s="16">
        <f t="shared" ca="1" si="38"/>
        <v>28.300000000000004</v>
      </c>
      <c r="M1074" s="16">
        <f t="shared" ca="1" si="39"/>
        <v>30.500000000000004</v>
      </c>
      <c r="N1074" s="16">
        <f t="shared" ca="1" si="40"/>
        <v>27.8</v>
      </c>
    </row>
    <row r="1075" spans="1:14" ht="24.75" customHeight="1" x14ac:dyDescent="0.8">
      <c r="A1075" s="18" t="s">
        <v>1038</v>
      </c>
      <c r="B1075" s="10">
        <f ca="1">IFERROR(__xludf.DUMMYFUNCTION("GOOGLEFINANCE(A1075,""PRICE"")"),2267)</f>
        <v>2267</v>
      </c>
      <c r="C1075" s="11">
        <f ca="1">IFERROR(__xludf.DUMMYFUNCTION("GOOGLEFINANCE(A1075,""PRICEOPEN"")"),2242.9)</f>
        <v>2242.9</v>
      </c>
      <c r="D1075" s="11">
        <f ca="1">IFERROR(__xludf.DUMMYFUNCTION("GOOGLEFINANCE(A1075,""HIGH"")"),2355.3)</f>
        <v>2355.3000000000002</v>
      </c>
      <c r="E1075" s="11">
        <f ca="1">IFERROR(__xludf.DUMMYFUNCTION("GOOGLEFINANCE(A1075,""LOW"")"),2220.5)</f>
        <v>2220.5</v>
      </c>
      <c r="F1075" s="12" t="str">
        <f t="shared" ca="1" si="35"/>
        <v/>
      </c>
      <c r="G1075" s="13">
        <f ca="1">IFERROR(__xludf.DUMMYFUNCTION("GOOGLEFINANCE(A1075,""CLOSEYEST"")"),2225.1)</f>
        <v>2225.1</v>
      </c>
      <c r="H1075" s="14" t="str">
        <f t="shared" ca="1" si="41"/>
        <v/>
      </c>
      <c r="I1075" s="15">
        <f t="shared" ca="1" si="36"/>
        <v>2266.9666666666667</v>
      </c>
      <c r="J1075" s="16">
        <f t="shared" ca="1" si="37"/>
        <v>2313.4333333333334</v>
      </c>
      <c r="K1075" s="16"/>
      <c r="L1075" s="16">
        <f t="shared" ca="1" si="38"/>
        <v>2178.6333333333332</v>
      </c>
      <c r="M1075" s="16">
        <f t="shared" ca="1" si="39"/>
        <v>2401.7666666666669</v>
      </c>
      <c r="N1075" s="16">
        <f t="shared" ca="1" si="40"/>
        <v>2132.1666666666665</v>
      </c>
    </row>
    <row r="1076" spans="1:14" ht="24.75" customHeight="1" x14ac:dyDescent="0.8">
      <c r="A1076" s="18" t="s">
        <v>1039</v>
      </c>
      <c r="B1076" s="10">
        <f ca="1">IFERROR(__xludf.DUMMYFUNCTION("GOOGLEFINANCE(A1076,""PRICE"")"),262.96)</f>
        <v>262.95999999999998</v>
      </c>
      <c r="C1076" s="11">
        <f ca="1">IFERROR(__xludf.DUMMYFUNCTION("GOOGLEFINANCE(A1076,""PRICEOPEN"")"),262.96)</f>
        <v>262.95999999999998</v>
      </c>
      <c r="D1076" s="11">
        <f ca="1">IFERROR(__xludf.DUMMYFUNCTION("GOOGLEFINANCE(A1076,""HIGH"")"),262.96)</f>
        <v>262.95999999999998</v>
      </c>
      <c r="E1076" s="11">
        <f ca="1">IFERROR(__xludf.DUMMYFUNCTION("GOOGLEFINANCE(A1076,""LOW"")"),262.96)</f>
        <v>262.95999999999998</v>
      </c>
      <c r="F1076" s="12" t="str">
        <f t="shared" ca="1" si="35"/>
        <v>SELL</v>
      </c>
      <c r="G1076" s="13">
        <f ca="1">IFERROR(__xludf.DUMMYFUNCTION("GOOGLEFINANCE(A1076,""CLOSEYEST"")"),250.44)</f>
        <v>250.44</v>
      </c>
      <c r="H1076" s="14" t="str">
        <f t="shared" ca="1" si="41"/>
        <v>GAP UP</v>
      </c>
      <c r="I1076" s="15">
        <f t="shared" ca="1" si="36"/>
        <v>258.78666666666663</v>
      </c>
      <c r="J1076" s="16">
        <f t="shared" ca="1" si="37"/>
        <v>254.61333333333329</v>
      </c>
      <c r="K1076" s="16"/>
      <c r="L1076" s="16">
        <f t="shared" ca="1" si="38"/>
        <v>254.61333333333329</v>
      </c>
      <c r="M1076" s="16">
        <f t="shared" ca="1" si="39"/>
        <v>258.78666666666663</v>
      </c>
      <c r="N1076" s="16">
        <f t="shared" ca="1" si="40"/>
        <v>258.78666666666663</v>
      </c>
    </row>
    <row r="1077" spans="1:14" ht="24.75" customHeight="1" x14ac:dyDescent="0.8">
      <c r="A1077" s="18" t="s">
        <v>1040</v>
      </c>
      <c r="B1077" s="10">
        <f ca="1">IFERROR(__xludf.DUMMYFUNCTION("GOOGLEFINANCE(A1077,""PRICE"")"),26.92)</f>
        <v>26.92</v>
      </c>
      <c r="C1077" s="11">
        <f ca="1">IFERROR(__xludf.DUMMYFUNCTION("GOOGLEFINANCE(A1077,""PRICEOPEN"")"),27.02)</f>
        <v>27.02</v>
      </c>
      <c r="D1077" s="11">
        <f ca="1">IFERROR(__xludf.DUMMYFUNCTION("GOOGLEFINANCE(A1077,""HIGH"")"),27.05)</f>
        <v>27.05</v>
      </c>
      <c r="E1077" s="11">
        <f ca="1">IFERROR(__xludf.DUMMYFUNCTION("GOOGLEFINANCE(A1077,""LOW"")"),26.92)</f>
        <v>26.92</v>
      </c>
      <c r="F1077" s="12" t="str">
        <f t="shared" ca="1" si="35"/>
        <v/>
      </c>
      <c r="G1077" s="13">
        <f ca="1">IFERROR(__xludf.DUMMYFUNCTION("GOOGLEFINANCE(A1077,""CLOSEYEST"")"),27)</f>
        <v>27</v>
      </c>
      <c r="H1077" s="14" t="str">
        <f t="shared" ca="1" si="41"/>
        <v/>
      </c>
      <c r="I1077" s="15">
        <f t="shared" ca="1" si="36"/>
        <v>26.99</v>
      </c>
      <c r="J1077" s="16">
        <f t="shared" ca="1" si="37"/>
        <v>27.059999999999995</v>
      </c>
      <c r="K1077" s="16"/>
      <c r="L1077" s="16">
        <f t="shared" ca="1" si="38"/>
        <v>26.929999999999996</v>
      </c>
      <c r="M1077" s="16">
        <f t="shared" ca="1" si="39"/>
        <v>27.119999999999997</v>
      </c>
      <c r="N1077" s="16">
        <f t="shared" ca="1" si="40"/>
        <v>26.86</v>
      </c>
    </row>
    <row r="1078" spans="1:14" ht="24.75" customHeight="1" x14ac:dyDescent="0.8">
      <c r="A1078" s="18" t="s">
        <v>1041</v>
      </c>
      <c r="B1078" s="10">
        <f ca="1">IFERROR(__xludf.DUMMYFUNCTION("GOOGLEFINANCE(A1078,""PRICE"")"),11.71)</f>
        <v>11.71</v>
      </c>
      <c r="C1078" s="11">
        <f ca="1">IFERROR(__xludf.DUMMYFUNCTION("GOOGLEFINANCE(A1078,""PRICEOPEN"")"),11.32)</f>
        <v>11.32</v>
      </c>
      <c r="D1078" s="11">
        <f ca="1">IFERROR(__xludf.DUMMYFUNCTION("GOOGLEFINANCE(A1078,""HIGH"")"),11.84)</f>
        <v>11.84</v>
      </c>
      <c r="E1078" s="11">
        <f ca="1">IFERROR(__xludf.DUMMYFUNCTION("GOOGLEFINANCE(A1078,""LOW"")"),11.32)</f>
        <v>11.32</v>
      </c>
      <c r="F1078" s="12" t="str">
        <f t="shared" ca="1" si="35"/>
        <v>BUY</v>
      </c>
      <c r="G1078" s="13">
        <f ca="1">IFERROR(__xludf.DUMMYFUNCTION("GOOGLEFINANCE(A1078,""CLOSEYEST"")"),11.48)</f>
        <v>11.48</v>
      </c>
      <c r="H1078" s="14" t="str">
        <f t="shared" ca="1" si="41"/>
        <v>GAP DOWN</v>
      </c>
      <c r="I1078" s="15">
        <f t="shared" ca="1" si="36"/>
        <v>11.546666666666667</v>
      </c>
      <c r="J1078" s="16">
        <f t="shared" ca="1" si="37"/>
        <v>11.773333333333333</v>
      </c>
      <c r="K1078" s="16"/>
      <c r="L1078" s="16">
        <f t="shared" ca="1" si="38"/>
        <v>11.253333333333334</v>
      </c>
      <c r="M1078" s="16">
        <f t="shared" ca="1" si="39"/>
        <v>12.066666666666666</v>
      </c>
      <c r="N1078" s="16">
        <f t="shared" ca="1" si="40"/>
        <v>11.026666666666667</v>
      </c>
    </row>
    <row r="1079" spans="1:14" ht="24.75" customHeight="1" x14ac:dyDescent="0.8">
      <c r="A1079" s="18" t="s">
        <v>1042</v>
      </c>
      <c r="B1079" s="10" t="str">
        <f ca="1">IFERROR(__xludf.DUMMYFUNCTION("GOOGLEFINANCE(A1079,""PRICE"")"),"#N/A")</f>
        <v>#N/A</v>
      </c>
      <c r="C1079" s="11" t="str">
        <f ca="1">IFERROR(__xludf.DUMMYFUNCTION("GOOGLEFINANCE(A1079,""PRICEOPEN"")"),"#N/A")</f>
        <v>#N/A</v>
      </c>
      <c r="D1079" s="11" t="str">
        <f ca="1">IFERROR(__xludf.DUMMYFUNCTION("GOOGLEFINANCE(A1079,""HIGH"")"),"#N/A")</f>
        <v>#N/A</v>
      </c>
      <c r="E1079" s="11" t="str">
        <f ca="1">IFERROR(__xludf.DUMMYFUNCTION("GOOGLEFINANCE(A1079,""LOW"")"),"#N/A")</f>
        <v>#N/A</v>
      </c>
      <c r="F1079" s="12" t="str">
        <f t="shared" ca="1" si="35"/>
        <v>SELL</v>
      </c>
      <c r="G1079" s="13" t="str">
        <f ca="1">IFERROR(__xludf.DUMMYFUNCTION("GOOGLEFINANCE(A1079,""CLOSEYEST"")"),"#N/A")</f>
        <v>#N/A</v>
      </c>
      <c r="H1079" s="14" t="e">
        <f t="shared" ca="1" si="41"/>
        <v>#VALUE!</v>
      </c>
      <c r="I1079" s="15" t="e">
        <f t="shared" ca="1" si="36"/>
        <v>#VALUE!</v>
      </c>
      <c r="J1079" s="16" t="e">
        <f t="shared" ca="1" si="37"/>
        <v>#VALUE!</v>
      </c>
      <c r="K1079" s="16"/>
      <c r="L1079" s="16" t="e">
        <f t="shared" ca="1" si="38"/>
        <v>#VALUE!</v>
      </c>
      <c r="M1079" s="16" t="e">
        <f t="shared" ca="1" si="39"/>
        <v>#VALUE!</v>
      </c>
      <c r="N1079" s="16" t="e">
        <f t="shared" ca="1" si="40"/>
        <v>#VALUE!</v>
      </c>
    </row>
    <row r="1080" spans="1:14" ht="24.75" customHeight="1" x14ac:dyDescent="0.8">
      <c r="A1080" s="18" t="s">
        <v>1043</v>
      </c>
      <c r="B1080" s="10">
        <f ca="1">IFERROR(__xludf.DUMMYFUNCTION("GOOGLEFINANCE(A1080,""PRICE"")"),291)</f>
        <v>291</v>
      </c>
      <c r="C1080" s="11">
        <f ca="1">IFERROR(__xludf.DUMMYFUNCTION("GOOGLEFINANCE(A1080,""PRICEOPEN"")"),294.45)</f>
        <v>294.45</v>
      </c>
      <c r="D1080" s="11">
        <f ca="1">IFERROR(__xludf.DUMMYFUNCTION("GOOGLEFINANCE(A1080,""HIGH"")"),294.45)</f>
        <v>294.45</v>
      </c>
      <c r="E1080" s="11">
        <f ca="1">IFERROR(__xludf.DUMMYFUNCTION("GOOGLEFINANCE(A1080,""LOW"")"),286)</f>
        <v>286</v>
      </c>
      <c r="F1080" s="12" t="str">
        <f t="shared" ca="1" si="35"/>
        <v>SELL</v>
      </c>
      <c r="G1080" s="13">
        <f ca="1">IFERROR(__xludf.DUMMYFUNCTION("GOOGLEFINANCE(A1080,""CLOSEYEST"")"),287.5)</f>
        <v>287.5</v>
      </c>
      <c r="H1080" s="14" t="str">
        <f t="shared" ca="1" si="41"/>
        <v>GAP UP</v>
      </c>
      <c r="I1080" s="15">
        <f t="shared" ca="1" si="36"/>
        <v>289.31666666666666</v>
      </c>
      <c r="J1080" s="16">
        <f t="shared" ca="1" si="37"/>
        <v>292.63333333333333</v>
      </c>
      <c r="K1080" s="16"/>
      <c r="L1080" s="16">
        <f t="shared" ca="1" si="38"/>
        <v>284.18333333333334</v>
      </c>
      <c r="M1080" s="16">
        <f t="shared" ca="1" si="39"/>
        <v>297.76666666666665</v>
      </c>
      <c r="N1080" s="16">
        <f t="shared" ca="1" si="40"/>
        <v>280.86666666666667</v>
      </c>
    </row>
    <row r="1081" spans="1:14" ht="24.75" customHeight="1" x14ac:dyDescent="0.8">
      <c r="A1081" s="18" t="s">
        <v>1044</v>
      </c>
      <c r="B1081" s="10">
        <f ca="1">IFERROR(__xludf.DUMMYFUNCTION("GOOGLEFINANCE(A1081,""PRICE"")"),254.05)</f>
        <v>254.05</v>
      </c>
      <c r="C1081" s="11">
        <f ca="1">IFERROR(__xludf.DUMMYFUNCTION("GOOGLEFINANCE(A1081,""PRICEOPEN"")"),257.4)</f>
        <v>257.39999999999998</v>
      </c>
      <c r="D1081" s="11">
        <f ca="1">IFERROR(__xludf.DUMMYFUNCTION("GOOGLEFINANCE(A1081,""HIGH"")"),257.4)</f>
        <v>257.39999999999998</v>
      </c>
      <c r="E1081" s="11">
        <f ca="1">IFERROR(__xludf.DUMMYFUNCTION("GOOGLEFINANCE(A1081,""LOW"")"),248.75)</f>
        <v>248.75</v>
      </c>
      <c r="F1081" s="12" t="str">
        <f t="shared" ca="1" si="35"/>
        <v>SELL</v>
      </c>
      <c r="G1081" s="13">
        <f ca="1">IFERROR(__xludf.DUMMYFUNCTION("GOOGLEFINANCE(A1081,""CLOSEYEST"")"),257.4)</f>
        <v>257.39999999999998</v>
      </c>
      <c r="H1081" s="14" t="str">
        <f t="shared" ca="1" si="41"/>
        <v/>
      </c>
      <c r="I1081" s="15">
        <f t="shared" ca="1" si="36"/>
        <v>254.51666666666665</v>
      </c>
      <c r="J1081" s="16">
        <f t="shared" ca="1" si="37"/>
        <v>260.2833333333333</v>
      </c>
      <c r="K1081" s="16"/>
      <c r="L1081" s="16">
        <f t="shared" ca="1" si="38"/>
        <v>251.63333333333333</v>
      </c>
      <c r="M1081" s="16">
        <f t="shared" ca="1" si="39"/>
        <v>263.16666666666663</v>
      </c>
      <c r="N1081" s="16">
        <f t="shared" ca="1" si="40"/>
        <v>245.86666666666667</v>
      </c>
    </row>
    <row r="1082" spans="1:14" ht="24.75" customHeight="1" x14ac:dyDescent="0.8">
      <c r="A1082" s="18" t="s">
        <v>1045</v>
      </c>
      <c r="B1082" s="10" t="str">
        <f ca="1">IFERROR(__xludf.DUMMYFUNCTION("GOOGLEFINANCE(A1082,""PRICE"")"),"#N/A")</f>
        <v>#N/A</v>
      </c>
      <c r="C1082" s="11" t="str">
        <f ca="1">IFERROR(__xludf.DUMMYFUNCTION("GOOGLEFINANCE(A1082,""PRICEOPEN"")"),"#N/A")</f>
        <v>#N/A</v>
      </c>
      <c r="D1082" s="11" t="str">
        <f ca="1">IFERROR(__xludf.DUMMYFUNCTION("GOOGLEFINANCE(A1082,""HIGH"")"),"#N/A")</f>
        <v>#N/A</v>
      </c>
      <c r="E1082" s="11" t="str">
        <f ca="1">IFERROR(__xludf.DUMMYFUNCTION("GOOGLEFINANCE(A1082,""LOW"")"),"#N/A")</f>
        <v>#N/A</v>
      </c>
      <c r="F1082" s="12" t="str">
        <f t="shared" ca="1" si="35"/>
        <v>SELL</v>
      </c>
      <c r="G1082" s="13" t="str">
        <f ca="1">IFERROR(__xludf.DUMMYFUNCTION("GOOGLEFINANCE(A1082,""CLOSEYEST"")"),"#N/A")</f>
        <v>#N/A</v>
      </c>
      <c r="H1082" s="14" t="e">
        <f t="shared" ca="1" si="41"/>
        <v>#VALUE!</v>
      </c>
      <c r="I1082" s="15" t="e">
        <f t="shared" ca="1" si="36"/>
        <v>#VALUE!</v>
      </c>
      <c r="J1082" s="16" t="e">
        <f t="shared" ca="1" si="37"/>
        <v>#VALUE!</v>
      </c>
      <c r="K1082" s="16"/>
      <c r="L1082" s="16" t="e">
        <f t="shared" ca="1" si="38"/>
        <v>#VALUE!</v>
      </c>
      <c r="M1082" s="16" t="e">
        <f t="shared" ca="1" si="39"/>
        <v>#VALUE!</v>
      </c>
      <c r="N1082" s="16" t="e">
        <f t="shared" ca="1" si="40"/>
        <v>#VALUE!</v>
      </c>
    </row>
    <row r="1083" spans="1:14" ht="24.75" customHeight="1" x14ac:dyDescent="0.8">
      <c r="A1083" s="18" t="s">
        <v>1046</v>
      </c>
      <c r="B1083" s="10">
        <f ca="1">IFERROR(__xludf.DUMMYFUNCTION("GOOGLEFINANCE(A1083,""PRICE"")"),54.7)</f>
        <v>54.7</v>
      </c>
      <c r="C1083" s="11">
        <f ca="1">IFERROR(__xludf.DUMMYFUNCTION("GOOGLEFINANCE(A1083,""PRICEOPEN"")"),53.99)</f>
        <v>53.99</v>
      </c>
      <c r="D1083" s="11">
        <f ca="1">IFERROR(__xludf.DUMMYFUNCTION("GOOGLEFINANCE(A1083,""HIGH"")"),55.19)</f>
        <v>55.19</v>
      </c>
      <c r="E1083" s="11">
        <f ca="1">IFERROR(__xludf.DUMMYFUNCTION("GOOGLEFINANCE(A1083,""LOW"")"),53.56)</f>
        <v>53.56</v>
      </c>
      <c r="F1083" s="12" t="str">
        <f t="shared" ca="1" si="35"/>
        <v/>
      </c>
      <c r="G1083" s="13">
        <f ca="1">IFERROR(__xludf.DUMMYFUNCTION("GOOGLEFINANCE(A1083,""CLOSEYEST"")"),53.75)</f>
        <v>53.75</v>
      </c>
      <c r="H1083" s="14" t="str">
        <f t="shared" ca="1" si="41"/>
        <v/>
      </c>
      <c r="I1083" s="15">
        <f t="shared" ca="1" si="36"/>
        <v>54.166666666666664</v>
      </c>
      <c r="J1083" s="16">
        <f t="shared" ca="1" si="37"/>
        <v>54.773333333333326</v>
      </c>
      <c r="K1083" s="16"/>
      <c r="L1083" s="16">
        <f t="shared" ca="1" si="38"/>
        <v>53.143333333333331</v>
      </c>
      <c r="M1083" s="16">
        <f t="shared" ca="1" si="39"/>
        <v>55.79666666666666</v>
      </c>
      <c r="N1083" s="16">
        <f t="shared" ca="1" si="40"/>
        <v>52.536666666666669</v>
      </c>
    </row>
    <row r="1084" spans="1:14" ht="24.75" customHeight="1" x14ac:dyDescent="0.8">
      <c r="A1084" s="18" t="s">
        <v>1047</v>
      </c>
      <c r="B1084" s="10">
        <f ca="1">IFERROR(__xludf.DUMMYFUNCTION("GOOGLEFINANCE(A1084,""PRICE"")"),533)</f>
        <v>533</v>
      </c>
      <c r="C1084" s="11">
        <f ca="1">IFERROR(__xludf.DUMMYFUNCTION("GOOGLEFINANCE(A1084,""PRICEOPEN"")"),531)</f>
        <v>531</v>
      </c>
      <c r="D1084" s="11">
        <f ca="1">IFERROR(__xludf.DUMMYFUNCTION("GOOGLEFINANCE(A1084,""HIGH"")"),536)</f>
        <v>536</v>
      </c>
      <c r="E1084" s="11">
        <f ca="1">IFERROR(__xludf.DUMMYFUNCTION("GOOGLEFINANCE(A1084,""LOW"")"),531)</f>
        <v>531</v>
      </c>
      <c r="F1084" s="12" t="str">
        <f t="shared" ca="1" si="35"/>
        <v>BUY</v>
      </c>
      <c r="G1084" s="13">
        <f ca="1">IFERROR(__xludf.DUMMYFUNCTION("GOOGLEFINANCE(A1084,""CLOSEYEST"")"),531.95)</f>
        <v>531.95000000000005</v>
      </c>
      <c r="H1084" s="14" t="str">
        <f t="shared" ca="1" si="41"/>
        <v/>
      </c>
      <c r="I1084" s="15">
        <f t="shared" ca="1" si="36"/>
        <v>532.98333333333335</v>
      </c>
      <c r="J1084" s="16">
        <f t="shared" ca="1" si="37"/>
        <v>534.9666666666667</v>
      </c>
      <c r="K1084" s="16"/>
      <c r="L1084" s="16">
        <f t="shared" ca="1" si="38"/>
        <v>529.9666666666667</v>
      </c>
      <c r="M1084" s="16">
        <f t="shared" ca="1" si="39"/>
        <v>537.98333333333335</v>
      </c>
      <c r="N1084" s="16">
        <f t="shared" ca="1" si="40"/>
        <v>527.98333333333335</v>
      </c>
    </row>
    <row r="1085" spans="1:14" ht="24.75" customHeight="1" x14ac:dyDescent="0.8">
      <c r="A1085" s="18" t="s">
        <v>1048</v>
      </c>
      <c r="B1085" s="10">
        <f ca="1">IFERROR(__xludf.DUMMYFUNCTION("GOOGLEFINANCE(A1085,""PRICE"")"),460.75)</f>
        <v>460.75</v>
      </c>
      <c r="C1085" s="11">
        <f ca="1">IFERROR(__xludf.DUMMYFUNCTION("GOOGLEFINANCE(A1085,""PRICEOPEN"")"),455.9)</f>
        <v>455.9</v>
      </c>
      <c r="D1085" s="11">
        <f ca="1">IFERROR(__xludf.DUMMYFUNCTION("GOOGLEFINANCE(A1085,""HIGH"")"),477)</f>
        <v>477</v>
      </c>
      <c r="E1085" s="11">
        <f ca="1">IFERROR(__xludf.DUMMYFUNCTION("GOOGLEFINANCE(A1085,""LOW"")"),447.1)</f>
        <v>447.1</v>
      </c>
      <c r="F1085" s="12" t="str">
        <f t="shared" ca="1" si="35"/>
        <v/>
      </c>
      <c r="G1085" s="13">
        <f ca="1">IFERROR(__xludf.DUMMYFUNCTION("GOOGLEFINANCE(A1085,""CLOSEYEST"")"),455.5)</f>
        <v>455.5</v>
      </c>
      <c r="H1085" s="14" t="str">
        <f t="shared" ca="1" si="41"/>
        <v/>
      </c>
      <c r="I1085" s="15">
        <f t="shared" ca="1" si="36"/>
        <v>459.86666666666662</v>
      </c>
      <c r="J1085" s="16">
        <f t="shared" ca="1" si="37"/>
        <v>472.63333333333321</v>
      </c>
      <c r="K1085" s="16"/>
      <c r="L1085" s="16">
        <f t="shared" ca="1" si="38"/>
        <v>442.73333333333323</v>
      </c>
      <c r="M1085" s="16">
        <f t="shared" ca="1" si="39"/>
        <v>489.76666666666659</v>
      </c>
      <c r="N1085" s="16">
        <f t="shared" ca="1" si="40"/>
        <v>429.96666666666664</v>
      </c>
    </row>
    <row r="1086" spans="1:14" ht="24.75" customHeight="1" x14ac:dyDescent="0.8">
      <c r="A1086" s="18" t="s">
        <v>1049</v>
      </c>
      <c r="B1086" s="10">
        <f ca="1">IFERROR(__xludf.DUMMYFUNCTION("GOOGLEFINANCE(A1086,""PRICE"")"),3.34)</f>
        <v>3.34</v>
      </c>
      <c r="C1086" s="11">
        <f ca="1">IFERROR(__xludf.DUMMYFUNCTION("GOOGLEFINANCE(A1086,""PRICEOPEN"")"),3.49)</f>
        <v>3.49</v>
      </c>
      <c r="D1086" s="11">
        <f ca="1">IFERROR(__xludf.DUMMYFUNCTION("GOOGLEFINANCE(A1086,""HIGH"")"),3.49)</f>
        <v>3.49</v>
      </c>
      <c r="E1086" s="11">
        <f ca="1">IFERROR(__xludf.DUMMYFUNCTION("GOOGLEFINANCE(A1086,""LOW"")"),3.33)</f>
        <v>3.33</v>
      </c>
      <c r="F1086" s="12" t="str">
        <f t="shared" ca="1" si="35"/>
        <v>SELL</v>
      </c>
      <c r="G1086" s="13">
        <f ca="1">IFERROR(__xludf.DUMMYFUNCTION("GOOGLEFINANCE(A1086,""CLOSEYEST"")"),3.49)</f>
        <v>3.49</v>
      </c>
      <c r="H1086" s="14" t="str">
        <f t="shared" ca="1" si="41"/>
        <v/>
      </c>
      <c r="I1086" s="15">
        <f t="shared" ca="1" si="36"/>
        <v>3.436666666666667</v>
      </c>
      <c r="J1086" s="16">
        <f t="shared" ca="1" si="37"/>
        <v>3.5433333333333339</v>
      </c>
      <c r="K1086" s="16"/>
      <c r="L1086" s="16">
        <f t="shared" ca="1" si="38"/>
        <v>3.3833333333333337</v>
      </c>
      <c r="M1086" s="16">
        <f t="shared" ca="1" si="39"/>
        <v>3.5966666666666671</v>
      </c>
      <c r="N1086" s="16">
        <f t="shared" ca="1" si="40"/>
        <v>3.2766666666666668</v>
      </c>
    </row>
    <row r="1087" spans="1:14" ht="24.75" customHeight="1" x14ac:dyDescent="0.8">
      <c r="A1087" s="18" t="s">
        <v>1050</v>
      </c>
      <c r="B1087" s="10">
        <f ca="1">IFERROR(__xludf.DUMMYFUNCTION("GOOGLEFINANCE(A1087,""PRICE"")"),1511)</f>
        <v>1511</v>
      </c>
      <c r="C1087" s="11">
        <f ca="1">IFERROR(__xludf.DUMMYFUNCTION("GOOGLEFINANCE(A1087,""PRICEOPEN"")"),1503.9)</f>
        <v>1503.9</v>
      </c>
      <c r="D1087" s="11">
        <f ca="1">IFERROR(__xludf.DUMMYFUNCTION("GOOGLEFINANCE(A1087,""HIGH"")"),1532.6)</f>
        <v>1532.6</v>
      </c>
      <c r="E1087" s="11">
        <f ca="1">IFERROR(__xludf.DUMMYFUNCTION("GOOGLEFINANCE(A1087,""LOW"")"),1483)</f>
        <v>1483</v>
      </c>
      <c r="F1087" s="12" t="str">
        <f t="shared" ca="1" si="35"/>
        <v/>
      </c>
      <c r="G1087" s="13">
        <f ca="1">IFERROR(__xludf.DUMMYFUNCTION("GOOGLEFINANCE(A1087,""CLOSEYEST"")"),1511.5)</f>
        <v>1511.5</v>
      </c>
      <c r="H1087" s="14" t="str">
        <f t="shared" ca="1" si="41"/>
        <v/>
      </c>
      <c r="I1087" s="15">
        <f t="shared" ca="1" si="36"/>
        <v>1509.0333333333335</v>
      </c>
      <c r="J1087" s="16">
        <f t="shared" ca="1" si="37"/>
        <v>1535.0666666666671</v>
      </c>
      <c r="K1087" s="16"/>
      <c r="L1087" s="16">
        <f t="shared" ca="1" si="38"/>
        <v>1485.4666666666672</v>
      </c>
      <c r="M1087" s="16">
        <f t="shared" ca="1" si="39"/>
        <v>1558.6333333333334</v>
      </c>
      <c r="N1087" s="16">
        <f t="shared" ca="1" si="40"/>
        <v>1459.4333333333336</v>
      </c>
    </row>
    <row r="1088" spans="1:14" ht="24.75" customHeight="1" x14ac:dyDescent="0.8">
      <c r="A1088" s="18" t="s">
        <v>1051</v>
      </c>
      <c r="B1088" s="10">
        <f ca="1">IFERROR(__xludf.DUMMYFUNCTION("GOOGLEFINANCE(A1088,""PRICE"")"),27.27)</f>
        <v>27.27</v>
      </c>
      <c r="C1088" s="11">
        <f ca="1">IFERROR(__xludf.DUMMYFUNCTION("GOOGLEFINANCE(A1088,""PRICEOPEN"")"),26.21)</f>
        <v>26.21</v>
      </c>
      <c r="D1088" s="11">
        <f ca="1">IFERROR(__xludf.DUMMYFUNCTION("GOOGLEFINANCE(A1088,""HIGH"")"),27.39)</f>
        <v>27.39</v>
      </c>
      <c r="E1088" s="11">
        <f ca="1">IFERROR(__xludf.DUMMYFUNCTION("GOOGLEFINANCE(A1088,""LOW"")"),26.18)</f>
        <v>26.18</v>
      </c>
      <c r="F1088" s="12" t="str">
        <f t="shared" ca="1" si="35"/>
        <v/>
      </c>
      <c r="G1088" s="13">
        <f ca="1">IFERROR(__xludf.DUMMYFUNCTION("GOOGLEFINANCE(A1088,""CLOSEYEST"")"),26.28)</f>
        <v>26.28</v>
      </c>
      <c r="H1088" s="14" t="str">
        <f t="shared" ca="1" si="41"/>
        <v/>
      </c>
      <c r="I1088" s="15">
        <f t="shared" ca="1" si="36"/>
        <v>26.616666666666664</v>
      </c>
      <c r="J1088" s="16">
        <f t="shared" ca="1" si="37"/>
        <v>27.053333333333327</v>
      </c>
      <c r="K1088" s="16"/>
      <c r="L1088" s="16">
        <f t="shared" ca="1" si="38"/>
        <v>25.843333333333327</v>
      </c>
      <c r="M1088" s="16">
        <f t="shared" ca="1" si="39"/>
        <v>27.826666666666664</v>
      </c>
      <c r="N1088" s="16">
        <f t="shared" ca="1" si="40"/>
        <v>25.406666666666663</v>
      </c>
    </row>
    <row r="1089" spans="1:14" ht="24.75" customHeight="1" x14ac:dyDescent="0.8">
      <c r="A1089" s="18" t="s">
        <v>1052</v>
      </c>
      <c r="B1089" s="10">
        <f ca="1">IFERROR(__xludf.DUMMYFUNCTION("GOOGLEFINANCE(A1089,""PRICE"")"),318)</f>
        <v>318</v>
      </c>
      <c r="C1089" s="11">
        <f ca="1">IFERROR(__xludf.DUMMYFUNCTION("GOOGLEFINANCE(A1089,""PRICEOPEN"")"),318.3)</f>
        <v>318.3</v>
      </c>
      <c r="D1089" s="11">
        <f ca="1">IFERROR(__xludf.DUMMYFUNCTION("GOOGLEFINANCE(A1089,""HIGH"")"),320.85)</f>
        <v>320.85000000000002</v>
      </c>
      <c r="E1089" s="11">
        <f ca="1">IFERROR(__xludf.DUMMYFUNCTION("GOOGLEFINANCE(A1089,""LOW"")"),316.1)</f>
        <v>316.10000000000002</v>
      </c>
      <c r="F1089" s="12" t="str">
        <f t="shared" ca="1" si="35"/>
        <v/>
      </c>
      <c r="G1089" s="13">
        <f ca="1">IFERROR(__xludf.DUMMYFUNCTION("GOOGLEFINANCE(A1089,""CLOSEYEST"")"),315.95)</f>
        <v>315.95</v>
      </c>
      <c r="H1089" s="14" t="str">
        <f t="shared" ca="1" si="41"/>
        <v/>
      </c>
      <c r="I1089" s="15">
        <f t="shared" ca="1" si="36"/>
        <v>317.63333333333338</v>
      </c>
      <c r="J1089" s="16">
        <f t="shared" ca="1" si="37"/>
        <v>319.16666666666674</v>
      </c>
      <c r="K1089" s="16"/>
      <c r="L1089" s="16">
        <f t="shared" ca="1" si="38"/>
        <v>314.41666666666674</v>
      </c>
      <c r="M1089" s="16">
        <f t="shared" ca="1" si="39"/>
        <v>322.38333333333338</v>
      </c>
      <c r="N1089" s="16">
        <f t="shared" ca="1" si="40"/>
        <v>312.88333333333338</v>
      </c>
    </row>
    <row r="1090" spans="1:14" ht="24.75" customHeight="1" x14ac:dyDescent="0.8">
      <c r="A1090" s="18" t="s">
        <v>1053</v>
      </c>
      <c r="B1090" s="10">
        <f ca="1">IFERROR(__xludf.DUMMYFUNCTION("GOOGLEFINANCE(A1090,""PRICE"")"),980.45)</f>
        <v>980.45</v>
      </c>
      <c r="C1090" s="11">
        <f ca="1">IFERROR(__xludf.DUMMYFUNCTION("GOOGLEFINANCE(A1090,""PRICEOPEN"")"),983.6)</f>
        <v>983.6</v>
      </c>
      <c r="D1090" s="11">
        <f ca="1">IFERROR(__xludf.DUMMYFUNCTION("GOOGLEFINANCE(A1090,""HIGH"")"),997.5)</f>
        <v>997.5</v>
      </c>
      <c r="E1090" s="11">
        <f ca="1">IFERROR(__xludf.DUMMYFUNCTION("GOOGLEFINANCE(A1090,""LOW"")"),973)</f>
        <v>973</v>
      </c>
      <c r="F1090" s="12" t="str">
        <f t="shared" ca="1" si="35"/>
        <v/>
      </c>
      <c r="G1090" s="13">
        <f ca="1">IFERROR(__xludf.DUMMYFUNCTION("GOOGLEFINANCE(A1090,""CLOSEYEST"")"),978.9)</f>
        <v>978.9</v>
      </c>
      <c r="H1090" s="14" t="str">
        <f t="shared" ca="1" si="41"/>
        <v/>
      </c>
      <c r="I1090" s="15">
        <f t="shared" ca="1" si="36"/>
        <v>983.13333333333333</v>
      </c>
      <c r="J1090" s="16">
        <f t="shared" ca="1" si="37"/>
        <v>993.26666666666665</v>
      </c>
      <c r="K1090" s="16"/>
      <c r="L1090" s="16">
        <f t="shared" ca="1" si="38"/>
        <v>968.76666666666665</v>
      </c>
      <c r="M1090" s="16">
        <f t="shared" ca="1" si="39"/>
        <v>1007.6333333333333</v>
      </c>
      <c r="N1090" s="16">
        <f t="shared" ca="1" si="40"/>
        <v>958.63333333333333</v>
      </c>
    </row>
    <row r="1091" spans="1:14" ht="24.75" customHeight="1" x14ac:dyDescent="0.8">
      <c r="A1091" s="18" t="s">
        <v>1054</v>
      </c>
      <c r="B1091" s="10">
        <f ca="1">IFERROR(__xludf.DUMMYFUNCTION("GOOGLEFINANCE(A1091,""PRICE"")"),343.1)</f>
        <v>343.1</v>
      </c>
      <c r="C1091" s="11">
        <f ca="1">IFERROR(__xludf.DUMMYFUNCTION("GOOGLEFINANCE(A1091,""PRICEOPEN"")"),345.75)</f>
        <v>345.75</v>
      </c>
      <c r="D1091" s="11">
        <f ca="1">IFERROR(__xludf.DUMMYFUNCTION("GOOGLEFINANCE(A1091,""HIGH"")"),357.8)</f>
        <v>357.8</v>
      </c>
      <c r="E1091" s="11">
        <f ca="1">IFERROR(__xludf.DUMMYFUNCTION("GOOGLEFINANCE(A1091,""LOW"")"),341)</f>
        <v>341</v>
      </c>
      <c r="F1091" s="12" t="str">
        <f t="shared" ca="1" si="35"/>
        <v/>
      </c>
      <c r="G1091" s="13">
        <f ca="1">IFERROR(__xludf.DUMMYFUNCTION("GOOGLEFINANCE(A1091,""CLOSEYEST"")"),343.95)</f>
        <v>343.95</v>
      </c>
      <c r="H1091" s="14" t="str">
        <f t="shared" ca="1" si="41"/>
        <v/>
      </c>
      <c r="I1091" s="15">
        <f t="shared" ca="1" si="36"/>
        <v>347.58333333333331</v>
      </c>
      <c r="J1091" s="16">
        <f t="shared" ca="1" si="37"/>
        <v>354.16666666666663</v>
      </c>
      <c r="K1091" s="16"/>
      <c r="L1091" s="16">
        <f t="shared" ca="1" si="38"/>
        <v>337.36666666666662</v>
      </c>
      <c r="M1091" s="16">
        <f t="shared" ca="1" si="39"/>
        <v>364.38333333333333</v>
      </c>
      <c r="N1091" s="16">
        <f t="shared" ca="1" si="40"/>
        <v>330.7833333333333</v>
      </c>
    </row>
    <row r="1092" spans="1:14" ht="24.75" customHeight="1" x14ac:dyDescent="0.8">
      <c r="A1092" s="18" t="s">
        <v>1055</v>
      </c>
      <c r="B1092" s="10">
        <f ca="1">IFERROR(__xludf.DUMMYFUNCTION("GOOGLEFINANCE(A1092,""PRICE"")"),299.6)</f>
        <v>299.60000000000002</v>
      </c>
      <c r="C1092" s="11">
        <f ca="1">IFERROR(__xludf.DUMMYFUNCTION("GOOGLEFINANCE(A1092,""PRICEOPEN"")"),290.5)</f>
        <v>290.5</v>
      </c>
      <c r="D1092" s="11">
        <f ca="1">IFERROR(__xludf.DUMMYFUNCTION("GOOGLEFINANCE(A1092,""HIGH"")"),299.85)</f>
        <v>299.85000000000002</v>
      </c>
      <c r="E1092" s="11">
        <f ca="1">IFERROR(__xludf.DUMMYFUNCTION("GOOGLEFINANCE(A1092,""LOW"")"),286.15)</f>
        <v>286.14999999999998</v>
      </c>
      <c r="F1092" s="12" t="str">
        <f t="shared" ca="1" si="35"/>
        <v/>
      </c>
      <c r="G1092" s="13">
        <f ca="1">IFERROR(__xludf.DUMMYFUNCTION("GOOGLEFINANCE(A1092,""CLOSEYEST"")"),294.85)</f>
        <v>294.85000000000002</v>
      </c>
      <c r="H1092" s="14" t="str">
        <f t="shared" ca="1" si="41"/>
        <v>GAP DOWN</v>
      </c>
      <c r="I1092" s="15">
        <f t="shared" ca="1" si="36"/>
        <v>293.61666666666667</v>
      </c>
      <c r="J1092" s="16">
        <f t="shared" ca="1" si="37"/>
        <v>301.08333333333337</v>
      </c>
      <c r="K1092" s="16"/>
      <c r="L1092" s="16">
        <f t="shared" ca="1" si="38"/>
        <v>287.38333333333333</v>
      </c>
      <c r="M1092" s="16">
        <f t="shared" ca="1" si="39"/>
        <v>307.31666666666672</v>
      </c>
      <c r="N1092" s="16">
        <f t="shared" ca="1" si="40"/>
        <v>279.91666666666663</v>
      </c>
    </row>
    <row r="1093" spans="1:14" ht="24.75" customHeight="1" x14ac:dyDescent="0.8">
      <c r="A1093" s="18" t="s">
        <v>1056</v>
      </c>
      <c r="B1093" s="10">
        <f ca="1">IFERROR(__xludf.DUMMYFUNCTION("GOOGLEFINANCE(A1093,""PRICE"")"),12.78)</f>
        <v>12.78</v>
      </c>
      <c r="C1093" s="11">
        <f ca="1">IFERROR(__xludf.DUMMYFUNCTION("GOOGLEFINANCE(A1093,""PRICEOPEN"")"),12.28)</f>
        <v>12.28</v>
      </c>
      <c r="D1093" s="11">
        <f ca="1">IFERROR(__xludf.DUMMYFUNCTION("GOOGLEFINANCE(A1093,""HIGH"")"),12.78)</f>
        <v>12.78</v>
      </c>
      <c r="E1093" s="11">
        <f ca="1">IFERROR(__xludf.DUMMYFUNCTION("GOOGLEFINANCE(A1093,""LOW"")"),12.19)</f>
        <v>12.19</v>
      </c>
      <c r="F1093" s="12" t="str">
        <f t="shared" ca="1" si="35"/>
        <v/>
      </c>
      <c r="G1093" s="13">
        <f ca="1">IFERROR(__xludf.DUMMYFUNCTION("GOOGLEFINANCE(A1093,""CLOSEYEST"")"),12.18)</f>
        <v>12.18</v>
      </c>
      <c r="H1093" s="14" t="str">
        <f t="shared" ca="1" si="41"/>
        <v/>
      </c>
      <c r="I1093" s="15">
        <f t="shared" ca="1" si="36"/>
        <v>12.383333333333333</v>
      </c>
      <c r="J1093" s="16">
        <f t="shared" ca="1" si="37"/>
        <v>12.576666666666666</v>
      </c>
      <c r="K1093" s="16"/>
      <c r="L1093" s="16">
        <f t="shared" ca="1" si="38"/>
        <v>11.986666666666666</v>
      </c>
      <c r="M1093" s="16">
        <f t="shared" ca="1" si="39"/>
        <v>12.973333333333333</v>
      </c>
      <c r="N1093" s="16">
        <f t="shared" ca="1" si="40"/>
        <v>11.793333333333333</v>
      </c>
    </row>
    <row r="1094" spans="1:14" ht="24.75" customHeight="1" x14ac:dyDescent="0.8">
      <c r="A1094" s="18" t="s">
        <v>1057</v>
      </c>
      <c r="B1094" s="10">
        <f ca="1">IFERROR(__xludf.DUMMYFUNCTION("GOOGLEFINANCE(A1094,""PRICE"")"),439.95)</f>
        <v>439.95</v>
      </c>
      <c r="C1094" s="11">
        <f ca="1">IFERROR(__xludf.DUMMYFUNCTION("GOOGLEFINANCE(A1094,""PRICEOPEN"")"),445.85)</f>
        <v>445.85</v>
      </c>
      <c r="D1094" s="11">
        <f ca="1">IFERROR(__xludf.DUMMYFUNCTION("GOOGLEFINANCE(A1094,""HIGH"")"),447.9)</f>
        <v>447.9</v>
      </c>
      <c r="E1094" s="11">
        <f ca="1">IFERROR(__xludf.DUMMYFUNCTION("GOOGLEFINANCE(A1094,""LOW"")"),431.1)</f>
        <v>431.1</v>
      </c>
      <c r="F1094" s="12" t="str">
        <f t="shared" ca="1" si="35"/>
        <v/>
      </c>
      <c r="G1094" s="13">
        <f ca="1">IFERROR(__xludf.DUMMYFUNCTION("GOOGLEFINANCE(A1094,""CLOSEYEST"")"),445.3)</f>
        <v>445.3</v>
      </c>
      <c r="H1094" s="14" t="str">
        <f t="shared" ca="1" si="41"/>
        <v/>
      </c>
      <c r="I1094" s="15">
        <f t="shared" ca="1" si="36"/>
        <v>441.43333333333334</v>
      </c>
      <c r="J1094" s="16">
        <f t="shared" ca="1" si="37"/>
        <v>451.76666666666665</v>
      </c>
      <c r="K1094" s="16"/>
      <c r="L1094" s="16">
        <f t="shared" ca="1" si="38"/>
        <v>434.9666666666667</v>
      </c>
      <c r="M1094" s="16">
        <f t="shared" ca="1" si="39"/>
        <v>458.23333333333329</v>
      </c>
      <c r="N1094" s="16">
        <f t="shared" ca="1" si="40"/>
        <v>424.63333333333338</v>
      </c>
    </row>
    <row r="1095" spans="1:14" ht="24.75" customHeight="1" x14ac:dyDescent="0.8">
      <c r="A1095" s="18" t="s">
        <v>1058</v>
      </c>
      <c r="B1095" s="10">
        <f ca="1">IFERROR(__xludf.DUMMYFUNCTION("GOOGLEFINANCE(A1095,""PRICE"")"),100.35)</f>
        <v>100.35</v>
      </c>
      <c r="C1095" s="11">
        <f ca="1">IFERROR(__xludf.DUMMYFUNCTION("GOOGLEFINANCE(A1095,""PRICEOPEN"")"),98.99)</f>
        <v>98.99</v>
      </c>
      <c r="D1095" s="11">
        <f ca="1">IFERROR(__xludf.DUMMYFUNCTION("GOOGLEFINANCE(A1095,""HIGH"")"),102)</f>
        <v>102</v>
      </c>
      <c r="E1095" s="11">
        <f ca="1">IFERROR(__xludf.DUMMYFUNCTION("GOOGLEFINANCE(A1095,""LOW"")"),98.12)</f>
        <v>98.12</v>
      </c>
      <c r="F1095" s="12" t="str">
        <f t="shared" ca="1" si="35"/>
        <v/>
      </c>
      <c r="G1095" s="13">
        <f ca="1">IFERROR(__xludf.DUMMYFUNCTION("GOOGLEFINANCE(A1095,""CLOSEYEST"")"),98.42)</f>
        <v>98.42</v>
      </c>
      <c r="H1095" s="14" t="str">
        <f t="shared" ca="1" si="41"/>
        <v/>
      </c>
      <c r="I1095" s="15">
        <f t="shared" ca="1" si="36"/>
        <v>99.513333333333335</v>
      </c>
      <c r="J1095" s="16">
        <f t="shared" ca="1" si="37"/>
        <v>100.90666666666667</v>
      </c>
      <c r="K1095" s="16"/>
      <c r="L1095" s="16">
        <f t="shared" ca="1" si="38"/>
        <v>97.026666666666671</v>
      </c>
      <c r="M1095" s="16">
        <f t="shared" ca="1" si="39"/>
        <v>103.39333333333333</v>
      </c>
      <c r="N1095" s="16">
        <f t="shared" ca="1" si="40"/>
        <v>95.63333333333334</v>
      </c>
    </row>
    <row r="1096" spans="1:14" ht="24.75" customHeight="1" x14ac:dyDescent="0.8">
      <c r="A1096" s="18" t="s">
        <v>1059</v>
      </c>
      <c r="B1096" s="10">
        <f ca="1">IFERROR(__xludf.DUMMYFUNCTION("GOOGLEFINANCE(A1096,""PRICE"")"),125.1)</f>
        <v>125.1</v>
      </c>
      <c r="C1096" s="11">
        <f ca="1">IFERROR(__xludf.DUMMYFUNCTION("GOOGLEFINANCE(A1096,""PRICEOPEN"")"),127.43)</f>
        <v>127.43</v>
      </c>
      <c r="D1096" s="11">
        <f ca="1">IFERROR(__xludf.DUMMYFUNCTION("GOOGLEFINANCE(A1096,""HIGH"")"),128.48)</f>
        <v>128.47999999999999</v>
      </c>
      <c r="E1096" s="11">
        <f ca="1">IFERROR(__xludf.DUMMYFUNCTION("GOOGLEFINANCE(A1096,""LOW"")"),121.95)</f>
        <v>121.95</v>
      </c>
      <c r="F1096" s="12" t="str">
        <f t="shared" ca="1" si="35"/>
        <v/>
      </c>
      <c r="G1096" s="13">
        <f ca="1">IFERROR(__xludf.DUMMYFUNCTION("GOOGLEFINANCE(A1096,""CLOSEYEST"")"),126.43)</f>
        <v>126.43</v>
      </c>
      <c r="H1096" s="14" t="str">
        <f t="shared" ca="1" si="41"/>
        <v/>
      </c>
      <c r="I1096" s="15">
        <f t="shared" ca="1" si="36"/>
        <v>125.62</v>
      </c>
      <c r="J1096" s="16">
        <f t="shared" ca="1" si="37"/>
        <v>129.29000000000002</v>
      </c>
      <c r="K1096" s="16"/>
      <c r="L1096" s="16">
        <f t="shared" ca="1" si="38"/>
        <v>122.76000000000002</v>
      </c>
      <c r="M1096" s="16">
        <f t="shared" ca="1" si="39"/>
        <v>132.15</v>
      </c>
      <c r="N1096" s="16">
        <f t="shared" ca="1" si="40"/>
        <v>119.09</v>
      </c>
    </row>
    <row r="1097" spans="1:14" ht="24.75" customHeight="1" x14ac:dyDescent="0.8">
      <c r="A1097" s="18" t="s">
        <v>1060</v>
      </c>
      <c r="B1097" s="10">
        <f ca="1">IFERROR(__xludf.DUMMYFUNCTION("GOOGLEFINANCE(A1097,""PRICE"")"),27.54)</f>
        <v>27.54</v>
      </c>
      <c r="C1097" s="11">
        <f ca="1">IFERROR(__xludf.DUMMYFUNCTION("GOOGLEFINANCE(A1097,""PRICEOPEN"")"),26.81)</f>
        <v>26.81</v>
      </c>
      <c r="D1097" s="11">
        <f ca="1">IFERROR(__xludf.DUMMYFUNCTION("GOOGLEFINANCE(A1097,""HIGH"")"),27.6)</f>
        <v>27.6</v>
      </c>
      <c r="E1097" s="11">
        <f ca="1">IFERROR(__xludf.DUMMYFUNCTION("GOOGLEFINANCE(A1097,""LOW"")"),26.6)</f>
        <v>26.6</v>
      </c>
      <c r="F1097" s="12" t="str">
        <f t="shared" ca="1" si="35"/>
        <v/>
      </c>
      <c r="G1097" s="13">
        <f ca="1">IFERROR(__xludf.DUMMYFUNCTION("GOOGLEFINANCE(A1097,""CLOSEYEST"")"),27.09)</f>
        <v>27.09</v>
      </c>
      <c r="H1097" s="14" t="str">
        <f t="shared" ca="1" si="41"/>
        <v>GAP DOWN</v>
      </c>
      <c r="I1097" s="15">
        <f t="shared" ca="1" si="36"/>
        <v>27.096666666666668</v>
      </c>
      <c r="J1097" s="16">
        <f t="shared" ca="1" si="37"/>
        <v>27.593333333333334</v>
      </c>
      <c r="K1097" s="16"/>
      <c r="L1097" s="16">
        <f t="shared" ca="1" si="38"/>
        <v>26.593333333333334</v>
      </c>
      <c r="M1097" s="16">
        <f t="shared" ca="1" si="39"/>
        <v>28.096666666666668</v>
      </c>
      <c r="N1097" s="16">
        <f t="shared" ca="1" si="40"/>
        <v>26.096666666666668</v>
      </c>
    </row>
    <row r="1098" spans="1:14" ht="24.75" customHeight="1" x14ac:dyDescent="0.8">
      <c r="A1098" s="18" t="s">
        <v>1061</v>
      </c>
      <c r="B1098" s="10">
        <f ca="1">IFERROR(__xludf.DUMMYFUNCTION("GOOGLEFINANCE(A1098,""PRICE"")"),297.95)</f>
        <v>297.95</v>
      </c>
      <c r="C1098" s="11">
        <f ca="1">IFERROR(__xludf.DUMMYFUNCTION("GOOGLEFINANCE(A1098,""PRICEOPEN"")"),296)</f>
        <v>296</v>
      </c>
      <c r="D1098" s="11">
        <f ca="1">IFERROR(__xludf.DUMMYFUNCTION("GOOGLEFINANCE(A1098,""HIGH"")"),299.6)</f>
        <v>299.60000000000002</v>
      </c>
      <c r="E1098" s="11">
        <f ca="1">IFERROR(__xludf.DUMMYFUNCTION("GOOGLEFINANCE(A1098,""LOW"")"),294.05)</f>
        <v>294.05</v>
      </c>
      <c r="F1098" s="12" t="str">
        <f t="shared" ca="1" si="35"/>
        <v/>
      </c>
      <c r="G1098" s="13">
        <f ca="1">IFERROR(__xludf.DUMMYFUNCTION("GOOGLEFINANCE(A1098,""CLOSEYEST"")"),299.9)</f>
        <v>299.89999999999998</v>
      </c>
      <c r="H1098" s="14" t="str">
        <f t="shared" ca="1" si="41"/>
        <v>GAP DOWN</v>
      </c>
      <c r="I1098" s="15">
        <f t="shared" ca="1" si="36"/>
        <v>297.85000000000002</v>
      </c>
      <c r="J1098" s="16">
        <f t="shared" ca="1" si="37"/>
        <v>301.65000000000003</v>
      </c>
      <c r="K1098" s="16"/>
      <c r="L1098" s="16">
        <f t="shared" ca="1" si="38"/>
        <v>296.10000000000002</v>
      </c>
      <c r="M1098" s="16">
        <f t="shared" ca="1" si="39"/>
        <v>303.40000000000003</v>
      </c>
      <c r="N1098" s="16">
        <f t="shared" ca="1" si="40"/>
        <v>292.3</v>
      </c>
    </row>
    <row r="1099" spans="1:14" ht="24.75" customHeight="1" x14ac:dyDescent="0.8">
      <c r="A1099" s="18" t="s">
        <v>1062</v>
      </c>
      <c r="B1099" s="10">
        <f ca="1">IFERROR(__xludf.DUMMYFUNCTION("GOOGLEFINANCE(A1099,""PRICE"")"),124)</f>
        <v>124</v>
      </c>
      <c r="C1099" s="11">
        <f ca="1">IFERROR(__xludf.DUMMYFUNCTION("GOOGLEFINANCE(A1099,""PRICEOPEN"")"),126.5)</f>
        <v>126.5</v>
      </c>
      <c r="D1099" s="11">
        <f ca="1">IFERROR(__xludf.DUMMYFUNCTION("GOOGLEFINANCE(A1099,""HIGH"")"),128.78)</f>
        <v>128.78</v>
      </c>
      <c r="E1099" s="11">
        <f ca="1">IFERROR(__xludf.DUMMYFUNCTION("GOOGLEFINANCE(A1099,""LOW"")"),122.43)</f>
        <v>122.43</v>
      </c>
      <c r="F1099" s="12" t="str">
        <f t="shared" ca="1" si="35"/>
        <v/>
      </c>
      <c r="G1099" s="13">
        <f ca="1">IFERROR(__xludf.DUMMYFUNCTION("GOOGLEFINANCE(A1099,""CLOSEYEST"")"),127.13)</f>
        <v>127.13</v>
      </c>
      <c r="H1099" s="14" t="str">
        <f t="shared" ca="1" si="41"/>
        <v/>
      </c>
      <c r="I1099" s="15">
        <f t="shared" ca="1" si="36"/>
        <v>126.11333333333334</v>
      </c>
      <c r="J1099" s="16">
        <f t="shared" ca="1" si="37"/>
        <v>129.79666666666668</v>
      </c>
      <c r="K1099" s="16"/>
      <c r="L1099" s="16">
        <f t="shared" ca="1" si="38"/>
        <v>123.44666666666669</v>
      </c>
      <c r="M1099" s="16">
        <f t="shared" ca="1" si="39"/>
        <v>132.46333333333334</v>
      </c>
      <c r="N1099" s="16">
        <f t="shared" ca="1" si="40"/>
        <v>119.76333333333335</v>
      </c>
    </row>
    <row r="1100" spans="1:14" ht="24.75" customHeight="1" x14ac:dyDescent="0.8">
      <c r="A1100" s="18" t="s">
        <v>1063</v>
      </c>
      <c r="B1100" s="10">
        <f ca="1">IFERROR(__xludf.DUMMYFUNCTION("GOOGLEFINANCE(A1100,""PRICE"")"),25.94)</f>
        <v>25.94</v>
      </c>
      <c r="C1100" s="11">
        <f ca="1">IFERROR(__xludf.DUMMYFUNCTION("GOOGLEFINANCE(A1100,""PRICEOPEN"")"),24.63)</f>
        <v>24.63</v>
      </c>
      <c r="D1100" s="11">
        <f ca="1">IFERROR(__xludf.DUMMYFUNCTION("GOOGLEFINANCE(A1100,""HIGH"")"),26)</f>
        <v>26</v>
      </c>
      <c r="E1100" s="11">
        <f ca="1">IFERROR(__xludf.DUMMYFUNCTION("GOOGLEFINANCE(A1100,""LOW"")"),24.63)</f>
        <v>24.63</v>
      </c>
      <c r="F1100" s="12" t="str">
        <f t="shared" ca="1" si="35"/>
        <v>BUY</v>
      </c>
      <c r="G1100" s="13">
        <f ca="1">IFERROR(__xludf.DUMMYFUNCTION("GOOGLEFINANCE(A1100,""CLOSEYEST"")"),25.2)</f>
        <v>25.2</v>
      </c>
      <c r="H1100" s="14" t="str">
        <f t="shared" ca="1" si="41"/>
        <v>GAP DOWN</v>
      </c>
      <c r="I1100" s="15">
        <f t="shared" ca="1" si="36"/>
        <v>25.276666666666667</v>
      </c>
      <c r="J1100" s="16">
        <f t="shared" ca="1" si="37"/>
        <v>25.923333333333336</v>
      </c>
      <c r="K1100" s="16"/>
      <c r="L1100" s="16">
        <f t="shared" ca="1" si="38"/>
        <v>24.553333333333335</v>
      </c>
      <c r="M1100" s="16">
        <f t="shared" ca="1" si="39"/>
        <v>26.646666666666668</v>
      </c>
      <c r="N1100" s="16">
        <f t="shared" ca="1" si="40"/>
        <v>23.906666666666666</v>
      </c>
    </row>
    <row r="1101" spans="1:14" ht="24.75" customHeight="1" x14ac:dyDescent="0.8">
      <c r="A1101" s="18" t="s">
        <v>1064</v>
      </c>
      <c r="B1101" s="10">
        <f ca="1">IFERROR(__xludf.DUMMYFUNCTION("GOOGLEFINANCE(A1101,""PRICE"")"),247.9)</f>
        <v>247.9</v>
      </c>
      <c r="C1101" s="11">
        <f ca="1">IFERROR(__xludf.DUMMYFUNCTION("GOOGLEFINANCE(A1101,""PRICEOPEN"")"),241)</f>
        <v>241</v>
      </c>
      <c r="D1101" s="11">
        <f ca="1">IFERROR(__xludf.DUMMYFUNCTION("GOOGLEFINANCE(A1101,""HIGH"")"),248)</f>
        <v>248</v>
      </c>
      <c r="E1101" s="11">
        <f ca="1">IFERROR(__xludf.DUMMYFUNCTION("GOOGLEFINANCE(A1101,""LOW"")"),238)</f>
        <v>238</v>
      </c>
      <c r="F1101" s="12" t="str">
        <f t="shared" ca="1" si="35"/>
        <v/>
      </c>
      <c r="G1101" s="13">
        <f ca="1">IFERROR(__xludf.DUMMYFUNCTION("GOOGLEFINANCE(A1101,""CLOSEYEST"")"),237.6)</f>
        <v>237.6</v>
      </c>
      <c r="H1101" s="14" t="str">
        <f t="shared" ca="1" si="41"/>
        <v>GAP UP</v>
      </c>
      <c r="I1101" s="15">
        <f t="shared" ca="1" si="36"/>
        <v>241.20000000000002</v>
      </c>
      <c r="J1101" s="16">
        <f t="shared" ca="1" si="37"/>
        <v>244.40000000000003</v>
      </c>
      <c r="K1101" s="16"/>
      <c r="L1101" s="16">
        <f t="shared" ca="1" si="38"/>
        <v>234.40000000000003</v>
      </c>
      <c r="M1101" s="16">
        <f t="shared" ca="1" si="39"/>
        <v>251.20000000000002</v>
      </c>
      <c r="N1101" s="16">
        <f t="shared" ca="1" si="40"/>
        <v>231.20000000000002</v>
      </c>
    </row>
    <row r="1102" spans="1:14" ht="24.75" customHeight="1" x14ac:dyDescent="0.8">
      <c r="A1102" s="18" t="s">
        <v>1065</v>
      </c>
      <c r="B1102" s="10">
        <f ca="1">IFERROR(__xludf.DUMMYFUNCTION("GOOGLEFINANCE(A1102,""PRICE"")"),240.97)</f>
        <v>240.97</v>
      </c>
      <c r="C1102" s="11">
        <f ca="1">IFERROR(__xludf.DUMMYFUNCTION("GOOGLEFINANCE(A1102,""PRICEOPEN"")"),243.03)</f>
        <v>243.03</v>
      </c>
      <c r="D1102" s="11">
        <f ca="1">IFERROR(__xludf.DUMMYFUNCTION("GOOGLEFINANCE(A1102,""HIGH"")"),243.03)</f>
        <v>243.03</v>
      </c>
      <c r="E1102" s="11">
        <f ca="1">IFERROR(__xludf.DUMMYFUNCTION("GOOGLEFINANCE(A1102,""LOW"")"),236.89)</f>
        <v>236.89</v>
      </c>
      <c r="F1102" s="12" t="str">
        <f t="shared" ca="1" si="35"/>
        <v>SELL</v>
      </c>
      <c r="G1102" s="13">
        <f ca="1">IFERROR(__xludf.DUMMYFUNCTION("GOOGLEFINANCE(A1102,""CLOSEYEST"")"),240.62)</f>
        <v>240.62</v>
      </c>
      <c r="H1102" s="14" t="str">
        <f t="shared" ca="1" si="41"/>
        <v>GAP UP</v>
      </c>
      <c r="I1102" s="15">
        <f t="shared" ca="1" si="36"/>
        <v>240.17999999999998</v>
      </c>
      <c r="J1102" s="16">
        <f t="shared" ca="1" si="37"/>
        <v>243.46999999999997</v>
      </c>
      <c r="K1102" s="16"/>
      <c r="L1102" s="16">
        <f t="shared" ca="1" si="38"/>
        <v>237.32999999999996</v>
      </c>
      <c r="M1102" s="16">
        <f t="shared" ca="1" si="39"/>
        <v>246.32</v>
      </c>
      <c r="N1102" s="16">
        <f t="shared" ca="1" si="40"/>
        <v>234.03999999999996</v>
      </c>
    </row>
    <row r="1103" spans="1:14" ht="24.75" customHeight="1" x14ac:dyDescent="0.8">
      <c r="A1103" s="18" t="s">
        <v>1066</v>
      </c>
      <c r="B1103" s="10">
        <f ca="1">IFERROR(__xludf.DUMMYFUNCTION("GOOGLEFINANCE(A1103,""PRICE"")"),117.25)</f>
        <v>117.25</v>
      </c>
      <c r="C1103" s="11">
        <f ca="1">IFERROR(__xludf.DUMMYFUNCTION("GOOGLEFINANCE(A1103,""PRICEOPEN"")"),119.4)</f>
        <v>119.4</v>
      </c>
      <c r="D1103" s="11">
        <f ca="1">IFERROR(__xludf.DUMMYFUNCTION("GOOGLEFINANCE(A1103,""HIGH"")"),119.4)</f>
        <v>119.4</v>
      </c>
      <c r="E1103" s="11">
        <f ca="1">IFERROR(__xludf.DUMMYFUNCTION("GOOGLEFINANCE(A1103,""LOW"")"),115.8)</f>
        <v>115.8</v>
      </c>
      <c r="F1103" s="12" t="str">
        <f t="shared" ca="1" si="35"/>
        <v>SELL</v>
      </c>
      <c r="G1103" s="13">
        <f ca="1">IFERROR(__xludf.DUMMYFUNCTION("GOOGLEFINANCE(A1103,""CLOSEYEST"")"),118.35)</f>
        <v>118.35</v>
      </c>
      <c r="H1103" s="14" t="str">
        <f t="shared" ca="1" si="41"/>
        <v/>
      </c>
      <c r="I1103" s="15">
        <f t="shared" ca="1" si="36"/>
        <v>117.84999999999998</v>
      </c>
      <c r="J1103" s="16">
        <f t="shared" ca="1" si="37"/>
        <v>119.89999999999996</v>
      </c>
      <c r="K1103" s="16"/>
      <c r="L1103" s="16">
        <f t="shared" ca="1" si="38"/>
        <v>116.29999999999995</v>
      </c>
      <c r="M1103" s="16">
        <f t="shared" ca="1" si="39"/>
        <v>121.44999999999999</v>
      </c>
      <c r="N1103" s="16">
        <f t="shared" ca="1" si="40"/>
        <v>114.24999999999997</v>
      </c>
    </row>
    <row r="1104" spans="1:14" ht="24.75" customHeight="1" x14ac:dyDescent="0.8">
      <c r="A1104" s="18" t="s">
        <v>1067</v>
      </c>
      <c r="B1104" s="10">
        <f ca="1">IFERROR(__xludf.DUMMYFUNCTION("GOOGLEFINANCE(A1104,""PRICE"")"),10.23)</f>
        <v>10.23</v>
      </c>
      <c r="C1104" s="11">
        <f ca="1">IFERROR(__xludf.DUMMYFUNCTION("GOOGLEFINANCE(A1104,""PRICEOPEN"")"),10.29)</f>
        <v>10.29</v>
      </c>
      <c r="D1104" s="11">
        <f ca="1">IFERROR(__xludf.DUMMYFUNCTION("GOOGLEFINANCE(A1104,""HIGH"")"),10.43)</f>
        <v>10.43</v>
      </c>
      <c r="E1104" s="11">
        <f ca="1">IFERROR(__xludf.DUMMYFUNCTION("GOOGLEFINANCE(A1104,""LOW"")"),10.01)</f>
        <v>10.01</v>
      </c>
      <c r="F1104" s="12" t="str">
        <f t="shared" ca="1" si="35"/>
        <v/>
      </c>
      <c r="G1104" s="13">
        <f ca="1">IFERROR(__xludf.DUMMYFUNCTION("GOOGLEFINANCE(A1104,""CLOSEYEST"")"),10.26)</f>
        <v>10.26</v>
      </c>
      <c r="H1104" s="14" t="str">
        <f t="shared" ca="1" si="41"/>
        <v/>
      </c>
      <c r="I1104" s="15">
        <f t="shared" ca="1" si="36"/>
        <v>10.233333333333333</v>
      </c>
      <c r="J1104" s="16">
        <f t="shared" ca="1" si="37"/>
        <v>10.456666666666665</v>
      </c>
      <c r="K1104" s="16"/>
      <c r="L1104" s="16">
        <f t="shared" ca="1" si="38"/>
        <v>10.036666666666665</v>
      </c>
      <c r="M1104" s="16">
        <f t="shared" ca="1" si="39"/>
        <v>10.653333333333332</v>
      </c>
      <c r="N1104" s="16">
        <f t="shared" ca="1" si="40"/>
        <v>9.8133333333333326</v>
      </c>
    </row>
    <row r="1105" spans="1:14" ht="24.75" customHeight="1" x14ac:dyDescent="0.8">
      <c r="A1105" s="18" t="s">
        <v>1068</v>
      </c>
      <c r="B1105" s="10">
        <f ca="1">IFERROR(__xludf.DUMMYFUNCTION("GOOGLEFINANCE(A1105,""PRICE"")"),156.5)</f>
        <v>156.5</v>
      </c>
      <c r="C1105" s="11">
        <f ca="1">IFERROR(__xludf.DUMMYFUNCTION("GOOGLEFINANCE(A1105,""PRICEOPEN"")"),154)</f>
        <v>154</v>
      </c>
      <c r="D1105" s="11">
        <f ca="1">IFERROR(__xludf.DUMMYFUNCTION("GOOGLEFINANCE(A1105,""HIGH"")"),156.95)</f>
        <v>156.94999999999999</v>
      </c>
      <c r="E1105" s="11">
        <f ca="1">IFERROR(__xludf.DUMMYFUNCTION("GOOGLEFINANCE(A1105,""LOW"")"),154)</f>
        <v>154</v>
      </c>
      <c r="F1105" s="12" t="str">
        <f t="shared" ca="1" si="35"/>
        <v>BUY</v>
      </c>
      <c r="G1105" s="13">
        <f ca="1">IFERROR(__xludf.DUMMYFUNCTION("GOOGLEFINANCE(A1105,""CLOSEYEST"")"),155.97)</f>
        <v>155.97</v>
      </c>
      <c r="H1105" s="14" t="str">
        <f t="shared" ca="1" si="41"/>
        <v>GAP DOWN</v>
      </c>
      <c r="I1105" s="15">
        <f t="shared" ca="1" si="36"/>
        <v>155.63999999999999</v>
      </c>
      <c r="J1105" s="16">
        <f t="shared" ca="1" si="37"/>
        <v>157.27999999999997</v>
      </c>
      <c r="K1105" s="16"/>
      <c r="L1105" s="16">
        <f t="shared" ca="1" si="38"/>
        <v>154.32999999999998</v>
      </c>
      <c r="M1105" s="16">
        <f t="shared" ca="1" si="39"/>
        <v>158.58999999999997</v>
      </c>
      <c r="N1105" s="16">
        <f t="shared" ca="1" si="40"/>
        <v>152.69</v>
      </c>
    </row>
    <row r="1106" spans="1:14" ht="24.75" customHeight="1" x14ac:dyDescent="0.8">
      <c r="A1106" s="18" t="s">
        <v>1069</v>
      </c>
      <c r="B1106" s="10">
        <f ca="1">IFERROR(__xludf.DUMMYFUNCTION("GOOGLEFINANCE(A1106,""PRICE"")"),240)</f>
        <v>240</v>
      </c>
      <c r="C1106" s="11">
        <f ca="1">IFERROR(__xludf.DUMMYFUNCTION("GOOGLEFINANCE(A1106,""PRICEOPEN"")"),231.05)</f>
        <v>231.05</v>
      </c>
      <c r="D1106" s="11">
        <f ca="1">IFERROR(__xludf.DUMMYFUNCTION("GOOGLEFINANCE(A1106,""HIGH"")"),240)</f>
        <v>240</v>
      </c>
      <c r="E1106" s="11">
        <f ca="1">IFERROR(__xludf.DUMMYFUNCTION("GOOGLEFINANCE(A1106,""LOW"")"),231)</f>
        <v>231</v>
      </c>
      <c r="F1106" s="12" t="str">
        <f t="shared" ca="1" si="35"/>
        <v/>
      </c>
      <c r="G1106" s="13">
        <f ca="1">IFERROR(__xludf.DUMMYFUNCTION("GOOGLEFINANCE(A1106,""CLOSEYEST"")"),232.53)</f>
        <v>232.53</v>
      </c>
      <c r="H1106" s="14" t="str">
        <f t="shared" ca="1" si="41"/>
        <v/>
      </c>
      <c r="I1106" s="15">
        <f t="shared" ca="1" si="36"/>
        <v>234.51</v>
      </c>
      <c r="J1106" s="16">
        <f t="shared" ca="1" si="37"/>
        <v>238.01999999999998</v>
      </c>
      <c r="K1106" s="16"/>
      <c r="L1106" s="16">
        <f t="shared" ca="1" si="38"/>
        <v>229.01999999999998</v>
      </c>
      <c r="M1106" s="16">
        <f t="shared" ca="1" si="39"/>
        <v>243.51</v>
      </c>
      <c r="N1106" s="16">
        <f t="shared" ca="1" si="40"/>
        <v>225.51</v>
      </c>
    </row>
    <row r="1107" spans="1:14" ht="24.75" customHeight="1" x14ac:dyDescent="0.8">
      <c r="A1107" s="18" t="s">
        <v>1070</v>
      </c>
      <c r="B1107" s="10">
        <f ca="1">IFERROR(__xludf.DUMMYFUNCTION("GOOGLEFINANCE(A1107,""PRICE"")"),5478)</f>
        <v>5478</v>
      </c>
      <c r="C1107" s="11">
        <f ca="1">IFERROR(__xludf.DUMMYFUNCTION("GOOGLEFINANCE(A1107,""PRICEOPEN"")"),5455)</f>
        <v>5455</v>
      </c>
      <c r="D1107" s="11">
        <f ca="1">IFERROR(__xludf.DUMMYFUNCTION("GOOGLEFINANCE(A1107,""HIGH"")"),5564.5)</f>
        <v>5564.5</v>
      </c>
      <c r="E1107" s="11">
        <f ca="1">IFERROR(__xludf.DUMMYFUNCTION("GOOGLEFINANCE(A1107,""LOW"")"),5431)</f>
        <v>5431</v>
      </c>
      <c r="F1107" s="12" t="str">
        <f t="shared" ca="1" si="35"/>
        <v/>
      </c>
      <c r="G1107" s="13">
        <f ca="1">IFERROR(__xludf.DUMMYFUNCTION("GOOGLEFINANCE(A1107,""CLOSEYEST"")"),5441.5)</f>
        <v>5441.5</v>
      </c>
      <c r="H1107" s="14" t="str">
        <f t="shared" ca="1" si="41"/>
        <v/>
      </c>
      <c r="I1107" s="15">
        <f t="shared" ca="1" si="36"/>
        <v>5479</v>
      </c>
      <c r="J1107" s="16">
        <f t="shared" ca="1" si="37"/>
        <v>5527</v>
      </c>
      <c r="K1107" s="16"/>
      <c r="L1107" s="16">
        <f t="shared" ca="1" si="38"/>
        <v>5393.5</v>
      </c>
      <c r="M1107" s="16">
        <f t="shared" ca="1" si="39"/>
        <v>5612.5</v>
      </c>
      <c r="N1107" s="16">
        <f t="shared" ca="1" si="40"/>
        <v>5345.5</v>
      </c>
    </row>
    <row r="1108" spans="1:14" ht="24.75" customHeight="1" x14ac:dyDescent="0.8">
      <c r="A1108" s="18" t="s">
        <v>1071</v>
      </c>
      <c r="B1108" s="10">
        <f ca="1">IFERROR(__xludf.DUMMYFUNCTION("GOOGLEFINANCE(A1108,""PRICE"")"),136.7)</f>
        <v>136.69999999999999</v>
      </c>
      <c r="C1108" s="11">
        <f ca="1">IFERROR(__xludf.DUMMYFUNCTION("GOOGLEFINANCE(A1108,""PRICEOPEN"")"),133.9)</f>
        <v>133.9</v>
      </c>
      <c r="D1108" s="11">
        <f ca="1">IFERROR(__xludf.DUMMYFUNCTION("GOOGLEFINANCE(A1108,""HIGH"")"),143.95)</f>
        <v>143.94999999999999</v>
      </c>
      <c r="E1108" s="11">
        <f ca="1">IFERROR(__xludf.DUMMYFUNCTION("GOOGLEFINANCE(A1108,""LOW"")"),132.34)</f>
        <v>132.34</v>
      </c>
      <c r="F1108" s="12" t="str">
        <f t="shared" ca="1" si="35"/>
        <v/>
      </c>
      <c r="G1108" s="13">
        <f ca="1">IFERROR(__xludf.DUMMYFUNCTION("GOOGLEFINANCE(A1108,""CLOSEYEST"")"),132.8)</f>
        <v>132.80000000000001</v>
      </c>
      <c r="H1108" s="14" t="str">
        <f t="shared" ca="1" si="41"/>
        <v/>
      </c>
      <c r="I1108" s="15">
        <f t="shared" ca="1" si="36"/>
        <v>136.36333333333332</v>
      </c>
      <c r="J1108" s="16">
        <f t="shared" ca="1" si="37"/>
        <v>140.38666666666663</v>
      </c>
      <c r="K1108" s="16"/>
      <c r="L1108" s="16">
        <f t="shared" ca="1" si="38"/>
        <v>128.77666666666664</v>
      </c>
      <c r="M1108" s="16">
        <f t="shared" ca="1" si="39"/>
        <v>147.9733333333333</v>
      </c>
      <c r="N1108" s="16">
        <f t="shared" ca="1" si="40"/>
        <v>124.75333333333333</v>
      </c>
    </row>
    <row r="1109" spans="1:14" ht="24.75" customHeight="1" x14ac:dyDescent="0.8">
      <c r="A1109" s="18" t="s">
        <v>1072</v>
      </c>
      <c r="B1109" s="10">
        <f ca="1">IFERROR(__xludf.DUMMYFUNCTION("GOOGLEFINANCE(A1109,""PRICE"")"),876)</f>
        <v>876</v>
      </c>
      <c r="C1109" s="11">
        <f ca="1">IFERROR(__xludf.DUMMYFUNCTION("GOOGLEFINANCE(A1109,""PRICEOPEN"")"),858)</f>
        <v>858</v>
      </c>
      <c r="D1109" s="11">
        <f ca="1">IFERROR(__xludf.DUMMYFUNCTION("GOOGLEFINANCE(A1109,""HIGH"")"),880)</f>
        <v>880</v>
      </c>
      <c r="E1109" s="11">
        <f ca="1">IFERROR(__xludf.DUMMYFUNCTION("GOOGLEFINANCE(A1109,""LOW"")"),858)</f>
        <v>858</v>
      </c>
      <c r="F1109" s="12" t="str">
        <f t="shared" ca="1" si="35"/>
        <v>BUY</v>
      </c>
      <c r="G1109" s="13">
        <f ca="1">IFERROR(__xludf.DUMMYFUNCTION("GOOGLEFINANCE(A1109,""CLOSEYEST"")"),857.3)</f>
        <v>857.3</v>
      </c>
      <c r="H1109" s="14" t="str">
        <f t="shared" ca="1" si="41"/>
        <v/>
      </c>
      <c r="I1109" s="15">
        <f t="shared" ca="1" si="36"/>
        <v>865.1</v>
      </c>
      <c r="J1109" s="16">
        <f t="shared" ca="1" si="37"/>
        <v>872.2</v>
      </c>
      <c r="K1109" s="16"/>
      <c r="L1109" s="16">
        <f t="shared" ca="1" si="38"/>
        <v>850.2</v>
      </c>
      <c r="M1109" s="16">
        <f t="shared" ca="1" si="39"/>
        <v>887.1</v>
      </c>
      <c r="N1109" s="16">
        <f t="shared" ca="1" si="40"/>
        <v>843.1</v>
      </c>
    </row>
    <row r="1110" spans="1:14" ht="24.75" customHeight="1" x14ac:dyDescent="0.8">
      <c r="A1110" s="18" t="s">
        <v>1073</v>
      </c>
      <c r="B1110" s="10" t="str">
        <f ca="1">IFERROR(__xludf.DUMMYFUNCTION("GOOGLEFINANCE(A1110,""PRICE"")"),"#N/A")</f>
        <v>#N/A</v>
      </c>
      <c r="C1110" s="11" t="str">
        <f ca="1">IFERROR(__xludf.DUMMYFUNCTION("GOOGLEFINANCE(A1110,""PRICEOPEN"")"),"#N/A")</f>
        <v>#N/A</v>
      </c>
      <c r="D1110" s="11" t="str">
        <f ca="1">IFERROR(__xludf.DUMMYFUNCTION("GOOGLEFINANCE(A1110,""HIGH"")"),"#N/A")</f>
        <v>#N/A</v>
      </c>
      <c r="E1110" s="11" t="str">
        <f ca="1">IFERROR(__xludf.DUMMYFUNCTION("GOOGLEFINANCE(A1110,""LOW"")"),"#N/A")</f>
        <v>#N/A</v>
      </c>
      <c r="F1110" s="12" t="str">
        <f t="shared" ca="1" si="35"/>
        <v>SELL</v>
      </c>
      <c r="G1110" s="13" t="str">
        <f ca="1">IFERROR(__xludf.DUMMYFUNCTION("GOOGLEFINANCE(A1110,""CLOSEYEST"")"),"#N/A")</f>
        <v>#N/A</v>
      </c>
      <c r="H1110" s="14" t="e">
        <f t="shared" ca="1" si="41"/>
        <v>#VALUE!</v>
      </c>
      <c r="I1110" s="15" t="e">
        <f t="shared" ca="1" si="36"/>
        <v>#VALUE!</v>
      </c>
      <c r="J1110" s="16" t="e">
        <f t="shared" ca="1" si="37"/>
        <v>#VALUE!</v>
      </c>
      <c r="K1110" s="16"/>
      <c r="L1110" s="16" t="e">
        <f t="shared" ca="1" si="38"/>
        <v>#VALUE!</v>
      </c>
      <c r="M1110" s="16" t="e">
        <f t="shared" ca="1" si="39"/>
        <v>#VALUE!</v>
      </c>
      <c r="N1110" s="16" t="e">
        <f t="shared" ca="1" si="40"/>
        <v>#VALUE!</v>
      </c>
    </row>
    <row r="1111" spans="1:14" ht="24.75" customHeight="1" x14ac:dyDescent="0.8">
      <c r="A1111" s="18" t="s">
        <v>1074</v>
      </c>
      <c r="B1111" s="10">
        <f ca="1">IFERROR(__xludf.DUMMYFUNCTION("GOOGLEFINANCE(A1111,""PRICE"")"),456)</f>
        <v>456</v>
      </c>
      <c r="C1111" s="11">
        <f ca="1">IFERROR(__xludf.DUMMYFUNCTION("GOOGLEFINANCE(A1111,""PRICEOPEN"")"),428)</f>
        <v>428</v>
      </c>
      <c r="D1111" s="11">
        <f ca="1">IFERROR(__xludf.DUMMYFUNCTION("GOOGLEFINANCE(A1111,""HIGH"")"),456)</f>
        <v>456</v>
      </c>
      <c r="E1111" s="11">
        <f ca="1">IFERROR(__xludf.DUMMYFUNCTION("GOOGLEFINANCE(A1111,""LOW"")"),428)</f>
        <v>428</v>
      </c>
      <c r="F1111" s="12" t="str">
        <f t="shared" ca="1" si="35"/>
        <v>BUY</v>
      </c>
      <c r="G1111" s="13">
        <f ca="1">IFERROR(__xludf.DUMMYFUNCTION("GOOGLEFINANCE(A1111,""CLOSEYEST"")"),428.75)</f>
        <v>428.75</v>
      </c>
      <c r="H1111" s="14" t="str">
        <f t="shared" ca="1" si="41"/>
        <v/>
      </c>
      <c r="I1111" s="15">
        <f t="shared" ca="1" si="36"/>
        <v>437.58333333333331</v>
      </c>
      <c r="J1111" s="16">
        <f t="shared" ca="1" si="37"/>
        <v>447.16666666666663</v>
      </c>
      <c r="K1111" s="16"/>
      <c r="L1111" s="16">
        <f t="shared" ca="1" si="38"/>
        <v>419.16666666666663</v>
      </c>
      <c r="M1111" s="16">
        <f t="shared" ca="1" si="39"/>
        <v>465.58333333333331</v>
      </c>
      <c r="N1111" s="16">
        <f t="shared" ca="1" si="40"/>
        <v>409.58333333333331</v>
      </c>
    </row>
    <row r="1112" spans="1:14" ht="24.75" customHeight="1" x14ac:dyDescent="0.8">
      <c r="A1112" s="18" t="s">
        <v>1075</v>
      </c>
      <c r="B1112" s="10">
        <f ca="1">IFERROR(__xludf.DUMMYFUNCTION("GOOGLEFINANCE(A1112,""PRICE"")"),190.9)</f>
        <v>190.9</v>
      </c>
      <c r="C1112" s="11">
        <f ca="1">IFERROR(__xludf.DUMMYFUNCTION("GOOGLEFINANCE(A1112,""PRICEOPEN"")"),191.29)</f>
        <v>191.29</v>
      </c>
      <c r="D1112" s="11">
        <f ca="1">IFERROR(__xludf.DUMMYFUNCTION("GOOGLEFINANCE(A1112,""HIGH"")"),194.39)</f>
        <v>194.39</v>
      </c>
      <c r="E1112" s="11">
        <f ca="1">IFERROR(__xludf.DUMMYFUNCTION("GOOGLEFINANCE(A1112,""LOW"")"),187.5)</f>
        <v>187.5</v>
      </c>
      <c r="F1112" s="12" t="str">
        <f t="shared" ca="1" si="35"/>
        <v/>
      </c>
      <c r="G1112" s="13">
        <f ca="1">IFERROR(__xludf.DUMMYFUNCTION("GOOGLEFINANCE(A1112,""CLOSEYEST"")"),189.86)</f>
        <v>189.86</v>
      </c>
      <c r="H1112" s="14" t="str">
        <f t="shared" ca="1" si="41"/>
        <v/>
      </c>
      <c r="I1112" s="15">
        <f t="shared" ca="1" si="36"/>
        <v>190.58333333333334</v>
      </c>
      <c r="J1112" s="16">
        <f t="shared" ca="1" si="37"/>
        <v>193.66666666666669</v>
      </c>
      <c r="K1112" s="16"/>
      <c r="L1112" s="16">
        <f t="shared" ca="1" si="38"/>
        <v>186.7766666666667</v>
      </c>
      <c r="M1112" s="16">
        <f t="shared" ca="1" si="39"/>
        <v>197.47333333333333</v>
      </c>
      <c r="N1112" s="16">
        <f t="shared" ca="1" si="40"/>
        <v>183.69333333333336</v>
      </c>
    </row>
    <row r="1113" spans="1:14" ht="24.75" customHeight="1" x14ac:dyDescent="0.8">
      <c r="A1113" s="18" t="s">
        <v>1076</v>
      </c>
      <c r="B1113" s="10">
        <f ca="1">IFERROR(__xludf.DUMMYFUNCTION("GOOGLEFINANCE(A1113,""PRICE"")"),55.3)</f>
        <v>55.3</v>
      </c>
      <c r="C1113" s="11">
        <f ca="1">IFERROR(__xludf.DUMMYFUNCTION("GOOGLEFINANCE(A1113,""PRICEOPEN"")"),53.6)</f>
        <v>53.6</v>
      </c>
      <c r="D1113" s="11">
        <f ca="1">IFERROR(__xludf.DUMMYFUNCTION("GOOGLEFINANCE(A1113,""HIGH"")"),56.95)</f>
        <v>56.95</v>
      </c>
      <c r="E1113" s="11">
        <f ca="1">IFERROR(__xludf.DUMMYFUNCTION("GOOGLEFINANCE(A1113,""LOW"")"),53.01)</f>
        <v>53.01</v>
      </c>
      <c r="F1113" s="12" t="str">
        <f t="shared" ca="1" si="35"/>
        <v/>
      </c>
      <c r="G1113" s="13">
        <f ca="1">IFERROR(__xludf.DUMMYFUNCTION("GOOGLEFINANCE(A1113,""CLOSEYEST"")"),53.23)</f>
        <v>53.23</v>
      </c>
      <c r="H1113" s="14" t="str">
        <f t="shared" ca="1" si="41"/>
        <v/>
      </c>
      <c r="I1113" s="15">
        <f t="shared" ca="1" si="36"/>
        <v>54.396666666666668</v>
      </c>
      <c r="J1113" s="16">
        <f t="shared" ca="1" si="37"/>
        <v>55.783333333333339</v>
      </c>
      <c r="K1113" s="16"/>
      <c r="L1113" s="16">
        <f t="shared" ca="1" si="38"/>
        <v>51.843333333333334</v>
      </c>
      <c r="M1113" s="16">
        <f t="shared" ca="1" si="39"/>
        <v>58.336666666666673</v>
      </c>
      <c r="N1113" s="16">
        <f t="shared" ca="1" si="40"/>
        <v>50.456666666666663</v>
      </c>
    </row>
    <row r="1114" spans="1:14" ht="24.75" customHeight="1" x14ac:dyDescent="0.8">
      <c r="A1114" s="18" t="s">
        <v>1077</v>
      </c>
      <c r="B1114" s="10">
        <f ca="1">IFERROR(__xludf.DUMMYFUNCTION("GOOGLEFINANCE(A1114,""PRICE"")"),3.39)</f>
        <v>3.39</v>
      </c>
      <c r="C1114" s="11">
        <f ca="1">IFERROR(__xludf.DUMMYFUNCTION("GOOGLEFINANCE(A1114,""PRICEOPEN"")"),3.35)</f>
        <v>3.35</v>
      </c>
      <c r="D1114" s="11">
        <f ca="1">IFERROR(__xludf.DUMMYFUNCTION("GOOGLEFINANCE(A1114,""HIGH"")"),3.4)</f>
        <v>3.4</v>
      </c>
      <c r="E1114" s="11">
        <f ca="1">IFERROR(__xludf.DUMMYFUNCTION("GOOGLEFINANCE(A1114,""LOW"")"),3.33)</f>
        <v>3.33</v>
      </c>
      <c r="F1114" s="12" t="str">
        <f t="shared" ca="1" si="35"/>
        <v/>
      </c>
      <c r="G1114" s="13">
        <f ca="1">IFERROR(__xludf.DUMMYFUNCTION("GOOGLEFINANCE(A1114,""CLOSEYEST"")"),3.34)</f>
        <v>3.34</v>
      </c>
      <c r="H1114" s="14" t="str">
        <f t="shared" ca="1" si="41"/>
        <v/>
      </c>
      <c r="I1114" s="15">
        <f t="shared" ca="1" si="36"/>
        <v>3.3566666666666669</v>
      </c>
      <c r="J1114" s="16">
        <f t="shared" ca="1" si="37"/>
        <v>3.3833333333333337</v>
      </c>
      <c r="K1114" s="16"/>
      <c r="L1114" s="16">
        <f t="shared" ca="1" si="38"/>
        <v>3.3133333333333339</v>
      </c>
      <c r="M1114" s="16">
        <f t="shared" ca="1" si="39"/>
        <v>3.4266666666666667</v>
      </c>
      <c r="N1114" s="16">
        <f t="shared" ca="1" si="40"/>
        <v>3.2866666666666671</v>
      </c>
    </row>
    <row r="1115" spans="1:14" ht="24.75" customHeight="1" x14ac:dyDescent="0.8">
      <c r="A1115" s="18" t="s">
        <v>1078</v>
      </c>
      <c r="B1115" s="10">
        <f ca="1">IFERROR(__xludf.DUMMYFUNCTION("GOOGLEFINANCE(A1115,""PRICE"")"),941.75)</f>
        <v>941.75</v>
      </c>
      <c r="C1115" s="11">
        <f ca="1">IFERROR(__xludf.DUMMYFUNCTION("GOOGLEFINANCE(A1115,""PRICEOPEN"")"),942)</f>
        <v>942</v>
      </c>
      <c r="D1115" s="11">
        <f ca="1">IFERROR(__xludf.DUMMYFUNCTION("GOOGLEFINANCE(A1115,""HIGH"")"),951)</f>
        <v>951</v>
      </c>
      <c r="E1115" s="11">
        <f ca="1">IFERROR(__xludf.DUMMYFUNCTION("GOOGLEFINANCE(A1115,""LOW"")"),936.5)</f>
        <v>936.5</v>
      </c>
      <c r="F1115" s="12" t="str">
        <f t="shared" ca="1" si="35"/>
        <v/>
      </c>
      <c r="G1115" s="13">
        <f ca="1">IFERROR(__xludf.DUMMYFUNCTION("GOOGLEFINANCE(A1115,""CLOSEYEST"")"),949.55)</f>
        <v>949.55</v>
      </c>
      <c r="H1115" s="14" t="str">
        <f t="shared" ca="1" si="41"/>
        <v/>
      </c>
      <c r="I1115" s="15">
        <f t="shared" ca="1" si="36"/>
        <v>945.68333333333339</v>
      </c>
      <c r="J1115" s="16">
        <f t="shared" ca="1" si="37"/>
        <v>954.86666666666679</v>
      </c>
      <c r="K1115" s="16"/>
      <c r="L1115" s="16">
        <f t="shared" ca="1" si="38"/>
        <v>940.36666666666679</v>
      </c>
      <c r="M1115" s="16">
        <f t="shared" ca="1" si="39"/>
        <v>960.18333333333339</v>
      </c>
      <c r="N1115" s="16">
        <f t="shared" ca="1" si="40"/>
        <v>931.18333333333339</v>
      </c>
    </row>
    <row r="1116" spans="1:14" ht="24.75" customHeight="1" x14ac:dyDescent="0.8">
      <c r="A1116" s="18" t="s">
        <v>1079</v>
      </c>
      <c r="B1116" s="10">
        <f ca="1">IFERROR(__xludf.DUMMYFUNCTION("GOOGLEFINANCE(A1116,""PRICE"")"),12.66)</f>
        <v>12.66</v>
      </c>
      <c r="C1116" s="11">
        <f ca="1">IFERROR(__xludf.DUMMYFUNCTION("GOOGLEFINANCE(A1116,""PRICEOPEN"")"),12.66)</f>
        <v>12.66</v>
      </c>
      <c r="D1116" s="11">
        <f ca="1">IFERROR(__xludf.DUMMYFUNCTION("GOOGLEFINANCE(A1116,""HIGH"")"),12.66)</f>
        <v>12.66</v>
      </c>
      <c r="E1116" s="11">
        <f ca="1">IFERROR(__xludf.DUMMYFUNCTION("GOOGLEFINANCE(A1116,""LOW"")"),12.66)</f>
        <v>12.66</v>
      </c>
      <c r="F1116" s="12" t="str">
        <f t="shared" ca="1" si="35"/>
        <v>SELL</v>
      </c>
      <c r="G1116" s="13">
        <f ca="1">IFERROR(__xludf.DUMMYFUNCTION("GOOGLEFINANCE(A1116,""CLOSEYEST"")"),12.06)</f>
        <v>12.06</v>
      </c>
      <c r="H1116" s="14" t="str">
        <f t="shared" ca="1" si="41"/>
        <v>GAP UP</v>
      </c>
      <c r="I1116" s="15">
        <f t="shared" ca="1" si="36"/>
        <v>12.46</v>
      </c>
      <c r="J1116" s="16">
        <f t="shared" ca="1" si="37"/>
        <v>12.260000000000002</v>
      </c>
      <c r="K1116" s="16"/>
      <c r="L1116" s="16">
        <f t="shared" ca="1" si="38"/>
        <v>12.260000000000002</v>
      </c>
      <c r="M1116" s="16">
        <f t="shared" ca="1" si="39"/>
        <v>12.46</v>
      </c>
      <c r="N1116" s="16">
        <f t="shared" ca="1" si="40"/>
        <v>12.46</v>
      </c>
    </row>
    <row r="1117" spans="1:14" ht="24.75" customHeight="1" x14ac:dyDescent="0.8">
      <c r="A1117" s="18" t="s">
        <v>1080</v>
      </c>
      <c r="B1117" s="10">
        <f ca="1">IFERROR(__xludf.DUMMYFUNCTION("GOOGLEFINANCE(A1117,""PRICE"")"),240)</f>
        <v>240</v>
      </c>
      <c r="C1117" s="11">
        <f ca="1">IFERROR(__xludf.DUMMYFUNCTION("GOOGLEFINANCE(A1117,""PRICEOPEN"")"),241.69)</f>
        <v>241.69</v>
      </c>
      <c r="D1117" s="11">
        <f ca="1">IFERROR(__xludf.DUMMYFUNCTION("GOOGLEFINANCE(A1117,""HIGH"")"),241.69)</f>
        <v>241.69</v>
      </c>
      <c r="E1117" s="11">
        <f ca="1">IFERROR(__xludf.DUMMYFUNCTION("GOOGLEFINANCE(A1117,""LOW"")"),234)</f>
        <v>234</v>
      </c>
      <c r="F1117" s="12" t="str">
        <f t="shared" ca="1" si="35"/>
        <v>SELL</v>
      </c>
      <c r="G1117" s="13">
        <f ca="1">IFERROR(__xludf.DUMMYFUNCTION("GOOGLEFINANCE(A1117,""CLOSEYEST"")"),236.89)</f>
        <v>236.89</v>
      </c>
      <c r="H1117" s="14" t="str">
        <f t="shared" ca="1" si="41"/>
        <v>GAP UP</v>
      </c>
      <c r="I1117" s="15">
        <f t="shared" ca="1" si="36"/>
        <v>237.52666666666664</v>
      </c>
      <c r="J1117" s="16">
        <f t="shared" ca="1" si="37"/>
        <v>241.05333333333328</v>
      </c>
      <c r="K1117" s="16"/>
      <c r="L1117" s="16">
        <f t="shared" ca="1" si="38"/>
        <v>233.36333333333329</v>
      </c>
      <c r="M1117" s="16">
        <f t="shared" ca="1" si="39"/>
        <v>245.21666666666664</v>
      </c>
      <c r="N1117" s="16">
        <f t="shared" ca="1" si="40"/>
        <v>229.83666666666664</v>
      </c>
    </row>
    <row r="1118" spans="1:14" ht="24.75" customHeight="1" x14ac:dyDescent="0.8">
      <c r="A1118" s="18" t="s">
        <v>1081</v>
      </c>
      <c r="B1118" s="10">
        <f ca="1">IFERROR(__xludf.DUMMYFUNCTION("GOOGLEFINANCE(A1118,""PRICE"")"),2.22)</f>
        <v>2.2200000000000002</v>
      </c>
      <c r="C1118" s="11">
        <f ca="1">IFERROR(__xludf.DUMMYFUNCTION("GOOGLEFINANCE(A1118,""PRICEOPEN"")"),2.2)</f>
        <v>2.2000000000000002</v>
      </c>
      <c r="D1118" s="11">
        <f ca="1">IFERROR(__xludf.DUMMYFUNCTION("GOOGLEFINANCE(A1118,""HIGH"")"),2.22)</f>
        <v>2.2200000000000002</v>
      </c>
      <c r="E1118" s="11">
        <f ca="1">IFERROR(__xludf.DUMMYFUNCTION("GOOGLEFINANCE(A1118,""LOW"")"),2.19)</f>
        <v>2.19</v>
      </c>
      <c r="F1118" s="12" t="str">
        <f t="shared" ca="1" si="35"/>
        <v/>
      </c>
      <c r="G1118" s="13">
        <f ca="1">IFERROR(__xludf.DUMMYFUNCTION("GOOGLEFINANCE(A1118,""CLOSEYEST"")"),2.2)</f>
        <v>2.2000000000000002</v>
      </c>
      <c r="H1118" s="14" t="str">
        <f t="shared" ca="1" si="41"/>
        <v/>
      </c>
      <c r="I1118" s="15">
        <f t="shared" ca="1" si="36"/>
        <v>2.2033333333333336</v>
      </c>
      <c r="J1118" s="16">
        <f t="shared" ca="1" si="37"/>
        <v>2.2166666666666672</v>
      </c>
      <c r="K1118" s="16"/>
      <c r="L1118" s="16">
        <f t="shared" ca="1" si="38"/>
        <v>2.186666666666667</v>
      </c>
      <c r="M1118" s="16">
        <f t="shared" ca="1" si="39"/>
        <v>2.2333333333333338</v>
      </c>
      <c r="N1118" s="16">
        <f t="shared" ca="1" si="40"/>
        <v>2.1733333333333333</v>
      </c>
    </row>
    <row r="1119" spans="1:14" ht="24.75" customHeight="1" x14ac:dyDescent="0.8">
      <c r="A1119" s="18" t="s">
        <v>1082</v>
      </c>
      <c r="B1119" s="10">
        <f ca="1">IFERROR(__xludf.DUMMYFUNCTION("GOOGLEFINANCE(A1119,""PRICE"")"),274)</f>
        <v>274</v>
      </c>
      <c r="C1119" s="11">
        <f ca="1">IFERROR(__xludf.DUMMYFUNCTION("GOOGLEFINANCE(A1119,""PRICEOPEN"")"),238)</f>
        <v>238</v>
      </c>
      <c r="D1119" s="11">
        <f ca="1">IFERROR(__xludf.DUMMYFUNCTION("GOOGLEFINANCE(A1119,""HIGH"")"),274.8)</f>
        <v>274.8</v>
      </c>
      <c r="E1119" s="11">
        <f ca="1">IFERROR(__xludf.DUMMYFUNCTION("GOOGLEFINANCE(A1119,""LOW"")"),236.05)</f>
        <v>236.05</v>
      </c>
      <c r="F1119" s="12" t="str">
        <f t="shared" ca="1" si="35"/>
        <v/>
      </c>
      <c r="G1119" s="13">
        <f ca="1">IFERROR(__xludf.DUMMYFUNCTION("GOOGLEFINANCE(A1119,""CLOSEYEST"")"),231.57)</f>
        <v>231.57</v>
      </c>
      <c r="H1119" s="14" t="str">
        <f t="shared" ca="1" si="41"/>
        <v>GAP UP</v>
      </c>
      <c r="I1119" s="15">
        <f t="shared" ca="1" si="36"/>
        <v>247.47333333333336</v>
      </c>
      <c r="J1119" s="16">
        <f t="shared" ca="1" si="37"/>
        <v>258.8966666666667</v>
      </c>
      <c r="K1119" s="16"/>
      <c r="L1119" s="16">
        <f t="shared" ca="1" si="38"/>
        <v>220.1466666666667</v>
      </c>
      <c r="M1119" s="16">
        <f t="shared" ca="1" si="39"/>
        <v>286.22333333333336</v>
      </c>
      <c r="N1119" s="16">
        <f t="shared" ca="1" si="40"/>
        <v>208.72333333333336</v>
      </c>
    </row>
    <row r="1120" spans="1:14" ht="24.75" customHeight="1" x14ac:dyDescent="0.8">
      <c r="A1120" s="18" t="s">
        <v>1083</v>
      </c>
      <c r="B1120" s="10">
        <f ca="1">IFERROR(__xludf.DUMMYFUNCTION("GOOGLEFINANCE(A1120,""PRICE"")"),61.6)</f>
        <v>61.6</v>
      </c>
      <c r="C1120" s="11">
        <f ca="1">IFERROR(__xludf.DUMMYFUNCTION("GOOGLEFINANCE(A1120,""PRICEOPEN"")"),61.35)</f>
        <v>61.35</v>
      </c>
      <c r="D1120" s="11">
        <f ca="1">IFERROR(__xludf.DUMMYFUNCTION("GOOGLEFINANCE(A1120,""HIGH"")"),61.99)</f>
        <v>61.99</v>
      </c>
      <c r="E1120" s="11">
        <f ca="1">IFERROR(__xludf.DUMMYFUNCTION("GOOGLEFINANCE(A1120,""LOW"")"),61.3)</f>
        <v>61.3</v>
      </c>
      <c r="F1120" s="12" t="str">
        <f t="shared" ca="1" si="35"/>
        <v/>
      </c>
      <c r="G1120" s="13">
        <f ca="1">IFERROR(__xludf.DUMMYFUNCTION("GOOGLEFINANCE(A1120,""CLOSEYEST"")"),61.31)</f>
        <v>61.31</v>
      </c>
      <c r="H1120" s="14" t="str">
        <f t="shared" ca="1" si="41"/>
        <v/>
      </c>
      <c r="I1120" s="15">
        <f t="shared" ca="1" si="36"/>
        <v>61.533333333333331</v>
      </c>
      <c r="J1120" s="16">
        <f t="shared" ca="1" si="37"/>
        <v>61.766666666666666</v>
      </c>
      <c r="K1120" s="16"/>
      <c r="L1120" s="16">
        <f t="shared" ca="1" si="38"/>
        <v>61.076666666666661</v>
      </c>
      <c r="M1120" s="16">
        <f t="shared" ca="1" si="39"/>
        <v>62.223333333333336</v>
      </c>
      <c r="N1120" s="16">
        <f t="shared" ca="1" si="40"/>
        <v>60.843333333333327</v>
      </c>
    </row>
    <row r="1121" spans="1:14" ht="24.75" customHeight="1" x14ac:dyDescent="0.8">
      <c r="A1121" s="18" t="s">
        <v>1084</v>
      </c>
      <c r="B1121" s="10" t="str">
        <f ca="1">IFERROR(__xludf.DUMMYFUNCTION("GOOGLEFINANCE(A1121,""PRICE"")"),"#N/A")</f>
        <v>#N/A</v>
      </c>
      <c r="C1121" s="11" t="str">
        <f ca="1">IFERROR(__xludf.DUMMYFUNCTION("GOOGLEFINANCE(A1121,""PRICEOPEN"")"),"#N/A")</f>
        <v>#N/A</v>
      </c>
      <c r="D1121" s="11" t="str">
        <f ca="1">IFERROR(__xludf.DUMMYFUNCTION("GOOGLEFINANCE(A1121,""HIGH"")"),"#N/A")</f>
        <v>#N/A</v>
      </c>
      <c r="E1121" s="11" t="str">
        <f ca="1">IFERROR(__xludf.DUMMYFUNCTION("GOOGLEFINANCE(A1121,""LOW"")"),"#N/A")</f>
        <v>#N/A</v>
      </c>
      <c r="F1121" s="12" t="str">
        <f t="shared" ca="1" si="35"/>
        <v>SELL</v>
      </c>
      <c r="G1121" s="13" t="str">
        <f ca="1">IFERROR(__xludf.DUMMYFUNCTION("GOOGLEFINANCE(A1121,""CLOSEYEST"")"),"#N/A")</f>
        <v>#N/A</v>
      </c>
      <c r="H1121" s="14" t="e">
        <f t="shared" ca="1" si="41"/>
        <v>#VALUE!</v>
      </c>
      <c r="I1121" s="15" t="e">
        <f t="shared" ca="1" si="36"/>
        <v>#VALUE!</v>
      </c>
      <c r="J1121" s="16" t="e">
        <f t="shared" ca="1" si="37"/>
        <v>#VALUE!</v>
      </c>
      <c r="K1121" s="16"/>
      <c r="L1121" s="16" t="e">
        <f t="shared" ca="1" si="38"/>
        <v>#VALUE!</v>
      </c>
      <c r="M1121" s="16" t="e">
        <f t="shared" ca="1" si="39"/>
        <v>#VALUE!</v>
      </c>
      <c r="N1121" s="16" t="e">
        <f t="shared" ca="1" si="40"/>
        <v>#VALUE!</v>
      </c>
    </row>
    <row r="1122" spans="1:14" ht="24.75" customHeight="1" x14ac:dyDescent="0.8">
      <c r="A1122" s="18" t="s">
        <v>1085</v>
      </c>
      <c r="B1122" s="10">
        <f ca="1">IFERROR(__xludf.DUMMYFUNCTION("GOOGLEFINANCE(A1122,""PRICE"")"),85.24)</f>
        <v>85.24</v>
      </c>
      <c r="C1122" s="11">
        <f ca="1">IFERROR(__xludf.DUMMYFUNCTION("GOOGLEFINANCE(A1122,""PRICEOPEN"")"),85.1)</f>
        <v>85.1</v>
      </c>
      <c r="D1122" s="11">
        <f ca="1">IFERROR(__xludf.DUMMYFUNCTION("GOOGLEFINANCE(A1122,""HIGH"")"),85.92)</f>
        <v>85.92</v>
      </c>
      <c r="E1122" s="11">
        <f ca="1">IFERROR(__xludf.DUMMYFUNCTION("GOOGLEFINANCE(A1122,""LOW"")"),83.95)</f>
        <v>83.95</v>
      </c>
      <c r="F1122" s="12" t="str">
        <f t="shared" ca="1" si="35"/>
        <v/>
      </c>
      <c r="G1122" s="13">
        <f ca="1">IFERROR(__xludf.DUMMYFUNCTION("GOOGLEFINANCE(A1122,""CLOSEYEST"")"),85.06)</f>
        <v>85.06</v>
      </c>
      <c r="H1122" s="14" t="str">
        <f t="shared" ca="1" si="41"/>
        <v/>
      </c>
      <c r="I1122" s="15">
        <f t="shared" ca="1" si="36"/>
        <v>84.976666666666674</v>
      </c>
      <c r="J1122" s="16">
        <f t="shared" ca="1" si="37"/>
        <v>86.003333333333345</v>
      </c>
      <c r="K1122" s="16"/>
      <c r="L1122" s="16">
        <f t="shared" ca="1" si="38"/>
        <v>84.033333333333346</v>
      </c>
      <c r="M1122" s="16">
        <f t="shared" ca="1" si="39"/>
        <v>86.946666666666673</v>
      </c>
      <c r="N1122" s="16">
        <f t="shared" ca="1" si="40"/>
        <v>83.006666666666675</v>
      </c>
    </row>
    <row r="1123" spans="1:14" ht="24.75" customHeight="1" x14ac:dyDescent="0.8">
      <c r="A1123" s="18" t="s">
        <v>1086</v>
      </c>
      <c r="B1123" s="10">
        <f ca="1">IFERROR(__xludf.DUMMYFUNCTION("GOOGLEFINANCE(A1123,""PRICE"")"),1.3)</f>
        <v>1.3</v>
      </c>
      <c r="C1123" s="11">
        <f ca="1">IFERROR(__xludf.DUMMYFUNCTION("GOOGLEFINANCE(A1123,""PRICEOPEN"")"),1.23)</f>
        <v>1.23</v>
      </c>
      <c r="D1123" s="11">
        <f ca="1">IFERROR(__xludf.DUMMYFUNCTION("GOOGLEFINANCE(A1123,""HIGH"")"),1.3)</f>
        <v>1.3</v>
      </c>
      <c r="E1123" s="11">
        <f ca="1">IFERROR(__xludf.DUMMYFUNCTION("GOOGLEFINANCE(A1123,""LOW"")"),1.22)</f>
        <v>1.22</v>
      </c>
      <c r="F1123" s="12" t="str">
        <f t="shared" ca="1" si="35"/>
        <v/>
      </c>
      <c r="G1123" s="13">
        <f ca="1">IFERROR(__xludf.DUMMYFUNCTION("GOOGLEFINANCE(A1123,""CLOSEYEST"")"),1.24)</f>
        <v>1.24</v>
      </c>
      <c r="H1123" s="14" t="str">
        <f t="shared" ca="1" si="41"/>
        <v/>
      </c>
      <c r="I1123" s="15">
        <f t="shared" ca="1" si="36"/>
        <v>1.2533333333333332</v>
      </c>
      <c r="J1123" s="16">
        <f t="shared" ca="1" si="37"/>
        <v>1.2866666666666664</v>
      </c>
      <c r="K1123" s="16"/>
      <c r="L1123" s="16">
        <f t="shared" ca="1" si="38"/>
        <v>1.2066666666666663</v>
      </c>
      <c r="M1123" s="16">
        <f t="shared" ca="1" si="39"/>
        <v>1.3333333333333333</v>
      </c>
      <c r="N1123" s="16">
        <f t="shared" ca="1" si="40"/>
        <v>1.1733333333333331</v>
      </c>
    </row>
    <row r="1124" spans="1:14" ht="24.75" customHeight="1" x14ac:dyDescent="0.8">
      <c r="A1124" s="18" t="s">
        <v>1087</v>
      </c>
      <c r="B1124" s="10">
        <f ca="1">IFERROR(__xludf.DUMMYFUNCTION("GOOGLEFINANCE(A1124,""PRICE"")"),97.9)</f>
        <v>97.9</v>
      </c>
      <c r="C1124" s="11">
        <f ca="1">IFERROR(__xludf.DUMMYFUNCTION("GOOGLEFINANCE(A1124,""PRICEOPEN"")"),98.89)</f>
        <v>98.89</v>
      </c>
      <c r="D1124" s="11">
        <f ca="1">IFERROR(__xludf.DUMMYFUNCTION("GOOGLEFINANCE(A1124,""HIGH"")"),98.9)</f>
        <v>98.9</v>
      </c>
      <c r="E1124" s="11">
        <f ca="1">IFERROR(__xludf.DUMMYFUNCTION("GOOGLEFINANCE(A1124,""LOW"")"),96.2)</f>
        <v>96.2</v>
      </c>
      <c r="F1124" s="12" t="str">
        <f t="shared" ca="1" si="35"/>
        <v/>
      </c>
      <c r="G1124" s="13">
        <f ca="1">IFERROR(__xludf.DUMMYFUNCTION("GOOGLEFINANCE(A1124,""CLOSEYEST"")"),97.23)</f>
        <v>97.23</v>
      </c>
      <c r="H1124" s="14" t="str">
        <f t="shared" ca="1" si="41"/>
        <v>GAP UP</v>
      </c>
      <c r="I1124" s="15">
        <f t="shared" ca="1" si="36"/>
        <v>97.443333333333342</v>
      </c>
      <c r="J1124" s="16">
        <f t="shared" ca="1" si="37"/>
        <v>98.686666666666682</v>
      </c>
      <c r="K1124" s="16"/>
      <c r="L1124" s="16">
        <f t="shared" ca="1" si="38"/>
        <v>95.986666666666679</v>
      </c>
      <c r="M1124" s="16">
        <f t="shared" ca="1" si="39"/>
        <v>100.14333333333335</v>
      </c>
      <c r="N1124" s="16">
        <f t="shared" ca="1" si="40"/>
        <v>94.743333333333339</v>
      </c>
    </row>
    <row r="1125" spans="1:14" ht="24.75" customHeight="1" x14ac:dyDescent="0.8">
      <c r="A1125" s="18" t="s">
        <v>1088</v>
      </c>
      <c r="B1125" s="10">
        <f ca="1">IFERROR(__xludf.DUMMYFUNCTION("GOOGLEFINANCE(A1125,""PRICE"")"),820)</f>
        <v>820</v>
      </c>
      <c r="C1125" s="11">
        <f ca="1">IFERROR(__xludf.DUMMYFUNCTION("GOOGLEFINANCE(A1125,""PRICEOPEN"")"),800.5)</f>
        <v>800.5</v>
      </c>
      <c r="D1125" s="11">
        <f ca="1">IFERROR(__xludf.DUMMYFUNCTION("GOOGLEFINANCE(A1125,""HIGH"")"),829.7)</f>
        <v>829.7</v>
      </c>
      <c r="E1125" s="11">
        <f ca="1">IFERROR(__xludf.DUMMYFUNCTION("GOOGLEFINANCE(A1125,""LOW"")"),792.6)</f>
        <v>792.6</v>
      </c>
      <c r="F1125" s="12" t="str">
        <f t="shared" ca="1" si="35"/>
        <v/>
      </c>
      <c r="G1125" s="13">
        <f ca="1">IFERROR(__xludf.DUMMYFUNCTION("GOOGLEFINANCE(A1125,""CLOSEYEST"")"),790)</f>
        <v>790</v>
      </c>
      <c r="H1125" s="14" t="str">
        <f t="shared" ca="1" si="41"/>
        <v>GAP UP</v>
      </c>
      <c r="I1125" s="15">
        <f t="shared" ca="1" si="36"/>
        <v>804.1</v>
      </c>
      <c r="J1125" s="16">
        <f t="shared" ca="1" si="37"/>
        <v>815.6</v>
      </c>
      <c r="K1125" s="16"/>
      <c r="L1125" s="16">
        <f t="shared" ca="1" si="38"/>
        <v>778.5</v>
      </c>
      <c r="M1125" s="16">
        <f t="shared" ca="1" si="39"/>
        <v>841.2</v>
      </c>
      <c r="N1125" s="16">
        <f t="shared" ca="1" si="40"/>
        <v>767</v>
      </c>
    </row>
    <row r="1126" spans="1:14" ht="24.75" customHeight="1" x14ac:dyDescent="0.8">
      <c r="A1126" s="18" t="s">
        <v>1089</v>
      </c>
      <c r="B1126" s="10">
        <f ca="1">IFERROR(__xludf.DUMMYFUNCTION("GOOGLEFINANCE(A1126,""PRICE"")"),91.55)</f>
        <v>91.55</v>
      </c>
      <c r="C1126" s="11">
        <f ca="1">IFERROR(__xludf.DUMMYFUNCTION("GOOGLEFINANCE(A1126,""PRICEOPEN"")"),90.8)</f>
        <v>90.8</v>
      </c>
      <c r="D1126" s="11">
        <f ca="1">IFERROR(__xludf.DUMMYFUNCTION("GOOGLEFINANCE(A1126,""HIGH"")"),91.95)</f>
        <v>91.95</v>
      </c>
      <c r="E1126" s="11">
        <f ca="1">IFERROR(__xludf.DUMMYFUNCTION("GOOGLEFINANCE(A1126,""LOW"")"),90)</f>
        <v>90</v>
      </c>
      <c r="F1126" s="12" t="str">
        <f t="shared" ca="1" si="35"/>
        <v/>
      </c>
      <c r="G1126" s="13">
        <f ca="1">IFERROR(__xludf.DUMMYFUNCTION("GOOGLEFINANCE(A1126,""CLOSEYEST"")"),90.81)</f>
        <v>90.81</v>
      </c>
      <c r="H1126" s="14" t="str">
        <f t="shared" ca="1" si="41"/>
        <v/>
      </c>
      <c r="I1126" s="15">
        <f t="shared" ca="1" si="36"/>
        <v>90.92</v>
      </c>
      <c r="J1126" s="16">
        <f t="shared" ca="1" si="37"/>
        <v>91.84</v>
      </c>
      <c r="K1126" s="16"/>
      <c r="L1126" s="16">
        <f t="shared" ca="1" si="38"/>
        <v>89.89</v>
      </c>
      <c r="M1126" s="16">
        <f t="shared" ca="1" si="39"/>
        <v>92.87</v>
      </c>
      <c r="N1126" s="16">
        <f t="shared" ca="1" si="40"/>
        <v>88.97</v>
      </c>
    </row>
    <row r="1127" spans="1:14" ht="24.75" customHeight="1" x14ac:dyDescent="0.8">
      <c r="A1127" s="18" t="s">
        <v>1090</v>
      </c>
      <c r="B1127" s="10">
        <f ca="1">IFERROR(__xludf.DUMMYFUNCTION("GOOGLEFINANCE(A1127,""PRICE"")"),187.5)</f>
        <v>187.5</v>
      </c>
      <c r="C1127" s="11">
        <f ca="1">IFERROR(__xludf.DUMMYFUNCTION("GOOGLEFINANCE(A1127,""PRICEOPEN"")"),185.64)</f>
        <v>185.64</v>
      </c>
      <c r="D1127" s="11">
        <f ca="1">IFERROR(__xludf.DUMMYFUNCTION("GOOGLEFINANCE(A1127,""HIGH"")"),189.02)</f>
        <v>189.02</v>
      </c>
      <c r="E1127" s="11">
        <f ca="1">IFERROR(__xludf.DUMMYFUNCTION("GOOGLEFINANCE(A1127,""LOW"")"),185.64)</f>
        <v>185.64</v>
      </c>
      <c r="F1127" s="12" t="str">
        <f t="shared" ca="1" si="35"/>
        <v>BUY</v>
      </c>
      <c r="G1127" s="13">
        <f ca="1">IFERROR(__xludf.DUMMYFUNCTION("GOOGLEFINANCE(A1127,""CLOSEYEST"")"),185.64)</f>
        <v>185.64</v>
      </c>
      <c r="H1127" s="14" t="str">
        <f t="shared" ca="1" si="41"/>
        <v/>
      </c>
      <c r="I1127" s="15">
        <f t="shared" ca="1" si="36"/>
        <v>186.76666666666665</v>
      </c>
      <c r="J1127" s="16">
        <f t="shared" ca="1" si="37"/>
        <v>187.89333333333332</v>
      </c>
      <c r="K1127" s="16"/>
      <c r="L1127" s="16">
        <f t="shared" ca="1" si="38"/>
        <v>184.51333333333329</v>
      </c>
      <c r="M1127" s="16">
        <f t="shared" ca="1" si="39"/>
        <v>190.14666666666668</v>
      </c>
      <c r="N1127" s="16">
        <f t="shared" ca="1" si="40"/>
        <v>183.38666666666663</v>
      </c>
    </row>
    <row r="1128" spans="1:14" ht="24.75" customHeight="1" x14ac:dyDescent="0.8">
      <c r="A1128" s="18" t="s">
        <v>1091</v>
      </c>
      <c r="B1128" s="10" t="str">
        <f ca="1">IFERROR(__xludf.DUMMYFUNCTION("GOOGLEFINANCE(A1128,""PRICE"")"),"#N/A")</f>
        <v>#N/A</v>
      </c>
      <c r="C1128" s="11" t="str">
        <f ca="1">IFERROR(__xludf.DUMMYFUNCTION("GOOGLEFINANCE(A1128,""PRICEOPEN"")"),"#N/A")</f>
        <v>#N/A</v>
      </c>
      <c r="D1128" s="11" t="str">
        <f ca="1">IFERROR(__xludf.DUMMYFUNCTION("GOOGLEFINANCE(A1128,""HIGH"")"),"#N/A")</f>
        <v>#N/A</v>
      </c>
      <c r="E1128" s="11" t="str">
        <f ca="1">IFERROR(__xludf.DUMMYFUNCTION("GOOGLEFINANCE(A1128,""LOW"")"),"#N/A")</f>
        <v>#N/A</v>
      </c>
      <c r="F1128" s="12" t="str">
        <f t="shared" ca="1" si="35"/>
        <v>SELL</v>
      </c>
      <c r="G1128" s="13" t="str">
        <f ca="1">IFERROR(__xludf.DUMMYFUNCTION("GOOGLEFINANCE(A1128,""CLOSEYEST"")"),"#N/A")</f>
        <v>#N/A</v>
      </c>
      <c r="H1128" s="14" t="e">
        <f t="shared" ca="1" si="41"/>
        <v>#VALUE!</v>
      </c>
      <c r="I1128" s="15" t="e">
        <f t="shared" ca="1" si="36"/>
        <v>#VALUE!</v>
      </c>
      <c r="J1128" s="16" t="e">
        <f t="shared" ca="1" si="37"/>
        <v>#VALUE!</v>
      </c>
      <c r="K1128" s="16"/>
      <c r="L1128" s="16" t="e">
        <f t="shared" ca="1" si="38"/>
        <v>#VALUE!</v>
      </c>
      <c r="M1128" s="16" t="e">
        <f t="shared" ca="1" si="39"/>
        <v>#VALUE!</v>
      </c>
      <c r="N1128" s="16" t="e">
        <f t="shared" ca="1" si="40"/>
        <v>#VALUE!</v>
      </c>
    </row>
    <row r="1129" spans="1:14" ht="24.75" customHeight="1" x14ac:dyDescent="0.8">
      <c r="A1129" s="18" t="s">
        <v>1092</v>
      </c>
      <c r="B1129" s="10">
        <f ca="1">IFERROR(__xludf.DUMMYFUNCTION("GOOGLEFINANCE(A1129,""PRICE"")"),109.99)</f>
        <v>109.99</v>
      </c>
      <c r="C1129" s="11">
        <f ca="1">IFERROR(__xludf.DUMMYFUNCTION("GOOGLEFINANCE(A1129,""PRICEOPEN"")"),110.69)</f>
        <v>110.69</v>
      </c>
      <c r="D1129" s="11">
        <f ca="1">IFERROR(__xludf.DUMMYFUNCTION("GOOGLEFINANCE(A1129,""HIGH"")"),111)</f>
        <v>111</v>
      </c>
      <c r="E1129" s="11">
        <f ca="1">IFERROR(__xludf.DUMMYFUNCTION("GOOGLEFINANCE(A1129,""LOW"")"),109)</f>
        <v>109</v>
      </c>
      <c r="F1129" s="12" t="str">
        <f t="shared" ca="1" si="35"/>
        <v/>
      </c>
      <c r="G1129" s="13">
        <f ca="1">IFERROR(__xludf.DUMMYFUNCTION("GOOGLEFINANCE(A1129,""CLOSEYEST"")"),110.42)</f>
        <v>110.42</v>
      </c>
      <c r="H1129" s="14" t="str">
        <f t="shared" ca="1" si="41"/>
        <v/>
      </c>
      <c r="I1129" s="15">
        <f t="shared" ca="1" si="36"/>
        <v>110.14</v>
      </c>
      <c r="J1129" s="16">
        <f t="shared" ca="1" si="37"/>
        <v>111.28</v>
      </c>
      <c r="K1129" s="16"/>
      <c r="L1129" s="16">
        <f t="shared" ca="1" si="38"/>
        <v>109.28</v>
      </c>
      <c r="M1129" s="16">
        <f t="shared" ca="1" si="39"/>
        <v>112.14</v>
      </c>
      <c r="N1129" s="16">
        <f t="shared" ca="1" si="40"/>
        <v>108.14</v>
      </c>
    </row>
    <row r="1130" spans="1:14" ht="24.75" customHeight="1" x14ac:dyDescent="0.8">
      <c r="A1130" s="18" t="s">
        <v>1093</v>
      </c>
      <c r="B1130" s="10">
        <f ca="1">IFERROR(__xludf.DUMMYFUNCTION("GOOGLEFINANCE(A1130,""PRICE"")"),93.26)</f>
        <v>93.26</v>
      </c>
      <c r="C1130" s="11">
        <f ca="1">IFERROR(__xludf.DUMMYFUNCTION("GOOGLEFINANCE(A1130,""PRICEOPEN"")"),94.2)</f>
        <v>94.2</v>
      </c>
      <c r="D1130" s="11">
        <f ca="1">IFERROR(__xludf.DUMMYFUNCTION("GOOGLEFINANCE(A1130,""HIGH"")"),94.59)</f>
        <v>94.59</v>
      </c>
      <c r="E1130" s="11">
        <f ca="1">IFERROR(__xludf.DUMMYFUNCTION("GOOGLEFINANCE(A1130,""LOW"")"),92.4)</f>
        <v>92.4</v>
      </c>
      <c r="F1130" s="12" t="str">
        <f t="shared" ca="1" si="35"/>
        <v/>
      </c>
      <c r="G1130" s="13">
        <f ca="1">IFERROR(__xludf.DUMMYFUNCTION("GOOGLEFINANCE(A1130,""CLOSEYEST"")"),93.8)</f>
        <v>93.8</v>
      </c>
      <c r="H1130" s="14" t="str">
        <f t="shared" ca="1" si="41"/>
        <v/>
      </c>
      <c r="I1130" s="15">
        <f t="shared" ca="1" si="36"/>
        <v>93.596666666666678</v>
      </c>
      <c r="J1130" s="16">
        <f t="shared" ca="1" si="37"/>
        <v>94.793333333333351</v>
      </c>
      <c r="K1130" s="16"/>
      <c r="L1130" s="16">
        <f t="shared" ca="1" si="38"/>
        <v>92.603333333333353</v>
      </c>
      <c r="M1130" s="16">
        <f t="shared" ca="1" si="39"/>
        <v>95.786666666666676</v>
      </c>
      <c r="N1130" s="16">
        <f t="shared" ca="1" si="40"/>
        <v>91.40666666666668</v>
      </c>
    </row>
    <row r="1131" spans="1:14" ht="24.75" customHeight="1" x14ac:dyDescent="0.8">
      <c r="A1131" s="18" t="s">
        <v>1094</v>
      </c>
      <c r="B1131" s="10">
        <f ca="1">IFERROR(__xludf.DUMMYFUNCTION("GOOGLEFINANCE(A1131,""PRICE"")"),8.08)</f>
        <v>8.08</v>
      </c>
      <c r="C1131" s="11">
        <f ca="1">IFERROR(__xludf.DUMMYFUNCTION("GOOGLEFINANCE(A1131,""PRICEOPEN"")"),8.28)</f>
        <v>8.2799999999999994</v>
      </c>
      <c r="D1131" s="11">
        <f ca="1">IFERROR(__xludf.DUMMYFUNCTION("GOOGLEFINANCE(A1131,""HIGH"")"),8.3)</f>
        <v>8.3000000000000007</v>
      </c>
      <c r="E1131" s="11">
        <f ca="1">IFERROR(__xludf.DUMMYFUNCTION("GOOGLEFINANCE(A1131,""LOW"")"),8.01)</f>
        <v>8.01</v>
      </c>
      <c r="F1131" s="12" t="str">
        <f t="shared" ca="1" si="35"/>
        <v/>
      </c>
      <c r="G1131" s="13">
        <f ca="1">IFERROR(__xludf.DUMMYFUNCTION("GOOGLEFINANCE(A1131,""CLOSEYEST"")"),8.12)</f>
        <v>8.1199999999999992</v>
      </c>
      <c r="H1131" s="14" t="str">
        <f t="shared" ca="1" si="41"/>
        <v>GAP UP</v>
      </c>
      <c r="I1131" s="15">
        <f t="shared" ca="1" si="36"/>
        <v>8.1433333333333326</v>
      </c>
      <c r="J1131" s="16">
        <f t="shared" ca="1" si="37"/>
        <v>8.2766666666666655</v>
      </c>
      <c r="K1131" s="16"/>
      <c r="L1131" s="16">
        <f t="shared" ca="1" si="38"/>
        <v>7.9866666666666646</v>
      </c>
      <c r="M1131" s="16">
        <f t="shared" ca="1" si="39"/>
        <v>8.4333333333333336</v>
      </c>
      <c r="N1131" s="16">
        <f t="shared" ca="1" si="40"/>
        <v>7.8533333333333317</v>
      </c>
    </row>
    <row r="1132" spans="1:14" ht="24.75" customHeight="1" x14ac:dyDescent="0.8">
      <c r="A1132" s="18" t="s">
        <v>1095</v>
      </c>
      <c r="B1132" s="10">
        <f ca="1">IFERROR(__xludf.DUMMYFUNCTION("GOOGLEFINANCE(A1132,""PRICE"")"),15.37)</f>
        <v>15.37</v>
      </c>
      <c r="C1132" s="11">
        <f ca="1">IFERROR(__xludf.DUMMYFUNCTION("GOOGLEFINANCE(A1132,""PRICEOPEN"")"),15.17)</f>
        <v>15.17</v>
      </c>
      <c r="D1132" s="11">
        <f ca="1">IFERROR(__xludf.DUMMYFUNCTION("GOOGLEFINANCE(A1132,""HIGH"")"),15.42)</f>
        <v>15.42</v>
      </c>
      <c r="E1132" s="11">
        <f ca="1">IFERROR(__xludf.DUMMYFUNCTION("GOOGLEFINANCE(A1132,""LOW"")"),15.08)</f>
        <v>15.08</v>
      </c>
      <c r="F1132" s="12" t="str">
        <f t="shared" ca="1" si="35"/>
        <v/>
      </c>
      <c r="G1132" s="13">
        <f ca="1">IFERROR(__xludf.DUMMYFUNCTION("GOOGLEFINANCE(A1132,""CLOSEYEST"")"),15.08)</f>
        <v>15.08</v>
      </c>
      <c r="H1132" s="14" t="str">
        <f t="shared" ca="1" si="41"/>
        <v/>
      </c>
      <c r="I1132" s="15">
        <f t="shared" ca="1" si="36"/>
        <v>15.193333333333333</v>
      </c>
      <c r="J1132" s="16">
        <f t="shared" ca="1" si="37"/>
        <v>15.306666666666667</v>
      </c>
      <c r="K1132" s="16"/>
      <c r="L1132" s="16">
        <f t="shared" ca="1" si="38"/>
        <v>14.966666666666667</v>
      </c>
      <c r="M1132" s="16">
        <f t="shared" ca="1" si="39"/>
        <v>15.533333333333333</v>
      </c>
      <c r="N1132" s="16">
        <f t="shared" ca="1" si="40"/>
        <v>14.853333333333333</v>
      </c>
    </row>
    <row r="1133" spans="1:14" ht="24.75" customHeight="1" x14ac:dyDescent="0.8">
      <c r="A1133" s="18" t="s">
        <v>1096</v>
      </c>
      <c r="B1133" s="10">
        <f ca="1">IFERROR(__xludf.DUMMYFUNCTION("GOOGLEFINANCE(A1133,""PRICE"")"),376.15)</f>
        <v>376.15</v>
      </c>
      <c r="C1133" s="11">
        <f ca="1">IFERROR(__xludf.DUMMYFUNCTION("GOOGLEFINANCE(A1133,""PRICEOPEN"")"),369)</f>
        <v>369</v>
      </c>
      <c r="D1133" s="11">
        <f ca="1">IFERROR(__xludf.DUMMYFUNCTION("GOOGLEFINANCE(A1133,""HIGH"")"),381.8)</f>
        <v>381.8</v>
      </c>
      <c r="E1133" s="11">
        <f ca="1">IFERROR(__xludf.DUMMYFUNCTION("GOOGLEFINANCE(A1133,""LOW"")"),366.5)</f>
        <v>366.5</v>
      </c>
      <c r="F1133" s="12" t="str">
        <f t="shared" ca="1" si="35"/>
        <v/>
      </c>
      <c r="G1133" s="13">
        <f ca="1">IFERROR(__xludf.DUMMYFUNCTION("GOOGLEFINANCE(A1133,""CLOSEYEST"")"),366.3)</f>
        <v>366.3</v>
      </c>
      <c r="H1133" s="14" t="str">
        <f t="shared" ca="1" si="41"/>
        <v/>
      </c>
      <c r="I1133" s="15">
        <f t="shared" ca="1" si="36"/>
        <v>371.5333333333333</v>
      </c>
      <c r="J1133" s="16">
        <f t="shared" ca="1" si="37"/>
        <v>376.56666666666661</v>
      </c>
      <c r="K1133" s="16"/>
      <c r="L1133" s="16">
        <f t="shared" ca="1" si="38"/>
        <v>361.26666666666659</v>
      </c>
      <c r="M1133" s="16">
        <f t="shared" ca="1" si="39"/>
        <v>386.83333333333331</v>
      </c>
      <c r="N1133" s="16">
        <f t="shared" ca="1" si="40"/>
        <v>356.23333333333329</v>
      </c>
    </row>
    <row r="1134" spans="1:14" ht="24.75" customHeight="1" x14ac:dyDescent="0.8">
      <c r="A1134" s="18" t="s">
        <v>1097</v>
      </c>
      <c r="B1134" s="10">
        <f ca="1">IFERROR(__xludf.DUMMYFUNCTION("GOOGLEFINANCE(A1134,""PRICE"")"),151.25)</f>
        <v>151.25</v>
      </c>
      <c r="C1134" s="11">
        <f ca="1">IFERROR(__xludf.DUMMYFUNCTION("GOOGLEFINANCE(A1134,""PRICEOPEN"")"),145.59)</f>
        <v>145.59</v>
      </c>
      <c r="D1134" s="11">
        <f ca="1">IFERROR(__xludf.DUMMYFUNCTION("GOOGLEFINANCE(A1134,""HIGH"")"),153.9)</f>
        <v>153.9</v>
      </c>
      <c r="E1134" s="11">
        <f ca="1">IFERROR(__xludf.DUMMYFUNCTION("GOOGLEFINANCE(A1134,""LOW"")"),145.19)</f>
        <v>145.19</v>
      </c>
      <c r="F1134" s="12" t="str">
        <f t="shared" ca="1" si="35"/>
        <v/>
      </c>
      <c r="G1134" s="13">
        <f ca="1">IFERROR(__xludf.DUMMYFUNCTION("GOOGLEFINANCE(A1134,""CLOSEYEST"")"),144.99)</f>
        <v>144.99</v>
      </c>
      <c r="H1134" s="14" t="str">
        <f t="shared" ca="1" si="41"/>
        <v/>
      </c>
      <c r="I1134" s="15">
        <f t="shared" ca="1" si="36"/>
        <v>148.02666666666667</v>
      </c>
      <c r="J1134" s="16">
        <f t="shared" ca="1" si="37"/>
        <v>150.86333333333334</v>
      </c>
      <c r="K1134" s="16"/>
      <c r="L1134" s="16">
        <f t="shared" ca="1" si="38"/>
        <v>142.15333333333334</v>
      </c>
      <c r="M1134" s="16">
        <f t="shared" ca="1" si="39"/>
        <v>156.73666666666668</v>
      </c>
      <c r="N1134" s="16">
        <f t="shared" ca="1" si="40"/>
        <v>139.31666666666666</v>
      </c>
    </row>
    <row r="1135" spans="1:14" ht="24.75" customHeight="1" x14ac:dyDescent="0.8">
      <c r="A1135" s="18" t="s">
        <v>1098</v>
      </c>
      <c r="B1135" s="10">
        <f ca="1">IFERROR(__xludf.DUMMYFUNCTION("GOOGLEFINANCE(A1135,""PRICE"")"),27)</f>
        <v>27</v>
      </c>
      <c r="C1135" s="11">
        <f ca="1">IFERROR(__xludf.DUMMYFUNCTION("GOOGLEFINANCE(A1135,""PRICEOPEN"")"),25.64)</f>
        <v>25.64</v>
      </c>
      <c r="D1135" s="11">
        <f ca="1">IFERROR(__xludf.DUMMYFUNCTION("GOOGLEFINANCE(A1135,""HIGH"")"),27.03)</f>
        <v>27.03</v>
      </c>
      <c r="E1135" s="11">
        <f ca="1">IFERROR(__xludf.DUMMYFUNCTION("GOOGLEFINANCE(A1135,""LOW"")"),25.64)</f>
        <v>25.64</v>
      </c>
      <c r="F1135" s="12" t="str">
        <f t="shared" ca="1" si="35"/>
        <v>BUY</v>
      </c>
      <c r="G1135" s="13">
        <f ca="1">IFERROR(__xludf.DUMMYFUNCTION("GOOGLEFINANCE(A1135,""CLOSEYEST"")"),25.81)</f>
        <v>25.81</v>
      </c>
      <c r="H1135" s="14" t="str">
        <f t="shared" ca="1" si="41"/>
        <v/>
      </c>
      <c r="I1135" s="15">
        <f t="shared" ca="1" si="36"/>
        <v>26.16</v>
      </c>
      <c r="J1135" s="16">
        <f t="shared" ca="1" si="37"/>
        <v>26.68</v>
      </c>
      <c r="K1135" s="16"/>
      <c r="L1135" s="16">
        <f t="shared" ca="1" si="38"/>
        <v>25.29</v>
      </c>
      <c r="M1135" s="16">
        <f t="shared" ca="1" si="39"/>
        <v>27.55</v>
      </c>
      <c r="N1135" s="16">
        <f t="shared" ca="1" si="40"/>
        <v>24.77</v>
      </c>
    </row>
    <row r="1136" spans="1:14" ht="24.75" customHeight="1" x14ac:dyDescent="0.8">
      <c r="A1136" s="18" t="s">
        <v>1099</v>
      </c>
      <c r="B1136" s="10">
        <f ca="1">IFERROR(__xludf.DUMMYFUNCTION("GOOGLEFINANCE(A1136,""PRICE"")"),445)</f>
        <v>445</v>
      </c>
      <c r="C1136" s="11">
        <f ca="1">IFERROR(__xludf.DUMMYFUNCTION("GOOGLEFINANCE(A1136,""PRICEOPEN"")"),451.9)</f>
        <v>451.9</v>
      </c>
      <c r="D1136" s="11">
        <f ca="1">IFERROR(__xludf.DUMMYFUNCTION("GOOGLEFINANCE(A1136,""HIGH"")"),451.9)</f>
        <v>451.9</v>
      </c>
      <c r="E1136" s="11">
        <f ca="1">IFERROR(__xludf.DUMMYFUNCTION("GOOGLEFINANCE(A1136,""LOW"")"),440)</f>
        <v>440</v>
      </c>
      <c r="F1136" s="12" t="str">
        <f t="shared" ca="1" si="35"/>
        <v>SELL</v>
      </c>
      <c r="G1136" s="13">
        <f ca="1">IFERROR(__xludf.DUMMYFUNCTION("GOOGLEFINANCE(A1136,""CLOSEYEST"")"),444.95)</f>
        <v>444.95</v>
      </c>
      <c r="H1136" s="14" t="str">
        <f t="shared" ca="1" si="41"/>
        <v>GAP UP</v>
      </c>
      <c r="I1136" s="15">
        <f t="shared" ca="1" si="36"/>
        <v>445.61666666666662</v>
      </c>
      <c r="J1136" s="16">
        <f t="shared" ca="1" si="37"/>
        <v>451.23333333333323</v>
      </c>
      <c r="K1136" s="16"/>
      <c r="L1136" s="16">
        <f t="shared" ca="1" si="38"/>
        <v>439.33333333333326</v>
      </c>
      <c r="M1136" s="16">
        <f t="shared" ca="1" si="39"/>
        <v>457.51666666666659</v>
      </c>
      <c r="N1136" s="16">
        <f t="shared" ca="1" si="40"/>
        <v>433.71666666666664</v>
      </c>
    </row>
    <row r="1137" spans="1:14" ht="24.75" customHeight="1" x14ac:dyDescent="0.8">
      <c r="A1137" s="18" t="s">
        <v>1100</v>
      </c>
      <c r="B1137" s="10">
        <f ca="1">IFERROR(__xludf.DUMMYFUNCTION("GOOGLEFINANCE(A1137,""PRICE"")"),116.7)</f>
        <v>116.7</v>
      </c>
      <c r="C1137" s="11">
        <f ca="1">IFERROR(__xludf.DUMMYFUNCTION("GOOGLEFINANCE(A1137,""PRICEOPEN"")"),118.46)</f>
        <v>118.46</v>
      </c>
      <c r="D1137" s="11">
        <f ca="1">IFERROR(__xludf.DUMMYFUNCTION("GOOGLEFINANCE(A1137,""HIGH"")"),119.08)</f>
        <v>119.08</v>
      </c>
      <c r="E1137" s="11">
        <f ca="1">IFERROR(__xludf.DUMMYFUNCTION("GOOGLEFINANCE(A1137,""LOW"")"),115.1)</f>
        <v>115.1</v>
      </c>
      <c r="F1137" s="12" t="str">
        <f t="shared" ca="1" si="35"/>
        <v/>
      </c>
      <c r="G1137" s="13">
        <f ca="1">IFERROR(__xludf.DUMMYFUNCTION("GOOGLEFINANCE(A1137,""CLOSEYEST"")"),115.24)</f>
        <v>115.24</v>
      </c>
      <c r="H1137" s="14" t="str">
        <f t="shared" ca="1" si="41"/>
        <v>GAP UP</v>
      </c>
      <c r="I1137" s="15">
        <f t="shared" ca="1" si="36"/>
        <v>116.47333333333334</v>
      </c>
      <c r="J1137" s="16">
        <f t="shared" ca="1" si="37"/>
        <v>117.84666666666669</v>
      </c>
      <c r="K1137" s="16"/>
      <c r="L1137" s="16">
        <f t="shared" ca="1" si="38"/>
        <v>113.86666666666669</v>
      </c>
      <c r="M1137" s="16">
        <f t="shared" ca="1" si="39"/>
        <v>120.45333333333335</v>
      </c>
      <c r="N1137" s="16">
        <f t="shared" ca="1" si="40"/>
        <v>112.49333333333334</v>
      </c>
    </row>
    <row r="1138" spans="1:14" ht="24.75" customHeight="1" x14ac:dyDescent="0.8">
      <c r="A1138" s="18" t="s">
        <v>1101</v>
      </c>
      <c r="B1138" s="10">
        <f ca="1">IFERROR(__xludf.DUMMYFUNCTION("GOOGLEFINANCE(A1138,""PRICE"")"),28.3)</f>
        <v>28.3</v>
      </c>
      <c r="C1138" s="11">
        <f ca="1">IFERROR(__xludf.DUMMYFUNCTION("GOOGLEFINANCE(A1138,""PRICEOPEN"")"),28.88)</f>
        <v>28.88</v>
      </c>
      <c r="D1138" s="11">
        <f ca="1">IFERROR(__xludf.DUMMYFUNCTION("GOOGLEFINANCE(A1138,""HIGH"")"),29)</f>
        <v>29</v>
      </c>
      <c r="E1138" s="11">
        <f ca="1">IFERROR(__xludf.DUMMYFUNCTION("GOOGLEFINANCE(A1138,""LOW"")"),28.01)</f>
        <v>28.01</v>
      </c>
      <c r="F1138" s="12" t="str">
        <f t="shared" ca="1" si="35"/>
        <v/>
      </c>
      <c r="G1138" s="13">
        <f ca="1">IFERROR(__xludf.DUMMYFUNCTION("GOOGLEFINANCE(A1138,""CLOSEYEST"")"),28.59)</f>
        <v>28.59</v>
      </c>
      <c r="H1138" s="14" t="str">
        <f t="shared" ca="1" si="41"/>
        <v>GAP UP</v>
      </c>
      <c r="I1138" s="15">
        <f t="shared" ca="1" si="36"/>
        <v>28.533333333333335</v>
      </c>
      <c r="J1138" s="16">
        <f t="shared" ca="1" si="37"/>
        <v>29.056666666666668</v>
      </c>
      <c r="K1138" s="16"/>
      <c r="L1138" s="16">
        <f t="shared" ca="1" si="38"/>
        <v>28.06666666666667</v>
      </c>
      <c r="M1138" s="16">
        <f t="shared" ca="1" si="39"/>
        <v>29.523333333333333</v>
      </c>
      <c r="N1138" s="16">
        <f t="shared" ca="1" si="40"/>
        <v>27.543333333333337</v>
      </c>
    </row>
    <row r="1139" spans="1:14" ht="24.75" customHeight="1" x14ac:dyDescent="0.8">
      <c r="A1139" s="18" t="s">
        <v>1102</v>
      </c>
      <c r="B1139" s="10">
        <f ca="1">IFERROR(__xludf.DUMMYFUNCTION("GOOGLEFINANCE(A1139,""PRICE"")"),489)</f>
        <v>489</v>
      </c>
      <c r="C1139" s="11">
        <f ca="1">IFERROR(__xludf.DUMMYFUNCTION("GOOGLEFINANCE(A1139,""PRICEOPEN"")"),488.45)</f>
        <v>488.45</v>
      </c>
      <c r="D1139" s="11">
        <f ca="1">IFERROR(__xludf.DUMMYFUNCTION("GOOGLEFINANCE(A1139,""HIGH"")"),504)</f>
        <v>504</v>
      </c>
      <c r="E1139" s="11">
        <f ca="1">IFERROR(__xludf.DUMMYFUNCTION("GOOGLEFINANCE(A1139,""LOW"")"),483.4)</f>
        <v>483.4</v>
      </c>
      <c r="F1139" s="12" t="str">
        <f t="shared" ca="1" si="35"/>
        <v/>
      </c>
      <c r="G1139" s="13">
        <f ca="1">IFERROR(__xludf.DUMMYFUNCTION("GOOGLEFINANCE(A1139,""CLOSEYEST"")"),485.75)</f>
        <v>485.75</v>
      </c>
      <c r="H1139" s="14" t="str">
        <f t="shared" ca="1" si="41"/>
        <v/>
      </c>
      <c r="I1139" s="15">
        <f t="shared" ca="1" si="36"/>
        <v>491.05</v>
      </c>
      <c r="J1139" s="16">
        <f t="shared" ca="1" si="37"/>
        <v>498.70000000000005</v>
      </c>
      <c r="K1139" s="16"/>
      <c r="L1139" s="16">
        <f t="shared" ca="1" si="38"/>
        <v>478.1</v>
      </c>
      <c r="M1139" s="16">
        <f t="shared" ca="1" si="39"/>
        <v>511.65000000000003</v>
      </c>
      <c r="N1139" s="16">
        <f t="shared" ca="1" si="40"/>
        <v>470.45</v>
      </c>
    </row>
    <row r="1140" spans="1:14" ht="24.75" customHeight="1" x14ac:dyDescent="0.8">
      <c r="A1140" s="18" t="s">
        <v>1103</v>
      </c>
      <c r="B1140" s="10" t="str">
        <f ca="1">IFERROR(__xludf.DUMMYFUNCTION("GOOGLEFINANCE(A1140,""PRICE"")"),"#N/A")</f>
        <v>#N/A</v>
      </c>
      <c r="C1140" s="11" t="str">
        <f ca="1">IFERROR(__xludf.DUMMYFUNCTION("GOOGLEFINANCE(A1140,""PRICEOPEN"")"),"#N/A")</f>
        <v>#N/A</v>
      </c>
      <c r="D1140" s="11" t="str">
        <f ca="1">IFERROR(__xludf.DUMMYFUNCTION("GOOGLEFINANCE(A1140,""HIGH"")"),"#N/A")</f>
        <v>#N/A</v>
      </c>
      <c r="E1140" s="11" t="str">
        <f ca="1">IFERROR(__xludf.DUMMYFUNCTION("GOOGLEFINANCE(A1140,""LOW"")"),"#N/A")</f>
        <v>#N/A</v>
      </c>
      <c r="F1140" s="12" t="str">
        <f t="shared" ca="1" si="35"/>
        <v>SELL</v>
      </c>
      <c r="G1140" s="13" t="str">
        <f ca="1">IFERROR(__xludf.DUMMYFUNCTION("GOOGLEFINANCE(A1140,""CLOSEYEST"")"),"#N/A")</f>
        <v>#N/A</v>
      </c>
      <c r="H1140" s="14" t="e">
        <f t="shared" ca="1" si="41"/>
        <v>#VALUE!</v>
      </c>
      <c r="I1140" s="15" t="e">
        <f t="shared" ca="1" si="36"/>
        <v>#VALUE!</v>
      </c>
      <c r="J1140" s="16" t="e">
        <f t="shared" ca="1" si="37"/>
        <v>#VALUE!</v>
      </c>
      <c r="K1140" s="16"/>
      <c r="L1140" s="16" t="e">
        <f t="shared" ca="1" si="38"/>
        <v>#VALUE!</v>
      </c>
      <c r="M1140" s="16" t="e">
        <f t="shared" ca="1" si="39"/>
        <v>#VALUE!</v>
      </c>
      <c r="N1140" s="16" t="e">
        <f t="shared" ca="1" si="40"/>
        <v>#VALUE!</v>
      </c>
    </row>
    <row r="1141" spans="1:14" ht="24.75" customHeight="1" x14ac:dyDescent="0.8">
      <c r="A1141" s="18" t="s">
        <v>1104</v>
      </c>
      <c r="B1141" s="10">
        <f ca="1">IFERROR(__xludf.DUMMYFUNCTION("GOOGLEFINANCE(A1141,""PRICE"")"),712.05)</f>
        <v>712.05</v>
      </c>
      <c r="C1141" s="11">
        <f ca="1">IFERROR(__xludf.DUMMYFUNCTION("GOOGLEFINANCE(A1141,""PRICEOPEN"")"),724.2)</f>
        <v>724.2</v>
      </c>
      <c r="D1141" s="11">
        <f ca="1">IFERROR(__xludf.DUMMYFUNCTION("GOOGLEFINANCE(A1141,""HIGH"")"),730.6)</f>
        <v>730.6</v>
      </c>
      <c r="E1141" s="11">
        <f ca="1">IFERROR(__xludf.DUMMYFUNCTION("GOOGLEFINANCE(A1141,""LOW"")"),711)</f>
        <v>711</v>
      </c>
      <c r="F1141" s="12" t="str">
        <f t="shared" ca="1" si="35"/>
        <v/>
      </c>
      <c r="G1141" s="13">
        <f ca="1">IFERROR(__xludf.DUMMYFUNCTION("GOOGLEFINANCE(A1141,""CLOSEYEST"")"),724.2)</f>
        <v>724.2</v>
      </c>
      <c r="H1141" s="14" t="str">
        <f t="shared" ca="1" si="41"/>
        <v/>
      </c>
      <c r="I1141" s="15">
        <f t="shared" ca="1" si="36"/>
        <v>721.93333333333339</v>
      </c>
      <c r="J1141" s="16">
        <f t="shared" ca="1" si="37"/>
        <v>732.86666666666679</v>
      </c>
      <c r="K1141" s="16"/>
      <c r="L1141" s="16">
        <f t="shared" ca="1" si="38"/>
        <v>713.26666666666677</v>
      </c>
      <c r="M1141" s="16">
        <f t="shared" ca="1" si="39"/>
        <v>741.53333333333342</v>
      </c>
      <c r="N1141" s="16">
        <f t="shared" ca="1" si="40"/>
        <v>702.33333333333337</v>
      </c>
    </row>
    <row r="1142" spans="1:14" ht="24.75" customHeight="1" x14ac:dyDescent="0.8">
      <c r="A1142" s="18" t="s">
        <v>1105</v>
      </c>
      <c r="B1142" s="10">
        <f ca="1">IFERROR(__xludf.DUMMYFUNCTION("GOOGLEFINANCE(A1142,""PRICE"")"),941.55)</f>
        <v>941.55</v>
      </c>
      <c r="C1142" s="11">
        <f ca="1">IFERROR(__xludf.DUMMYFUNCTION("GOOGLEFINANCE(A1142,""PRICEOPEN"")"),950.15)</f>
        <v>950.15</v>
      </c>
      <c r="D1142" s="11">
        <f ca="1">IFERROR(__xludf.DUMMYFUNCTION("GOOGLEFINANCE(A1142,""HIGH"")"),955.05)</f>
        <v>955.05</v>
      </c>
      <c r="E1142" s="11">
        <f ca="1">IFERROR(__xludf.DUMMYFUNCTION("GOOGLEFINANCE(A1142,""LOW"")"),925.65)</f>
        <v>925.65</v>
      </c>
      <c r="F1142" s="12" t="str">
        <f t="shared" ca="1" si="35"/>
        <v/>
      </c>
      <c r="G1142" s="13">
        <f ca="1">IFERROR(__xludf.DUMMYFUNCTION("GOOGLEFINANCE(A1142,""CLOSEYEST"")"),940.75)</f>
        <v>940.75</v>
      </c>
      <c r="H1142" s="14" t="str">
        <f t="shared" ca="1" si="41"/>
        <v/>
      </c>
      <c r="I1142" s="15">
        <f t="shared" ca="1" si="36"/>
        <v>940.48333333333323</v>
      </c>
      <c r="J1142" s="16">
        <f t="shared" ca="1" si="37"/>
        <v>955.31666666666649</v>
      </c>
      <c r="K1142" s="16"/>
      <c r="L1142" s="16">
        <f t="shared" ca="1" si="38"/>
        <v>925.91666666666652</v>
      </c>
      <c r="M1142" s="16">
        <f t="shared" ca="1" si="39"/>
        <v>969.88333333333321</v>
      </c>
      <c r="N1142" s="16">
        <f t="shared" ca="1" si="40"/>
        <v>911.08333333333326</v>
      </c>
    </row>
    <row r="1143" spans="1:14" ht="24.75" customHeight="1" x14ac:dyDescent="0.8">
      <c r="A1143" s="18" t="s">
        <v>1106</v>
      </c>
      <c r="B1143" s="10" t="str">
        <f ca="1">IFERROR(__xludf.DUMMYFUNCTION("GOOGLEFINANCE(A1143,""PRICE"")"),"#N/A")</f>
        <v>#N/A</v>
      </c>
      <c r="C1143" s="11" t="str">
        <f ca="1">IFERROR(__xludf.DUMMYFUNCTION("GOOGLEFINANCE(A1143,""PRICEOPEN"")"),"#N/A")</f>
        <v>#N/A</v>
      </c>
      <c r="D1143" s="11" t="str">
        <f ca="1">IFERROR(__xludf.DUMMYFUNCTION("GOOGLEFINANCE(A1143,""HIGH"")"),"#N/A")</f>
        <v>#N/A</v>
      </c>
      <c r="E1143" s="11" t="str">
        <f ca="1">IFERROR(__xludf.DUMMYFUNCTION("GOOGLEFINANCE(A1143,""LOW"")"),"#N/A")</f>
        <v>#N/A</v>
      </c>
      <c r="F1143" s="12" t="str">
        <f t="shared" ca="1" si="35"/>
        <v>SELL</v>
      </c>
      <c r="G1143" s="13" t="str">
        <f ca="1">IFERROR(__xludf.DUMMYFUNCTION("GOOGLEFINANCE(A1143,""CLOSEYEST"")"),"#N/A")</f>
        <v>#N/A</v>
      </c>
      <c r="H1143" s="14" t="e">
        <f t="shared" ca="1" si="41"/>
        <v>#VALUE!</v>
      </c>
      <c r="I1143" s="15" t="e">
        <f t="shared" ca="1" si="36"/>
        <v>#VALUE!</v>
      </c>
      <c r="J1143" s="16" t="e">
        <f t="shared" ca="1" si="37"/>
        <v>#VALUE!</v>
      </c>
      <c r="K1143" s="16"/>
      <c r="L1143" s="16" t="e">
        <f t="shared" ca="1" si="38"/>
        <v>#VALUE!</v>
      </c>
      <c r="M1143" s="16" t="e">
        <f t="shared" ca="1" si="39"/>
        <v>#VALUE!</v>
      </c>
      <c r="N1143" s="16" t="e">
        <f t="shared" ca="1" si="40"/>
        <v>#VALUE!</v>
      </c>
    </row>
    <row r="1144" spans="1:14" ht="24.75" customHeight="1" x14ac:dyDescent="0.8">
      <c r="A1144" s="18" t="s">
        <v>1107</v>
      </c>
      <c r="B1144" s="10">
        <f ca="1">IFERROR(__xludf.DUMMYFUNCTION("GOOGLEFINANCE(A1144,""PRICE"")"),104.97)</f>
        <v>104.97</v>
      </c>
      <c r="C1144" s="11">
        <f ca="1">IFERROR(__xludf.DUMMYFUNCTION("GOOGLEFINANCE(A1144,""PRICEOPEN"")"),102)</f>
        <v>102</v>
      </c>
      <c r="D1144" s="11">
        <f ca="1">IFERROR(__xludf.DUMMYFUNCTION("GOOGLEFINANCE(A1144,""HIGH"")"),105.1)</f>
        <v>105.1</v>
      </c>
      <c r="E1144" s="11">
        <f ca="1">IFERROR(__xludf.DUMMYFUNCTION("GOOGLEFINANCE(A1144,""LOW"")"),101.63)</f>
        <v>101.63</v>
      </c>
      <c r="F1144" s="12" t="str">
        <f t="shared" ca="1" si="35"/>
        <v/>
      </c>
      <c r="G1144" s="13">
        <f ca="1">IFERROR(__xludf.DUMMYFUNCTION("GOOGLEFINANCE(A1144,""CLOSEYEST"")"),102.84)</f>
        <v>102.84</v>
      </c>
      <c r="H1144" s="14" t="str">
        <f t="shared" ca="1" si="41"/>
        <v/>
      </c>
      <c r="I1144" s="15">
        <f t="shared" ca="1" si="36"/>
        <v>103.19</v>
      </c>
      <c r="J1144" s="16">
        <f t="shared" ca="1" si="37"/>
        <v>104.75</v>
      </c>
      <c r="K1144" s="16"/>
      <c r="L1144" s="16">
        <f t="shared" ca="1" si="38"/>
        <v>101.28</v>
      </c>
      <c r="M1144" s="16">
        <f t="shared" ca="1" si="39"/>
        <v>106.66</v>
      </c>
      <c r="N1144" s="16">
        <f t="shared" ca="1" si="40"/>
        <v>99.72</v>
      </c>
    </row>
    <row r="1145" spans="1:14" ht="24.75" customHeight="1" x14ac:dyDescent="0.8">
      <c r="A1145" s="18" t="s">
        <v>1108</v>
      </c>
      <c r="B1145" s="10">
        <f ca="1">IFERROR(__xludf.DUMMYFUNCTION("GOOGLEFINANCE(A1145,""PRICE"")"),580)</f>
        <v>580</v>
      </c>
      <c r="C1145" s="11">
        <f ca="1">IFERROR(__xludf.DUMMYFUNCTION("GOOGLEFINANCE(A1145,""PRICEOPEN"")"),580.7)</f>
        <v>580.70000000000005</v>
      </c>
      <c r="D1145" s="11">
        <f ca="1">IFERROR(__xludf.DUMMYFUNCTION("GOOGLEFINANCE(A1145,""HIGH"")"),584.5)</f>
        <v>584.5</v>
      </c>
      <c r="E1145" s="11">
        <f ca="1">IFERROR(__xludf.DUMMYFUNCTION("GOOGLEFINANCE(A1145,""LOW"")"),575.55)</f>
        <v>575.54999999999995</v>
      </c>
      <c r="F1145" s="12" t="str">
        <f t="shared" ca="1" si="35"/>
        <v/>
      </c>
      <c r="G1145" s="13">
        <f ca="1">IFERROR(__xludf.DUMMYFUNCTION("GOOGLEFINANCE(A1145,""CLOSEYEST"")"),573.7)</f>
        <v>573.70000000000005</v>
      </c>
      <c r="H1145" s="14" t="str">
        <f t="shared" ca="1" si="41"/>
        <v>GAP UP</v>
      </c>
      <c r="I1145" s="15">
        <f t="shared" ca="1" si="36"/>
        <v>577.91666666666663</v>
      </c>
      <c r="J1145" s="16">
        <f t="shared" ca="1" si="37"/>
        <v>580.2833333333333</v>
      </c>
      <c r="K1145" s="16"/>
      <c r="L1145" s="16">
        <f t="shared" ca="1" si="38"/>
        <v>571.33333333333326</v>
      </c>
      <c r="M1145" s="16">
        <f t="shared" ca="1" si="39"/>
        <v>586.86666666666667</v>
      </c>
      <c r="N1145" s="16">
        <f t="shared" ca="1" si="40"/>
        <v>568.96666666666658</v>
      </c>
    </row>
    <row r="1146" spans="1:14" ht="24.75" customHeight="1" x14ac:dyDescent="0.8">
      <c r="A1146" s="18" t="s">
        <v>1109</v>
      </c>
      <c r="B1146" s="10">
        <f ca="1">IFERROR(__xludf.DUMMYFUNCTION("GOOGLEFINANCE(A1146,""PRICE"")"),5.47)</f>
        <v>5.47</v>
      </c>
      <c r="C1146" s="11">
        <f ca="1">IFERROR(__xludf.DUMMYFUNCTION("GOOGLEFINANCE(A1146,""PRICEOPEN"")"),5.52)</f>
        <v>5.52</v>
      </c>
      <c r="D1146" s="11">
        <f ca="1">IFERROR(__xludf.DUMMYFUNCTION("GOOGLEFINANCE(A1146,""HIGH"")"),5.52)</f>
        <v>5.52</v>
      </c>
      <c r="E1146" s="11">
        <f ca="1">IFERROR(__xludf.DUMMYFUNCTION("GOOGLEFINANCE(A1146,""LOW"")"),5.3)</f>
        <v>5.3</v>
      </c>
      <c r="F1146" s="12" t="str">
        <f t="shared" ca="1" si="35"/>
        <v>SELL</v>
      </c>
      <c r="G1146" s="13">
        <f ca="1">IFERROR(__xludf.DUMMYFUNCTION("GOOGLEFINANCE(A1146,""CLOSEYEST"")"),5.52)</f>
        <v>5.52</v>
      </c>
      <c r="H1146" s="14" t="str">
        <f t="shared" ca="1" si="41"/>
        <v/>
      </c>
      <c r="I1146" s="15">
        <f t="shared" ca="1" si="36"/>
        <v>5.4466666666666663</v>
      </c>
      <c r="J1146" s="16">
        <f t="shared" ca="1" si="37"/>
        <v>5.5933333333333328</v>
      </c>
      <c r="K1146" s="16"/>
      <c r="L1146" s="16">
        <f t="shared" ca="1" si="38"/>
        <v>5.3733333333333331</v>
      </c>
      <c r="M1146" s="16">
        <f t="shared" ca="1" si="39"/>
        <v>5.6666666666666661</v>
      </c>
      <c r="N1146" s="16">
        <f t="shared" ca="1" si="40"/>
        <v>5.2266666666666666</v>
      </c>
    </row>
    <row r="1147" spans="1:14" ht="24.75" customHeight="1" x14ac:dyDescent="0.8">
      <c r="A1147" s="18" t="s">
        <v>1110</v>
      </c>
      <c r="B1147" s="10">
        <f ca="1">IFERROR(__xludf.DUMMYFUNCTION("GOOGLEFINANCE(A1147,""PRICE"")"),145)</f>
        <v>145</v>
      </c>
      <c r="C1147" s="11">
        <f ca="1">IFERROR(__xludf.DUMMYFUNCTION("GOOGLEFINANCE(A1147,""PRICEOPEN"")"),145.32)</f>
        <v>145.32</v>
      </c>
      <c r="D1147" s="11">
        <f ca="1">IFERROR(__xludf.DUMMYFUNCTION("GOOGLEFINANCE(A1147,""HIGH"")"),147.34)</f>
        <v>147.34</v>
      </c>
      <c r="E1147" s="11">
        <f ca="1">IFERROR(__xludf.DUMMYFUNCTION("GOOGLEFINANCE(A1147,""LOW"")"),143.05)</f>
        <v>143.05000000000001</v>
      </c>
      <c r="F1147" s="12" t="str">
        <f t="shared" ca="1" si="35"/>
        <v/>
      </c>
      <c r="G1147" s="13">
        <f ca="1">IFERROR(__xludf.DUMMYFUNCTION("GOOGLEFINANCE(A1147,""CLOSEYEST"")"),144.2)</f>
        <v>144.19999999999999</v>
      </c>
      <c r="H1147" s="14" t="str">
        <f t="shared" ca="1" si="41"/>
        <v/>
      </c>
      <c r="I1147" s="15">
        <f t="shared" ca="1" si="36"/>
        <v>144.86333333333332</v>
      </c>
      <c r="J1147" s="16">
        <f t="shared" ca="1" si="37"/>
        <v>146.67666666666662</v>
      </c>
      <c r="K1147" s="16"/>
      <c r="L1147" s="16">
        <f t="shared" ca="1" si="38"/>
        <v>142.38666666666663</v>
      </c>
      <c r="M1147" s="16">
        <f t="shared" ca="1" si="39"/>
        <v>149.15333333333331</v>
      </c>
      <c r="N1147" s="16">
        <f t="shared" ca="1" si="40"/>
        <v>140.57333333333332</v>
      </c>
    </row>
    <row r="1148" spans="1:14" ht="24.75" customHeight="1" x14ac:dyDescent="0.8">
      <c r="A1148" s="18" t="s">
        <v>1111</v>
      </c>
      <c r="B1148" s="10">
        <f ca="1">IFERROR(__xludf.DUMMYFUNCTION("GOOGLEFINANCE(A1148,""PRICE"")"),84)</f>
        <v>84</v>
      </c>
      <c r="C1148" s="11">
        <f ca="1">IFERROR(__xludf.DUMMYFUNCTION("GOOGLEFINANCE(A1148,""PRICEOPEN"")"),80.3)</f>
        <v>80.3</v>
      </c>
      <c r="D1148" s="11">
        <f ca="1">IFERROR(__xludf.DUMMYFUNCTION("GOOGLEFINANCE(A1148,""HIGH"")"),86.9)</f>
        <v>86.9</v>
      </c>
      <c r="E1148" s="11">
        <f ca="1">IFERROR(__xludf.DUMMYFUNCTION("GOOGLEFINANCE(A1148,""LOW"")"),80.3)</f>
        <v>80.3</v>
      </c>
      <c r="F1148" s="12" t="str">
        <f t="shared" ca="1" si="35"/>
        <v>BUY</v>
      </c>
      <c r="G1148" s="13">
        <f ca="1">IFERROR(__xludf.DUMMYFUNCTION("GOOGLEFINANCE(A1148,""CLOSEYEST"")"),84.42)</f>
        <v>84.42</v>
      </c>
      <c r="H1148" s="14" t="str">
        <f t="shared" ca="1" si="41"/>
        <v>GAP DOWN</v>
      </c>
      <c r="I1148" s="15">
        <f t="shared" ca="1" si="36"/>
        <v>83.873333333333335</v>
      </c>
      <c r="J1148" s="16">
        <f t="shared" ca="1" si="37"/>
        <v>87.446666666666673</v>
      </c>
      <c r="K1148" s="16"/>
      <c r="L1148" s="16">
        <f t="shared" ca="1" si="38"/>
        <v>80.846666666666664</v>
      </c>
      <c r="M1148" s="16">
        <f t="shared" ca="1" si="39"/>
        <v>90.473333333333343</v>
      </c>
      <c r="N1148" s="16">
        <f t="shared" ca="1" si="40"/>
        <v>77.273333333333326</v>
      </c>
    </row>
    <row r="1149" spans="1:14" ht="24.75" customHeight="1" x14ac:dyDescent="0.8">
      <c r="A1149" s="18" t="s">
        <v>1112</v>
      </c>
      <c r="B1149" s="10">
        <f ca="1">IFERROR(__xludf.DUMMYFUNCTION("GOOGLEFINANCE(A1149,""PRICE"")"),474.65)</f>
        <v>474.65</v>
      </c>
      <c r="C1149" s="11">
        <f ca="1">IFERROR(__xludf.DUMMYFUNCTION("GOOGLEFINANCE(A1149,""PRICEOPEN"")"),475)</f>
        <v>475</v>
      </c>
      <c r="D1149" s="11">
        <f ca="1">IFERROR(__xludf.DUMMYFUNCTION("GOOGLEFINANCE(A1149,""HIGH"")"),489.95)</f>
        <v>489.95</v>
      </c>
      <c r="E1149" s="11">
        <f ca="1">IFERROR(__xludf.DUMMYFUNCTION("GOOGLEFINANCE(A1149,""LOW"")"),472.2)</f>
        <v>472.2</v>
      </c>
      <c r="F1149" s="12" t="str">
        <f t="shared" ca="1" si="35"/>
        <v/>
      </c>
      <c r="G1149" s="13">
        <f ca="1">IFERROR(__xludf.DUMMYFUNCTION("GOOGLEFINANCE(A1149,""CLOSEYEST"")"),477.25)</f>
        <v>477.25</v>
      </c>
      <c r="H1149" s="14" t="str">
        <f t="shared" ca="1" si="41"/>
        <v/>
      </c>
      <c r="I1149" s="15">
        <f t="shared" ca="1" si="36"/>
        <v>479.8</v>
      </c>
      <c r="J1149" s="16">
        <f t="shared" ca="1" si="37"/>
        <v>487.40000000000003</v>
      </c>
      <c r="K1149" s="16"/>
      <c r="L1149" s="16">
        <f t="shared" ca="1" si="38"/>
        <v>469.65000000000003</v>
      </c>
      <c r="M1149" s="16">
        <f t="shared" ca="1" si="39"/>
        <v>497.55</v>
      </c>
      <c r="N1149" s="16">
        <f t="shared" ca="1" si="40"/>
        <v>462.05</v>
      </c>
    </row>
    <row r="1150" spans="1:14" ht="24.75" customHeight="1" x14ac:dyDescent="0.8">
      <c r="A1150" s="18" t="s">
        <v>1113</v>
      </c>
      <c r="B1150" s="10">
        <f ca="1">IFERROR(__xludf.DUMMYFUNCTION("GOOGLEFINANCE(A1150,""PRICE"")"),276)</f>
        <v>276</v>
      </c>
      <c r="C1150" s="11">
        <f ca="1">IFERROR(__xludf.DUMMYFUNCTION("GOOGLEFINANCE(A1150,""PRICEOPEN"")"),279.6)</f>
        <v>279.60000000000002</v>
      </c>
      <c r="D1150" s="11">
        <f ca="1">IFERROR(__xludf.DUMMYFUNCTION("GOOGLEFINANCE(A1150,""HIGH"")"),281)</f>
        <v>281</v>
      </c>
      <c r="E1150" s="11">
        <f ca="1">IFERROR(__xludf.DUMMYFUNCTION("GOOGLEFINANCE(A1150,""LOW"")"),274.4)</f>
        <v>274.39999999999998</v>
      </c>
      <c r="F1150" s="12" t="str">
        <f t="shared" ca="1" si="35"/>
        <v/>
      </c>
      <c r="G1150" s="13">
        <f ca="1">IFERROR(__xludf.DUMMYFUNCTION("GOOGLEFINANCE(A1150,""CLOSEYEST"")"),278.1)</f>
        <v>278.10000000000002</v>
      </c>
      <c r="H1150" s="14" t="str">
        <f t="shared" ca="1" si="41"/>
        <v/>
      </c>
      <c r="I1150" s="15">
        <f t="shared" ca="1" si="36"/>
        <v>277.83333333333331</v>
      </c>
      <c r="J1150" s="16">
        <f t="shared" ca="1" si="37"/>
        <v>281.26666666666665</v>
      </c>
      <c r="K1150" s="16"/>
      <c r="L1150" s="16">
        <f t="shared" ca="1" si="38"/>
        <v>274.66666666666663</v>
      </c>
      <c r="M1150" s="16">
        <f t="shared" ca="1" si="39"/>
        <v>284.43333333333334</v>
      </c>
      <c r="N1150" s="16">
        <f t="shared" ca="1" si="40"/>
        <v>271.23333333333329</v>
      </c>
    </row>
    <row r="1151" spans="1:14" ht="24.75" customHeight="1" x14ac:dyDescent="0.8">
      <c r="A1151" s="18" t="s">
        <v>1114</v>
      </c>
      <c r="B1151" s="10">
        <f ca="1">IFERROR(__xludf.DUMMYFUNCTION("GOOGLEFINANCE(A1151,""PRICE"")"),2735)</f>
        <v>2735</v>
      </c>
      <c r="C1151" s="11">
        <f ca="1">IFERROR(__xludf.DUMMYFUNCTION("GOOGLEFINANCE(A1151,""PRICEOPEN"")"),2720.1)</f>
        <v>2720.1</v>
      </c>
      <c r="D1151" s="11">
        <f ca="1">IFERROR(__xludf.DUMMYFUNCTION("GOOGLEFINANCE(A1151,""HIGH"")"),2800)</f>
        <v>2800</v>
      </c>
      <c r="E1151" s="11">
        <f ca="1">IFERROR(__xludf.DUMMYFUNCTION("GOOGLEFINANCE(A1151,""LOW"")"),2650)</f>
        <v>2650</v>
      </c>
      <c r="F1151" s="12" t="str">
        <f t="shared" ca="1" si="35"/>
        <v/>
      </c>
      <c r="G1151" s="13">
        <f ca="1">IFERROR(__xludf.DUMMYFUNCTION("GOOGLEFINANCE(A1151,""CLOSEYEST"")"),2764.1)</f>
        <v>2764.1</v>
      </c>
      <c r="H1151" s="14" t="str">
        <f t="shared" ca="1" si="41"/>
        <v>GAP DOWN</v>
      </c>
      <c r="I1151" s="15">
        <f t="shared" ca="1" si="36"/>
        <v>2738.0333333333333</v>
      </c>
      <c r="J1151" s="16">
        <f t="shared" ca="1" si="37"/>
        <v>2826.0666666666666</v>
      </c>
      <c r="K1151" s="16"/>
      <c r="L1151" s="16">
        <f t="shared" ca="1" si="38"/>
        <v>2676.0666666666666</v>
      </c>
      <c r="M1151" s="16">
        <f t="shared" ca="1" si="39"/>
        <v>2888.0333333333333</v>
      </c>
      <c r="N1151" s="16">
        <f t="shared" ca="1" si="40"/>
        <v>2588.0333333333333</v>
      </c>
    </row>
    <row r="1152" spans="1:14" ht="24.75" customHeight="1" x14ac:dyDescent="0.8">
      <c r="A1152" s="18" t="s">
        <v>1115</v>
      </c>
      <c r="B1152" s="10">
        <f ca="1">IFERROR(__xludf.DUMMYFUNCTION("GOOGLEFINANCE(A1152,""PRICE"")"),508)</f>
        <v>508</v>
      </c>
      <c r="C1152" s="11">
        <f ca="1">IFERROR(__xludf.DUMMYFUNCTION("GOOGLEFINANCE(A1152,""PRICEOPEN"")"),506.6)</f>
        <v>506.6</v>
      </c>
      <c r="D1152" s="11">
        <f ca="1">IFERROR(__xludf.DUMMYFUNCTION("GOOGLEFINANCE(A1152,""HIGH"")"),509.8)</f>
        <v>509.8</v>
      </c>
      <c r="E1152" s="11">
        <f ca="1">IFERROR(__xludf.DUMMYFUNCTION("GOOGLEFINANCE(A1152,""LOW"")"),493.3)</f>
        <v>493.3</v>
      </c>
      <c r="F1152" s="12" t="str">
        <f t="shared" ca="1" si="35"/>
        <v/>
      </c>
      <c r="G1152" s="13">
        <f ca="1">IFERROR(__xludf.DUMMYFUNCTION("GOOGLEFINANCE(A1152,""CLOSEYEST"")"),508.4)</f>
        <v>508.4</v>
      </c>
      <c r="H1152" s="14" t="str">
        <f t="shared" ca="1" si="41"/>
        <v/>
      </c>
      <c r="I1152" s="15">
        <f t="shared" ca="1" si="36"/>
        <v>503.83333333333331</v>
      </c>
      <c r="J1152" s="16">
        <f t="shared" ca="1" si="37"/>
        <v>514.36666666666656</v>
      </c>
      <c r="K1152" s="16"/>
      <c r="L1152" s="16">
        <f t="shared" ca="1" si="38"/>
        <v>497.86666666666662</v>
      </c>
      <c r="M1152" s="16">
        <f t="shared" ca="1" si="39"/>
        <v>520.33333333333326</v>
      </c>
      <c r="N1152" s="16">
        <f t="shared" ca="1" si="40"/>
        <v>487.33333333333337</v>
      </c>
    </row>
    <row r="1153" spans="1:14" ht="24.75" customHeight="1" x14ac:dyDescent="0.8">
      <c r="A1153" s="18" t="s">
        <v>1116</v>
      </c>
      <c r="B1153" s="10">
        <f ca="1">IFERROR(__xludf.DUMMYFUNCTION("GOOGLEFINANCE(A1153,""PRICE"")"),673.4)</f>
        <v>673.4</v>
      </c>
      <c r="C1153" s="11">
        <f ca="1">IFERROR(__xludf.DUMMYFUNCTION("GOOGLEFINANCE(A1153,""PRICEOPEN"")"),664.5)</f>
        <v>664.5</v>
      </c>
      <c r="D1153" s="11">
        <f ca="1">IFERROR(__xludf.DUMMYFUNCTION("GOOGLEFINANCE(A1153,""HIGH"")"),673.9)</f>
        <v>673.9</v>
      </c>
      <c r="E1153" s="11">
        <f ca="1">IFERROR(__xludf.DUMMYFUNCTION("GOOGLEFINANCE(A1153,""LOW"")"),660.5)</f>
        <v>660.5</v>
      </c>
      <c r="F1153" s="12" t="str">
        <f t="shared" ca="1" si="35"/>
        <v/>
      </c>
      <c r="G1153" s="13">
        <f ca="1">IFERROR(__xludf.DUMMYFUNCTION("GOOGLEFINANCE(A1153,""CLOSEYEST"")"),666.7)</f>
        <v>666.7</v>
      </c>
      <c r="H1153" s="14" t="str">
        <f t="shared" ca="1" si="41"/>
        <v/>
      </c>
      <c r="I1153" s="15">
        <f t="shared" ca="1" si="36"/>
        <v>667.03333333333342</v>
      </c>
      <c r="J1153" s="16">
        <f t="shared" ca="1" si="37"/>
        <v>673.56666666666683</v>
      </c>
      <c r="K1153" s="16"/>
      <c r="L1153" s="16">
        <f t="shared" ca="1" si="38"/>
        <v>660.16666666666686</v>
      </c>
      <c r="M1153" s="16">
        <f t="shared" ca="1" si="39"/>
        <v>680.43333333333339</v>
      </c>
      <c r="N1153" s="16">
        <f t="shared" ca="1" si="40"/>
        <v>653.63333333333344</v>
      </c>
    </row>
    <row r="1154" spans="1:14" ht="24.75" customHeight="1" x14ac:dyDescent="0.8">
      <c r="A1154" s="18" t="s">
        <v>1117</v>
      </c>
      <c r="B1154" s="10">
        <f ca="1">IFERROR(__xludf.DUMMYFUNCTION("GOOGLEFINANCE(A1154,""PRICE"")"),38.5)</f>
        <v>38.5</v>
      </c>
      <c r="C1154" s="11">
        <f ca="1">IFERROR(__xludf.DUMMYFUNCTION("GOOGLEFINANCE(A1154,""PRICEOPEN"")"),37.32)</f>
        <v>37.32</v>
      </c>
      <c r="D1154" s="11">
        <f ca="1">IFERROR(__xludf.DUMMYFUNCTION("GOOGLEFINANCE(A1154,""HIGH"")"),39.18)</f>
        <v>39.18</v>
      </c>
      <c r="E1154" s="11">
        <f ca="1">IFERROR(__xludf.DUMMYFUNCTION("GOOGLEFINANCE(A1154,""LOW"")"),36.67)</f>
        <v>36.67</v>
      </c>
      <c r="F1154" s="12" t="str">
        <f t="shared" ca="1" si="35"/>
        <v/>
      </c>
      <c r="G1154" s="13">
        <f ca="1">IFERROR(__xludf.DUMMYFUNCTION("GOOGLEFINANCE(A1154,""CLOSEYEST"")"),37.32)</f>
        <v>37.32</v>
      </c>
      <c r="H1154" s="14" t="str">
        <f t="shared" ca="1" si="41"/>
        <v/>
      </c>
      <c r="I1154" s="15">
        <f t="shared" ca="1" si="36"/>
        <v>37.723333333333329</v>
      </c>
      <c r="J1154" s="16">
        <f t="shared" ca="1" si="37"/>
        <v>38.776666666666657</v>
      </c>
      <c r="K1154" s="16"/>
      <c r="L1154" s="16">
        <f t="shared" ca="1" si="38"/>
        <v>36.266666666666659</v>
      </c>
      <c r="M1154" s="16">
        <f t="shared" ca="1" si="39"/>
        <v>40.233333333333327</v>
      </c>
      <c r="N1154" s="16">
        <f t="shared" ca="1" si="40"/>
        <v>35.213333333333331</v>
      </c>
    </row>
    <row r="1155" spans="1:14" ht="24.75" customHeight="1" x14ac:dyDescent="0.8">
      <c r="A1155" s="18" t="s">
        <v>1118</v>
      </c>
      <c r="B1155" s="10">
        <f ca="1">IFERROR(__xludf.DUMMYFUNCTION("GOOGLEFINANCE(A1155,""PRICE"")"),1156.4)</f>
        <v>1156.4000000000001</v>
      </c>
      <c r="C1155" s="11">
        <f ca="1">IFERROR(__xludf.DUMMYFUNCTION("GOOGLEFINANCE(A1155,""PRICEOPEN"")"),1189)</f>
        <v>1189</v>
      </c>
      <c r="D1155" s="11">
        <f ca="1">IFERROR(__xludf.DUMMYFUNCTION("GOOGLEFINANCE(A1155,""HIGH"")"),1189)</f>
        <v>1189</v>
      </c>
      <c r="E1155" s="11">
        <f ca="1">IFERROR(__xludf.DUMMYFUNCTION("GOOGLEFINANCE(A1155,""LOW"")"),1154.5)</f>
        <v>1154.5</v>
      </c>
      <c r="F1155" s="12" t="str">
        <f t="shared" ca="1" si="35"/>
        <v>SELL</v>
      </c>
      <c r="G1155" s="13">
        <f ca="1">IFERROR(__xludf.DUMMYFUNCTION("GOOGLEFINANCE(A1155,""CLOSEYEST"")"),1179.6)</f>
        <v>1179.5999999999999</v>
      </c>
      <c r="H1155" s="14" t="str">
        <f t="shared" ca="1" si="41"/>
        <v/>
      </c>
      <c r="I1155" s="15">
        <f t="shared" ca="1" si="36"/>
        <v>1174.3666666666666</v>
      </c>
      <c r="J1155" s="16">
        <f t="shared" ca="1" si="37"/>
        <v>1194.2333333333331</v>
      </c>
      <c r="K1155" s="16"/>
      <c r="L1155" s="16">
        <f t="shared" ca="1" si="38"/>
        <v>1159.7333333333331</v>
      </c>
      <c r="M1155" s="16">
        <f t="shared" ca="1" si="39"/>
        <v>1208.8666666666666</v>
      </c>
      <c r="N1155" s="16">
        <f t="shared" ca="1" si="40"/>
        <v>1139.8666666666666</v>
      </c>
    </row>
    <row r="1156" spans="1:14" ht="24.75" customHeight="1" x14ac:dyDescent="0.8">
      <c r="A1156" s="18" t="s">
        <v>1119</v>
      </c>
      <c r="B1156" s="10">
        <f ca="1">IFERROR(__xludf.DUMMYFUNCTION("GOOGLEFINANCE(A1156,""PRICE"")"),64.18)</f>
        <v>64.180000000000007</v>
      </c>
      <c r="C1156" s="11">
        <f ca="1">IFERROR(__xludf.DUMMYFUNCTION("GOOGLEFINANCE(A1156,""PRICEOPEN"")"),64.4)</f>
        <v>64.400000000000006</v>
      </c>
      <c r="D1156" s="11">
        <f ca="1">IFERROR(__xludf.DUMMYFUNCTION("GOOGLEFINANCE(A1156,""HIGH"")"),65.61)</f>
        <v>65.61</v>
      </c>
      <c r="E1156" s="11">
        <f ca="1">IFERROR(__xludf.DUMMYFUNCTION("GOOGLEFINANCE(A1156,""LOW"")"),62.95)</f>
        <v>62.95</v>
      </c>
      <c r="F1156" s="12" t="str">
        <f t="shared" ca="1" si="35"/>
        <v/>
      </c>
      <c r="G1156" s="13">
        <f ca="1">IFERROR(__xludf.DUMMYFUNCTION("GOOGLEFINANCE(A1156,""CLOSEYEST"")"),64.4)</f>
        <v>64.400000000000006</v>
      </c>
      <c r="H1156" s="14" t="str">
        <f t="shared" ca="1" si="41"/>
        <v/>
      </c>
      <c r="I1156" s="15">
        <f t="shared" ca="1" si="36"/>
        <v>64.320000000000007</v>
      </c>
      <c r="J1156" s="16">
        <f t="shared" ca="1" si="37"/>
        <v>65.690000000000012</v>
      </c>
      <c r="K1156" s="16"/>
      <c r="L1156" s="16">
        <f t="shared" ca="1" si="38"/>
        <v>63.030000000000015</v>
      </c>
      <c r="M1156" s="16">
        <f t="shared" ca="1" si="39"/>
        <v>66.98</v>
      </c>
      <c r="N1156" s="16">
        <f t="shared" ca="1" si="40"/>
        <v>61.660000000000011</v>
      </c>
    </row>
    <row r="1157" spans="1:14" ht="24.75" customHeight="1" x14ac:dyDescent="0.8">
      <c r="A1157" s="18" t="s">
        <v>1120</v>
      </c>
      <c r="B1157" s="10">
        <f ca="1">IFERROR(__xludf.DUMMYFUNCTION("GOOGLEFINANCE(A1157,""PRICE"")"),45.76)</f>
        <v>45.76</v>
      </c>
      <c r="C1157" s="11">
        <f ca="1">IFERROR(__xludf.DUMMYFUNCTION("GOOGLEFINANCE(A1157,""PRICEOPEN"")"),46.36)</f>
        <v>46.36</v>
      </c>
      <c r="D1157" s="11">
        <f ca="1">IFERROR(__xludf.DUMMYFUNCTION("GOOGLEFINANCE(A1157,""HIGH"")"),47.22)</f>
        <v>47.22</v>
      </c>
      <c r="E1157" s="11">
        <f ca="1">IFERROR(__xludf.DUMMYFUNCTION("GOOGLEFINANCE(A1157,""LOW"")"),44.8)</f>
        <v>44.8</v>
      </c>
      <c r="F1157" s="12" t="str">
        <f t="shared" ca="1" si="35"/>
        <v/>
      </c>
      <c r="G1157" s="13">
        <f ca="1">IFERROR(__xludf.DUMMYFUNCTION("GOOGLEFINANCE(A1157,""CLOSEYEST"")"),46.14)</f>
        <v>46.14</v>
      </c>
      <c r="H1157" s="14" t="str">
        <f t="shared" ca="1" si="41"/>
        <v/>
      </c>
      <c r="I1157" s="15">
        <f t="shared" ca="1" si="36"/>
        <v>46.053333333333335</v>
      </c>
      <c r="J1157" s="16">
        <f t="shared" ca="1" si="37"/>
        <v>47.306666666666672</v>
      </c>
      <c r="K1157" s="16"/>
      <c r="L1157" s="16">
        <f t="shared" ca="1" si="38"/>
        <v>44.88666666666667</v>
      </c>
      <c r="M1157" s="16">
        <f t="shared" ca="1" si="39"/>
        <v>48.473333333333336</v>
      </c>
      <c r="N1157" s="16">
        <f t="shared" ca="1" si="40"/>
        <v>43.633333333333333</v>
      </c>
    </row>
    <row r="1158" spans="1:14" ht="24.75" customHeight="1" x14ac:dyDescent="0.8">
      <c r="A1158" s="18" t="s">
        <v>1121</v>
      </c>
      <c r="B1158" s="10">
        <f ca="1">IFERROR(__xludf.DUMMYFUNCTION("GOOGLEFINANCE(A1158,""PRICE"")"),82.48)</f>
        <v>82.48</v>
      </c>
      <c r="C1158" s="11">
        <f ca="1">IFERROR(__xludf.DUMMYFUNCTION("GOOGLEFINANCE(A1158,""PRICEOPEN"")"),85.67)</f>
        <v>85.67</v>
      </c>
      <c r="D1158" s="11">
        <f ca="1">IFERROR(__xludf.DUMMYFUNCTION("GOOGLEFINANCE(A1158,""HIGH"")"),85.67)</f>
        <v>85.67</v>
      </c>
      <c r="E1158" s="11">
        <f ca="1">IFERROR(__xludf.DUMMYFUNCTION("GOOGLEFINANCE(A1158,""LOW"")"),81.6)</f>
        <v>81.599999999999994</v>
      </c>
      <c r="F1158" s="12" t="str">
        <f t="shared" ca="1" si="35"/>
        <v>SELL</v>
      </c>
      <c r="G1158" s="13">
        <f ca="1">IFERROR(__xludf.DUMMYFUNCTION("GOOGLEFINANCE(A1158,""CLOSEYEST"")"),83.9)</f>
        <v>83.9</v>
      </c>
      <c r="H1158" s="14" t="str">
        <f t="shared" ca="1" si="41"/>
        <v>GAP UP</v>
      </c>
      <c r="I1158" s="15">
        <f t="shared" ca="1" si="36"/>
        <v>83.723333333333329</v>
      </c>
      <c r="J1158" s="16">
        <f t="shared" ca="1" si="37"/>
        <v>85.846666666666664</v>
      </c>
      <c r="K1158" s="16"/>
      <c r="L1158" s="16">
        <f t="shared" ca="1" si="38"/>
        <v>81.776666666666657</v>
      </c>
      <c r="M1158" s="16">
        <f t="shared" ca="1" si="39"/>
        <v>87.793333333333337</v>
      </c>
      <c r="N1158" s="16">
        <f t="shared" ca="1" si="40"/>
        <v>79.653333333333322</v>
      </c>
    </row>
    <row r="1159" spans="1:14" ht="24.75" customHeight="1" x14ac:dyDescent="0.8">
      <c r="A1159" s="18" t="s">
        <v>1122</v>
      </c>
      <c r="B1159" s="10">
        <f ca="1">IFERROR(__xludf.DUMMYFUNCTION("GOOGLEFINANCE(A1159,""PRICE"")"),73.96)</f>
        <v>73.959999999999994</v>
      </c>
      <c r="C1159" s="11">
        <f ca="1">IFERROR(__xludf.DUMMYFUNCTION("GOOGLEFINANCE(A1159,""PRICEOPEN"")"),73.5)</f>
        <v>73.5</v>
      </c>
      <c r="D1159" s="11">
        <f ca="1">IFERROR(__xludf.DUMMYFUNCTION("GOOGLEFINANCE(A1159,""HIGH"")"),73.97)</f>
        <v>73.97</v>
      </c>
      <c r="E1159" s="11">
        <f ca="1">IFERROR(__xludf.DUMMYFUNCTION("GOOGLEFINANCE(A1159,""LOW"")"),73.27)</f>
        <v>73.27</v>
      </c>
      <c r="F1159" s="12" t="str">
        <f t="shared" ca="1" si="35"/>
        <v/>
      </c>
      <c r="G1159" s="13">
        <f ca="1">IFERROR(__xludf.DUMMYFUNCTION("GOOGLEFINANCE(A1159,""CLOSEYEST"")"),73.64)</f>
        <v>73.64</v>
      </c>
      <c r="H1159" s="14" t="str">
        <f t="shared" ca="1" si="41"/>
        <v/>
      </c>
      <c r="I1159" s="15">
        <f t="shared" ca="1" si="36"/>
        <v>73.626666666666665</v>
      </c>
      <c r="J1159" s="16">
        <f t="shared" ca="1" si="37"/>
        <v>73.983333333333334</v>
      </c>
      <c r="K1159" s="16"/>
      <c r="L1159" s="16">
        <f t="shared" ca="1" si="38"/>
        <v>73.283333333333331</v>
      </c>
      <c r="M1159" s="16">
        <f t="shared" ca="1" si="39"/>
        <v>74.326666666666668</v>
      </c>
      <c r="N1159" s="16">
        <f t="shared" ca="1" si="40"/>
        <v>72.926666666666662</v>
      </c>
    </row>
    <row r="1160" spans="1:14" ht="24.75" customHeight="1" x14ac:dyDescent="0.8">
      <c r="A1160" s="18" t="s">
        <v>1123</v>
      </c>
      <c r="B1160" s="10">
        <f ca="1">IFERROR(__xludf.DUMMYFUNCTION("GOOGLEFINANCE(A1160,""PRICE"")"),99)</f>
        <v>99</v>
      </c>
      <c r="C1160" s="11">
        <f ca="1">IFERROR(__xludf.DUMMYFUNCTION("GOOGLEFINANCE(A1160,""PRICEOPEN"")"),96.75)</f>
        <v>96.75</v>
      </c>
      <c r="D1160" s="11">
        <f ca="1">IFERROR(__xludf.DUMMYFUNCTION("GOOGLEFINANCE(A1160,""HIGH"")"),99)</f>
        <v>99</v>
      </c>
      <c r="E1160" s="11">
        <f ca="1">IFERROR(__xludf.DUMMYFUNCTION("GOOGLEFINANCE(A1160,""LOW"")"),96.05)</f>
        <v>96.05</v>
      </c>
      <c r="F1160" s="12" t="str">
        <f t="shared" ca="1" si="35"/>
        <v/>
      </c>
      <c r="G1160" s="13">
        <f ca="1">IFERROR(__xludf.DUMMYFUNCTION("GOOGLEFINANCE(A1160,""CLOSEYEST"")"),95.58)</f>
        <v>95.58</v>
      </c>
      <c r="H1160" s="14" t="str">
        <f t="shared" ca="1" si="41"/>
        <v>GAP UP</v>
      </c>
      <c r="I1160" s="15">
        <f t="shared" ca="1" si="36"/>
        <v>96.876666666666665</v>
      </c>
      <c r="J1160" s="16">
        <f t="shared" ca="1" si="37"/>
        <v>97.703333333333333</v>
      </c>
      <c r="K1160" s="16"/>
      <c r="L1160" s="16">
        <f t="shared" ca="1" si="38"/>
        <v>94.75333333333333</v>
      </c>
      <c r="M1160" s="16">
        <f t="shared" ca="1" si="39"/>
        <v>99.826666666666668</v>
      </c>
      <c r="N1160" s="16">
        <f t="shared" ca="1" si="40"/>
        <v>93.926666666666662</v>
      </c>
    </row>
    <row r="1161" spans="1:14" ht="24.75" customHeight="1" x14ac:dyDescent="0.8">
      <c r="A1161" s="18" t="s">
        <v>1124</v>
      </c>
      <c r="B1161" s="10">
        <f ca="1">IFERROR(__xludf.DUMMYFUNCTION("GOOGLEFINANCE(A1161,""PRICE"")"),9.4)</f>
        <v>9.4</v>
      </c>
      <c r="C1161" s="11">
        <f ca="1">IFERROR(__xludf.DUMMYFUNCTION("GOOGLEFINANCE(A1161,""PRICEOPEN"")"),9.56)</f>
        <v>9.56</v>
      </c>
      <c r="D1161" s="11">
        <f ca="1">IFERROR(__xludf.DUMMYFUNCTION("GOOGLEFINANCE(A1161,""HIGH"")"),9.56)</f>
        <v>9.56</v>
      </c>
      <c r="E1161" s="11">
        <f ca="1">IFERROR(__xludf.DUMMYFUNCTION("GOOGLEFINANCE(A1161,""LOW"")"),9.31)</f>
        <v>9.31</v>
      </c>
      <c r="F1161" s="12" t="str">
        <f t="shared" ca="1" si="35"/>
        <v>SELL</v>
      </c>
      <c r="G1161" s="13">
        <f ca="1">IFERROR(__xludf.DUMMYFUNCTION("GOOGLEFINANCE(A1161,""CLOSEYEST"")"),9.44)</f>
        <v>9.44</v>
      </c>
      <c r="H1161" s="14" t="str">
        <f t="shared" ca="1" si="41"/>
        <v>GAP UP</v>
      </c>
      <c r="I1161" s="15">
        <f t="shared" ca="1" si="36"/>
        <v>9.4366666666666674</v>
      </c>
      <c r="J1161" s="16">
        <f t="shared" ca="1" si="37"/>
        <v>9.5633333333333344</v>
      </c>
      <c r="K1161" s="16"/>
      <c r="L1161" s="16">
        <f t="shared" ca="1" si="38"/>
        <v>9.3133333333333344</v>
      </c>
      <c r="M1161" s="16">
        <f t="shared" ca="1" si="39"/>
        <v>9.6866666666666674</v>
      </c>
      <c r="N1161" s="16">
        <f t="shared" ca="1" si="40"/>
        <v>9.1866666666666674</v>
      </c>
    </row>
    <row r="1162" spans="1:14" ht="24.75" customHeight="1" x14ac:dyDescent="0.8">
      <c r="A1162" s="18" t="s">
        <v>1125</v>
      </c>
      <c r="B1162" s="10">
        <f ca="1">IFERROR(__xludf.DUMMYFUNCTION("GOOGLEFINANCE(A1162,""PRICE"")"),1.51)</f>
        <v>1.51</v>
      </c>
      <c r="C1162" s="11">
        <f ca="1">IFERROR(__xludf.DUMMYFUNCTION("GOOGLEFINANCE(A1162,""PRICEOPEN"")"),1.51)</f>
        <v>1.51</v>
      </c>
      <c r="D1162" s="11">
        <f ca="1">IFERROR(__xludf.DUMMYFUNCTION("GOOGLEFINANCE(A1162,""HIGH"")"),1.54)</f>
        <v>1.54</v>
      </c>
      <c r="E1162" s="11">
        <f ca="1">IFERROR(__xludf.DUMMYFUNCTION("GOOGLEFINANCE(A1162,""LOW"")"),1.49)</f>
        <v>1.49</v>
      </c>
      <c r="F1162" s="12" t="str">
        <f t="shared" ca="1" si="35"/>
        <v/>
      </c>
      <c r="G1162" s="13">
        <f ca="1">IFERROR(__xludf.DUMMYFUNCTION("GOOGLEFINANCE(A1162,""CLOSEYEST"")"),1.49)</f>
        <v>1.49</v>
      </c>
      <c r="H1162" s="14" t="str">
        <f t="shared" ca="1" si="41"/>
        <v>GAP UP</v>
      </c>
      <c r="I1162" s="15">
        <f t="shared" ca="1" si="36"/>
        <v>1.5066666666666668</v>
      </c>
      <c r="J1162" s="16">
        <f t="shared" ca="1" si="37"/>
        <v>1.5233333333333337</v>
      </c>
      <c r="K1162" s="16"/>
      <c r="L1162" s="16">
        <f t="shared" ca="1" si="38"/>
        <v>1.4733333333333336</v>
      </c>
      <c r="M1162" s="16">
        <f t="shared" ca="1" si="39"/>
        <v>1.5566666666666669</v>
      </c>
      <c r="N1162" s="16">
        <f t="shared" ca="1" si="40"/>
        <v>1.4566666666666668</v>
      </c>
    </row>
    <row r="1163" spans="1:14" ht="24.75" customHeight="1" x14ac:dyDescent="0.8">
      <c r="A1163" s="18" t="s">
        <v>1126</v>
      </c>
      <c r="B1163" s="10">
        <f ca="1">IFERROR(__xludf.DUMMYFUNCTION("GOOGLEFINANCE(A1163,""PRICE"")"),10.99)</f>
        <v>10.99</v>
      </c>
      <c r="C1163" s="11">
        <f ca="1">IFERROR(__xludf.DUMMYFUNCTION("GOOGLEFINANCE(A1163,""PRICEOPEN"")"),10.99)</f>
        <v>10.99</v>
      </c>
      <c r="D1163" s="11">
        <f ca="1">IFERROR(__xludf.DUMMYFUNCTION("GOOGLEFINANCE(A1163,""HIGH"")"),10.99)</f>
        <v>10.99</v>
      </c>
      <c r="E1163" s="11">
        <f ca="1">IFERROR(__xludf.DUMMYFUNCTION("GOOGLEFINANCE(A1163,""LOW"")"),10.99)</f>
        <v>10.99</v>
      </c>
      <c r="F1163" s="12" t="str">
        <f t="shared" ca="1" si="35"/>
        <v>SELL</v>
      </c>
      <c r="G1163" s="13">
        <f ca="1">IFERROR(__xludf.DUMMYFUNCTION("GOOGLEFINANCE(A1163,""CLOSEYEST"")"),10.99)</f>
        <v>10.99</v>
      </c>
      <c r="H1163" s="14" t="str">
        <f t="shared" ca="1" si="41"/>
        <v/>
      </c>
      <c r="I1163" s="15">
        <f t="shared" ca="1" si="36"/>
        <v>10.99</v>
      </c>
      <c r="J1163" s="16">
        <f t="shared" ca="1" si="37"/>
        <v>10.99</v>
      </c>
      <c r="K1163" s="16"/>
      <c r="L1163" s="16">
        <f t="shared" ca="1" si="38"/>
        <v>10.99</v>
      </c>
      <c r="M1163" s="16">
        <f t="shared" ca="1" si="39"/>
        <v>10.99</v>
      </c>
      <c r="N1163" s="16">
        <f t="shared" ca="1" si="40"/>
        <v>10.99</v>
      </c>
    </row>
    <row r="1164" spans="1:14" ht="24.75" customHeight="1" x14ac:dyDescent="0.8">
      <c r="A1164" s="18" t="s">
        <v>1127</v>
      </c>
      <c r="B1164" s="10" t="str">
        <f ca="1">IFERROR(__xludf.DUMMYFUNCTION("GOOGLEFINANCE(A1164,""PRICE"")"),"#N/A")</f>
        <v>#N/A</v>
      </c>
      <c r="C1164" s="11" t="str">
        <f ca="1">IFERROR(__xludf.DUMMYFUNCTION("GOOGLEFINANCE(A1164,""PRICEOPEN"")"),"#N/A")</f>
        <v>#N/A</v>
      </c>
      <c r="D1164" s="11" t="str">
        <f ca="1">IFERROR(__xludf.DUMMYFUNCTION("GOOGLEFINANCE(A1164,""HIGH"")"),"#N/A")</f>
        <v>#N/A</v>
      </c>
      <c r="E1164" s="11" t="str">
        <f ca="1">IFERROR(__xludf.DUMMYFUNCTION("GOOGLEFINANCE(A1164,""LOW"")"),"#N/A")</f>
        <v>#N/A</v>
      </c>
      <c r="F1164" s="12" t="str">
        <f t="shared" ca="1" si="35"/>
        <v>SELL</v>
      </c>
      <c r="G1164" s="13" t="str">
        <f ca="1">IFERROR(__xludf.DUMMYFUNCTION("GOOGLEFINANCE(A1164,""CLOSEYEST"")"),"#N/A")</f>
        <v>#N/A</v>
      </c>
      <c r="H1164" s="14" t="e">
        <f t="shared" ca="1" si="41"/>
        <v>#VALUE!</v>
      </c>
      <c r="I1164" s="15" t="e">
        <f t="shared" ca="1" si="36"/>
        <v>#VALUE!</v>
      </c>
      <c r="J1164" s="16" t="e">
        <f t="shared" ca="1" si="37"/>
        <v>#VALUE!</v>
      </c>
      <c r="K1164" s="16"/>
      <c r="L1164" s="16" t="e">
        <f t="shared" ca="1" si="38"/>
        <v>#VALUE!</v>
      </c>
      <c r="M1164" s="16" t="e">
        <f t="shared" ca="1" si="39"/>
        <v>#VALUE!</v>
      </c>
      <c r="N1164" s="16" t="e">
        <f t="shared" ca="1" si="40"/>
        <v>#VALUE!</v>
      </c>
    </row>
    <row r="1165" spans="1:14" ht="24.75" customHeight="1" x14ac:dyDescent="0.8">
      <c r="A1165" s="18" t="s">
        <v>1128</v>
      </c>
      <c r="B1165" s="10">
        <f ca="1">IFERROR(__xludf.DUMMYFUNCTION("GOOGLEFINANCE(A1165,""PRICE"")"),104.92)</f>
        <v>104.92</v>
      </c>
      <c r="C1165" s="11">
        <f ca="1">IFERROR(__xludf.DUMMYFUNCTION("GOOGLEFINANCE(A1165,""PRICEOPEN"")"),104.4)</f>
        <v>104.4</v>
      </c>
      <c r="D1165" s="11">
        <f ca="1">IFERROR(__xludf.DUMMYFUNCTION("GOOGLEFINANCE(A1165,""HIGH"")"),108.49)</f>
        <v>108.49</v>
      </c>
      <c r="E1165" s="11">
        <f ca="1">IFERROR(__xludf.DUMMYFUNCTION("GOOGLEFINANCE(A1165,""LOW"")"),103.11)</f>
        <v>103.11</v>
      </c>
      <c r="F1165" s="12" t="str">
        <f t="shared" ca="1" si="35"/>
        <v/>
      </c>
      <c r="G1165" s="13">
        <f ca="1">IFERROR(__xludf.DUMMYFUNCTION("GOOGLEFINANCE(A1165,""CLOSEYEST"")"),103.21)</f>
        <v>103.21</v>
      </c>
      <c r="H1165" s="14" t="str">
        <f t="shared" ca="1" si="41"/>
        <v>GAP UP</v>
      </c>
      <c r="I1165" s="15">
        <f t="shared" ca="1" si="36"/>
        <v>104.93666666666667</v>
      </c>
      <c r="J1165" s="16">
        <f t="shared" ca="1" si="37"/>
        <v>106.76333333333334</v>
      </c>
      <c r="K1165" s="16"/>
      <c r="L1165" s="16">
        <f t="shared" ca="1" si="38"/>
        <v>101.38333333333334</v>
      </c>
      <c r="M1165" s="16">
        <f t="shared" ca="1" si="39"/>
        <v>110.31666666666666</v>
      </c>
      <c r="N1165" s="16">
        <f t="shared" ca="1" si="40"/>
        <v>99.556666666666672</v>
      </c>
    </row>
    <row r="1166" spans="1:14" ht="24.75" customHeight="1" x14ac:dyDescent="0.8">
      <c r="A1166" s="18" t="s">
        <v>1129</v>
      </c>
      <c r="B1166" s="10">
        <f ca="1">IFERROR(__xludf.DUMMYFUNCTION("GOOGLEFINANCE(A1166,""PRICE"")"),3.9)</f>
        <v>3.9</v>
      </c>
      <c r="C1166" s="11">
        <f ca="1">IFERROR(__xludf.DUMMYFUNCTION("GOOGLEFINANCE(A1166,""PRICEOPEN"")"),3.88)</f>
        <v>3.88</v>
      </c>
      <c r="D1166" s="11">
        <f ca="1">IFERROR(__xludf.DUMMYFUNCTION("GOOGLEFINANCE(A1166,""HIGH"")"),3.97)</f>
        <v>3.97</v>
      </c>
      <c r="E1166" s="11">
        <f ca="1">IFERROR(__xludf.DUMMYFUNCTION("GOOGLEFINANCE(A1166,""LOW"")"),3.88)</f>
        <v>3.88</v>
      </c>
      <c r="F1166" s="12" t="str">
        <f t="shared" ca="1" si="35"/>
        <v>BUY</v>
      </c>
      <c r="G1166" s="13">
        <f ca="1">IFERROR(__xludf.DUMMYFUNCTION("GOOGLEFINANCE(A1166,""CLOSEYEST"")"),3.88)</f>
        <v>3.88</v>
      </c>
      <c r="H1166" s="14" t="str">
        <f t="shared" ca="1" si="41"/>
        <v/>
      </c>
      <c r="I1166" s="15">
        <f t="shared" ca="1" si="36"/>
        <v>3.91</v>
      </c>
      <c r="J1166" s="16">
        <f t="shared" ca="1" si="37"/>
        <v>3.9400000000000004</v>
      </c>
      <c r="K1166" s="16"/>
      <c r="L1166" s="16">
        <f t="shared" ca="1" si="38"/>
        <v>3.85</v>
      </c>
      <c r="M1166" s="16">
        <f t="shared" ca="1" si="39"/>
        <v>4</v>
      </c>
      <c r="N1166" s="16">
        <f t="shared" ca="1" si="40"/>
        <v>3.82</v>
      </c>
    </row>
    <row r="1167" spans="1:14" ht="24.75" customHeight="1" x14ac:dyDescent="0.8">
      <c r="A1167" s="18" t="s">
        <v>1130</v>
      </c>
      <c r="B1167" s="10">
        <f ca="1">IFERROR(__xludf.DUMMYFUNCTION("GOOGLEFINANCE(A1167,""PRICE"")"),116.7)</f>
        <v>116.7</v>
      </c>
      <c r="C1167" s="11">
        <f ca="1">IFERROR(__xludf.DUMMYFUNCTION("GOOGLEFINANCE(A1167,""PRICEOPEN"")"),114.85)</f>
        <v>114.85</v>
      </c>
      <c r="D1167" s="11">
        <f ca="1">IFERROR(__xludf.DUMMYFUNCTION("GOOGLEFINANCE(A1167,""HIGH"")"),118.9)</f>
        <v>118.9</v>
      </c>
      <c r="E1167" s="11">
        <f ca="1">IFERROR(__xludf.DUMMYFUNCTION("GOOGLEFINANCE(A1167,""LOW"")"),113.86)</f>
        <v>113.86</v>
      </c>
      <c r="F1167" s="12" t="str">
        <f t="shared" ca="1" si="35"/>
        <v/>
      </c>
      <c r="G1167" s="13">
        <f ca="1">IFERROR(__xludf.DUMMYFUNCTION("GOOGLEFINANCE(A1167,""CLOSEYEST"")"),113.73)</f>
        <v>113.73</v>
      </c>
      <c r="H1167" s="14" t="str">
        <f t="shared" ca="1" si="41"/>
        <v/>
      </c>
      <c r="I1167" s="15">
        <f t="shared" ca="1" si="36"/>
        <v>115.49666666666667</v>
      </c>
      <c r="J1167" s="16">
        <f t="shared" ca="1" si="37"/>
        <v>117.13333333333334</v>
      </c>
      <c r="K1167" s="16"/>
      <c r="L1167" s="16">
        <f t="shared" ca="1" si="38"/>
        <v>112.09333333333333</v>
      </c>
      <c r="M1167" s="16">
        <f t="shared" ca="1" si="39"/>
        <v>120.53666666666668</v>
      </c>
      <c r="N1167" s="16">
        <f t="shared" ca="1" si="40"/>
        <v>110.45666666666666</v>
      </c>
    </row>
    <row r="1168" spans="1:14" ht="24.75" customHeight="1" x14ac:dyDescent="0.8">
      <c r="A1168" s="18" t="s">
        <v>1131</v>
      </c>
      <c r="B1168" s="10">
        <f ca="1">IFERROR(__xludf.DUMMYFUNCTION("GOOGLEFINANCE(A1168,""PRICE"")"),203.8)</f>
        <v>203.8</v>
      </c>
      <c r="C1168" s="11">
        <f ca="1">IFERROR(__xludf.DUMMYFUNCTION("GOOGLEFINANCE(A1168,""PRICEOPEN"")"),187.53)</f>
        <v>187.53</v>
      </c>
      <c r="D1168" s="11">
        <f ca="1">IFERROR(__xludf.DUMMYFUNCTION("GOOGLEFINANCE(A1168,""HIGH"")"),203.8)</f>
        <v>203.8</v>
      </c>
      <c r="E1168" s="11">
        <f ca="1">IFERROR(__xludf.DUMMYFUNCTION("GOOGLEFINANCE(A1168,""LOW"")"),186.96)</f>
        <v>186.96</v>
      </c>
      <c r="F1168" s="12" t="str">
        <f t="shared" ca="1" si="35"/>
        <v/>
      </c>
      <c r="G1168" s="13">
        <f ca="1">IFERROR(__xludf.DUMMYFUNCTION("GOOGLEFINANCE(A1168,""CLOSEYEST"")"),187.53)</f>
        <v>187.53</v>
      </c>
      <c r="H1168" s="14" t="str">
        <f t="shared" ca="1" si="41"/>
        <v/>
      </c>
      <c r="I1168" s="15">
        <f t="shared" ca="1" si="36"/>
        <v>192.76333333333332</v>
      </c>
      <c r="J1168" s="16">
        <f t="shared" ca="1" si="37"/>
        <v>198.56666666666663</v>
      </c>
      <c r="K1168" s="16"/>
      <c r="L1168" s="16">
        <f t="shared" ca="1" si="38"/>
        <v>181.72666666666663</v>
      </c>
      <c r="M1168" s="16">
        <f t="shared" ca="1" si="39"/>
        <v>209.60333333333332</v>
      </c>
      <c r="N1168" s="16">
        <f t="shared" ca="1" si="40"/>
        <v>175.92333333333332</v>
      </c>
    </row>
    <row r="1169" spans="1:14" ht="24.75" customHeight="1" x14ac:dyDescent="0.8">
      <c r="A1169" s="18" t="s">
        <v>1132</v>
      </c>
      <c r="B1169" s="10">
        <f ca="1">IFERROR(__xludf.DUMMYFUNCTION("GOOGLEFINANCE(A1169,""PRICE"")"),470)</f>
        <v>470</v>
      </c>
      <c r="C1169" s="11">
        <f ca="1">IFERROR(__xludf.DUMMYFUNCTION("GOOGLEFINANCE(A1169,""PRICEOPEN"")"),470)</f>
        <v>470</v>
      </c>
      <c r="D1169" s="11">
        <f ca="1">IFERROR(__xludf.DUMMYFUNCTION("GOOGLEFINANCE(A1169,""HIGH"")"),470)</f>
        <v>470</v>
      </c>
      <c r="E1169" s="11">
        <f ca="1">IFERROR(__xludf.DUMMYFUNCTION("GOOGLEFINANCE(A1169,""LOW"")"),452.05)</f>
        <v>452.05</v>
      </c>
      <c r="F1169" s="12" t="str">
        <f t="shared" ca="1" si="35"/>
        <v>SELL</v>
      </c>
      <c r="G1169" s="13">
        <f ca="1">IFERROR(__xludf.DUMMYFUNCTION("GOOGLEFINANCE(A1169,""CLOSEYEST"")"),453.95)</f>
        <v>453.95</v>
      </c>
      <c r="H1169" s="14" t="str">
        <f t="shared" ca="1" si="41"/>
        <v>GAP UP</v>
      </c>
      <c r="I1169" s="15">
        <f t="shared" ca="1" si="36"/>
        <v>458.66666666666669</v>
      </c>
      <c r="J1169" s="16">
        <f t="shared" ca="1" si="37"/>
        <v>465.28333333333336</v>
      </c>
      <c r="K1169" s="16"/>
      <c r="L1169" s="16">
        <f t="shared" ca="1" si="38"/>
        <v>447.33333333333337</v>
      </c>
      <c r="M1169" s="16">
        <f t="shared" ca="1" si="39"/>
        <v>476.61666666666667</v>
      </c>
      <c r="N1169" s="16">
        <f t="shared" ca="1" si="40"/>
        <v>440.7166666666667</v>
      </c>
    </row>
    <row r="1170" spans="1:14" ht="24.75" customHeight="1" x14ac:dyDescent="0.8">
      <c r="A1170" s="18" t="s">
        <v>1133</v>
      </c>
      <c r="B1170" s="10">
        <f ca="1">IFERROR(__xludf.DUMMYFUNCTION("GOOGLEFINANCE(A1170,""PRICE"")"),86.02)</f>
        <v>86.02</v>
      </c>
      <c r="C1170" s="11">
        <f ca="1">IFERROR(__xludf.DUMMYFUNCTION("GOOGLEFINANCE(A1170,""PRICEOPEN"")"),85)</f>
        <v>85</v>
      </c>
      <c r="D1170" s="11">
        <f ca="1">IFERROR(__xludf.DUMMYFUNCTION("GOOGLEFINANCE(A1170,""HIGH"")"),86.95)</f>
        <v>86.95</v>
      </c>
      <c r="E1170" s="11">
        <f ca="1">IFERROR(__xludf.DUMMYFUNCTION("GOOGLEFINANCE(A1170,""LOW"")"),84.94)</f>
        <v>84.94</v>
      </c>
      <c r="F1170" s="12" t="str">
        <f t="shared" ca="1" si="35"/>
        <v/>
      </c>
      <c r="G1170" s="13">
        <f ca="1">IFERROR(__xludf.DUMMYFUNCTION("GOOGLEFINANCE(A1170,""CLOSEYEST"")"),84.9)</f>
        <v>84.9</v>
      </c>
      <c r="H1170" s="14" t="str">
        <f t="shared" ca="1" si="41"/>
        <v/>
      </c>
      <c r="I1170" s="15">
        <f t="shared" ca="1" si="36"/>
        <v>85.59666666666665</v>
      </c>
      <c r="J1170" s="16">
        <f t="shared" ca="1" si="37"/>
        <v>86.253333333333302</v>
      </c>
      <c r="K1170" s="16"/>
      <c r="L1170" s="16">
        <f t="shared" ca="1" si="38"/>
        <v>84.243333333333297</v>
      </c>
      <c r="M1170" s="16">
        <f t="shared" ca="1" si="39"/>
        <v>87.606666666666655</v>
      </c>
      <c r="N1170" s="16">
        <f t="shared" ca="1" si="40"/>
        <v>83.586666666666645</v>
      </c>
    </row>
    <row r="1171" spans="1:14" ht="24.75" customHeight="1" x14ac:dyDescent="0.8">
      <c r="A1171" s="18" t="s">
        <v>1134</v>
      </c>
      <c r="B1171" s="10">
        <f ca="1">IFERROR(__xludf.DUMMYFUNCTION("GOOGLEFINANCE(A1171,""PRICE"")"),188.88)</f>
        <v>188.88</v>
      </c>
      <c r="C1171" s="11">
        <f ca="1">IFERROR(__xludf.DUMMYFUNCTION("GOOGLEFINANCE(A1171,""PRICEOPEN"")"),185.97)</f>
        <v>185.97</v>
      </c>
      <c r="D1171" s="11">
        <f ca="1">IFERROR(__xludf.DUMMYFUNCTION("GOOGLEFINANCE(A1171,""HIGH"")"),189.7)</f>
        <v>189.7</v>
      </c>
      <c r="E1171" s="11">
        <f ca="1">IFERROR(__xludf.DUMMYFUNCTION("GOOGLEFINANCE(A1171,""LOW"")"),185.05)</f>
        <v>185.05</v>
      </c>
      <c r="F1171" s="12" t="str">
        <f t="shared" ca="1" si="35"/>
        <v/>
      </c>
      <c r="G1171" s="13">
        <f ca="1">IFERROR(__xludf.DUMMYFUNCTION("GOOGLEFINANCE(A1171,""CLOSEYEST"")"),185.25)</f>
        <v>185.25</v>
      </c>
      <c r="H1171" s="14" t="str">
        <f t="shared" ca="1" si="41"/>
        <v/>
      </c>
      <c r="I1171" s="15">
        <f t="shared" ca="1" si="36"/>
        <v>186.66666666666666</v>
      </c>
      <c r="J1171" s="16">
        <f t="shared" ca="1" si="37"/>
        <v>188.2833333333333</v>
      </c>
      <c r="K1171" s="16"/>
      <c r="L1171" s="16">
        <f t="shared" ca="1" si="38"/>
        <v>183.63333333333333</v>
      </c>
      <c r="M1171" s="16">
        <f t="shared" ca="1" si="39"/>
        <v>191.31666666666663</v>
      </c>
      <c r="N1171" s="16">
        <f t="shared" ca="1" si="40"/>
        <v>182.01666666666668</v>
      </c>
    </row>
    <row r="1172" spans="1:14" ht="24.75" customHeight="1" x14ac:dyDescent="0.8">
      <c r="A1172" s="18" t="s">
        <v>1135</v>
      </c>
      <c r="B1172" s="10">
        <f ca="1">IFERROR(__xludf.DUMMYFUNCTION("GOOGLEFINANCE(A1172,""PRICE"")"),55.84)</f>
        <v>55.84</v>
      </c>
      <c r="C1172" s="11">
        <f ca="1">IFERROR(__xludf.DUMMYFUNCTION("GOOGLEFINANCE(A1172,""PRICEOPEN"")"),55.5)</f>
        <v>55.5</v>
      </c>
      <c r="D1172" s="11">
        <f ca="1">IFERROR(__xludf.DUMMYFUNCTION("GOOGLEFINANCE(A1172,""HIGH"")"),56.26)</f>
        <v>56.26</v>
      </c>
      <c r="E1172" s="11">
        <f ca="1">IFERROR(__xludf.DUMMYFUNCTION("GOOGLEFINANCE(A1172,""LOW"")"),54.07)</f>
        <v>54.07</v>
      </c>
      <c r="F1172" s="12" t="str">
        <f t="shared" ca="1" si="35"/>
        <v/>
      </c>
      <c r="G1172" s="13">
        <f ca="1">IFERROR(__xludf.DUMMYFUNCTION("GOOGLEFINANCE(A1172,""CLOSEYEST"")"),55.7)</f>
        <v>55.7</v>
      </c>
      <c r="H1172" s="14" t="str">
        <f t="shared" ca="1" si="41"/>
        <v/>
      </c>
      <c r="I1172" s="15">
        <f t="shared" ca="1" si="36"/>
        <v>55.343333333333334</v>
      </c>
      <c r="J1172" s="16">
        <f t="shared" ca="1" si="37"/>
        <v>56.616666666666667</v>
      </c>
      <c r="K1172" s="16"/>
      <c r="L1172" s="16">
        <f t="shared" ca="1" si="38"/>
        <v>54.426666666666669</v>
      </c>
      <c r="M1172" s="16">
        <f t="shared" ca="1" si="39"/>
        <v>57.533333333333331</v>
      </c>
      <c r="N1172" s="16">
        <f t="shared" ca="1" si="40"/>
        <v>53.153333333333336</v>
      </c>
    </row>
    <row r="1173" spans="1:14" ht="24.75" customHeight="1" x14ac:dyDescent="0.8">
      <c r="A1173" s="18" t="s">
        <v>1136</v>
      </c>
      <c r="B1173" s="10">
        <f ca="1">IFERROR(__xludf.DUMMYFUNCTION("GOOGLEFINANCE(A1173,""PRICE"")"),245.5)</f>
        <v>245.5</v>
      </c>
      <c r="C1173" s="11">
        <f ca="1">IFERROR(__xludf.DUMMYFUNCTION("GOOGLEFINANCE(A1173,""PRICEOPEN"")"),239)</f>
        <v>239</v>
      </c>
      <c r="D1173" s="11">
        <f ca="1">IFERROR(__xludf.DUMMYFUNCTION("GOOGLEFINANCE(A1173,""HIGH"")"),245.5)</f>
        <v>245.5</v>
      </c>
      <c r="E1173" s="11">
        <f ca="1">IFERROR(__xludf.DUMMYFUNCTION("GOOGLEFINANCE(A1173,""LOW"")"),238.83)</f>
        <v>238.83</v>
      </c>
      <c r="F1173" s="12" t="str">
        <f t="shared" ca="1" si="35"/>
        <v/>
      </c>
      <c r="G1173" s="13">
        <f ca="1">IFERROR(__xludf.DUMMYFUNCTION("GOOGLEFINANCE(A1173,""CLOSEYEST"")"),239.33)</f>
        <v>239.33</v>
      </c>
      <c r="H1173" s="14" t="str">
        <f t="shared" ca="1" si="41"/>
        <v/>
      </c>
      <c r="I1173" s="15">
        <f t="shared" ca="1" si="36"/>
        <v>241.22000000000003</v>
      </c>
      <c r="J1173" s="16">
        <f t="shared" ca="1" si="37"/>
        <v>243.61000000000004</v>
      </c>
      <c r="K1173" s="16"/>
      <c r="L1173" s="16">
        <f t="shared" ca="1" si="38"/>
        <v>236.94000000000005</v>
      </c>
      <c r="M1173" s="16">
        <f t="shared" ca="1" si="39"/>
        <v>247.89000000000001</v>
      </c>
      <c r="N1173" s="16">
        <f t="shared" ca="1" si="40"/>
        <v>234.55000000000004</v>
      </c>
    </row>
    <row r="1174" spans="1:14" ht="24.75" customHeight="1" x14ac:dyDescent="0.8">
      <c r="A1174" s="18" t="s">
        <v>1137</v>
      </c>
      <c r="B1174" s="10">
        <f ca="1">IFERROR(__xludf.DUMMYFUNCTION("GOOGLEFINANCE(A1174,""PRICE"")"),275)</f>
        <v>275</v>
      </c>
      <c r="C1174" s="11">
        <f ca="1">IFERROR(__xludf.DUMMYFUNCTION("GOOGLEFINANCE(A1174,""PRICEOPEN"")"),276.95)</f>
        <v>276.95</v>
      </c>
      <c r="D1174" s="11">
        <f ca="1">IFERROR(__xludf.DUMMYFUNCTION("GOOGLEFINANCE(A1174,""HIGH"")"),276.95)</f>
        <v>276.95</v>
      </c>
      <c r="E1174" s="11">
        <f ca="1">IFERROR(__xludf.DUMMYFUNCTION("GOOGLEFINANCE(A1174,""LOW"")"),271.1)</f>
        <v>271.10000000000002</v>
      </c>
      <c r="F1174" s="12" t="str">
        <f t="shared" ca="1" si="35"/>
        <v>SELL</v>
      </c>
      <c r="G1174" s="13">
        <f ca="1">IFERROR(__xludf.DUMMYFUNCTION("GOOGLEFINANCE(A1174,""CLOSEYEST"")"),274.65)</f>
        <v>274.64999999999998</v>
      </c>
      <c r="H1174" s="14" t="str">
        <f t="shared" ca="1" si="41"/>
        <v/>
      </c>
      <c r="I1174" s="15">
        <f t="shared" ca="1" si="36"/>
        <v>274.23333333333329</v>
      </c>
      <c r="J1174" s="16">
        <f t="shared" ca="1" si="37"/>
        <v>277.36666666666656</v>
      </c>
      <c r="K1174" s="16"/>
      <c r="L1174" s="16">
        <f t="shared" ca="1" si="38"/>
        <v>271.51666666666659</v>
      </c>
      <c r="M1174" s="16">
        <f t="shared" ca="1" si="39"/>
        <v>280.08333333333326</v>
      </c>
      <c r="N1174" s="16">
        <f t="shared" ca="1" si="40"/>
        <v>268.38333333333333</v>
      </c>
    </row>
    <row r="1175" spans="1:14" ht="24.75" customHeight="1" x14ac:dyDescent="0.8">
      <c r="A1175" s="18" t="s">
        <v>1138</v>
      </c>
      <c r="B1175" s="10">
        <f ca="1">IFERROR(__xludf.DUMMYFUNCTION("GOOGLEFINANCE(A1175,""PRICE"")"),2233)</f>
        <v>2233</v>
      </c>
      <c r="C1175" s="11">
        <f ca="1">IFERROR(__xludf.DUMMYFUNCTION("GOOGLEFINANCE(A1175,""PRICEOPEN"")"),2207)</f>
        <v>2207</v>
      </c>
      <c r="D1175" s="11">
        <f ca="1">IFERROR(__xludf.DUMMYFUNCTION("GOOGLEFINANCE(A1175,""HIGH"")"),2348.9)</f>
        <v>2348.9</v>
      </c>
      <c r="E1175" s="11">
        <f ca="1">IFERROR(__xludf.DUMMYFUNCTION("GOOGLEFINANCE(A1175,""LOW"")"),2133.1)</f>
        <v>2133.1</v>
      </c>
      <c r="F1175" s="12" t="str">
        <f t="shared" ca="1" si="35"/>
        <v/>
      </c>
      <c r="G1175" s="13">
        <f ca="1">IFERROR(__xludf.DUMMYFUNCTION("GOOGLEFINANCE(A1175,""CLOSEYEST"")"),2168.5)</f>
        <v>2168.5</v>
      </c>
      <c r="H1175" s="14" t="str">
        <f t="shared" ca="1" si="41"/>
        <v>GAP UP</v>
      </c>
      <c r="I1175" s="15">
        <f t="shared" ca="1" si="36"/>
        <v>2216.8333333333335</v>
      </c>
      <c r="J1175" s="16">
        <f t="shared" ca="1" si="37"/>
        <v>2300.5666666666671</v>
      </c>
      <c r="K1175" s="16"/>
      <c r="L1175" s="16">
        <f t="shared" ca="1" si="38"/>
        <v>2084.7666666666669</v>
      </c>
      <c r="M1175" s="16">
        <f t="shared" ca="1" si="39"/>
        <v>2432.6333333333337</v>
      </c>
      <c r="N1175" s="16">
        <f t="shared" ca="1" si="40"/>
        <v>2001.0333333333333</v>
      </c>
    </row>
    <row r="1176" spans="1:14" ht="24.75" customHeight="1" x14ac:dyDescent="0.8">
      <c r="A1176" s="18" t="s">
        <v>1139</v>
      </c>
      <c r="B1176" s="10" t="str">
        <f ca="1">IFERROR(__xludf.DUMMYFUNCTION("GOOGLEFINANCE(A1176,""PRICE"")"),"#N/A")</f>
        <v>#N/A</v>
      </c>
      <c r="C1176" s="11" t="str">
        <f ca="1">IFERROR(__xludf.DUMMYFUNCTION("GOOGLEFINANCE(A1176,""PRICEOPEN"")"),"#N/A")</f>
        <v>#N/A</v>
      </c>
      <c r="D1176" s="11" t="str">
        <f ca="1">IFERROR(__xludf.DUMMYFUNCTION("GOOGLEFINANCE(A1176,""HIGH"")"),"#N/A")</f>
        <v>#N/A</v>
      </c>
      <c r="E1176" s="11" t="str">
        <f ca="1">IFERROR(__xludf.DUMMYFUNCTION("GOOGLEFINANCE(A1176,""LOW"")"),"#N/A")</f>
        <v>#N/A</v>
      </c>
      <c r="F1176" s="12" t="str">
        <f t="shared" ca="1" si="35"/>
        <v>SELL</v>
      </c>
      <c r="G1176" s="13" t="str">
        <f ca="1">IFERROR(__xludf.DUMMYFUNCTION("GOOGLEFINANCE(A1176,""CLOSEYEST"")"),"#N/A")</f>
        <v>#N/A</v>
      </c>
      <c r="H1176" s="14" t="e">
        <f t="shared" ca="1" si="41"/>
        <v>#VALUE!</v>
      </c>
      <c r="I1176" s="15" t="e">
        <f t="shared" ca="1" si="36"/>
        <v>#VALUE!</v>
      </c>
      <c r="J1176" s="16" t="e">
        <f t="shared" ca="1" si="37"/>
        <v>#VALUE!</v>
      </c>
      <c r="K1176" s="16"/>
      <c r="L1176" s="16" t="e">
        <f t="shared" ca="1" si="38"/>
        <v>#VALUE!</v>
      </c>
      <c r="M1176" s="16" t="e">
        <f t="shared" ca="1" si="39"/>
        <v>#VALUE!</v>
      </c>
      <c r="N1176" s="16" t="e">
        <f t="shared" ca="1" si="40"/>
        <v>#VALUE!</v>
      </c>
    </row>
    <row r="1177" spans="1:14" ht="24.75" customHeight="1" x14ac:dyDescent="0.8">
      <c r="A1177" s="18" t="s">
        <v>1140</v>
      </c>
      <c r="B1177" s="10">
        <f ca="1">IFERROR(__xludf.DUMMYFUNCTION("GOOGLEFINANCE(A1177,""PRICE"")"),141.72)</f>
        <v>141.72</v>
      </c>
      <c r="C1177" s="11">
        <f ca="1">IFERROR(__xludf.DUMMYFUNCTION("GOOGLEFINANCE(A1177,""PRICEOPEN"")"),142.23)</f>
        <v>142.22999999999999</v>
      </c>
      <c r="D1177" s="11">
        <f ca="1">IFERROR(__xludf.DUMMYFUNCTION("GOOGLEFINANCE(A1177,""HIGH"")"),142.23)</f>
        <v>142.22999999999999</v>
      </c>
      <c r="E1177" s="11">
        <f ca="1">IFERROR(__xludf.DUMMYFUNCTION("GOOGLEFINANCE(A1177,""LOW"")"),139.44)</f>
        <v>139.44</v>
      </c>
      <c r="F1177" s="12" t="str">
        <f t="shared" ca="1" si="35"/>
        <v>SELL</v>
      </c>
      <c r="G1177" s="13">
        <f ca="1">IFERROR(__xludf.DUMMYFUNCTION("GOOGLEFINANCE(A1177,""CLOSEYEST"")"),140.84)</f>
        <v>140.84</v>
      </c>
      <c r="H1177" s="14" t="str">
        <f t="shared" ca="1" si="41"/>
        <v/>
      </c>
      <c r="I1177" s="15">
        <f t="shared" ca="1" si="36"/>
        <v>140.83666666666667</v>
      </c>
      <c r="J1177" s="16">
        <f t="shared" ca="1" si="37"/>
        <v>142.23333333333335</v>
      </c>
      <c r="K1177" s="16"/>
      <c r="L1177" s="16">
        <f t="shared" ca="1" si="38"/>
        <v>139.44333333333336</v>
      </c>
      <c r="M1177" s="16">
        <f t="shared" ca="1" si="39"/>
        <v>143.62666666666667</v>
      </c>
      <c r="N1177" s="16">
        <f t="shared" ca="1" si="40"/>
        <v>138.04666666666668</v>
      </c>
    </row>
    <row r="1178" spans="1:14" ht="24.75" customHeight="1" x14ac:dyDescent="0.8">
      <c r="A1178" s="18" t="s">
        <v>1141</v>
      </c>
      <c r="B1178" s="10">
        <f ca="1">IFERROR(__xludf.DUMMYFUNCTION("GOOGLEFINANCE(A1178,""PRICE"")"),1.91)</f>
        <v>1.91</v>
      </c>
      <c r="C1178" s="11">
        <f ca="1">IFERROR(__xludf.DUMMYFUNCTION("GOOGLEFINANCE(A1178,""PRICEOPEN"")"),1.91)</f>
        <v>1.91</v>
      </c>
      <c r="D1178" s="11">
        <f ca="1">IFERROR(__xludf.DUMMYFUNCTION("GOOGLEFINANCE(A1178,""HIGH"")"),1.91)</f>
        <v>1.91</v>
      </c>
      <c r="E1178" s="11">
        <f ca="1">IFERROR(__xludf.DUMMYFUNCTION("GOOGLEFINANCE(A1178,""LOW"")"),1.91)</f>
        <v>1.91</v>
      </c>
      <c r="F1178" s="12" t="str">
        <f t="shared" ca="1" si="35"/>
        <v>SELL</v>
      </c>
      <c r="G1178" s="13">
        <f ca="1">IFERROR(__xludf.DUMMYFUNCTION("GOOGLEFINANCE(A1178,""CLOSEYEST"")"),1.88)</f>
        <v>1.88</v>
      </c>
      <c r="H1178" s="14" t="str">
        <f t="shared" ca="1" si="41"/>
        <v>GAP UP</v>
      </c>
      <c r="I1178" s="15">
        <f t="shared" ca="1" si="36"/>
        <v>1.8999999999999997</v>
      </c>
      <c r="J1178" s="16">
        <f t="shared" ca="1" si="37"/>
        <v>1.8899999999999995</v>
      </c>
      <c r="K1178" s="16"/>
      <c r="L1178" s="16">
        <f t="shared" ca="1" si="38"/>
        <v>1.8899999999999995</v>
      </c>
      <c r="M1178" s="16">
        <f t="shared" ca="1" si="39"/>
        <v>1.8999999999999997</v>
      </c>
      <c r="N1178" s="16">
        <f t="shared" ca="1" si="40"/>
        <v>1.8999999999999997</v>
      </c>
    </row>
    <row r="1179" spans="1:14" ht="24.75" customHeight="1" x14ac:dyDescent="0.8">
      <c r="A1179" s="18" t="s">
        <v>1142</v>
      </c>
      <c r="B1179" s="10">
        <f ca="1">IFERROR(__xludf.DUMMYFUNCTION("GOOGLEFINANCE(A1179,""PRICE"")"),76)</f>
        <v>76</v>
      </c>
      <c r="C1179" s="11">
        <f ca="1">IFERROR(__xludf.DUMMYFUNCTION("GOOGLEFINANCE(A1179,""PRICEOPEN"")"),73.11)</f>
        <v>73.11</v>
      </c>
      <c r="D1179" s="11">
        <f ca="1">IFERROR(__xludf.DUMMYFUNCTION("GOOGLEFINANCE(A1179,""HIGH"")"),76.65)</f>
        <v>76.650000000000006</v>
      </c>
      <c r="E1179" s="11">
        <f ca="1">IFERROR(__xludf.DUMMYFUNCTION("GOOGLEFINANCE(A1179,""LOW"")"),73.11)</f>
        <v>73.11</v>
      </c>
      <c r="F1179" s="12" t="str">
        <f t="shared" ca="1" si="35"/>
        <v>BUY</v>
      </c>
      <c r="G1179" s="13">
        <f ca="1">IFERROR(__xludf.DUMMYFUNCTION("GOOGLEFINANCE(A1179,""CLOSEYEST"")"),73.5)</f>
        <v>73.5</v>
      </c>
      <c r="H1179" s="14" t="str">
        <f t="shared" ca="1" si="41"/>
        <v/>
      </c>
      <c r="I1179" s="15">
        <f t="shared" ca="1" si="36"/>
        <v>74.42</v>
      </c>
      <c r="J1179" s="16">
        <f t="shared" ca="1" si="37"/>
        <v>75.73</v>
      </c>
      <c r="K1179" s="16"/>
      <c r="L1179" s="16">
        <f t="shared" ca="1" si="38"/>
        <v>72.19</v>
      </c>
      <c r="M1179" s="16">
        <f t="shared" ca="1" si="39"/>
        <v>77.960000000000008</v>
      </c>
      <c r="N1179" s="16">
        <f t="shared" ca="1" si="40"/>
        <v>70.88</v>
      </c>
    </row>
    <row r="1180" spans="1:14" ht="24.75" customHeight="1" x14ac:dyDescent="0.8">
      <c r="A1180" s="18" t="s">
        <v>1143</v>
      </c>
      <c r="B1180" s="10">
        <f ca="1">IFERROR(__xludf.DUMMYFUNCTION("GOOGLEFINANCE(A1180,""PRICE"")"),67.8)</f>
        <v>67.8</v>
      </c>
      <c r="C1180" s="11">
        <f ca="1">IFERROR(__xludf.DUMMYFUNCTION("GOOGLEFINANCE(A1180,""PRICEOPEN"")"),67.71)</f>
        <v>67.709999999999994</v>
      </c>
      <c r="D1180" s="11">
        <f ca="1">IFERROR(__xludf.DUMMYFUNCTION("GOOGLEFINANCE(A1180,""HIGH"")"),69)</f>
        <v>69</v>
      </c>
      <c r="E1180" s="11">
        <f ca="1">IFERROR(__xludf.DUMMYFUNCTION("GOOGLEFINANCE(A1180,""LOW"")"),67.11)</f>
        <v>67.11</v>
      </c>
      <c r="F1180" s="12" t="str">
        <f t="shared" ca="1" si="35"/>
        <v/>
      </c>
      <c r="G1180" s="13">
        <f ca="1">IFERROR(__xludf.DUMMYFUNCTION("GOOGLEFINANCE(A1180,""CLOSEYEST"")"),67.71)</f>
        <v>67.709999999999994</v>
      </c>
      <c r="H1180" s="14" t="str">
        <f t="shared" ca="1" si="41"/>
        <v/>
      </c>
      <c r="I1180" s="15">
        <f t="shared" ca="1" si="36"/>
        <v>67.94</v>
      </c>
      <c r="J1180" s="16">
        <f t="shared" ca="1" si="37"/>
        <v>68.77</v>
      </c>
      <c r="K1180" s="16"/>
      <c r="L1180" s="16">
        <f t="shared" ca="1" si="38"/>
        <v>66.88</v>
      </c>
      <c r="M1180" s="16">
        <f t="shared" ca="1" si="39"/>
        <v>69.83</v>
      </c>
      <c r="N1180" s="16">
        <f t="shared" ca="1" si="40"/>
        <v>66.05</v>
      </c>
    </row>
    <row r="1181" spans="1:14" ht="24.75" customHeight="1" x14ac:dyDescent="0.8">
      <c r="A1181" s="18" t="s">
        <v>1144</v>
      </c>
      <c r="B1181" s="10" t="str">
        <f ca="1">IFERROR(__xludf.DUMMYFUNCTION("GOOGLEFINANCE(A1181,""PRICE"")"),"#N/A")</f>
        <v>#N/A</v>
      </c>
      <c r="C1181" s="11" t="str">
        <f ca="1">IFERROR(__xludf.DUMMYFUNCTION("GOOGLEFINANCE(A1181,""PRICEOPEN"")"),"#N/A")</f>
        <v>#N/A</v>
      </c>
      <c r="D1181" s="11" t="str">
        <f ca="1">IFERROR(__xludf.DUMMYFUNCTION("GOOGLEFINANCE(A1181,""HIGH"")"),"#N/A")</f>
        <v>#N/A</v>
      </c>
      <c r="E1181" s="11" t="str">
        <f ca="1">IFERROR(__xludf.DUMMYFUNCTION("GOOGLEFINANCE(A1181,""LOW"")"),"#N/A")</f>
        <v>#N/A</v>
      </c>
      <c r="F1181" s="12" t="str">
        <f t="shared" ca="1" si="35"/>
        <v>SELL</v>
      </c>
      <c r="G1181" s="13" t="str">
        <f ca="1">IFERROR(__xludf.DUMMYFUNCTION("GOOGLEFINANCE(A1181,""CLOSEYEST"")"),"#N/A")</f>
        <v>#N/A</v>
      </c>
      <c r="H1181" s="14" t="e">
        <f t="shared" ca="1" si="41"/>
        <v>#VALUE!</v>
      </c>
      <c r="I1181" s="15" t="e">
        <f t="shared" ca="1" si="36"/>
        <v>#VALUE!</v>
      </c>
      <c r="J1181" s="16" t="e">
        <f t="shared" ca="1" si="37"/>
        <v>#VALUE!</v>
      </c>
      <c r="K1181" s="16"/>
      <c r="L1181" s="16" t="e">
        <f t="shared" ca="1" si="38"/>
        <v>#VALUE!</v>
      </c>
      <c r="M1181" s="16" t="e">
        <f t="shared" ca="1" si="39"/>
        <v>#VALUE!</v>
      </c>
      <c r="N1181" s="16" t="e">
        <f t="shared" ca="1" si="40"/>
        <v>#VALUE!</v>
      </c>
    </row>
    <row r="1182" spans="1:14" ht="24.75" customHeight="1" x14ac:dyDescent="0.8">
      <c r="A1182" s="18" t="s">
        <v>1145</v>
      </c>
      <c r="B1182" s="10">
        <f ca="1">IFERROR(__xludf.DUMMYFUNCTION("GOOGLEFINANCE(A1182,""PRICE"")"),0.54)</f>
        <v>0.54</v>
      </c>
      <c r="C1182" s="11">
        <f ca="1">IFERROR(__xludf.DUMMYFUNCTION("GOOGLEFINANCE(A1182,""PRICEOPEN"")"),0.56)</f>
        <v>0.56000000000000005</v>
      </c>
      <c r="D1182" s="11">
        <f ca="1">IFERROR(__xludf.DUMMYFUNCTION("GOOGLEFINANCE(A1182,""HIGH"")"),0.56)</f>
        <v>0.56000000000000005</v>
      </c>
      <c r="E1182" s="11">
        <f ca="1">IFERROR(__xludf.DUMMYFUNCTION("GOOGLEFINANCE(A1182,""LOW"")"),0.54)</f>
        <v>0.54</v>
      </c>
      <c r="F1182" s="12" t="str">
        <f t="shared" ca="1" si="35"/>
        <v>SELL</v>
      </c>
      <c r="G1182" s="13">
        <f ca="1">IFERROR(__xludf.DUMMYFUNCTION("GOOGLEFINANCE(A1182,""CLOSEYEST"")"),0.55)</f>
        <v>0.55000000000000004</v>
      </c>
      <c r="H1182" s="14" t="str">
        <f t="shared" ca="1" si="41"/>
        <v>GAP UP</v>
      </c>
      <c r="I1182" s="15">
        <f t="shared" ca="1" si="36"/>
        <v>0.55000000000000004</v>
      </c>
      <c r="J1182" s="16">
        <f t="shared" ca="1" si="37"/>
        <v>0.56000000000000005</v>
      </c>
      <c r="K1182" s="16"/>
      <c r="L1182" s="16">
        <f t="shared" ca="1" si="38"/>
        <v>0.54</v>
      </c>
      <c r="M1182" s="16">
        <f t="shared" ca="1" si="39"/>
        <v>0.57000000000000006</v>
      </c>
      <c r="N1182" s="16">
        <f t="shared" ca="1" si="40"/>
        <v>0.53</v>
      </c>
    </row>
    <row r="1183" spans="1:14" ht="24.75" customHeight="1" x14ac:dyDescent="0.8">
      <c r="A1183" s="18" t="s">
        <v>1146</v>
      </c>
      <c r="B1183" s="10">
        <f ca="1">IFERROR(__xludf.DUMMYFUNCTION("GOOGLEFINANCE(A1183,""PRICE"")"),295.95)</f>
        <v>295.95</v>
      </c>
      <c r="C1183" s="11">
        <f ca="1">IFERROR(__xludf.DUMMYFUNCTION("GOOGLEFINANCE(A1183,""PRICEOPEN"")"),292.5)</f>
        <v>292.5</v>
      </c>
      <c r="D1183" s="11">
        <f ca="1">IFERROR(__xludf.DUMMYFUNCTION("GOOGLEFINANCE(A1183,""HIGH"")"),298.45)</f>
        <v>298.45</v>
      </c>
      <c r="E1183" s="11">
        <f ca="1">IFERROR(__xludf.DUMMYFUNCTION("GOOGLEFINANCE(A1183,""LOW"")"),290.25)</f>
        <v>290.25</v>
      </c>
      <c r="F1183" s="12" t="str">
        <f t="shared" ca="1" si="35"/>
        <v/>
      </c>
      <c r="G1183" s="13">
        <f ca="1">IFERROR(__xludf.DUMMYFUNCTION("GOOGLEFINANCE(A1183,""CLOSEYEST"")"),291.25)</f>
        <v>291.25</v>
      </c>
      <c r="H1183" s="14" t="str">
        <f t="shared" ca="1" si="41"/>
        <v/>
      </c>
      <c r="I1183" s="15">
        <f t="shared" ca="1" si="36"/>
        <v>293.31666666666666</v>
      </c>
      <c r="J1183" s="16">
        <f t="shared" ca="1" si="37"/>
        <v>296.38333333333333</v>
      </c>
      <c r="K1183" s="16"/>
      <c r="L1183" s="16">
        <f t="shared" ca="1" si="38"/>
        <v>288.18333333333334</v>
      </c>
      <c r="M1183" s="16">
        <f t="shared" ca="1" si="39"/>
        <v>301.51666666666665</v>
      </c>
      <c r="N1183" s="16">
        <f t="shared" ca="1" si="40"/>
        <v>285.11666666666667</v>
      </c>
    </row>
    <row r="1184" spans="1:14" ht="24.75" customHeight="1" x14ac:dyDescent="0.8">
      <c r="A1184" s="18" t="s">
        <v>1147</v>
      </c>
      <c r="B1184" s="10">
        <f ca="1">IFERROR(__xludf.DUMMYFUNCTION("GOOGLEFINANCE(A1184,""PRICE"")"),1214)</f>
        <v>1214</v>
      </c>
      <c r="C1184" s="11">
        <f ca="1">IFERROR(__xludf.DUMMYFUNCTION("GOOGLEFINANCE(A1184,""PRICEOPEN"")"),1242)</f>
        <v>1242</v>
      </c>
      <c r="D1184" s="11">
        <f ca="1">IFERROR(__xludf.DUMMYFUNCTION("GOOGLEFINANCE(A1184,""HIGH"")"),1245)</f>
        <v>1245</v>
      </c>
      <c r="E1184" s="11">
        <f ca="1">IFERROR(__xludf.DUMMYFUNCTION("GOOGLEFINANCE(A1184,""LOW"")"),1194)</f>
        <v>1194</v>
      </c>
      <c r="F1184" s="12" t="str">
        <f t="shared" ca="1" si="35"/>
        <v/>
      </c>
      <c r="G1184" s="13">
        <f ca="1">IFERROR(__xludf.DUMMYFUNCTION("GOOGLEFINANCE(A1184,""CLOSEYEST"")"),1221.3)</f>
        <v>1221.3</v>
      </c>
      <c r="H1184" s="14" t="str">
        <f t="shared" ca="1" si="41"/>
        <v>GAP UP</v>
      </c>
      <c r="I1184" s="15">
        <f t="shared" ca="1" si="36"/>
        <v>1220.1000000000001</v>
      </c>
      <c r="J1184" s="16">
        <f t="shared" ca="1" si="37"/>
        <v>1246.2000000000003</v>
      </c>
      <c r="K1184" s="16"/>
      <c r="L1184" s="16">
        <f t="shared" ca="1" si="38"/>
        <v>1195.2000000000003</v>
      </c>
      <c r="M1184" s="16">
        <f t="shared" ca="1" si="39"/>
        <v>1271.1000000000001</v>
      </c>
      <c r="N1184" s="16">
        <f t="shared" ca="1" si="40"/>
        <v>1169.1000000000001</v>
      </c>
    </row>
    <row r="1185" spans="1:14" ht="24.75" customHeight="1" x14ac:dyDescent="0.8">
      <c r="A1185" s="18" t="s">
        <v>1148</v>
      </c>
      <c r="B1185" s="10" t="str">
        <f ca="1">IFERROR(__xludf.DUMMYFUNCTION("GOOGLEFINANCE(A1185,""PRICE"")"),"#N/A")</f>
        <v>#N/A</v>
      </c>
      <c r="C1185" s="11" t="str">
        <f ca="1">IFERROR(__xludf.DUMMYFUNCTION("GOOGLEFINANCE(A1185,""PRICEOPEN"")"),"#N/A")</f>
        <v>#N/A</v>
      </c>
      <c r="D1185" s="11" t="str">
        <f ca="1">IFERROR(__xludf.DUMMYFUNCTION("GOOGLEFINANCE(A1185,""HIGH"")"),"#N/A")</f>
        <v>#N/A</v>
      </c>
      <c r="E1185" s="11" t="str">
        <f ca="1">IFERROR(__xludf.DUMMYFUNCTION("GOOGLEFINANCE(A1185,""LOW"")"),"#N/A")</f>
        <v>#N/A</v>
      </c>
      <c r="F1185" s="12" t="str">
        <f t="shared" ca="1" si="35"/>
        <v>SELL</v>
      </c>
      <c r="G1185" s="13" t="str">
        <f ca="1">IFERROR(__xludf.DUMMYFUNCTION("GOOGLEFINANCE(A1185,""CLOSEYEST"")"),"#N/A")</f>
        <v>#N/A</v>
      </c>
      <c r="H1185" s="14" t="e">
        <f t="shared" ca="1" si="41"/>
        <v>#VALUE!</v>
      </c>
      <c r="I1185" s="15" t="e">
        <f t="shared" ca="1" si="36"/>
        <v>#VALUE!</v>
      </c>
      <c r="J1185" s="16" t="e">
        <f t="shared" ca="1" si="37"/>
        <v>#VALUE!</v>
      </c>
      <c r="K1185" s="16"/>
      <c r="L1185" s="16" t="e">
        <f t="shared" ca="1" si="38"/>
        <v>#VALUE!</v>
      </c>
      <c r="M1185" s="16" t="e">
        <f t="shared" ca="1" si="39"/>
        <v>#VALUE!</v>
      </c>
      <c r="N1185" s="16" t="e">
        <f t="shared" ca="1" si="40"/>
        <v>#VALUE!</v>
      </c>
    </row>
    <row r="1186" spans="1:14" ht="24.75" customHeight="1" x14ac:dyDescent="0.8">
      <c r="A1186" s="18" t="s">
        <v>1149</v>
      </c>
      <c r="B1186" s="10">
        <f ca="1">IFERROR(__xludf.DUMMYFUNCTION("GOOGLEFINANCE(A1186,""PRICE"")"),167)</f>
        <v>167</v>
      </c>
      <c r="C1186" s="11">
        <f ca="1">IFERROR(__xludf.DUMMYFUNCTION("GOOGLEFINANCE(A1186,""PRICEOPEN"")"),163)</f>
        <v>163</v>
      </c>
      <c r="D1186" s="11">
        <f ca="1">IFERROR(__xludf.DUMMYFUNCTION("GOOGLEFINANCE(A1186,""HIGH"")"),168.79)</f>
        <v>168.79</v>
      </c>
      <c r="E1186" s="11">
        <f ca="1">IFERROR(__xludf.DUMMYFUNCTION("GOOGLEFINANCE(A1186,""LOW"")"),161.55)</f>
        <v>161.55000000000001</v>
      </c>
      <c r="F1186" s="12" t="str">
        <f t="shared" ca="1" si="35"/>
        <v/>
      </c>
      <c r="G1186" s="13">
        <f ca="1">IFERROR(__xludf.DUMMYFUNCTION("GOOGLEFINANCE(A1186,""CLOSEYEST"")"),164.76)</f>
        <v>164.76</v>
      </c>
      <c r="H1186" s="14" t="str">
        <f t="shared" ca="1" si="41"/>
        <v>GAP DOWN</v>
      </c>
      <c r="I1186" s="15">
        <f t="shared" ca="1" si="36"/>
        <v>165.03333333333333</v>
      </c>
      <c r="J1186" s="16">
        <f t="shared" ca="1" si="37"/>
        <v>168.51666666666665</v>
      </c>
      <c r="K1186" s="16"/>
      <c r="L1186" s="16">
        <f t="shared" ca="1" si="38"/>
        <v>161.27666666666667</v>
      </c>
      <c r="M1186" s="16">
        <f t="shared" ca="1" si="39"/>
        <v>172.27333333333331</v>
      </c>
      <c r="N1186" s="16">
        <f t="shared" ca="1" si="40"/>
        <v>157.79333333333335</v>
      </c>
    </row>
    <row r="1187" spans="1:14" ht="24.75" customHeight="1" x14ac:dyDescent="0.8">
      <c r="A1187" s="18" t="s">
        <v>1150</v>
      </c>
      <c r="B1187" s="10">
        <f ca="1">IFERROR(__xludf.DUMMYFUNCTION("GOOGLEFINANCE(A1187,""PRICE"")"),129.95)</f>
        <v>129.94999999999999</v>
      </c>
      <c r="C1187" s="11">
        <f ca="1">IFERROR(__xludf.DUMMYFUNCTION("GOOGLEFINANCE(A1187,""PRICEOPEN"")"),128.3)</f>
        <v>128.30000000000001</v>
      </c>
      <c r="D1187" s="11">
        <f ca="1">IFERROR(__xludf.DUMMYFUNCTION("GOOGLEFINANCE(A1187,""HIGH"")"),131.46)</f>
        <v>131.46</v>
      </c>
      <c r="E1187" s="11">
        <f ca="1">IFERROR(__xludf.DUMMYFUNCTION("GOOGLEFINANCE(A1187,""LOW"")"),128.3)</f>
        <v>128.30000000000001</v>
      </c>
      <c r="F1187" s="12" t="str">
        <f t="shared" ca="1" si="35"/>
        <v>BUY</v>
      </c>
      <c r="G1187" s="13">
        <f ca="1">IFERROR(__xludf.DUMMYFUNCTION("GOOGLEFINANCE(A1187,""CLOSEYEST"")"),128.91)</f>
        <v>128.91</v>
      </c>
      <c r="H1187" s="14" t="str">
        <f t="shared" ca="1" si="41"/>
        <v/>
      </c>
      <c r="I1187" s="15">
        <f t="shared" ca="1" si="36"/>
        <v>129.55666666666664</v>
      </c>
      <c r="J1187" s="16">
        <f t="shared" ca="1" si="37"/>
        <v>130.81333333333328</v>
      </c>
      <c r="K1187" s="16"/>
      <c r="L1187" s="16">
        <f t="shared" ca="1" si="38"/>
        <v>127.65333333333328</v>
      </c>
      <c r="M1187" s="16">
        <f t="shared" ca="1" si="39"/>
        <v>132.71666666666664</v>
      </c>
      <c r="N1187" s="16">
        <f t="shared" ca="1" si="40"/>
        <v>126.39666666666665</v>
      </c>
    </row>
    <row r="1188" spans="1:14" ht="24.75" customHeight="1" x14ac:dyDescent="0.8">
      <c r="A1188" s="18" t="s">
        <v>1151</v>
      </c>
      <c r="B1188" s="10">
        <f ca="1">IFERROR(__xludf.DUMMYFUNCTION("GOOGLEFINANCE(A1188,""PRICE"")"),169)</f>
        <v>169</v>
      </c>
      <c r="C1188" s="11">
        <f ca="1">IFERROR(__xludf.DUMMYFUNCTION("GOOGLEFINANCE(A1188,""PRICEOPEN"")"),171.9)</f>
        <v>171.9</v>
      </c>
      <c r="D1188" s="11">
        <f ca="1">IFERROR(__xludf.DUMMYFUNCTION("GOOGLEFINANCE(A1188,""HIGH"")"),176.84)</f>
        <v>176.84</v>
      </c>
      <c r="E1188" s="11">
        <f ca="1">IFERROR(__xludf.DUMMYFUNCTION("GOOGLEFINANCE(A1188,""LOW"")"),168.05)</f>
        <v>168.05</v>
      </c>
      <c r="F1188" s="12" t="str">
        <f t="shared" ca="1" si="35"/>
        <v/>
      </c>
      <c r="G1188" s="13">
        <f ca="1">IFERROR(__xludf.DUMMYFUNCTION("GOOGLEFINANCE(A1188,""CLOSEYEST"")"),169.13)</f>
        <v>169.13</v>
      </c>
      <c r="H1188" s="14" t="str">
        <f t="shared" ca="1" si="41"/>
        <v>GAP UP</v>
      </c>
      <c r="I1188" s="15">
        <f t="shared" ca="1" si="36"/>
        <v>171.34</v>
      </c>
      <c r="J1188" s="16">
        <f t="shared" ca="1" si="37"/>
        <v>174.63</v>
      </c>
      <c r="K1188" s="16"/>
      <c r="L1188" s="16">
        <f t="shared" ca="1" si="38"/>
        <v>165.84</v>
      </c>
      <c r="M1188" s="16">
        <f t="shared" ca="1" si="39"/>
        <v>180.13</v>
      </c>
      <c r="N1188" s="16">
        <f t="shared" ca="1" si="40"/>
        <v>162.55000000000001</v>
      </c>
    </row>
    <row r="1189" spans="1:14" ht="24.75" customHeight="1" x14ac:dyDescent="0.8">
      <c r="A1189" s="18" t="s">
        <v>1152</v>
      </c>
      <c r="B1189" s="10">
        <f ca="1">IFERROR(__xludf.DUMMYFUNCTION("GOOGLEFINANCE(A1189,""PRICE"")"),251.36)</f>
        <v>251.36</v>
      </c>
      <c r="C1189" s="11">
        <f ca="1">IFERROR(__xludf.DUMMYFUNCTION("GOOGLEFINANCE(A1189,""PRICEOPEN"")"),252.27)</f>
        <v>252.27</v>
      </c>
      <c r="D1189" s="11">
        <f ca="1">IFERROR(__xludf.DUMMYFUNCTION("GOOGLEFINANCE(A1189,""HIGH"")"),252.27)</f>
        <v>252.27</v>
      </c>
      <c r="E1189" s="11">
        <f ca="1">IFERROR(__xludf.DUMMYFUNCTION("GOOGLEFINANCE(A1189,""LOW"")"),251.77)</f>
        <v>251.77</v>
      </c>
      <c r="F1189" s="12" t="str">
        <f t="shared" ca="1" si="35"/>
        <v>SELL</v>
      </c>
      <c r="G1189" s="13">
        <f ca="1">IFERROR(__xludf.DUMMYFUNCTION("GOOGLEFINANCE(A1189,""CLOSEYEST"")"),251.53)</f>
        <v>251.53</v>
      </c>
      <c r="H1189" s="14" t="str">
        <f t="shared" ca="1" si="41"/>
        <v/>
      </c>
      <c r="I1189" s="15">
        <f t="shared" ca="1" si="36"/>
        <v>251.85666666666668</v>
      </c>
      <c r="J1189" s="16">
        <f t="shared" ca="1" si="37"/>
        <v>251.94333333333336</v>
      </c>
      <c r="K1189" s="16"/>
      <c r="L1189" s="16">
        <f t="shared" ca="1" si="38"/>
        <v>251.44333333333336</v>
      </c>
      <c r="M1189" s="16">
        <f t="shared" ca="1" si="39"/>
        <v>252.35666666666668</v>
      </c>
      <c r="N1189" s="16">
        <f t="shared" ca="1" si="40"/>
        <v>251.35666666666668</v>
      </c>
    </row>
    <row r="1190" spans="1:14" ht="24.75" customHeight="1" x14ac:dyDescent="0.8">
      <c r="A1190" s="18" t="s">
        <v>1153</v>
      </c>
      <c r="B1190" s="10">
        <f ca="1">IFERROR(__xludf.DUMMYFUNCTION("GOOGLEFINANCE(A1190,""PRICE"")"),44.83)</f>
        <v>44.83</v>
      </c>
      <c r="C1190" s="11">
        <f ca="1">IFERROR(__xludf.DUMMYFUNCTION("GOOGLEFINANCE(A1190,""PRICEOPEN"")"),44.6)</f>
        <v>44.6</v>
      </c>
      <c r="D1190" s="11">
        <f ca="1">IFERROR(__xludf.DUMMYFUNCTION("GOOGLEFINANCE(A1190,""HIGH"")"),45.34)</f>
        <v>45.34</v>
      </c>
      <c r="E1190" s="11">
        <f ca="1">IFERROR(__xludf.DUMMYFUNCTION("GOOGLEFINANCE(A1190,""LOW"")"),44.53)</f>
        <v>44.53</v>
      </c>
      <c r="F1190" s="12" t="str">
        <f t="shared" ca="1" si="35"/>
        <v/>
      </c>
      <c r="G1190" s="13">
        <f ca="1">IFERROR(__xludf.DUMMYFUNCTION("GOOGLEFINANCE(A1190,""CLOSEYEST"")"),44.53)</f>
        <v>44.53</v>
      </c>
      <c r="H1190" s="14" t="str">
        <f t="shared" ca="1" si="41"/>
        <v/>
      </c>
      <c r="I1190" s="15">
        <f t="shared" ca="1" si="36"/>
        <v>44.800000000000004</v>
      </c>
      <c r="J1190" s="16">
        <f t="shared" ca="1" si="37"/>
        <v>45.070000000000007</v>
      </c>
      <c r="K1190" s="16"/>
      <c r="L1190" s="16">
        <f t="shared" ca="1" si="38"/>
        <v>44.260000000000005</v>
      </c>
      <c r="M1190" s="16">
        <f t="shared" ca="1" si="39"/>
        <v>45.610000000000007</v>
      </c>
      <c r="N1190" s="16">
        <f t="shared" ca="1" si="40"/>
        <v>43.99</v>
      </c>
    </row>
    <row r="1191" spans="1:14" ht="24.75" customHeight="1" x14ac:dyDescent="0.8">
      <c r="A1191" s="18" t="s">
        <v>1154</v>
      </c>
      <c r="B1191" s="10">
        <f ca="1">IFERROR(__xludf.DUMMYFUNCTION("GOOGLEFINANCE(A1191,""PRICE"")"),8.09)</f>
        <v>8.09</v>
      </c>
      <c r="C1191" s="11">
        <f ca="1">IFERROR(__xludf.DUMMYFUNCTION("GOOGLEFINANCE(A1191,""PRICEOPEN"")"),8.14)</f>
        <v>8.14</v>
      </c>
      <c r="D1191" s="11">
        <f ca="1">IFERROR(__xludf.DUMMYFUNCTION("GOOGLEFINANCE(A1191,""HIGH"")"),8.14)</f>
        <v>8.14</v>
      </c>
      <c r="E1191" s="11">
        <f ca="1">IFERROR(__xludf.DUMMYFUNCTION("GOOGLEFINANCE(A1191,""LOW"")"),8)</f>
        <v>8</v>
      </c>
      <c r="F1191" s="12" t="str">
        <f t="shared" ca="1" si="35"/>
        <v>SELL</v>
      </c>
      <c r="G1191" s="13">
        <f ca="1">IFERROR(__xludf.DUMMYFUNCTION("GOOGLEFINANCE(A1191,""CLOSEYEST"")"),8.07)</f>
        <v>8.07</v>
      </c>
      <c r="H1191" s="14" t="str">
        <f t="shared" ca="1" si="41"/>
        <v/>
      </c>
      <c r="I1191" s="15">
        <f t="shared" ca="1" si="36"/>
        <v>8.07</v>
      </c>
      <c r="J1191" s="16">
        <f t="shared" ca="1" si="37"/>
        <v>8.14</v>
      </c>
      <c r="K1191" s="16"/>
      <c r="L1191" s="16">
        <f t="shared" ca="1" si="38"/>
        <v>8</v>
      </c>
      <c r="M1191" s="16">
        <f t="shared" ca="1" si="39"/>
        <v>8.2100000000000009</v>
      </c>
      <c r="N1191" s="16">
        <f t="shared" ca="1" si="40"/>
        <v>7.93</v>
      </c>
    </row>
    <row r="1192" spans="1:14" ht="24.75" customHeight="1" x14ac:dyDescent="0.8">
      <c r="A1192" s="18" t="s">
        <v>1155</v>
      </c>
      <c r="B1192" s="10" t="str">
        <f ca="1">IFERROR(__xludf.DUMMYFUNCTION("GOOGLEFINANCE(A1192,""PRICE"")"),"#N/A")</f>
        <v>#N/A</v>
      </c>
      <c r="C1192" s="11" t="str">
        <f ca="1">IFERROR(__xludf.DUMMYFUNCTION("GOOGLEFINANCE(A1192,""PRICEOPEN"")"),"#N/A")</f>
        <v>#N/A</v>
      </c>
      <c r="D1192" s="11" t="str">
        <f ca="1">IFERROR(__xludf.DUMMYFUNCTION("GOOGLEFINANCE(A1192,""HIGH"")"),"#N/A")</f>
        <v>#N/A</v>
      </c>
      <c r="E1192" s="11" t="str">
        <f ca="1">IFERROR(__xludf.DUMMYFUNCTION("GOOGLEFINANCE(A1192,""LOW"")"),"#N/A")</f>
        <v>#N/A</v>
      </c>
      <c r="F1192" s="12" t="str">
        <f t="shared" ca="1" si="35"/>
        <v>SELL</v>
      </c>
      <c r="G1192" s="13" t="str">
        <f ca="1">IFERROR(__xludf.DUMMYFUNCTION("GOOGLEFINANCE(A1192,""CLOSEYEST"")"),"#N/A")</f>
        <v>#N/A</v>
      </c>
      <c r="H1192" s="14" t="e">
        <f t="shared" ca="1" si="41"/>
        <v>#VALUE!</v>
      </c>
      <c r="I1192" s="15" t="e">
        <f t="shared" ca="1" si="36"/>
        <v>#VALUE!</v>
      </c>
      <c r="J1192" s="16" t="e">
        <f t="shared" ca="1" si="37"/>
        <v>#VALUE!</v>
      </c>
      <c r="K1192" s="16"/>
      <c r="L1192" s="16" t="e">
        <f t="shared" ca="1" si="38"/>
        <v>#VALUE!</v>
      </c>
      <c r="M1192" s="16" t="e">
        <f t="shared" ca="1" si="39"/>
        <v>#VALUE!</v>
      </c>
      <c r="N1192" s="16" t="e">
        <f t="shared" ca="1" si="40"/>
        <v>#VALUE!</v>
      </c>
    </row>
    <row r="1193" spans="1:14" ht="24.75" customHeight="1" x14ac:dyDescent="0.8">
      <c r="A1193" s="18" t="s">
        <v>1156</v>
      </c>
      <c r="B1193" s="10">
        <f ca="1">IFERROR(__xludf.DUMMYFUNCTION("GOOGLEFINANCE(A1193,""PRICE"")"),762.8)</f>
        <v>762.8</v>
      </c>
      <c r="C1193" s="11">
        <f ca="1">IFERROR(__xludf.DUMMYFUNCTION("GOOGLEFINANCE(A1193,""PRICEOPEN"")"),750)</f>
        <v>750</v>
      </c>
      <c r="D1193" s="11">
        <f ca="1">IFERROR(__xludf.DUMMYFUNCTION("GOOGLEFINANCE(A1193,""HIGH"")"),762.8)</f>
        <v>762.8</v>
      </c>
      <c r="E1193" s="11">
        <f ca="1">IFERROR(__xludf.DUMMYFUNCTION("GOOGLEFINANCE(A1193,""LOW"")"),740)</f>
        <v>740</v>
      </c>
      <c r="F1193" s="12" t="str">
        <f t="shared" ca="1" si="35"/>
        <v/>
      </c>
      <c r="G1193" s="13">
        <f ca="1">IFERROR(__xludf.DUMMYFUNCTION("GOOGLEFINANCE(A1193,""CLOSEYEST"")"),749.35)</f>
        <v>749.35</v>
      </c>
      <c r="H1193" s="14" t="str">
        <f t="shared" ca="1" si="41"/>
        <v/>
      </c>
      <c r="I1193" s="15">
        <f t="shared" ca="1" si="36"/>
        <v>750.7166666666667</v>
      </c>
      <c r="J1193" s="16">
        <f t="shared" ca="1" si="37"/>
        <v>761.43333333333339</v>
      </c>
      <c r="K1193" s="16"/>
      <c r="L1193" s="16">
        <f t="shared" ca="1" si="38"/>
        <v>738.63333333333344</v>
      </c>
      <c r="M1193" s="16">
        <f t="shared" ca="1" si="39"/>
        <v>773.51666666666665</v>
      </c>
      <c r="N1193" s="16">
        <f t="shared" ca="1" si="40"/>
        <v>727.91666666666674</v>
      </c>
    </row>
    <row r="1194" spans="1:14" ht="24.75" customHeight="1" x14ac:dyDescent="0.8">
      <c r="A1194" s="18" t="s">
        <v>1157</v>
      </c>
      <c r="B1194" s="10">
        <f ca="1">IFERROR(__xludf.DUMMYFUNCTION("GOOGLEFINANCE(A1194,""PRICE"")"),600)</f>
        <v>600</v>
      </c>
      <c r="C1194" s="11">
        <f ca="1">IFERROR(__xludf.DUMMYFUNCTION("GOOGLEFINANCE(A1194,""PRICEOPEN"")"),595.5)</f>
        <v>595.5</v>
      </c>
      <c r="D1194" s="11">
        <f ca="1">IFERROR(__xludf.DUMMYFUNCTION("GOOGLEFINANCE(A1194,""HIGH"")"),603.9)</f>
        <v>603.9</v>
      </c>
      <c r="E1194" s="11">
        <f ca="1">IFERROR(__xludf.DUMMYFUNCTION("GOOGLEFINANCE(A1194,""LOW"")"),585.55)</f>
        <v>585.54999999999995</v>
      </c>
      <c r="F1194" s="12" t="str">
        <f t="shared" ca="1" si="35"/>
        <v/>
      </c>
      <c r="G1194" s="13">
        <f ca="1">IFERROR(__xludf.DUMMYFUNCTION("GOOGLEFINANCE(A1194,""CLOSEYEST"")"),595.5)</f>
        <v>595.5</v>
      </c>
      <c r="H1194" s="14" t="str">
        <f t="shared" ca="1" si="41"/>
        <v/>
      </c>
      <c r="I1194" s="15">
        <f t="shared" ca="1" si="36"/>
        <v>594.98333333333323</v>
      </c>
      <c r="J1194" s="16">
        <f t="shared" ca="1" si="37"/>
        <v>604.41666666666652</v>
      </c>
      <c r="K1194" s="16"/>
      <c r="L1194" s="16">
        <f t="shared" ca="1" si="38"/>
        <v>586.06666666666649</v>
      </c>
      <c r="M1194" s="16">
        <f t="shared" ca="1" si="39"/>
        <v>613.33333333333326</v>
      </c>
      <c r="N1194" s="16">
        <f t="shared" ca="1" si="40"/>
        <v>576.63333333333321</v>
      </c>
    </row>
    <row r="1195" spans="1:14" ht="24.75" customHeight="1" x14ac:dyDescent="0.8">
      <c r="A1195" s="18" t="s">
        <v>1158</v>
      </c>
      <c r="B1195" s="10">
        <f ca="1">IFERROR(__xludf.DUMMYFUNCTION("GOOGLEFINANCE(A1195,""PRICE"")"),127.53)</f>
        <v>127.53</v>
      </c>
      <c r="C1195" s="11">
        <f ca="1">IFERROR(__xludf.DUMMYFUNCTION("GOOGLEFINANCE(A1195,""PRICEOPEN"")"),126.99)</f>
        <v>126.99</v>
      </c>
      <c r="D1195" s="11">
        <f ca="1">IFERROR(__xludf.DUMMYFUNCTION("GOOGLEFINANCE(A1195,""HIGH"")"),130.41)</f>
        <v>130.41</v>
      </c>
      <c r="E1195" s="11">
        <f ca="1">IFERROR(__xludf.DUMMYFUNCTION("GOOGLEFINANCE(A1195,""LOW"")"),125.49)</f>
        <v>125.49</v>
      </c>
      <c r="F1195" s="12" t="str">
        <f t="shared" ca="1" si="35"/>
        <v/>
      </c>
      <c r="G1195" s="13">
        <f ca="1">IFERROR(__xludf.DUMMYFUNCTION("GOOGLEFINANCE(A1195,""CLOSEYEST"")"),124.99)</f>
        <v>124.99</v>
      </c>
      <c r="H1195" s="14" t="str">
        <f t="shared" ca="1" si="41"/>
        <v>GAP UP</v>
      </c>
      <c r="I1195" s="15">
        <f t="shared" ca="1" si="36"/>
        <v>126.96333333333332</v>
      </c>
      <c r="J1195" s="16">
        <f t="shared" ca="1" si="37"/>
        <v>128.43666666666667</v>
      </c>
      <c r="K1195" s="16"/>
      <c r="L1195" s="16">
        <f t="shared" ca="1" si="38"/>
        <v>123.51666666666665</v>
      </c>
      <c r="M1195" s="16">
        <f t="shared" ca="1" si="39"/>
        <v>131.88333333333333</v>
      </c>
      <c r="N1195" s="16">
        <f t="shared" ca="1" si="40"/>
        <v>122.04333333333331</v>
      </c>
    </row>
    <row r="1196" spans="1:14" ht="24.75" customHeight="1" x14ac:dyDescent="0.8">
      <c r="A1196" s="18" t="s">
        <v>1159</v>
      </c>
      <c r="B1196" s="10">
        <f ca="1">IFERROR(__xludf.DUMMYFUNCTION("GOOGLEFINANCE(A1196,""PRICE"")"),44.5)</f>
        <v>44.5</v>
      </c>
      <c r="C1196" s="11">
        <f ca="1">IFERROR(__xludf.DUMMYFUNCTION("GOOGLEFINANCE(A1196,""PRICEOPEN"")"),44.21)</f>
        <v>44.21</v>
      </c>
      <c r="D1196" s="11">
        <f ca="1">IFERROR(__xludf.DUMMYFUNCTION("GOOGLEFINANCE(A1196,""HIGH"")"),44.63)</f>
        <v>44.63</v>
      </c>
      <c r="E1196" s="11">
        <f ca="1">IFERROR(__xludf.DUMMYFUNCTION("GOOGLEFINANCE(A1196,""LOW"")"),44.1)</f>
        <v>44.1</v>
      </c>
      <c r="F1196" s="12" t="str">
        <f t="shared" ca="1" si="35"/>
        <v/>
      </c>
      <c r="G1196" s="13">
        <f ca="1">IFERROR(__xludf.DUMMYFUNCTION("GOOGLEFINANCE(A1196,""CLOSEYEST"")"),44.22)</f>
        <v>44.22</v>
      </c>
      <c r="H1196" s="14" t="str">
        <f t="shared" ca="1" si="41"/>
        <v/>
      </c>
      <c r="I1196" s="15">
        <f t="shared" ca="1" si="36"/>
        <v>44.316666666666663</v>
      </c>
      <c r="J1196" s="16">
        <f t="shared" ca="1" si="37"/>
        <v>44.533333333333324</v>
      </c>
      <c r="K1196" s="16"/>
      <c r="L1196" s="16">
        <f t="shared" ca="1" si="38"/>
        <v>44.003333333333323</v>
      </c>
      <c r="M1196" s="16">
        <f t="shared" ca="1" si="39"/>
        <v>44.846666666666664</v>
      </c>
      <c r="N1196" s="16">
        <f t="shared" ca="1" si="40"/>
        <v>43.786666666666662</v>
      </c>
    </row>
    <row r="1197" spans="1:14" ht="24.75" customHeight="1" x14ac:dyDescent="0.8">
      <c r="A1197" s="18" t="s">
        <v>1160</v>
      </c>
      <c r="B1197" s="10">
        <f ca="1">IFERROR(__xludf.DUMMYFUNCTION("GOOGLEFINANCE(A1197,""PRICE"")"),186.1)</f>
        <v>186.1</v>
      </c>
      <c r="C1197" s="11">
        <f ca="1">IFERROR(__xludf.DUMMYFUNCTION("GOOGLEFINANCE(A1197,""PRICEOPEN"")"),185)</f>
        <v>185</v>
      </c>
      <c r="D1197" s="11">
        <f ca="1">IFERROR(__xludf.DUMMYFUNCTION("GOOGLEFINANCE(A1197,""HIGH"")"),189.85)</f>
        <v>189.85</v>
      </c>
      <c r="E1197" s="11">
        <f ca="1">IFERROR(__xludf.DUMMYFUNCTION("GOOGLEFINANCE(A1197,""LOW"")"),185)</f>
        <v>185</v>
      </c>
      <c r="F1197" s="12" t="str">
        <f t="shared" ca="1" si="35"/>
        <v>BUY</v>
      </c>
      <c r="G1197" s="13">
        <f ca="1">IFERROR(__xludf.DUMMYFUNCTION("GOOGLEFINANCE(A1197,""CLOSEYEST"")"),184.61)</f>
        <v>184.61</v>
      </c>
      <c r="H1197" s="14" t="str">
        <f t="shared" ca="1" si="41"/>
        <v/>
      </c>
      <c r="I1197" s="15">
        <f t="shared" ca="1" si="36"/>
        <v>186.48666666666668</v>
      </c>
      <c r="J1197" s="16">
        <f t="shared" ca="1" si="37"/>
        <v>187.97333333333336</v>
      </c>
      <c r="K1197" s="16"/>
      <c r="L1197" s="16">
        <f t="shared" ca="1" si="38"/>
        <v>183.12333333333336</v>
      </c>
      <c r="M1197" s="16">
        <f t="shared" ca="1" si="39"/>
        <v>191.33666666666667</v>
      </c>
      <c r="N1197" s="16">
        <f t="shared" ca="1" si="40"/>
        <v>181.63666666666668</v>
      </c>
    </row>
    <row r="1198" spans="1:14" ht="24.75" customHeight="1" x14ac:dyDescent="0.8">
      <c r="A1198" s="18" t="s">
        <v>1161</v>
      </c>
      <c r="B1198" s="10">
        <f ca="1">IFERROR(__xludf.DUMMYFUNCTION("GOOGLEFINANCE(A1198,""PRICE"")"),265.6)</f>
        <v>265.60000000000002</v>
      </c>
      <c r="C1198" s="11">
        <f ca="1">IFERROR(__xludf.DUMMYFUNCTION("GOOGLEFINANCE(A1198,""PRICEOPEN"")"),259)</f>
        <v>259</v>
      </c>
      <c r="D1198" s="11">
        <f ca="1">IFERROR(__xludf.DUMMYFUNCTION("GOOGLEFINANCE(A1198,""HIGH"")"),279.55)</f>
        <v>279.55</v>
      </c>
      <c r="E1198" s="11">
        <f ca="1">IFERROR(__xludf.DUMMYFUNCTION("GOOGLEFINANCE(A1198,""LOW"")"),257.8)</f>
        <v>257.8</v>
      </c>
      <c r="F1198" s="12" t="str">
        <f t="shared" ca="1" si="35"/>
        <v/>
      </c>
      <c r="G1198" s="13">
        <f ca="1">IFERROR(__xludf.DUMMYFUNCTION("GOOGLEFINANCE(A1198,""CLOSEYEST"")"),257.95)</f>
        <v>257.95</v>
      </c>
      <c r="H1198" s="14" t="str">
        <f t="shared" ca="1" si="41"/>
        <v/>
      </c>
      <c r="I1198" s="15">
        <f t="shared" ca="1" si="36"/>
        <v>265.09999999999997</v>
      </c>
      <c r="J1198" s="16">
        <f t="shared" ca="1" si="37"/>
        <v>272.39999999999992</v>
      </c>
      <c r="K1198" s="16"/>
      <c r="L1198" s="16">
        <f t="shared" ca="1" si="38"/>
        <v>250.64999999999992</v>
      </c>
      <c r="M1198" s="16">
        <f t="shared" ca="1" si="39"/>
        <v>286.84999999999997</v>
      </c>
      <c r="N1198" s="16">
        <f t="shared" ca="1" si="40"/>
        <v>243.34999999999997</v>
      </c>
    </row>
    <row r="1199" spans="1:14" ht="24.75" customHeight="1" x14ac:dyDescent="0.8">
      <c r="A1199" s="18" t="s">
        <v>1162</v>
      </c>
      <c r="B1199" s="10">
        <f ca="1">IFERROR(__xludf.DUMMYFUNCTION("GOOGLEFINANCE(A1199,""PRICE"")"),2840)</f>
        <v>2840</v>
      </c>
      <c r="C1199" s="11">
        <f ca="1">IFERROR(__xludf.DUMMYFUNCTION("GOOGLEFINANCE(A1199,""PRICEOPEN"")"),2840)</f>
        <v>2840</v>
      </c>
      <c r="D1199" s="11">
        <f ca="1">IFERROR(__xludf.DUMMYFUNCTION("GOOGLEFINANCE(A1199,""HIGH"")"),2840)</f>
        <v>2840</v>
      </c>
      <c r="E1199" s="11">
        <f ca="1">IFERROR(__xludf.DUMMYFUNCTION("GOOGLEFINANCE(A1199,""LOW"")"),2840)</f>
        <v>2840</v>
      </c>
      <c r="F1199" s="12" t="str">
        <f t="shared" ca="1" si="35"/>
        <v>SELL</v>
      </c>
      <c r="G1199" s="13">
        <f ca="1">IFERROR(__xludf.DUMMYFUNCTION("GOOGLEFINANCE(A1199,""CLOSEYEST"")"),2776)</f>
        <v>2776</v>
      </c>
      <c r="H1199" s="14" t="str">
        <f t="shared" ca="1" si="41"/>
        <v>GAP UP</v>
      </c>
      <c r="I1199" s="15">
        <f t="shared" ca="1" si="36"/>
        <v>2818.6666666666665</v>
      </c>
      <c r="J1199" s="16">
        <f t="shared" ca="1" si="37"/>
        <v>2797.333333333333</v>
      </c>
      <c r="K1199" s="16"/>
      <c r="L1199" s="16">
        <f t="shared" ca="1" si="38"/>
        <v>2797.333333333333</v>
      </c>
      <c r="M1199" s="16">
        <f t="shared" ca="1" si="39"/>
        <v>2818.6666666666665</v>
      </c>
      <c r="N1199" s="16">
        <f t="shared" ca="1" si="40"/>
        <v>2818.6666666666665</v>
      </c>
    </row>
    <row r="1200" spans="1:14" ht="24.75" customHeight="1" x14ac:dyDescent="0.8">
      <c r="A1200" s="18" t="s">
        <v>1163</v>
      </c>
      <c r="B1200" s="10">
        <f ca="1">IFERROR(__xludf.DUMMYFUNCTION("GOOGLEFINANCE(A1200,""PRICE"")"),946)</f>
        <v>946</v>
      </c>
      <c r="C1200" s="11">
        <f ca="1">IFERROR(__xludf.DUMMYFUNCTION("GOOGLEFINANCE(A1200,""PRICEOPEN"")"),960.75)</f>
        <v>960.75</v>
      </c>
      <c r="D1200" s="11">
        <f ca="1">IFERROR(__xludf.DUMMYFUNCTION("GOOGLEFINANCE(A1200,""HIGH"")"),984.95)</f>
        <v>984.95</v>
      </c>
      <c r="E1200" s="11">
        <f ca="1">IFERROR(__xludf.DUMMYFUNCTION("GOOGLEFINANCE(A1200,""LOW"")"),937)</f>
        <v>937</v>
      </c>
      <c r="F1200" s="12" t="str">
        <f t="shared" ca="1" si="35"/>
        <v/>
      </c>
      <c r="G1200" s="13">
        <f ca="1">IFERROR(__xludf.DUMMYFUNCTION("GOOGLEFINANCE(A1200,""CLOSEYEST"")"),960.65)</f>
        <v>960.65</v>
      </c>
      <c r="H1200" s="14" t="str">
        <f t="shared" ca="1" si="41"/>
        <v/>
      </c>
      <c r="I1200" s="15">
        <f t="shared" ca="1" si="36"/>
        <v>960.86666666666667</v>
      </c>
      <c r="J1200" s="16">
        <f t="shared" ca="1" si="37"/>
        <v>984.73333333333335</v>
      </c>
      <c r="K1200" s="16"/>
      <c r="L1200" s="16">
        <f t="shared" ca="1" si="38"/>
        <v>936.7833333333333</v>
      </c>
      <c r="M1200" s="16">
        <f t="shared" ca="1" si="39"/>
        <v>1008.8166666666667</v>
      </c>
      <c r="N1200" s="16">
        <f t="shared" ca="1" si="40"/>
        <v>912.91666666666663</v>
      </c>
    </row>
    <row r="1201" spans="1:14" ht="24.75" customHeight="1" x14ac:dyDescent="0.8">
      <c r="A1201" s="18" t="s">
        <v>1164</v>
      </c>
      <c r="B1201" s="10">
        <f ca="1">IFERROR(__xludf.DUMMYFUNCTION("GOOGLEFINANCE(A1201,""PRICE"")"),0.08)</f>
        <v>0.08</v>
      </c>
      <c r="C1201" s="11">
        <f ca="1">IFERROR(__xludf.DUMMYFUNCTION("GOOGLEFINANCE(A1201,""PRICEOPEN"")"),0.08)</f>
        <v>0.08</v>
      </c>
      <c r="D1201" s="11">
        <f ca="1">IFERROR(__xludf.DUMMYFUNCTION("GOOGLEFINANCE(A1201,""HIGH"")"),0.08)</f>
        <v>0.08</v>
      </c>
      <c r="E1201" s="11">
        <f ca="1">IFERROR(__xludf.DUMMYFUNCTION("GOOGLEFINANCE(A1201,""LOW"")"),0.08)</f>
        <v>0.08</v>
      </c>
      <c r="F1201" s="12" t="str">
        <f t="shared" ca="1" si="35"/>
        <v>SELL</v>
      </c>
      <c r="G1201" s="13">
        <f ca="1">IFERROR(__xludf.DUMMYFUNCTION("GOOGLEFINANCE(A1201,""CLOSEYEST"")"),0.08)</f>
        <v>0.08</v>
      </c>
      <c r="H1201" s="14" t="str">
        <f t="shared" ca="1" si="41"/>
        <v/>
      </c>
      <c r="I1201" s="15">
        <f t="shared" ca="1" si="36"/>
        <v>0.08</v>
      </c>
      <c r="J1201" s="16">
        <f t="shared" ca="1" si="37"/>
        <v>0.08</v>
      </c>
      <c r="K1201" s="16"/>
      <c r="L1201" s="16">
        <f t="shared" ca="1" si="38"/>
        <v>0.08</v>
      </c>
      <c r="M1201" s="16">
        <f t="shared" ca="1" si="39"/>
        <v>0.08</v>
      </c>
      <c r="N1201" s="16">
        <f t="shared" ca="1" si="40"/>
        <v>0.08</v>
      </c>
    </row>
    <row r="1202" spans="1:14" ht="24.75" customHeight="1" x14ac:dyDescent="0.8">
      <c r="A1202" s="18" t="s">
        <v>1165</v>
      </c>
      <c r="B1202" s="10">
        <f ca="1">IFERROR(__xludf.DUMMYFUNCTION("GOOGLEFINANCE(A1202,""PRICE"")"),3410)</f>
        <v>3410</v>
      </c>
      <c r="C1202" s="11">
        <f ca="1">IFERROR(__xludf.DUMMYFUNCTION("GOOGLEFINANCE(A1202,""PRICEOPEN"")"),3406.9)</f>
        <v>3406.9</v>
      </c>
      <c r="D1202" s="11">
        <f ca="1">IFERROR(__xludf.DUMMYFUNCTION("GOOGLEFINANCE(A1202,""HIGH"")"),3410)</f>
        <v>3410</v>
      </c>
      <c r="E1202" s="11">
        <f ca="1">IFERROR(__xludf.DUMMYFUNCTION("GOOGLEFINANCE(A1202,""LOW"")"),3381)</f>
        <v>3381</v>
      </c>
      <c r="F1202" s="12" t="str">
        <f t="shared" ca="1" si="35"/>
        <v/>
      </c>
      <c r="G1202" s="13">
        <f ca="1">IFERROR(__xludf.DUMMYFUNCTION("GOOGLEFINANCE(A1202,""CLOSEYEST"")"),3407.1)</f>
        <v>3407.1</v>
      </c>
      <c r="H1202" s="14" t="str">
        <f t="shared" ca="1" si="41"/>
        <v/>
      </c>
      <c r="I1202" s="15">
        <f t="shared" ca="1" si="36"/>
        <v>3399.3666666666668</v>
      </c>
      <c r="J1202" s="16">
        <f t="shared" ca="1" si="37"/>
        <v>3417.7333333333336</v>
      </c>
      <c r="K1202" s="16"/>
      <c r="L1202" s="16">
        <f t="shared" ca="1" si="38"/>
        <v>3388.7333333333336</v>
      </c>
      <c r="M1202" s="16">
        <f t="shared" ca="1" si="39"/>
        <v>3428.3666666666668</v>
      </c>
      <c r="N1202" s="16">
        <f t="shared" ca="1" si="40"/>
        <v>3370.3666666666668</v>
      </c>
    </row>
    <row r="1203" spans="1:14" ht="24.75" customHeight="1" x14ac:dyDescent="0.8">
      <c r="A1203" s="18" t="s">
        <v>1166</v>
      </c>
      <c r="B1203" s="10">
        <f ca="1">IFERROR(__xludf.DUMMYFUNCTION("GOOGLEFINANCE(A1203,""PRICE"")"),0.47)</f>
        <v>0.47</v>
      </c>
      <c r="C1203" s="11">
        <f ca="1">IFERROR(__xludf.DUMMYFUNCTION("GOOGLEFINANCE(A1203,""PRICEOPEN"")"),0.46)</f>
        <v>0.46</v>
      </c>
      <c r="D1203" s="11">
        <f ca="1">IFERROR(__xludf.DUMMYFUNCTION("GOOGLEFINANCE(A1203,""HIGH"")"),0.48)</f>
        <v>0.48</v>
      </c>
      <c r="E1203" s="11">
        <f ca="1">IFERROR(__xludf.DUMMYFUNCTION("GOOGLEFINANCE(A1203,""LOW"")"),0.46)</f>
        <v>0.46</v>
      </c>
      <c r="F1203" s="12" t="str">
        <f t="shared" ca="1" si="35"/>
        <v>BUY</v>
      </c>
      <c r="G1203" s="13">
        <f ca="1">IFERROR(__xludf.DUMMYFUNCTION("GOOGLEFINANCE(A1203,""CLOSEYEST"")"),0.47)</f>
        <v>0.47</v>
      </c>
      <c r="H1203" s="14" t="str">
        <f t="shared" ca="1" si="41"/>
        <v>GAP DOWN</v>
      </c>
      <c r="I1203" s="15">
        <f t="shared" ca="1" si="36"/>
        <v>0.47</v>
      </c>
      <c r="J1203" s="16">
        <f t="shared" ca="1" si="37"/>
        <v>0.47999999999999993</v>
      </c>
      <c r="K1203" s="16"/>
      <c r="L1203" s="16">
        <f t="shared" ca="1" si="38"/>
        <v>0.45999999999999996</v>
      </c>
      <c r="M1203" s="16">
        <f t="shared" ca="1" si="39"/>
        <v>0.48999999999999994</v>
      </c>
      <c r="N1203" s="16">
        <f t="shared" ca="1" si="40"/>
        <v>0.45</v>
      </c>
    </row>
    <row r="1204" spans="1:14" ht="24.75" customHeight="1" x14ac:dyDescent="0.8">
      <c r="A1204" s="18" t="s">
        <v>1167</v>
      </c>
      <c r="B1204" s="10">
        <f ca="1">IFERROR(__xludf.DUMMYFUNCTION("GOOGLEFINANCE(A1204,""PRICE"")"),154.22)</f>
        <v>154.22</v>
      </c>
      <c r="C1204" s="11">
        <f ca="1">IFERROR(__xludf.DUMMYFUNCTION("GOOGLEFINANCE(A1204,""PRICEOPEN"")"),156.65)</f>
        <v>156.65</v>
      </c>
      <c r="D1204" s="11">
        <f ca="1">IFERROR(__xludf.DUMMYFUNCTION("GOOGLEFINANCE(A1204,""HIGH"")"),157.85)</f>
        <v>157.85</v>
      </c>
      <c r="E1204" s="11">
        <f ca="1">IFERROR(__xludf.DUMMYFUNCTION("GOOGLEFINANCE(A1204,""LOW"")"),152.09)</f>
        <v>152.09</v>
      </c>
      <c r="F1204" s="12" t="str">
        <f t="shared" ca="1" si="35"/>
        <v/>
      </c>
      <c r="G1204" s="13">
        <f ca="1">IFERROR(__xludf.DUMMYFUNCTION("GOOGLEFINANCE(A1204,""CLOSEYEST"")"),156.73)</f>
        <v>156.72999999999999</v>
      </c>
      <c r="H1204" s="14" t="str">
        <f t="shared" ca="1" si="41"/>
        <v/>
      </c>
      <c r="I1204" s="15">
        <f t="shared" ca="1" si="36"/>
        <v>155.55666666666664</v>
      </c>
      <c r="J1204" s="16">
        <f t="shared" ca="1" si="37"/>
        <v>159.02333333333328</v>
      </c>
      <c r="K1204" s="16"/>
      <c r="L1204" s="16">
        <f t="shared" ca="1" si="38"/>
        <v>153.26333333333329</v>
      </c>
      <c r="M1204" s="16">
        <f t="shared" ca="1" si="39"/>
        <v>161.31666666666663</v>
      </c>
      <c r="N1204" s="16">
        <f t="shared" ca="1" si="40"/>
        <v>149.79666666666665</v>
      </c>
    </row>
    <row r="1205" spans="1:14" ht="24.75" customHeight="1" x14ac:dyDescent="0.8">
      <c r="A1205" s="18" t="s">
        <v>1168</v>
      </c>
      <c r="B1205" s="10">
        <f ca="1">IFERROR(__xludf.DUMMYFUNCTION("GOOGLEFINANCE(A1205,""PRICE"")"),308.85)</f>
        <v>308.85000000000002</v>
      </c>
      <c r="C1205" s="11">
        <f ca="1">IFERROR(__xludf.DUMMYFUNCTION("GOOGLEFINANCE(A1205,""PRICEOPEN"")"),282.35)</f>
        <v>282.35000000000002</v>
      </c>
      <c r="D1205" s="11">
        <f ca="1">IFERROR(__xludf.DUMMYFUNCTION("GOOGLEFINANCE(A1205,""HIGH"")"),312.55)</f>
        <v>312.55</v>
      </c>
      <c r="E1205" s="11">
        <f ca="1">IFERROR(__xludf.DUMMYFUNCTION("GOOGLEFINANCE(A1205,""LOW"")"),277.95)</f>
        <v>277.95</v>
      </c>
      <c r="F1205" s="12" t="str">
        <f t="shared" ca="1" si="35"/>
        <v/>
      </c>
      <c r="G1205" s="13">
        <f ca="1">IFERROR(__xludf.DUMMYFUNCTION("GOOGLEFINANCE(A1205,""CLOSEYEST"")"),281.5)</f>
        <v>281.5</v>
      </c>
      <c r="H1205" s="14" t="str">
        <f t="shared" ca="1" si="41"/>
        <v/>
      </c>
      <c r="I1205" s="15">
        <f t="shared" ca="1" si="36"/>
        <v>290.66666666666669</v>
      </c>
      <c r="J1205" s="16">
        <f t="shared" ca="1" si="37"/>
        <v>303.38333333333338</v>
      </c>
      <c r="K1205" s="16"/>
      <c r="L1205" s="16">
        <f t="shared" ca="1" si="38"/>
        <v>268.78333333333336</v>
      </c>
      <c r="M1205" s="16">
        <f t="shared" ca="1" si="39"/>
        <v>325.26666666666671</v>
      </c>
      <c r="N1205" s="16">
        <f t="shared" ca="1" si="40"/>
        <v>256.06666666666666</v>
      </c>
    </row>
    <row r="1206" spans="1:14" ht="24.75" customHeight="1" x14ac:dyDescent="0.8">
      <c r="A1206" s="18" t="s">
        <v>1169</v>
      </c>
      <c r="B1206" s="10">
        <f ca="1">IFERROR(__xludf.DUMMYFUNCTION("GOOGLEFINANCE(A1206,""PRICE"")"),227.43)</f>
        <v>227.43</v>
      </c>
      <c r="C1206" s="11">
        <f ca="1">IFERROR(__xludf.DUMMYFUNCTION("GOOGLEFINANCE(A1206,""PRICEOPEN"")"),229.8)</f>
        <v>229.8</v>
      </c>
      <c r="D1206" s="11">
        <f ca="1">IFERROR(__xludf.DUMMYFUNCTION("GOOGLEFINANCE(A1206,""HIGH"")"),229.8)</f>
        <v>229.8</v>
      </c>
      <c r="E1206" s="11">
        <f ca="1">IFERROR(__xludf.DUMMYFUNCTION("GOOGLEFINANCE(A1206,""LOW"")"),224.71)</f>
        <v>224.71</v>
      </c>
      <c r="F1206" s="12" t="str">
        <f t="shared" ca="1" si="35"/>
        <v>SELL</v>
      </c>
      <c r="G1206" s="13">
        <f ca="1">IFERROR(__xludf.DUMMYFUNCTION("GOOGLEFINANCE(A1206,""CLOSEYEST"")"),228.01)</f>
        <v>228.01</v>
      </c>
      <c r="H1206" s="14" t="str">
        <f t="shared" ca="1" si="41"/>
        <v/>
      </c>
      <c r="I1206" s="15">
        <f t="shared" ca="1" si="36"/>
        <v>227.50666666666666</v>
      </c>
      <c r="J1206" s="16">
        <f t="shared" ca="1" si="37"/>
        <v>230.30333333333331</v>
      </c>
      <c r="K1206" s="16"/>
      <c r="L1206" s="16">
        <f t="shared" ca="1" si="38"/>
        <v>225.21333333333331</v>
      </c>
      <c r="M1206" s="16">
        <f t="shared" ca="1" si="39"/>
        <v>232.59666666666666</v>
      </c>
      <c r="N1206" s="16">
        <f t="shared" ca="1" si="40"/>
        <v>222.41666666666666</v>
      </c>
    </row>
    <row r="1207" spans="1:14" ht="24.75" customHeight="1" x14ac:dyDescent="0.8">
      <c r="A1207" s="18" t="s">
        <v>1170</v>
      </c>
      <c r="B1207" s="10">
        <f ca="1">IFERROR(__xludf.DUMMYFUNCTION("GOOGLEFINANCE(A1207,""PRICE"")"),223.8)</f>
        <v>223.8</v>
      </c>
      <c r="C1207" s="11">
        <f ca="1">IFERROR(__xludf.DUMMYFUNCTION("GOOGLEFINANCE(A1207,""PRICEOPEN"")"),223.9)</f>
        <v>223.9</v>
      </c>
      <c r="D1207" s="11">
        <f ca="1">IFERROR(__xludf.DUMMYFUNCTION("GOOGLEFINANCE(A1207,""HIGH"")"),226)</f>
        <v>226</v>
      </c>
      <c r="E1207" s="11">
        <f ca="1">IFERROR(__xludf.DUMMYFUNCTION("GOOGLEFINANCE(A1207,""LOW"")"),216.03)</f>
        <v>216.03</v>
      </c>
      <c r="F1207" s="12" t="str">
        <f t="shared" ca="1" si="35"/>
        <v/>
      </c>
      <c r="G1207" s="13">
        <f ca="1">IFERROR(__xludf.DUMMYFUNCTION("GOOGLEFINANCE(A1207,""CLOSEYEST"")"),221.25)</f>
        <v>221.25</v>
      </c>
      <c r="H1207" s="14" t="str">
        <f t="shared" ca="1" si="41"/>
        <v>GAP UP</v>
      </c>
      <c r="I1207" s="15">
        <f t="shared" ca="1" si="36"/>
        <v>221.09333333333333</v>
      </c>
      <c r="J1207" s="16">
        <f t="shared" ca="1" si="37"/>
        <v>226.15666666666667</v>
      </c>
      <c r="K1207" s="16"/>
      <c r="L1207" s="16">
        <f t="shared" ca="1" si="38"/>
        <v>216.18666666666667</v>
      </c>
      <c r="M1207" s="16">
        <f t="shared" ca="1" si="39"/>
        <v>231.06333333333333</v>
      </c>
      <c r="N1207" s="16">
        <f t="shared" ca="1" si="40"/>
        <v>211.12333333333333</v>
      </c>
    </row>
    <row r="1208" spans="1:14" ht="24.75" customHeight="1" x14ac:dyDescent="0.8">
      <c r="A1208" s="18" t="s">
        <v>1171</v>
      </c>
      <c r="B1208" s="10">
        <f ca="1">IFERROR(__xludf.DUMMYFUNCTION("GOOGLEFINANCE(A1208,""PRICE"")"),1416.1)</f>
        <v>1416.1</v>
      </c>
      <c r="C1208" s="11">
        <f ca="1">IFERROR(__xludf.DUMMYFUNCTION("GOOGLEFINANCE(A1208,""PRICEOPEN"")"),1426.5)</f>
        <v>1426.5</v>
      </c>
      <c r="D1208" s="11">
        <f ca="1">IFERROR(__xludf.DUMMYFUNCTION("GOOGLEFINANCE(A1208,""HIGH"")"),1459.8)</f>
        <v>1459.8</v>
      </c>
      <c r="E1208" s="11">
        <f ca="1">IFERROR(__xludf.DUMMYFUNCTION("GOOGLEFINANCE(A1208,""LOW"")"),1415.1)</f>
        <v>1415.1</v>
      </c>
      <c r="F1208" s="12" t="str">
        <f t="shared" ca="1" si="35"/>
        <v/>
      </c>
      <c r="G1208" s="13">
        <f ca="1">IFERROR(__xludf.DUMMYFUNCTION("GOOGLEFINANCE(A1208,""CLOSEYEST"")"),1433.6)</f>
        <v>1433.6</v>
      </c>
      <c r="H1208" s="14" t="str">
        <f t="shared" ca="1" si="41"/>
        <v/>
      </c>
      <c r="I1208" s="15">
        <f t="shared" ca="1" si="36"/>
        <v>1436.1666666666667</v>
      </c>
      <c r="J1208" s="16">
        <f t="shared" ca="1" si="37"/>
        <v>1457.2333333333336</v>
      </c>
      <c r="K1208" s="16"/>
      <c r="L1208" s="16">
        <f t="shared" ca="1" si="38"/>
        <v>1412.5333333333335</v>
      </c>
      <c r="M1208" s="16">
        <f t="shared" ca="1" si="39"/>
        <v>1480.8666666666668</v>
      </c>
      <c r="N1208" s="16">
        <f t="shared" ca="1" si="40"/>
        <v>1391.4666666666667</v>
      </c>
    </row>
    <row r="1209" spans="1:14" ht="24.75" customHeight="1" x14ac:dyDescent="0.8">
      <c r="A1209" s="18" t="s">
        <v>1172</v>
      </c>
      <c r="B1209" s="10">
        <f ca="1">IFERROR(__xludf.DUMMYFUNCTION("GOOGLEFINANCE(A1209,""PRICE"")"),594.1)</f>
        <v>594.1</v>
      </c>
      <c r="C1209" s="11">
        <f ca="1">IFERROR(__xludf.DUMMYFUNCTION("GOOGLEFINANCE(A1209,""PRICEOPEN"")"),591.05)</f>
        <v>591.04999999999995</v>
      </c>
      <c r="D1209" s="11">
        <f ca="1">IFERROR(__xludf.DUMMYFUNCTION("GOOGLEFINANCE(A1209,""HIGH"")"),601.45)</f>
        <v>601.45000000000005</v>
      </c>
      <c r="E1209" s="11">
        <f ca="1">IFERROR(__xludf.DUMMYFUNCTION("GOOGLEFINANCE(A1209,""LOW"")"),590.3)</f>
        <v>590.29999999999995</v>
      </c>
      <c r="F1209" s="12" t="str">
        <f t="shared" ca="1" si="35"/>
        <v/>
      </c>
      <c r="G1209" s="13">
        <f ca="1">IFERROR(__xludf.DUMMYFUNCTION("GOOGLEFINANCE(A1209,""CLOSEYEST"")"),593.35)</f>
        <v>593.35</v>
      </c>
      <c r="H1209" s="14" t="str">
        <f t="shared" ca="1" si="41"/>
        <v/>
      </c>
      <c r="I1209" s="15">
        <f t="shared" ca="1" si="36"/>
        <v>595.0333333333333</v>
      </c>
      <c r="J1209" s="16">
        <f t="shared" ca="1" si="37"/>
        <v>599.76666666666665</v>
      </c>
      <c r="K1209" s="16"/>
      <c r="L1209" s="16">
        <f t="shared" ca="1" si="38"/>
        <v>588.61666666666656</v>
      </c>
      <c r="M1209" s="16">
        <f t="shared" ca="1" si="39"/>
        <v>606.18333333333339</v>
      </c>
      <c r="N1209" s="16">
        <f t="shared" ca="1" si="40"/>
        <v>583.88333333333321</v>
      </c>
    </row>
    <row r="1210" spans="1:14" ht="24.75" customHeight="1" x14ac:dyDescent="0.8">
      <c r="A1210" s="18" t="s">
        <v>1173</v>
      </c>
      <c r="B1210" s="10">
        <f ca="1">IFERROR(__xludf.DUMMYFUNCTION("GOOGLEFINANCE(A1210,""PRICE"")"),97)</f>
        <v>97</v>
      </c>
      <c r="C1210" s="11">
        <f ca="1">IFERROR(__xludf.DUMMYFUNCTION("GOOGLEFINANCE(A1210,""PRICEOPEN"")"),96.1)</f>
        <v>96.1</v>
      </c>
      <c r="D1210" s="11">
        <f ca="1">IFERROR(__xludf.DUMMYFUNCTION("GOOGLEFINANCE(A1210,""HIGH"")"),99.9)</f>
        <v>99.9</v>
      </c>
      <c r="E1210" s="11">
        <f ca="1">IFERROR(__xludf.DUMMYFUNCTION("GOOGLEFINANCE(A1210,""LOW"")"),95)</f>
        <v>95</v>
      </c>
      <c r="F1210" s="12" t="str">
        <f t="shared" ca="1" si="35"/>
        <v/>
      </c>
      <c r="G1210" s="13">
        <f ca="1">IFERROR(__xludf.DUMMYFUNCTION("GOOGLEFINANCE(A1210,""CLOSEYEST"")"),97.37)</f>
        <v>97.37</v>
      </c>
      <c r="H1210" s="14" t="str">
        <f t="shared" ca="1" si="41"/>
        <v>GAP DOWN</v>
      </c>
      <c r="I1210" s="15">
        <f t="shared" ca="1" si="36"/>
        <v>97.423333333333332</v>
      </c>
      <c r="J1210" s="16">
        <f t="shared" ca="1" si="37"/>
        <v>99.846666666666664</v>
      </c>
      <c r="K1210" s="16"/>
      <c r="L1210" s="16">
        <f t="shared" ca="1" si="38"/>
        <v>94.946666666666658</v>
      </c>
      <c r="M1210" s="16">
        <f t="shared" ca="1" si="39"/>
        <v>102.32333333333334</v>
      </c>
      <c r="N1210" s="16">
        <f t="shared" ca="1" si="40"/>
        <v>92.523333333333326</v>
      </c>
    </row>
    <row r="1211" spans="1:14" ht="24.75" customHeight="1" x14ac:dyDescent="0.8">
      <c r="A1211" s="18" t="s">
        <v>1174</v>
      </c>
      <c r="B1211" s="10" t="str">
        <f ca="1">IFERROR(__xludf.DUMMYFUNCTION("GOOGLEFINANCE(A1211,""PRICE"")"),"#N/A")</f>
        <v>#N/A</v>
      </c>
      <c r="C1211" s="11" t="str">
        <f ca="1">IFERROR(__xludf.DUMMYFUNCTION("GOOGLEFINANCE(A1211,""PRICEOPEN"")"),"#N/A")</f>
        <v>#N/A</v>
      </c>
      <c r="D1211" s="11" t="str">
        <f ca="1">IFERROR(__xludf.DUMMYFUNCTION("GOOGLEFINANCE(A1211,""HIGH"")"),"#N/A")</f>
        <v>#N/A</v>
      </c>
      <c r="E1211" s="11" t="str">
        <f ca="1">IFERROR(__xludf.DUMMYFUNCTION("GOOGLEFINANCE(A1211,""LOW"")"),"#N/A")</f>
        <v>#N/A</v>
      </c>
      <c r="F1211" s="12" t="str">
        <f t="shared" ca="1" si="35"/>
        <v>SELL</v>
      </c>
      <c r="G1211" s="13" t="str">
        <f ca="1">IFERROR(__xludf.DUMMYFUNCTION("GOOGLEFINANCE(A1211,""CLOSEYEST"")"),"#N/A")</f>
        <v>#N/A</v>
      </c>
      <c r="H1211" s="14" t="e">
        <f t="shared" ca="1" si="41"/>
        <v>#VALUE!</v>
      </c>
      <c r="I1211" s="15" t="e">
        <f t="shared" ca="1" si="36"/>
        <v>#VALUE!</v>
      </c>
      <c r="J1211" s="16" t="e">
        <f t="shared" ca="1" si="37"/>
        <v>#VALUE!</v>
      </c>
      <c r="K1211" s="16"/>
      <c r="L1211" s="16" t="e">
        <f t="shared" ca="1" si="38"/>
        <v>#VALUE!</v>
      </c>
      <c r="M1211" s="16" t="e">
        <f t="shared" ca="1" si="39"/>
        <v>#VALUE!</v>
      </c>
      <c r="N1211" s="16" t="e">
        <f t="shared" ca="1" si="40"/>
        <v>#VALUE!</v>
      </c>
    </row>
    <row r="1212" spans="1:14" ht="24.75" customHeight="1" x14ac:dyDescent="0.8">
      <c r="A1212" s="18" t="s">
        <v>1175</v>
      </c>
      <c r="B1212" s="10">
        <f ca="1">IFERROR(__xludf.DUMMYFUNCTION("GOOGLEFINANCE(A1212,""PRICE"")"),126.12)</f>
        <v>126.12</v>
      </c>
      <c r="C1212" s="11">
        <f ca="1">IFERROR(__xludf.DUMMYFUNCTION("GOOGLEFINANCE(A1212,""PRICEOPEN"")"),125.4)</f>
        <v>125.4</v>
      </c>
      <c r="D1212" s="11">
        <f ca="1">IFERROR(__xludf.DUMMYFUNCTION("GOOGLEFINANCE(A1212,""HIGH"")"),126.75)</f>
        <v>126.75</v>
      </c>
      <c r="E1212" s="11">
        <f ca="1">IFERROR(__xludf.DUMMYFUNCTION("GOOGLEFINANCE(A1212,""LOW"")"),124.91)</f>
        <v>124.91</v>
      </c>
      <c r="F1212" s="12" t="str">
        <f t="shared" ca="1" si="35"/>
        <v/>
      </c>
      <c r="G1212" s="13">
        <f ca="1">IFERROR(__xludf.DUMMYFUNCTION("GOOGLEFINANCE(A1212,""CLOSEYEST"")"),125.21)</f>
        <v>125.21</v>
      </c>
      <c r="H1212" s="14" t="str">
        <f t="shared" ca="1" si="41"/>
        <v/>
      </c>
      <c r="I1212" s="15">
        <f t="shared" ca="1" si="36"/>
        <v>125.62333333333333</v>
      </c>
      <c r="J1212" s="16">
        <f t="shared" ca="1" si="37"/>
        <v>126.33666666666667</v>
      </c>
      <c r="K1212" s="16"/>
      <c r="L1212" s="16">
        <f t="shared" ca="1" si="38"/>
        <v>124.49666666666667</v>
      </c>
      <c r="M1212" s="16">
        <f t="shared" ca="1" si="39"/>
        <v>127.46333333333334</v>
      </c>
      <c r="N1212" s="16">
        <f t="shared" ca="1" si="40"/>
        <v>123.78333333333333</v>
      </c>
    </row>
    <row r="1213" spans="1:14" ht="24.75" customHeight="1" x14ac:dyDescent="0.8">
      <c r="A1213" s="18" t="s">
        <v>1176</v>
      </c>
      <c r="B1213" s="10" t="str">
        <f ca="1">IFERROR(__xludf.DUMMYFUNCTION("GOOGLEFINANCE(A1213,""PRICE"")"),"#N/A")</f>
        <v>#N/A</v>
      </c>
      <c r="C1213" s="11" t="str">
        <f ca="1">IFERROR(__xludf.DUMMYFUNCTION("GOOGLEFINANCE(A1213,""PRICEOPEN"")"),"#N/A")</f>
        <v>#N/A</v>
      </c>
      <c r="D1213" s="11" t="str">
        <f ca="1">IFERROR(__xludf.DUMMYFUNCTION("GOOGLEFINANCE(A1213,""HIGH"")"),"#N/A")</f>
        <v>#N/A</v>
      </c>
      <c r="E1213" s="11" t="str">
        <f ca="1">IFERROR(__xludf.DUMMYFUNCTION("GOOGLEFINANCE(A1213,""LOW"")"),"#N/A")</f>
        <v>#N/A</v>
      </c>
      <c r="F1213" s="12" t="str">
        <f t="shared" ca="1" si="35"/>
        <v>SELL</v>
      </c>
      <c r="G1213" s="13" t="str">
        <f ca="1">IFERROR(__xludf.DUMMYFUNCTION("GOOGLEFINANCE(A1213,""CLOSEYEST"")"),"#N/A")</f>
        <v>#N/A</v>
      </c>
      <c r="H1213" s="14" t="e">
        <f t="shared" ca="1" si="41"/>
        <v>#VALUE!</v>
      </c>
      <c r="I1213" s="15" t="e">
        <f t="shared" ca="1" si="36"/>
        <v>#VALUE!</v>
      </c>
      <c r="J1213" s="16" t="e">
        <f t="shared" ca="1" si="37"/>
        <v>#VALUE!</v>
      </c>
      <c r="K1213" s="16"/>
      <c r="L1213" s="16" t="e">
        <f t="shared" ca="1" si="38"/>
        <v>#VALUE!</v>
      </c>
      <c r="M1213" s="16" t="e">
        <f t="shared" ca="1" si="39"/>
        <v>#VALUE!</v>
      </c>
      <c r="N1213" s="16" t="e">
        <f t="shared" ca="1" si="40"/>
        <v>#VALUE!</v>
      </c>
    </row>
    <row r="1214" spans="1:14" ht="24.75" customHeight="1" x14ac:dyDescent="0.8">
      <c r="A1214" s="18" t="s">
        <v>1177</v>
      </c>
      <c r="B1214" s="10">
        <f ca="1">IFERROR(__xludf.DUMMYFUNCTION("GOOGLEFINANCE(A1214,""PRICE"")"),20.14)</f>
        <v>20.14</v>
      </c>
      <c r="C1214" s="11">
        <f ca="1">IFERROR(__xludf.DUMMYFUNCTION("GOOGLEFINANCE(A1214,""PRICEOPEN"")"),20.43)</f>
        <v>20.43</v>
      </c>
      <c r="D1214" s="11">
        <f ca="1">IFERROR(__xludf.DUMMYFUNCTION("GOOGLEFINANCE(A1214,""HIGH"")"),20.43)</f>
        <v>20.43</v>
      </c>
      <c r="E1214" s="11">
        <f ca="1">IFERROR(__xludf.DUMMYFUNCTION("GOOGLEFINANCE(A1214,""LOW"")"),20.12)</f>
        <v>20.12</v>
      </c>
      <c r="F1214" s="12" t="str">
        <f t="shared" ca="1" si="35"/>
        <v>SELL</v>
      </c>
      <c r="G1214" s="13">
        <f ca="1">IFERROR(__xludf.DUMMYFUNCTION("GOOGLEFINANCE(A1214,""CLOSEYEST"")"),20.19)</f>
        <v>20.190000000000001</v>
      </c>
      <c r="H1214" s="14" t="str">
        <f t="shared" ca="1" si="41"/>
        <v>GAP UP</v>
      </c>
      <c r="I1214" s="15">
        <f t="shared" ca="1" si="36"/>
        <v>20.246666666666666</v>
      </c>
      <c r="J1214" s="16">
        <f t="shared" ca="1" si="37"/>
        <v>20.373333333333331</v>
      </c>
      <c r="K1214" s="16"/>
      <c r="L1214" s="16">
        <f t="shared" ca="1" si="38"/>
        <v>20.063333333333333</v>
      </c>
      <c r="M1214" s="16">
        <f t="shared" ca="1" si="39"/>
        <v>20.556666666666665</v>
      </c>
      <c r="N1214" s="16">
        <f t="shared" ca="1" si="40"/>
        <v>19.936666666666667</v>
      </c>
    </row>
    <row r="1215" spans="1:14" ht="24.75" customHeight="1" x14ac:dyDescent="0.8">
      <c r="A1215" s="18" t="s">
        <v>1178</v>
      </c>
      <c r="B1215" s="10">
        <f ca="1">IFERROR(__xludf.DUMMYFUNCTION("GOOGLEFINANCE(A1215,""PRICE"")"),910.1)</f>
        <v>910.1</v>
      </c>
      <c r="C1215" s="11">
        <f ca="1">IFERROR(__xludf.DUMMYFUNCTION("GOOGLEFINANCE(A1215,""PRICEOPEN"")"),899.55)</f>
        <v>899.55</v>
      </c>
      <c r="D1215" s="11">
        <f ca="1">IFERROR(__xludf.DUMMYFUNCTION("GOOGLEFINANCE(A1215,""HIGH"")"),914)</f>
        <v>914</v>
      </c>
      <c r="E1215" s="11">
        <f ca="1">IFERROR(__xludf.DUMMYFUNCTION("GOOGLEFINANCE(A1215,""LOW"")"),899)</f>
        <v>899</v>
      </c>
      <c r="F1215" s="12" t="str">
        <f t="shared" ca="1" si="35"/>
        <v/>
      </c>
      <c r="G1215" s="13">
        <f ca="1">IFERROR(__xludf.DUMMYFUNCTION("GOOGLEFINANCE(A1215,""CLOSEYEST"")"),895.15)</f>
        <v>895.15</v>
      </c>
      <c r="H1215" s="14" t="str">
        <f t="shared" ca="1" si="41"/>
        <v/>
      </c>
      <c r="I1215" s="15">
        <f t="shared" ca="1" si="36"/>
        <v>902.7166666666667</v>
      </c>
      <c r="J1215" s="16">
        <f t="shared" ca="1" si="37"/>
        <v>906.43333333333339</v>
      </c>
      <c r="K1215" s="16"/>
      <c r="L1215" s="16">
        <f t="shared" ca="1" si="38"/>
        <v>891.43333333333339</v>
      </c>
      <c r="M1215" s="16">
        <f t="shared" ca="1" si="39"/>
        <v>917.7166666666667</v>
      </c>
      <c r="N1215" s="16">
        <f t="shared" ca="1" si="40"/>
        <v>887.7166666666667</v>
      </c>
    </row>
    <row r="1216" spans="1:14" ht="24.75" customHeight="1" x14ac:dyDescent="0.8">
      <c r="A1216" s="18" t="s">
        <v>1179</v>
      </c>
      <c r="B1216" s="10">
        <f ca="1">IFERROR(__xludf.DUMMYFUNCTION("GOOGLEFINANCE(A1216,""PRICE"")"),454.25)</f>
        <v>454.25</v>
      </c>
      <c r="C1216" s="11">
        <f ca="1">IFERROR(__xludf.DUMMYFUNCTION("GOOGLEFINANCE(A1216,""PRICEOPEN"")"),452)</f>
        <v>452</v>
      </c>
      <c r="D1216" s="11">
        <f ca="1">IFERROR(__xludf.DUMMYFUNCTION("GOOGLEFINANCE(A1216,""HIGH"")"),457.4)</f>
        <v>457.4</v>
      </c>
      <c r="E1216" s="11">
        <f ca="1">IFERROR(__xludf.DUMMYFUNCTION("GOOGLEFINANCE(A1216,""LOW"")"),451.95)</f>
        <v>451.95</v>
      </c>
      <c r="F1216" s="12" t="str">
        <f t="shared" ca="1" si="35"/>
        <v/>
      </c>
      <c r="G1216" s="13">
        <f ca="1">IFERROR(__xludf.DUMMYFUNCTION("GOOGLEFINANCE(A1216,""CLOSEYEST"")"),451.6)</f>
        <v>451.6</v>
      </c>
      <c r="H1216" s="14" t="str">
        <f t="shared" ca="1" si="41"/>
        <v/>
      </c>
      <c r="I1216" s="15">
        <f t="shared" ca="1" si="36"/>
        <v>453.64999999999992</v>
      </c>
      <c r="J1216" s="16">
        <f t="shared" ca="1" si="37"/>
        <v>455.34999999999985</v>
      </c>
      <c r="K1216" s="16"/>
      <c r="L1216" s="16">
        <f t="shared" ca="1" si="38"/>
        <v>449.89999999999986</v>
      </c>
      <c r="M1216" s="16">
        <f t="shared" ca="1" si="39"/>
        <v>459.09999999999991</v>
      </c>
      <c r="N1216" s="16">
        <f t="shared" ca="1" si="40"/>
        <v>448.19999999999993</v>
      </c>
    </row>
    <row r="1217" spans="1:14" ht="24.75" customHeight="1" x14ac:dyDescent="0.8">
      <c r="A1217" s="18" t="s">
        <v>1180</v>
      </c>
      <c r="B1217" s="10">
        <f ca="1">IFERROR(__xludf.DUMMYFUNCTION("GOOGLEFINANCE(A1217,""PRICE"")"),291)</f>
        <v>291</v>
      </c>
      <c r="C1217" s="11">
        <f ca="1">IFERROR(__xludf.DUMMYFUNCTION("GOOGLEFINANCE(A1217,""PRICEOPEN"")"),283.9)</f>
        <v>283.89999999999998</v>
      </c>
      <c r="D1217" s="11">
        <f ca="1">IFERROR(__xludf.DUMMYFUNCTION("GOOGLEFINANCE(A1217,""HIGH"")"),309)</f>
        <v>309</v>
      </c>
      <c r="E1217" s="11">
        <f ca="1">IFERROR(__xludf.DUMMYFUNCTION("GOOGLEFINANCE(A1217,""LOW"")"),282.6)</f>
        <v>282.60000000000002</v>
      </c>
      <c r="F1217" s="12" t="str">
        <f t="shared" ca="1" si="35"/>
        <v/>
      </c>
      <c r="G1217" s="13">
        <f ca="1">IFERROR(__xludf.DUMMYFUNCTION("GOOGLEFINANCE(A1217,""CLOSEYEST"")"),283.9)</f>
        <v>283.89999999999998</v>
      </c>
      <c r="H1217" s="14" t="str">
        <f t="shared" ca="1" si="41"/>
        <v/>
      </c>
      <c r="I1217" s="15">
        <f t="shared" ca="1" si="36"/>
        <v>291.83333333333331</v>
      </c>
      <c r="J1217" s="16">
        <f t="shared" ca="1" si="37"/>
        <v>301.06666666666661</v>
      </c>
      <c r="K1217" s="16"/>
      <c r="L1217" s="16">
        <f t="shared" ca="1" si="38"/>
        <v>274.66666666666663</v>
      </c>
      <c r="M1217" s="16">
        <f t="shared" ca="1" si="39"/>
        <v>318.23333333333329</v>
      </c>
      <c r="N1217" s="16">
        <f t="shared" ca="1" si="40"/>
        <v>265.43333333333334</v>
      </c>
    </row>
    <row r="1218" spans="1:14" ht="24.75" customHeight="1" x14ac:dyDescent="0.8">
      <c r="A1218" s="18" t="s">
        <v>1181</v>
      </c>
      <c r="B1218" s="10">
        <f ca="1">IFERROR(__xludf.DUMMYFUNCTION("GOOGLEFINANCE(A1218,""PRICE"")"),4.73)</f>
        <v>4.7300000000000004</v>
      </c>
      <c r="C1218" s="11">
        <f ca="1">IFERROR(__xludf.DUMMYFUNCTION("GOOGLEFINANCE(A1218,""PRICEOPEN"")"),4.63)</f>
        <v>4.63</v>
      </c>
      <c r="D1218" s="11">
        <f ca="1">IFERROR(__xludf.DUMMYFUNCTION("GOOGLEFINANCE(A1218,""HIGH"")"),4.77)</f>
        <v>4.7699999999999996</v>
      </c>
      <c r="E1218" s="11">
        <f ca="1">IFERROR(__xludf.DUMMYFUNCTION("GOOGLEFINANCE(A1218,""LOW"")"),4.6)</f>
        <v>4.5999999999999996</v>
      </c>
      <c r="F1218" s="12" t="str">
        <f t="shared" ca="1" si="35"/>
        <v/>
      </c>
      <c r="G1218" s="13">
        <f ca="1">IFERROR(__xludf.DUMMYFUNCTION("GOOGLEFINANCE(A1218,""CLOSEYEST"")"),4.65)</f>
        <v>4.6500000000000004</v>
      </c>
      <c r="H1218" s="14" t="str">
        <f t="shared" ca="1" si="41"/>
        <v/>
      </c>
      <c r="I1218" s="15">
        <f t="shared" ca="1" si="36"/>
        <v>4.6733333333333329</v>
      </c>
      <c r="J1218" s="16">
        <f t="shared" ca="1" si="37"/>
        <v>4.7466666666666661</v>
      </c>
      <c r="K1218" s="16"/>
      <c r="L1218" s="16">
        <f t="shared" ca="1" si="38"/>
        <v>4.5766666666666662</v>
      </c>
      <c r="M1218" s="16">
        <f t="shared" ca="1" si="39"/>
        <v>4.8433333333333328</v>
      </c>
      <c r="N1218" s="16">
        <f t="shared" ca="1" si="40"/>
        <v>4.503333333333333</v>
      </c>
    </row>
    <row r="1219" spans="1:14" ht="24.75" customHeight="1" x14ac:dyDescent="0.8">
      <c r="A1219" s="18" t="s">
        <v>1182</v>
      </c>
      <c r="B1219" s="10">
        <f ca="1">IFERROR(__xludf.DUMMYFUNCTION("GOOGLEFINANCE(A1219,""PRICE"")"),221.2)</f>
        <v>221.2</v>
      </c>
      <c r="C1219" s="11">
        <f ca="1">IFERROR(__xludf.DUMMYFUNCTION("GOOGLEFINANCE(A1219,""PRICEOPEN"")"),225.49)</f>
        <v>225.49</v>
      </c>
      <c r="D1219" s="11">
        <f ca="1">IFERROR(__xludf.DUMMYFUNCTION("GOOGLEFINANCE(A1219,""HIGH"")"),225.49)</f>
        <v>225.49</v>
      </c>
      <c r="E1219" s="11">
        <f ca="1">IFERROR(__xludf.DUMMYFUNCTION("GOOGLEFINANCE(A1219,""LOW"")"),220.55)</f>
        <v>220.55</v>
      </c>
      <c r="F1219" s="12" t="str">
        <f t="shared" ca="1" si="35"/>
        <v>SELL</v>
      </c>
      <c r="G1219" s="13">
        <f ca="1">IFERROR(__xludf.DUMMYFUNCTION("GOOGLEFINANCE(A1219,""CLOSEYEST"")"),222.38)</f>
        <v>222.38</v>
      </c>
      <c r="H1219" s="14" t="str">
        <f t="shared" ca="1" si="41"/>
        <v>GAP UP</v>
      </c>
      <c r="I1219" s="15">
        <f t="shared" ca="1" si="36"/>
        <v>222.8066666666667</v>
      </c>
      <c r="J1219" s="16">
        <f t="shared" ca="1" si="37"/>
        <v>225.06333333333339</v>
      </c>
      <c r="K1219" s="16"/>
      <c r="L1219" s="16">
        <f t="shared" ca="1" si="38"/>
        <v>220.12333333333339</v>
      </c>
      <c r="M1219" s="16">
        <f t="shared" ca="1" si="39"/>
        <v>227.7466666666667</v>
      </c>
      <c r="N1219" s="16">
        <f t="shared" ca="1" si="40"/>
        <v>217.8666666666667</v>
      </c>
    </row>
    <row r="1220" spans="1:14" ht="24.75" customHeight="1" x14ac:dyDescent="0.8">
      <c r="A1220" s="18" t="s">
        <v>1183</v>
      </c>
      <c r="B1220" s="10">
        <f ca="1">IFERROR(__xludf.DUMMYFUNCTION("GOOGLEFINANCE(A1220,""PRICE"")"),14.52)</f>
        <v>14.52</v>
      </c>
      <c r="C1220" s="11">
        <f ca="1">IFERROR(__xludf.DUMMYFUNCTION("GOOGLEFINANCE(A1220,""PRICEOPEN"")"),14.7)</f>
        <v>14.7</v>
      </c>
      <c r="D1220" s="11">
        <f ca="1">IFERROR(__xludf.DUMMYFUNCTION("GOOGLEFINANCE(A1220,""HIGH"")"),14.7)</f>
        <v>14.7</v>
      </c>
      <c r="E1220" s="11">
        <f ca="1">IFERROR(__xludf.DUMMYFUNCTION("GOOGLEFINANCE(A1220,""LOW"")"),14.23)</f>
        <v>14.23</v>
      </c>
      <c r="F1220" s="12" t="str">
        <f t="shared" ca="1" si="35"/>
        <v>SELL</v>
      </c>
      <c r="G1220" s="13">
        <f ca="1">IFERROR(__xludf.DUMMYFUNCTION("GOOGLEFINANCE(A1220,""CLOSEYEST"")"),14.22)</f>
        <v>14.22</v>
      </c>
      <c r="H1220" s="14" t="str">
        <f t="shared" ca="1" si="41"/>
        <v>GAP UP</v>
      </c>
      <c r="I1220" s="15">
        <f t="shared" ca="1" si="36"/>
        <v>14.383333333333333</v>
      </c>
      <c r="J1220" s="16">
        <f t="shared" ca="1" si="37"/>
        <v>14.536666666666665</v>
      </c>
      <c r="K1220" s="16"/>
      <c r="L1220" s="16">
        <f t="shared" ca="1" si="38"/>
        <v>14.066666666666666</v>
      </c>
      <c r="M1220" s="16">
        <f t="shared" ca="1" si="39"/>
        <v>14.853333333333332</v>
      </c>
      <c r="N1220" s="16">
        <f t="shared" ca="1" si="40"/>
        <v>13.913333333333334</v>
      </c>
    </row>
    <row r="1221" spans="1:14" ht="24.75" customHeight="1" x14ac:dyDescent="0.8">
      <c r="A1221" s="18" t="s">
        <v>1184</v>
      </c>
      <c r="B1221" s="10">
        <f ca="1">IFERROR(__xludf.DUMMYFUNCTION("GOOGLEFINANCE(A1221,""PRICE"")"),130)</f>
        <v>130</v>
      </c>
      <c r="C1221" s="11">
        <f ca="1">IFERROR(__xludf.DUMMYFUNCTION("GOOGLEFINANCE(A1221,""PRICEOPEN"")"),133.89)</f>
        <v>133.88999999999999</v>
      </c>
      <c r="D1221" s="11">
        <f ca="1">IFERROR(__xludf.DUMMYFUNCTION("GOOGLEFINANCE(A1221,""HIGH"")"),133.89)</f>
        <v>133.88999999999999</v>
      </c>
      <c r="E1221" s="11">
        <f ca="1">IFERROR(__xludf.DUMMYFUNCTION("GOOGLEFINANCE(A1221,""LOW"")"),129.02)</f>
        <v>129.02000000000001</v>
      </c>
      <c r="F1221" s="12" t="str">
        <f t="shared" ca="1" si="35"/>
        <v>SELL</v>
      </c>
      <c r="G1221" s="13">
        <f ca="1">IFERROR(__xludf.DUMMYFUNCTION("GOOGLEFINANCE(A1221,""CLOSEYEST"")"),131.89)</f>
        <v>131.88999999999999</v>
      </c>
      <c r="H1221" s="14" t="str">
        <f t="shared" ca="1" si="41"/>
        <v>GAP UP</v>
      </c>
      <c r="I1221" s="15">
        <f t="shared" ca="1" si="36"/>
        <v>131.6</v>
      </c>
      <c r="J1221" s="16">
        <f t="shared" ca="1" si="37"/>
        <v>134.17999999999998</v>
      </c>
      <c r="K1221" s="16"/>
      <c r="L1221" s="16">
        <f t="shared" ca="1" si="38"/>
        <v>129.31</v>
      </c>
      <c r="M1221" s="16">
        <f t="shared" ca="1" si="39"/>
        <v>136.46999999999997</v>
      </c>
      <c r="N1221" s="16">
        <f t="shared" ca="1" si="40"/>
        <v>126.73000000000002</v>
      </c>
    </row>
    <row r="1222" spans="1:14" ht="24.75" customHeight="1" x14ac:dyDescent="0.8">
      <c r="A1222" s="18" t="s">
        <v>1185</v>
      </c>
      <c r="B1222" s="10">
        <f ca="1">IFERROR(__xludf.DUMMYFUNCTION("GOOGLEFINANCE(A1222,""PRICE"")"),462.7)</f>
        <v>462.7</v>
      </c>
      <c r="C1222" s="11">
        <f ca="1">IFERROR(__xludf.DUMMYFUNCTION("GOOGLEFINANCE(A1222,""PRICEOPEN"")"),437)</f>
        <v>437</v>
      </c>
      <c r="D1222" s="11">
        <f ca="1">IFERROR(__xludf.DUMMYFUNCTION("GOOGLEFINANCE(A1222,""HIGH"")"),466)</f>
        <v>466</v>
      </c>
      <c r="E1222" s="11">
        <f ca="1">IFERROR(__xludf.DUMMYFUNCTION("GOOGLEFINANCE(A1222,""LOW"")"),437)</f>
        <v>437</v>
      </c>
      <c r="F1222" s="12" t="str">
        <f t="shared" ca="1" si="35"/>
        <v>BUY</v>
      </c>
      <c r="G1222" s="13">
        <f ca="1">IFERROR(__xludf.DUMMYFUNCTION("GOOGLEFINANCE(A1222,""CLOSEYEST"")"),442.85)</f>
        <v>442.85</v>
      </c>
      <c r="H1222" s="14" t="str">
        <f t="shared" ca="1" si="41"/>
        <v>GAP DOWN</v>
      </c>
      <c r="I1222" s="15">
        <f t="shared" ca="1" si="36"/>
        <v>448.61666666666662</v>
      </c>
      <c r="J1222" s="16">
        <f t="shared" ca="1" si="37"/>
        <v>460.23333333333323</v>
      </c>
      <c r="K1222" s="16"/>
      <c r="L1222" s="16">
        <f t="shared" ca="1" si="38"/>
        <v>431.23333333333323</v>
      </c>
      <c r="M1222" s="16">
        <f t="shared" ca="1" si="39"/>
        <v>477.61666666666662</v>
      </c>
      <c r="N1222" s="16">
        <f t="shared" ca="1" si="40"/>
        <v>419.61666666666662</v>
      </c>
    </row>
    <row r="1223" spans="1:14" ht="24.75" customHeight="1" x14ac:dyDescent="0.8">
      <c r="A1223" s="18" t="s">
        <v>1186</v>
      </c>
      <c r="B1223" s="10">
        <f ca="1">IFERROR(__xludf.DUMMYFUNCTION("GOOGLEFINANCE(A1223,""PRICE"")"),147.9)</f>
        <v>147.9</v>
      </c>
      <c r="C1223" s="11">
        <f ca="1">IFERROR(__xludf.DUMMYFUNCTION("GOOGLEFINANCE(A1223,""PRICEOPEN"")"),142.4)</f>
        <v>142.4</v>
      </c>
      <c r="D1223" s="11">
        <f ca="1">IFERROR(__xludf.DUMMYFUNCTION("GOOGLEFINANCE(A1223,""HIGH"")"),149.95)</f>
        <v>149.94999999999999</v>
      </c>
      <c r="E1223" s="11">
        <f ca="1">IFERROR(__xludf.DUMMYFUNCTION("GOOGLEFINANCE(A1223,""LOW"")"),140.48)</f>
        <v>140.47999999999999</v>
      </c>
      <c r="F1223" s="12" t="str">
        <f t="shared" ca="1" si="35"/>
        <v/>
      </c>
      <c r="G1223" s="13">
        <f ca="1">IFERROR(__xludf.DUMMYFUNCTION("GOOGLEFINANCE(A1223,""CLOSEYEST"")"),141.15)</f>
        <v>141.15</v>
      </c>
      <c r="H1223" s="14" t="str">
        <f t="shared" ca="1" si="41"/>
        <v/>
      </c>
      <c r="I1223" s="15">
        <f t="shared" ca="1" si="36"/>
        <v>143.85999999999999</v>
      </c>
      <c r="J1223" s="16">
        <f t="shared" ca="1" si="37"/>
        <v>147.23999999999998</v>
      </c>
      <c r="K1223" s="16"/>
      <c r="L1223" s="16">
        <f t="shared" ca="1" si="38"/>
        <v>137.76999999999998</v>
      </c>
      <c r="M1223" s="16">
        <f t="shared" ca="1" si="39"/>
        <v>153.32999999999998</v>
      </c>
      <c r="N1223" s="16">
        <f t="shared" ca="1" si="40"/>
        <v>134.38999999999999</v>
      </c>
    </row>
    <row r="1224" spans="1:14" ht="24.75" customHeight="1" x14ac:dyDescent="0.8">
      <c r="A1224" s="18" t="s">
        <v>1187</v>
      </c>
      <c r="B1224" s="10">
        <f ca="1">IFERROR(__xludf.DUMMYFUNCTION("GOOGLEFINANCE(A1224,""PRICE"")"),306.5)</f>
        <v>306.5</v>
      </c>
      <c r="C1224" s="11">
        <f ca="1">IFERROR(__xludf.DUMMYFUNCTION("GOOGLEFINANCE(A1224,""PRICEOPEN"")"),298.75)</f>
        <v>298.75</v>
      </c>
      <c r="D1224" s="11">
        <f ca="1">IFERROR(__xludf.DUMMYFUNCTION("GOOGLEFINANCE(A1224,""HIGH"")"),306.5)</f>
        <v>306.5</v>
      </c>
      <c r="E1224" s="11">
        <f ca="1">IFERROR(__xludf.DUMMYFUNCTION("GOOGLEFINANCE(A1224,""LOW"")"),298)</f>
        <v>298</v>
      </c>
      <c r="F1224" s="12" t="str">
        <f t="shared" ca="1" si="35"/>
        <v/>
      </c>
      <c r="G1224" s="13">
        <f ca="1">IFERROR(__xludf.DUMMYFUNCTION("GOOGLEFINANCE(A1224,""CLOSEYEST"")"),293.25)</f>
        <v>293.25</v>
      </c>
      <c r="H1224" s="14" t="str">
        <f t="shared" ca="1" si="41"/>
        <v>GAP UP</v>
      </c>
      <c r="I1224" s="15">
        <f t="shared" ca="1" si="36"/>
        <v>299.25</v>
      </c>
      <c r="J1224" s="16">
        <f t="shared" ca="1" si="37"/>
        <v>300.5</v>
      </c>
      <c r="K1224" s="16"/>
      <c r="L1224" s="16">
        <f t="shared" ca="1" si="38"/>
        <v>292</v>
      </c>
      <c r="M1224" s="16">
        <f t="shared" ca="1" si="39"/>
        <v>307.75</v>
      </c>
      <c r="N1224" s="16">
        <f t="shared" ca="1" si="40"/>
        <v>290.75</v>
      </c>
    </row>
    <row r="1225" spans="1:14" ht="24.75" customHeight="1" x14ac:dyDescent="0.8">
      <c r="A1225" s="18" t="s">
        <v>1188</v>
      </c>
      <c r="B1225" s="10">
        <f ca="1">IFERROR(__xludf.DUMMYFUNCTION("GOOGLEFINANCE(A1225,""PRICE"")"),23.08)</f>
        <v>23.08</v>
      </c>
      <c r="C1225" s="11">
        <f ca="1">IFERROR(__xludf.DUMMYFUNCTION("GOOGLEFINANCE(A1225,""PRICEOPEN"")"),23.3)</f>
        <v>23.3</v>
      </c>
      <c r="D1225" s="11">
        <f ca="1">IFERROR(__xludf.DUMMYFUNCTION("GOOGLEFINANCE(A1225,""HIGH"")"),23.7)</f>
        <v>23.7</v>
      </c>
      <c r="E1225" s="11">
        <f ca="1">IFERROR(__xludf.DUMMYFUNCTION("GOOGLEFINANCE(A1225,""LOW"")"),22.8)</f>
        <v>22.8</v>
      </c>
      <c r="F1225" s="12" t="str">
        <f t="shared" ca="1" si="35"/>
        <v/>
      </c>
      <c r="G1225" s="13">
        <f ca="1">IFERROR(__xludf.DUMMYFUNCTION("GOOGLEFINANCE(A1225,""CLOSEYEST"")"),23.05)</f>
        <v>23.05</v>
      </c>
      <c r="H1225" s="14" t="str">
        <f t="shared" ca="1" si="41"/>
        <v>GAP UP</v>
      </c>
      <c r="I1225" s="15">
        <f t="shared" ca="1" si="36"/>
        <v>23.183333333333334</v>
      </c>
      <c r="J1225" s="16">
        <f t="shared" ca="1" si="37"/>
        <v>23.566666666666666</v>
      </c>
      <c r="K1225" s="16"/>
      <c r="L1225" s="16">
        <f t="shared" ca="1" si="38"/>
        <v>22.666666666666668</v>
      </c>
      <c r="M1225" s="16">
        <f t="shared" ca="1" si="39"/>
        <v>24.083333333333332</v>
      </c>
      <c r="N1225" s="16">
        <f t="shared" ca="1" si="40"/>
        <v>22.283333333333335</v>
      </c>
    </row>
    <row r="1226" spans="1:14" ht="24.75" customHeight="1" x14ac:dyDescent="0.8">
      <c r="A1226" s="18" t="s">
        <v>1189</v>
      </c>
      <c r="B1226" s="10" t="str">
        <f ca="1">IFERROR(__xludf.DUMMYFUNCTION("GOOGLEFINANCE(A1226,""PRICE"")"),"#N/A")</f>
        <v>#N/A</v>
      </c>
      <c r="C1226" s="11" t="str">
        <f ca="1">IFERROR(__xludf.DUMMYFUNCTION("GOOGLEFINANCE(A1226,""PRICEOPEN"")"),"#N/A")</f>
        <v>#N/A</v>
      </c>
      <c r="D1226" s="11" t="str">
        <f ca="1">IFERROR(__xludf.DUMMYFUNCTION("GOOGLEFINANCE(A1226,""HIGH"")"),"#N/A")</f>
        <v>#N/A</v>
      </c>
      <c r="E1226" s="11" t="str">
        <f ca="1">IFERROR(__xludf.DUMMYFUNCTION("GOOGLEFINANCE(A1226,""LOW"")"),"#N/A")</f>
        <v>#N/A</v>
      </c>
      <c r="F1226" s="12" t="str">
        <f t="shared" ca="1" si="35"/>
        <v>SELL</v>
      </c>
      <c r="G1226" s="13" t="str">
        <f ca="1">IFERROR(__xludf.DUMMYFUNCTION("GOOGLEFINANCE(A1226,""CLOSEYEST"")"),"#N/A")</f>
        <v>#N/A</v>
      </c>
      <c r="H1226" s="14" t="e">
        <f t="shared" ca="1" si="41"/>
        <v>#VALUE!</v>
      </c>
      <c r="I1226" s="15" t="e">
        <f t="shared" ca="1" si="36"/>
        <v>#VALUE!</v>
      </c>
      <c r="J1226" s="16" t="e">
        <f t="shared" ca="1" si="37"/>
        <v>#VALUE!</v>
      </c>
      <c r="K1226" s="16"/>
      <c r="L1226" s="16" t="e">
        <f t="shared" ca="1" si="38"/>
        <v>#VALUE!</v>
      </c>
      <c r="M1226" s="16" t="e">
        <f t="shared" ca="1" si="39"/>
        <v>#VALUE!</v>
      </c>
      <c r="N1226" s="16" t="e">
        <f t="shared" ca="1" si="40"/>
        <v>#VALUE!</v>
      </c>
    </row>
    <row r="1227" spans="1:14" ht="24.75" customHeight="1" x14ac:dyDescent="0.8">
      <c r="A1227" s="18" t="s">
        <v>1190</v>
      </c>
      <c r="B1227" s="10" t="str">
        <f ca="1">IFERROR(__xludf.DUMMYFUNCTION("GOOGLEFINANCE(A1227,""PRICE"")"),"#N/A")</f>
        <v>#N/A</v>
      </c>
      <c r="C1227" s="11" t="str">
        <f ca="1">IFERROR(__xludf.DUMMYFUNCTION("GOOGLEFINANCE(A1227,""PRICEOPEN"")"),"#N/A")</f>
        <v>#N/A</v>
      </c>
      <c r="D1227" s="11" t="str">
        <f ca="1">IFERROR(__xludf.DUMMYFUNCTION("GOOGLEFINANCE(A1227,""HIGH"")"),"#N/A")</f>
        <v>#N/A</v>
      </c>
      <c r="E1227" s="11" t="str">
        <f ca="1">IFERROR(__xludf.DUMMYFUNCTION("GOOGLEFINANCE(A1227,""LOW"")"),"#N/A")</f>
        <v>#N/A</v>
      </c>
      <c r="F1227" s="12" t="str">
        <f t="shared" ca="1" si="35"/>
        <v>SELL</v>
      </c>
      <c r="G1227" s="13" t="str">
        <f ca="1">IFERROR(__xludf.DUMMYFUNCTION("GOOGLEFINANCE(A1227,""CLOSEYEST"")"),"#N/A")</f>
        <v>#N/A</v>
      </c>
      <c r="H1227" s="14" t="e">
        <f t="shared" ca="1" si="41"/>
        <v>#VALUE!</v>
      </c>
      <c r="I1227" s="15" t="e">
        <f t="shared" ca="1" si="36"/>
        <v>#VALUE!</v>
      </c>
      <c r="J1227" s="16" t="e">
        <f t="shared" ca="1" si="37"/>
        <v>#VALUE!</v>
      </c>
      <c r="K1227" s="16"/>
      <c r="L1227" s="16" t="e">
        <f t="shared" ca="1" si="38"/>
        <v>#VALUE!</v>
      </c>
      <c r="M1227" s="16" t="e">
        <f t="shared" ca="1" si="39"/>
        <v>#VALUE!</v>
      </c>
      <c r="N1227" s="16" t="e">
        <f t="shared" ca="1" si="40"/>
        <v>#VALUE!</v>
      </c>
    </row>
    <row r="1228" spans="1:14" ht="24.75" customHeight="1" x14ac:dyDescent="0.8">
      <c r="A1228" s="18" t="s">
        <v>1191</v>
      </c>
      <c r="B1228" s="10">
        <f ca="1">IFERROR(__xludf.DUMMYFUNCTION("GOOGLEFINANCE(A1228,""PRICE"")"),424.1)</f>
        <v>424.1</v>
      </c>
      <c r="C1228" s="11">
        <f ca="1">IFERROR(__xludf.DUMMYFUNCTION("GOOGLEFINANCE(A1228,""PRICEOPEN"")"),428)</f>
        <v>428</v>
      </c>
      <c r="D1228" s="11">
        <f ca="1">IFERROR(__xludf.DUMMYFUNCTION("GOOGLEFINANCE(A1228,""HIGH"")"),449.75)</f>
        <v>449.75</v>
      </c>
      <c r="E1228" s="11">
        <f ca="1">IFERROR(__xludf.DUMMYFUNCTION("GOOGLEFINANCE(A1228,""LOW"")"),422.55)</f>
        <v>422.55</v>
      </c>
      <c r="F1228" s="12" t="str">
        <f t="shared" ca="1" si="35"/>
        <v/>
      </c>
      <c r="G1228" s="13">
        <f ca="1">IFERROR(__xludf.DUMMYFUNCTION("GOOGLEFINANCE(A1228,""CLOSEYEST"")"),427.55)</f>
        <v>427.55</v>
      </c>
      <c r="H1228" s="14" t="str">
        <f t="shared" ca="1" si="41"/>
        <v/>
      </c>
      <c r="I1228" s="15">
        <f t="shared" ca="1" si="36"/>
        <v>433.2833333333333</v>
      </c>
      <c r="J1228" s="16">
        <f t="shared" ca="1" si="37"/>
        <v>444.01666666666659</v>
      </c>
      <c r="K1228" s="16"/>
      <c r="L1228" s="16">
        <f t="shared" ca="1" si="38"/>
        <v>416.81666666666661</v>
      </c>
      <c r="M1228" s="16">
        <f t="shared" ca="1" si="39"/>
        <v>460.48333333333329</v>
      </c>
      <c r="N1228" s="16">
        <f t="shared" ca="1" si="40"/>
        <v>406.08333333333331</v>
      </c>
    </row>
    <row r="1229" spans="1:14" ht="24.75" customHeight="1" x14ac:dyDescent="0.8">
      <c r="A1229" s="18" t="s">
        <v>1192</v>
      </c>
      <c r="B1229" s="10">
        <f ca="1">IFERROR(__xludf.DUMMYFUNCTION("GOOGLEFINANCE(A1229,""PRICE"")"),165.83)</f>
        <v>165.83</v>
      </c>
      <c r="C1229" s="11">
        <f ca="1">IFERROR(__xludf.DUMMYFUNCTION("GOOGLEFINANCE(A1229,""PRICEOPEN"")"),164.7)</f>
        <v>164.7</v>
      </c>
      <c r="D1229" s="11">
        <f ca="1">IFERROR(__xludf.DUMMYFUNCTION("GOOGLEFINANCE(A1229,""HIGH"")"),169.68)</f>
        <v>169.68</v>
      </c>
      <c r="E1229" s="11">
        <f ca="1">IFERROR(__xludf.DUMMYFUNCTION("GOOGLEFINANCE(A1229,""LOW"")"),163.98)</f>
        <v>163.98</v>
      </c>
      <c r="F1229" s="12" t="str">
        <f t="shared" ca="1" si="35"/>
        <v/>
      </c>
      <c r="G1229" s="13">
        <f ca="1">IFERROR(__xludf.DUMMYFUNCTION("GOOGLEFINANCE(A1229,""CLOSEYEST"")"),164.01)</f>
        <v>164.01</v>
      </c>
      <c r="H1229" s="14" t="str">
        <f t="shared" ca="1" si="41"/>
        <v/>
      </c>
      <c r="I1229" s="15">
        <f t="shared" ca="1" si="36"/>
        <v>165.89</v>
      </c>
      <c r="J1229" s="16">
        <f t="shared" ca="1" si="37"/>
        <v>167.79999999999998</v>
      </c>
      <c r="K1229" s="16"/>
      <c r="L1229" s="16">
        <f t="shared" ca="1" si="38"/>
        <v>162.09999999999997</v>
      </c>
      <c r="M1229" s="16">
        <f t="shared" ca="1" si="39"/>
        <v>171.59</v>
      </c>
      <c r="N1229" s="16">
        <f t="shared" ca="1" si="40"/>
        <v>160.18999999999997</v>
      </c>
    </row>
    <row r="1230" spans="1:14" ht="24.75" customHeight="1" x14ac:dyDescent="0.8">
      <c r="A1230" s="18" t="s">
        <v>1193</v>
      </c>
      <c r="B1230" s="10">
        <f ca="1">IFERROR(__xludf.DUMMYFUNCTION("GOOGLEFINANCE(A1230,""PRICE"")"),35.07)</f>
        <v>35.07</v>
      </c>
      <c r="C1230" s="11">
        <f ca="1">IFERROR(__xludf.DUMMYFUNCTION("GOOGLEFINANCE(A1230,""PRICEOPEN"")"),34.99)</f>
        <v>34.99</v>
      </c>
      <c r="D1230" s="11">
        <f ca="1">IFERROR(__xludf.DUMMYFUNCTION("GOOGLEFINANCE(A1230,""HIGH"")"),36.12)</f>
        <v>36.119999999999997</v>
      </c>
      <c r="E1230" s="11">
        <f ca="1">IFERROR(__xludf.DUMMYFUNCTION("GOOGLEFINANCE(A1230,""LOW"")"),34.44)</f>
        <v>34.44</v>
      </c>
      <c r="F1230" s="12" t="str">
        <f t="shared" ca="1" si="35"/>
        <v/>
      </c>
      <c r="G1230" s="13">
        <f ca="1">IFERROR(__xludf.DUMMYFUNCTION("GOOGLEFINANCE(A1230,""CLOSEYEST"")"),35.3)</f>
        <v>35.299999999999997</v>
      </c>
      <c r="H1230" s="14" t="str">
        <f t="shared" ca="1" si="41"/>
        <v/>
      </c>
      <c r="I1230" s="15">
        <f t="shared" ca="1" si="36"/>
        <v>35.286666666666669</v>
      </c>
      <c r="J1230" s="16">
        <f t="shared" ca="1" si="37"/>
        <v>36.13333333333334</v>
      </c>
      <c r="K1230" s="16"/>
      <c r="L1230" s="16">
        <f t="shared" ca="1" si="38"/>
        <v>34.45333333333334</v>
      </c>
      <c r="M1230" s="16">
        <f t="shared" ca="1" si="39"/>
        <v>36.966666666666669</v>
      </c>
      <c r="N1230" s="16">
        <f t="shared" ca="1" si="40"/>
        <v>33.606666666666669</v>
      </c>
    </row>
    <row r="1231" spans="1:14" ht="24.75" customHeight="1" x14ac:dyDescent="0.8">
      <c r="A1231" s="18" t="s">
        <v>1194</v>
      </c>
      <c r="B1231" s="10">
        <f ca="1">IFERROR(__xludf.DUMMYFUNCTION("GOOGLEFINANCE(A1231,""PRICE"")"),141.06)</f>
        <v>141.06</v>
      </c>
      <c r="C1231" s="11">
        <f ca="1">IFERROR(__xludf.DUMMYFUNCTION("GOOGLEFINANCE(A1231,""PRICEOPEN"")"),140.45)</f>
        <v>140.44999999999999</v>
      </c>
      <c r="D1231" s="11">
        <f ca="1">IFERROR(__xludf.DUMMYFUNCTION("GOOGLEFINANCE(A1231,""HIGH"")"),143)</f>
        <v>143</v>
      </c>
      <c r="E1231" s="11">
        <f ca="1">IFERROR(__xludf.DUMMYFUNCTION("GOOGLEFINANCE(A1231,""LOW"")"),139.61)</f>
        <v>139.61000000000001</v>
      </c>
      <c r="F1231" s="12" t="str">
        <f t="shared" ca="1" si="35"/>
        <v/>
      </c>
      <c r="G1231" s="13">
        <f ca="1">IFERROR(__xludf.DUMMYFUNCTION("GOOGLEFINANCE(A1231,""CLOSEYEST"")"),139.4)</f>
        <v>139.4</v>
      </c>
      <c r="H1231" s="14" t="str">
        <f t="shared" ca="1" si="41"/>
        <v/>
      </c>
      <c r="I1231" s="15">
        <f t="shared" ca="1" si="36"/>
        <v>140.66999999999999</v>
      </c>
      <c r="J1231" s="16">
        <f t="shared" ca="1" si="37"/>
        <v>141.72999999999996</v>
      </c>
      <c r="K1231" s="16"/>
      <c r="L1231" s="16">
        <f t="shared" ca="1" si="38"/>
        <v>138.33999999999997</v>
      </c>
      <c r="M1231" s="16">
        <f t="shared" ca="1" si="39"/>
        <v>144.05999999999997</v>
      </c>
      <c r="N1231" s="16">
        <f t="shared" ca="1" si="40"/>
        <v>137.28</v>
      </c>
    </row>
    <row r="1232" spans="1:14" ht="24.75" customHeight="1" x14ac:dyDescent="0.8">
      <c r="A1232" s="18" t="s">
        <v>1195</v>
      </c>
      <c r="B1232" s="10">
        <f ca="1">IFERROR(__xludf.DUMMYFUNCTION("GOOGLEFINANCE(A1232,""PRICE"")"),490.9)</f>
        <v>490.9</v>
      </c>
      <c r="C1232" s="11">
        <f ca="1">IFERROR(__xludf.DUMMYFUNCTION("GOOGLEFINANCE(A1232,""PRICEOPEN"")"),492.8)</f>
        <v>492.8</v>
      </c>
      <c r="D1232" s="11">
        <f ca="1">IFERROR(__xludf.DUMMYFUNCTION("GOOGLEFINANCE(A1232,""HIGH"")"),492.8)</f>
        <v>492.8</v>
      </c>
      <c r="E1232" s="11">
        <f ca="1">IFERROR(__xludf.DUMMYFUNCTION("GOOGLEFINANCE(A1232,""LOW"")"),485.55)</f>
        <v>485.55</v>
      </c>
      <c r="F1232" s="12" t="str">
        <f t="shared" ca="1" si="35"/>
        <v>SELL</v>
      </c>
      <c r="G1232" s="13">
        <f ca="1">IFERROR(__xludf.DUMMYFUNCTION("GOOGLEFINANCE(A1232,""CLOSEYEST"")"),490.2)</f>
        <v>490.2</v>
      </c>
      <c r="H1232" s="14" t="str">
        <f t="shared" ca="1" si="41"/>
        <v/>
      </c>
      <c r="I1232" s="15">
        <f t="shared" ca="1" si="36"/>
        <v>489.51666666666665</v>
      </c>
      <c r="J1232" s="16">
        <f t="shared" ca="1" si="37"/>
        <v>493.48333333333329</v>
      </c>
      <c r="K1232" s="16"/>
      <c r="L1232" s="16">
        <f t="shared" ca="1" si="38"/>
        <v>486.23333333333329</v>
      </c>
      <c r="M1232" s="16">
        <f t="shared" ca="1" si="39"/>
        <v>496.76666666666665</v>
      </c>
      <c r="N1232" s="16">
        <f t="shared" ca="1" si="40"/>
        <v>482.26666666666665</v>
      </c>
    </row>
    <row r="1233" spans="1:14" ht="24.75" customHeight="1" x14ac:dyDescent="0.8">
      <c r="A1233" s="18" t="s">
        <v>1196</v>
      </c>
      <c r="B1233" s="10">
        <f ca="1">IFERROR(__xludf.DUMMYFUNCTION("GOOGLEFINANCE(A1233,""PRICE"")"),3.59)</f>
        <v>3.59</v>
      </c>
      <c r="C1233" s="11">
        <f ca="1">IFERROR(__xludf.DUMMYFUNCTION("GOOGLEFINANCE(A1233,""PRICEOPEN"")"),3.56)</f>
        <v>3.56</v>
      </c>
      <c r="D1233" s="11">
        <f ca="1">IFERROR(__xludf.DUMMYFUNCTION("GOOGLEFINANCE(A1233,""HIGH"")"),3.59)</f>
        <v>3.59</v>
      </c>
      <c r="E1233" s="11">
        <f ca="1">IFERROR(__xludf.DUMMYFUNCTION("GOOGLEFINANCE(A1233,""LOW"")"),3.46)</f>
        <v>3.46</v>
      </c>
      <c r="F1233" s="12" t="str">
        <f t="shared" ca="1" si="35"/>
        <v/>
      </c>
      <c r="G1233" s="13">
        <f ca="1">IFERROR(__xludf.DUMMYFUNCTION("GOOGLEFINANCE(A1233,""CLOSEYEST"")"),3.52)</f>
        <v>3.52</v>
      </c>
      <c r="H1233" s="14" t="str">
        <f t="shared" ca="1" si="41"/>
        <v>GAP UP</v>
      </c>
      <c r="I1233" s="15">
        <f t="shared" ca="1" si="36"/>
        <v>3.5233333333333334</v>
      </c>
      <c r="J1233" s="16">
        <f t="shared" ca="1" si="37"/>
        <v>3.5866666666666669</v>
      </c>
      <c r="K1233" s="16"/>
      <c r="L1233" s="16">
        <f t="shared" ca="1" si="38"/>
        <v>3.456666666666667</v>
      </c>
      <c r="M1233" s="16">
        <f t="shared" ca="1" si="39"/>
        <v>3.6533333333333333</v>
      </c>
      <c r="N1233" s="16">
        <f t="shared" ca="1" si="40"/>
        <v>3.3933333333333335</v>
      </c>
    </row>
    <row r="1234" spans="1:14" ht="24.75" customHeight="1" x14ac:dyDescent="0.8">
      <c r="A1234" s="18" t="s">
        <v>1197</v>
      </c>
      <c r="B1234" s="10">
        <f ca="1">IFERROR(__xludf.DUMMYFUNCTION("GOOGLEFINANCE(A1234,""PRICE"")"),384.95)</f>
        <v>384.95</v>
      </c>
      <c r="C1234" s="11">
        <f ca="1">IFERROR(__xludf.DUMMYFUNCTION("GOOGLEFINANCE(A1234,""PRICEOPEN"")"),392)</f>
        <v>392</v>
      </c>
      <c r="D1234" s="11">
        <f ca="1">IFERROR(__xludf.DUMMYFUNCTION("GOOGLEFINANCE(A1234,""HIGH"")"),392)</f>
        <v>392</v>
      </c>
      <c r="E1234" s="11">
        <f ca="1">IFERROR(__xludf.DUMMYFUNCTION("GOOGLEFINANCE(A1234,""LOW"")"),382.3)</f>
        <v>382.3</v>
      </c>
      <c r="F1234" s="12" t="str">
        <f t="shared" ca="1" si="35"/>
        <v>SELL</v>
      </c>
      <c r="G1234" s="13">
        <f ca="1">IFERROR(__xludf.DUMMYFUNCTION("GOOGLEFINANCE(A1234,""CLOSEYEST"")"),396.35)</f>
        <v>396.35</v>
      </c>
      <c r="H1234" s="14" t="str">
        <f t="shared" ca="1" si="41"/>
        <v>GAP DOWN</v>
      </c>
      <c r="I1234" s="15">
        <f t="shared" ca="1" si="36"/>
        <v>390.2166666666667</v>
      </c>
      <c r="J1234" s="16">
        <f t="shared" ca="1" si="37"/>
        <v>398.13333333333338</v>
      </c>
      <c r="K1234" s="16"/>
      <c r="L1234" s="16">
        <f t="shared" ca="1" si="38"/>
        <v>388.43333333333339</v>
      </c>
      <c r="M1234" s="16">
        <f t="shared" ca="1" si="39"/>
        <v>399.91666666666669</v>
      </c>
      <c r="N1234" s="16">
        <f t="shared" ca="1" si="40"/>
        <v>380.51666666666671</v>
      </c>
    </row>
    <row r="1235" spans="1:14" ht="24.75" customHeight="1" x14ac:dyDescent="0.8">
      <c r="A1235" s="18" t="s">
        <v>1198</v>
      </c>
      <c r="B1235" s="10">
        <f ca="1">IFERROR(__xludf.DUMMYFUNCTION("GOOGLEFINANCE(A1235,""PRICE"")"),43.59)</f>
        <v>43.59</v>
      </c>
      <c r="C1235" s="11">
        <f ca="1">IFERROR(__xludf.DUMMYFUNCTION("GOOGLEFINANCE(A1235,""PRICEOPEN"")"),44)</f>
        <v>44</v>
      </c>
      <c r="D1235" s="11">
        <f ca="1">IFERROR(__xludf.DUMMYFUNCTION("GOOGLEFINANCE(A1235,""HIGH"")"),44)</f>
        <v>44</v>
      </c>
      <c r="E1235" s="11">
        <f ca="1">IFERROR(__xludf.DUMMYFUNCTION("GOOGLEFINANCE(A1235,""LOW"")"),42.41)</f>
        <v>42.41</v>
      </c>
      <c r="F1235" s="12" t="str">
        <f t="shared" ca="1" si="35"/>
        <v>SELL</v>
      </c>
      <c r="G1235" s="13">
        <f ca="1">IFERROR(__xludf.DUMMYFUNCTION("GOOGLEFINANCE(A1235,""CLOSEYEST"")"),42.82)</f>
        <v>42.82</v>
      </c>
      <c r="H1235" s="14" t="str">
        <f t="shared" ca="1" si="41"/>
        <v>GAP UP</v>
      </c>
      <c r="I1235" s="15">
        <f t="shared" ca="1" si="36"/>
        <v>43.076666666666661</v>
      </c>
      <c r="J1235" s="16">
        <f t="shared" ca="1" si="37"/>
        <v>43.743333333333325</v>
      </c>
      <c r="K1235" s="16"/>
      <c r="L1235" s="16">
        <f t="shared" ca="1" si="38"/>
        <v>42.153333333333322</v>
      </c>
      <c r="M1235" s="16">
        <f t="shared" ca="1" si="39"/>
        <v>44.666666666666664</v>
      </c>
      <c r="N1235" s="16">
        <f t="shared" ca="1" si="40"/>
        <v>41.486666666666657</v>
      </c>
    </row>
    <row r="1236" spans="1:14" ht="24.75" customHeight="1" x14ac:dyDescent="0.8">
      <c r="A1236" s="18" t="s">
        <v>1199</v>
      </c>
      <c r="B1236" s="10">
        <f ca="1">IFERROR(__xludf.DUMMYFUNCTION("GOOGLEFINANCE(A1236,""PRICE"")"),23.1)</f>
        <v>23.1</v>
      </c>
      <c r="C1236" s="11">
        <f ca="1">IFERROR(__xludf.DUMMYFUNCTION("GOOGLEFINANCE(A1236,""PRICEOPEN"")"),22.55)</f>
        <v>22.55</v>
      </c>
      <c r="D1236" s="11">
        <f ca="1">IFERROR(__xludf.DUMMYFUNCTION("GOOGLEFINANCE(A1236,""HIGH"")"),23.34)</f>
        <v>23.34</v>
      </c>
      <c r="E1236" s="11">
        <f ca="1">IFERROR(__xludf.DUMMYFUNCTION("GOOGLEFINANCE(A1236,""LOW"")"),22.35)</f>
        <v>22.35</v>
      </c>
      <c r="F1236" s="12" t="str">
        <f t="shared" ca="1" si="35"/>
        <v/>
      </c>
      <c r="G1236" s="13">
        <f ca="1">IFERROR(__xludf.DUMMYFUNCTION("GOOGLEFINANCE(A1236,""CLOSEYEST"")"),22.61)</f>
        <v>22.61</v>
      </c>
      <c r="H1236" s="14" t="str">
        <f t="shared" ca="1" si="41"/>
        <v/>
      </c>
      <c r="I1236" s="15">
        <f t="shared" ca="1" si="36"/>
        <v>22.766666666666666</v>
      </c>
      <c r="J1236" s="16">
        <f t="shared" ca="1" si="37"/>
        <v>23.18333333333333</v>
      </c>
      <c r="K1236" s="16"/>
      <c r="L1236" s="16">
        <f t="shared" ca="1" si="38"/>
        <v>22.193333333333332</v>
      </c>
      <c r="M1236" s="16">
        <f t="shared" ca="1" si="39"/>
        <v>23.756666666666664</v>
      </c>
      <c r="N1236" s="16">
        <f t="shared" ca="1" si="40"/>
        <v>21.776666666666667</v>
      </c>
    </row>
    <row r="1237" spans="1:14" ht="24.75" customHeight="1" x14ac:dyDescent="0.8">
      <c r="A1237" s="18" t="s">
        <v>1200</v>
      </c>
      <c r="B1237" s="10">
        <f ca="1">IFERROR(__xludf.DUMMYFUNCTION("GOOGLEFINANCE(A1237,""PRICE"")"),124.98)</f>
        <v>124.98</v>
      </c>
      <c r="C1237" s="11">
        <f ca="1">IFERROR(__xludf.DUMMYFUNCTION("GOOGLEFINANCE(A1237,""PRICEOPEN"")"),122)</f>
        <v>122</v>
      </c>
      <c r="D1237" s="11">
        <f ca="1">IFERROR(__xludf.DUMMYFUNCTION("GOOGLEFINANCE(A1237,""HIGH"")"),127.18)</f>
        <v>127.18</v>
      </c>
      <c r="E1237" s="11">
        <f ca="1">IFERROR(__xludf.DUMMYFUNCTION("GOOGLEFINANCE(A1237,""LOW"")"),121.92)</f>
        <v>121.92</v>
      </c>
      <c r="F1237" s="12" t="str">
        <f t="shared" ca="1" si="35"/>
        <v/>
      </c>
      <c r="G1237" s="13">
        <f ca="1">IFERROR(__xludf.DUMMYFUNCTION("GOOGLEFINANCE(A1237,""CLOSEYEST"")"),122.69)</f>
        <v>122.69</v>
      </c>
      <c r="H1237" s="14" t="str">
        <f t="shared" ca="1" si="41"/>
        <v/>
      </c>
      <c r="I1237" s="15">
        <f t="shared" ca="1" si="36"/>
        <v>123.93</v>
      </c>
      <c r="J1237" s="16">
        <f t="shared" ca="1" si="37"/>
        <v>125.94000000000001</v>
      </c>
      <c r="K1237" s="16"/>
      <c r="L1237" s="16">
        <f t="shared" ca="1" si="38"/>
        <v>120.68</v>
      </c>
      <c r="M1237" s="16">
        <f t="shared" ca="1" si="39"/>
        <v>129.19</v>
      </c>
      <c r="N1237" s="16">
        <f t="shared" ca="1" si="40"/>
        <v>118.67</v>
      </c>
    </row>
    <row r="1238" spans="1:14" ht="24.75" customHeight="1" x14ac:dyDescent="0.8">
      <c r="A1238" s="18" t="s">
        <v>1201</v>
      </c>
      <c r="B1238" s="10">
        <f ca="1">IFERROR(__xludf.DUMMYFUNCTION("GOOGLEFINANCE(A1238,""PRICE"")"),228.75)</f>
        <v>228.75</v>
      </c>
      <c r="C1238" s="11">
        <f ca="1">IFERROR(__xludf.DUMMYFUNCTION("GOOGLEFINANCE(A1238,""PRICEOPEN"")"),232.9)</f>
        <v>232.9</v>
      </c>
      <c r="D1238" s="11">
        <f ca="1">IFERROR(__xludf.DUMMYFUNCTION("GOOGLEFINANCE(A1238,""HIGH"")"),232.9)</f>
        <v>232.9</v>
      </c>
      <c r="E1238" s="11">
        <f ca="1">IFERROR(__xludf.DUMMYFUNCTION("GOOGLEFINANCE(A1238,""LOW"")"),226.51)</f>
        <v>226.51</v>
      </c>
      <c r="F1238" s="12" t="str">
        <f t="shared" ca="1" si="35"/>
        <v>SELL</v>
      </c>
      <c r="G1238" s="13">
        <f ca="1">IFERROR(__xludf.DUMMYFUNCTION("GOOGLEFINANCE(A1238,""CLOSEYEST"")"),228.35)</f>
        <v>228.35</v>
      </c>
      <c r="H1238" s="14" t="str">
        <f t="shared" ca="1" si="41"/>
        <v>GAP UP</v>
      </c>
      <c r="I1238" s="15">
        <f t="shared" ca="1" si="36"/>
        <v>229.25333333333333</v>
      </c>
      <c r="J1238" s="16">
        <f t="shared" ca="1" si="37"/>
        <v>231.99666666666667</v>
      </c>
      <c r="K1238" s="16"/>
      <c r="L1238" s="16">
        <f t="shared" ca="1" si="38"/>
        <v>225.60666666666665</v>
      </c>
      <c r="M1238" s="16">
        <f t="shared" ca="1" si="39"/>
        <v>235.64333333333335</v>
      </c>
      <c r="N1238" s="16">
        <f t="shared" ca="1" si="40"/>
        <v>222.86333333333332</v>
      </c>
    </row>
    <row r="1239" spans="1:14" ht="24.75" customHeight="1" x14ac:dyDescent="0.8">
      <c r="A1239" s="18" t="s">
        <v>1202</v>
      </c>
      <c r="B1239" s="10" t="str">
        <f ca="1">IFERROR(__xludf.DUMMYFUNCTION("GOOGLEFINANCE(A1239,""PRICE"")"),"#N/A")</f>
        <v>#N/A</v>
      </c>
      <c r="C1239" s="11" t="str">
        <f ca="1">IFERROR(__xludf.DUMMYFUNCTION("GOOGLEFINANCE(A1239,""PRICEOPEN"")"),"#N/A")</f>
        <v>#N/A</v>
      </c>
      <c r="D1239" s="11" t="str">
        <f ca="1">IFERROR(__xludf.DUMMYFUNCTION("GOOGLEFINANCE(A1239,""HIGH"")"),"#N/A")</f>
        <v>#N/A</v>
      </c>
      <c r="E1239" s="11" t="str">
        <f ca="1">IFERROR(__xludf.DUMMYFUNCTION("GOOGLEFINANCE(A1239,""LOW"")"),"#N/A")</f>
        <v>#N/A</v>
      </c>
      <c r="F1239" s="12" t="str">
        <f t="shared" ca="1" si="35"/>
        <v>SELL</v>
      </c>
      <c r="G1239" s="13" t="str">
        <f ca="1">IFERROR(__xludf.DUMMYFUNCTION("GOOGLEFINANCE(A1239,""CLOSEYEST"")"),"#N/A")</f>
        <v>#N/A</v>
      </c>
      <c r="H1239" s="14" t="e">
        <f t="shared" ca="1" si="41"/>
        <v>#VALUE!</v>
      </c>
      <c r="I1239" s="15" t="e">
        <f t="shared" ca="1" si="36"/>
        <v>#VALUE!</v>
      </c>
      <c r="J1239" s="16" t="e">
        <f t="shared" ca="1" si="37"/>
        <v>#VALUE!</v>
      </c>
      <c r="K1239" s="16"/>
      <c r="L1239" s="16" t="e">
        <f t="shared" ca="1" si="38"/>
        <v>#VALUE!</v>
      </c>
      <c r="M1239" s="16" t="e">
        <f t="shared" ca="1" si="39"/>
        <v>#VALUE!</v>
      </c>
      <c r="N1239" s="16" t="e">
        <f t="shared" ca="1" si="40"/>
        <v>#VALUE!</v>
      </c>
    </row>
    <row r="1240" spans="1:14" ht="24.75" customHeight="1" x14ac:dyDescent="0.8">
      <c r="A1240" s="18" t="s">
        <v>1203</v>
      </c>
      <c r="B1240" s="10">
        <f ca="1">IFERROR(__xludf.DUMMYFUNCTION("GOOGLEFINANCE(A1240,""PRICE"")"),45)</f>
        <v>45</v>
      </c>
      <c r="C1240" s="11">
        <f ca="1">IFERROR(__xludf.DUMMYFUNCTION("GOOGLEFINANCE(A1240,""PRICEOPEN"")"),44.05)</f>
        <v>44.05</v>
      </c>
      <c r="D1240" s="11">
        <f ca="1">IFERROR(__xludf.DUMMYFUNCTION("GOOGLEFINANCE(A1240,""HIGH"")"),46)</f>
        <v>46</v>
      </c>
      <c r="E1240" s="11">
        <f ca="1">IFERROR(__xludf.DUMMYFUNCTION("GOOGLEFINANCE(A1240,""LOW"")"),44)</f>
        <v>44</v>
      </c>
      <c r="F1240" s="12" t="str">
        <f t="shared" ca="1" si="35"/>
        <v/>
      </c>
      <c r="G1240" s="13">
        <f ca="1">IFERROR(__xludf.DUMMYFUNCTION("GOOGLEFINANCE(A1240,""CLOSEYEST"")"),45.04)</f>
        <v>45.04</v>
      </c>
      <c r="H1240" s="14" t="str">
        <f t="shared" ca="1" si="41"/>
        <v>GAP DOWN</v>
      </c>
      <c r="I1240" s="15">
        <f t="shared" ca="1" si="36"/>
        <v>45.013333333333328</v>
      </c>
      <c r="J1240" s="16">
        <f t="shared" ca="1" si="37"/>
        <v>46.026666666666657</v>
      </c>
      <c r="K1240" s="16"/>
      <c r="L1240" s="16">
        <f t="shared" ca="1" si="38"/>
        <v>44.026666666666657</v>
      </c>
      <c r="M1240" s="16">
        <f t="shared" ca="1" si="39"/>
        <v>47.013333333333328</v>
      </c>
      <c r="N1240" s="16">
        <f t="shared" ca="1" si="40"/>
        <v>43.013333333333328</v>
      </c>
    </row>
    <row r="1241" spans="1:14" ht="24.75" customHeight="1" x14ac:dyDescent="0.8">
      <c r="A1241" s="18" t="s">
        <v>1204</v>
      </c>
      <c r="B1241" s="10">
        <f ca="1">IFERROR(__xludf.DUMMYFUNCTION("GOOGLEFINANCE(A1241,""PRICE"")"),71.21)</f>
        <v>71.209999999999994</v>
      </c>
      <c r="C1241" s="11">
        <f ca="1">IFERROR(__xludf.DUMMYFUNCTION("GOOGLEFINANCE(A1241,""PRICEOPEN"")"),70.06)</f>
        <v>70.06</v>
      </c>
      <c r="D1241" s="11">
        <f ca="1">IFERROR(__xludf.DUMMYFUNCTION("GOOGLEFINANCE(A1241,""HIGH"")"),72.95)</f>
        <v>72.95</v>
      </c>
      <c r="E1241" s="11">
        <f ca="1">IFERROR(__xludf.DUMMYFUNCTION("GOOGLEFINANCE(A1241,""LOW"")"),70.06)</f>
        <v>70.06</v>
      </c>
      <c r="F1241" s="12" t="str">
        <f t="shared" ca="1" si="35"/>
        <v>BUY</v>
      </c>
      <c r="G1241" s="13">
        <f ca="1">IFERROR(__xludf.DUMMYFUNCTION("GOOGLEFINANCE(A1241,""CLOSEYEST"")"),71.3)</f>
        <v>71.3</v>
      </c>
      <c r="H1241" s="14" t="str">
        <f t="shared" ca="1" si="41"/>
        <v>GAP DOWN</v>
      </c>
      <c r="I1241" s="15">
        <f t="shared" ca="1" si="36"/>
        <v>71.436666666666667</v>
      </c>
      <c r="J1241" s="16">
        <f t="shared" ca="1" si="37"/>
        <v>72.813333333333333</v>
      </c>
      <c r="K1241" s="16"/>
      <c r="L1241" s="16">
        <f t="shared" ca="1" si="38"/>
        <v>69.923333333333332</v>
      </c>
      <c r="M1241" s="16">
        <f t="shared" ca="1" si="39"/>
        <v>74.326666666666668</v>
      </c>
      <c r="N1241" s="16">
        <f t="shared" ca="1" si="40"/>
        <v>68.546666666666667</v>
      </c>
    </row>
    <row r="1242" spans="1:14" ht="24.75" customHeight="1" x14ac:dyDescent="0.8">
      <c r="A1242" s="18" t="s">
        <v>1205</v>
      </c>
      <c r="B1242" s="10">
        <f ca="1">IFERROR(__xludf.DUMMYFUNCTION("GOOGLEFINANCE(A1242,""PRICE"")"),565)</f>
        <v>565</v>
      </c>
      <c r="C1242" s="11">
        <f ca="1">IFERROR(__xludf.DUMMYFUNCTION("GOOGLEFINANCE(A1242,""PRICEOPEN"")"),545.6)</f>
        <v>545.6</v>
      </c>
      <c r="D1242" s="11">
        <f ca="1">IFERROR(__xludf.DUMMYFUNCTION("GOOGLEFINANCE(A1242,""HIGH"")"),569.1)</f>
        <v>569.1</v>
      </c>
      <c r="E1242" s="11">
        <f ca="1">IFERROR(__xludf.DUMMYFUNCTION("GOOGLEFINANCE(A1242,""LOW"")"),545.6)</f>
        <v>545.6</v>
      </c>
      <c r="F1242" s="12" t="str">
        <f t="shared" ca="1" si="35"/>
        <v>BUY</v>
      </c>
      <c r="G1242" s="13">
        <f ca="1">IFERROR(__xludf.DUMMYFUNCTION("GOOGLEFINANCE(A1242,""CLOSEYEST"")"),545.8)</f>
        <v>545.79999999999995</v>
      </c>
      <c r="H1242" s="14" t="str">
        <f t="shared" ca="1" si="41"/>
        <v/>
      </c>
      <c r="I1242" s="15">
        <f t="shared" ca="1" si="36"/>
        <v>553.5</v>
      </c>
      <c r="J1242" s="16">
        <f t="shared" ca="1" si="37"/>
        <v>561.4</v>
      </c>
      <c r="K1242" s="16"/>
      <c r="L1242" s="16">
        <f t="shared" ca="1" si="38"/>
        <v>537.9</v>
      </c>
      <c r="M1242" s="16">
        <f t="shared" ca="1" si="39"/>
        <v>577</v>
      </c>
      <c r="N1242" s="16">
        <f t="shared" ca="1" si="40"/>
        <v>530</v>
      </c>
    </row>
    <row r="1243" spans="1:14" ht="24.75" customHeight="1" x14ac:dyDescent="0.8">
      <c r="A1243" s="18" t="s">
        <v>1206</v>
      </c>
      <c r="B1243" s="10" t="str">
        <f ca="1">IFERROR(__xludf.DUMMYFUNCTION("GOOGLEFINANCE(A1243,""PRICE"")"),"#N/A")</f>
        <v>#N/A</v>
      </c>
      <c r="C1243" s="11" t="str">
        <f ca="1">IFERROR(__xludf.DUMMYFUNCTION("GOOGLEFINANCE(A1243,""PRICEOPEN"")"),"#N/A")</f>
        <v>#N/A</v>
      </c>
      <c r="D1243" s="11" t="str">
        <f ca="1">IFERROR(__xludf.DUMMYFUNCTION("GOOGLEFINANCE(A1243,""HIGH"")"),"#N/A")</f>
        <v>#N/A</v>
      </c>
      <c r="E1243" s="11" t="str">
        <f ca="1">IFERROR(__xludf.DUMMYFUNCTION("GOOGLEFINANCE(A1243,""LOW"")"),"#N/A")</f>
        <v>#N/A</v>
      </c>
      <c r="F1243" s="12" t="str">
        <f t="shared" ca="1" si="35"/>
        <v>SELL</v>
      </c>
      <c r="G1243" s="13" t="str">
        <f ca="1">IFERROR(__xludf.DUMMYFUNCTION("GOOGLEFINANCE(A1243,""CLOSEYEST"")"),"#N/A")</f>
        <v>#N/A</v>
      </c>
      <c r="H1243" s="14" t="e">
        <f t="shared" ca="1" si="41"/>
        <v>#VALUE!</v>
      </c>
      <c r="I1243" s="15" t="e">
        <f t="shared" ca="1" si="36"/>
        <v>#VALUE!</v>
      </c>
      <c r="J1243" s="16" t="e">
        <f t="shared" ca="1" si="37"/>
        <v>#VALUE!</v>
      </c>
      <c r="K1243" s="16"/>
      <c r="L1243" s="16" t="e">
        <f t="shared" ca="1" si="38"/>
        <v>#VALUE!</v>
      </c>
      <c r="M1243" s="16" t="e">
        <f t="shared" ca="1" si="39"/>
        <v>#VALUE!</v>
      </c>
      <c r="N1243" s="16" t="e">
        <f t="shared" ca="1" si="40"/>
        <v>#VALUE!</v>
      </c>
    </row>
    <row r="1244" spans="1:14" ht="24.75" customHeight="1" x14ac:dyDescent="0.8">
      <c r="A1244" s="18" t="s">
        <v>1207</v>
      </c>
      <c r="B1244" s="10">
        <f ca="1">IFERROR(__xludf.DUMMYFUNCTION("GOOGLEFINANCE(A1244,""PRICE"")"),31.7)</f>
        <v>31.7</v>
      </c>
      <c r="C1244" s="11">
        <f ca="1">IFERROR(__xludf.DUMMYFUNCTION("GOOGLEFINANCE(A1244,""PRICEOPEN"")"),31.6)</f>
        <v>31.6</v>
      </c>
      <c r="D1244" s="11">
        <f ca="1">IFERROR(__xludf.DUMMYFUNCTION("GOOGLEFINANCE(A1244,""HIGH"")"),32)</f>
        <v>32</v>
      </c>
      <c r="E1244" s="11">
        <f ca="1">IFERROR(__xludf.DUMMYFUNCTION("GOOGLEFINANCE(A1244,""LOW"")"),31.31)</f>
        <v>31.31</v>
      </c>
      <c r="F1244" s="12" t="str">
        <f t="shared" ca="1" si="35"/>
        <v/>
      </c>
      <c r="G1244" s="13">
        <f ca="1">IFERROR(__xludf.DUMMYFUNCTION("GOOGLEFINANCE(A1244,""CLOSEYEST"")"),31.69)</f>
        <v>31.69</v>
      </c>
      <c r="H1244" s="14" t="str">
        <f t="shared" ca="1" si="41"/>
        <v/>
      </c>
      <c r="I1244" s="15">
        <f t="shared" ca="1" si="36"/>
        <v>31.666666666666668</v>
      </c>
      <c r="J1244" s="16">
        <f t="shared" ca="1" si="37"/>
        <v>32.023333333333341</v>
      </c>
      <c r="K1244" s="16"/>
      <c r="L1244" s="16">
        <f t="shared" ca="1" si="38"/>
        <v>31.333333333333336</v>
      </c>
      <c r="M1244" s="16">
        <f t="shared" ca="1" si="39"/>
        <v>32.356666666666669</v>
      </c>
      <c r="N1244" s="16">
        <f t="shared" ca="1" si="40"/>
        <v>30.976666666666663</v>
      </c>
    </row>
    <row r="1245" spans="1:14" ht="24.75" customHeight="1" x14ac:dyDescent="0.8">
      <c r="A1245" s="18" t="s">
        <v>1208</v>
      </c>
      <c r="B1245" s="10">
        <f ca="1">IFERROR(__xludf.DUMMYFUNCTION("GOOGLEFINANCE(A1245,""PRICE"")"),1706.2)</f>
        <v>1706.2</v>
      </c>
      <c r="C1245" s="11">
        <f ca="1">IFERROR(__xludf.DUMMYFUNCTION("GOOGLEFINANCE(A1245,""PRICEOPEN"")"),1630)</f>
        <v>1630</v>
      </c>
      <c r="D1245" s="11">
        <f ca="1">IFERROR(__xludf.DUMMYFUNCTION("GOOGLEFINANCE(A1245,""HIGH"")"),1706.2)</f>
        <v>1706.2</v>
      </c>
      <c r="E1245" s="11">
        <f ca="1">IFERROR(__xludf.DUMMYFUNCTION("GOOGLEFINANCE(A1245,""LOW"")"),1600.9)</f>
        <v>1600.9</v>
      </c>
      <c r="F1245" s="12" t="str">
        <f t="shared" ca="1" si="35"/>
        <v/>
      </c>
      <c r="G1245" s="13">
        <f ca="1">IFERROR(__xludf.DUMMYFUNCTION("GOOGLEFINANCE(A1245,""CLOSEYEST"")"),1625)</f>
        <v>1625</v>
      </c>
      <c r="H1245" s="14" t="str">
        <f t="shared" ca="1" si="41"/>
        <v/>
      </c>
      <c r="I1245" s="15">
        <f t="shared" ca="1" si="36"/>
        <v>1644.0333333333335</v>
      </c>
      <c r="J1245" s="16">
        <f t="shared" ca="1" si="37"/>
        <v>1687.166666666667</v>
      </c>
      <c r="K1245" s="16"/>
      <c r="L1245" s="16">
        <f t="shared" ca="1" si="38"/>
        <v>1581.866666666667</v>
      </c>
      <c r="M1245" s="16">
        <f t="shared" ca="1" si="39"/>
        <v>1749.3333333333335</v>
      </c>
      <c r="N1245" s="16">
        <f t="shared" ca="1" si="40"/>
        <v>1538.7333333333336</v>
      </c>
    </row>
    <row r="1246" spans="1:14" ht="24.75" customHeight="1" x14ac:dyDescent="0.8">
      <c r="A1246" s="18" t="s">
        <v>1209</v>
      </c>
      <c r="B1246" s="10">
        <f ca="1">IFERROR(__xludf.DUMMYFUNCTION("GOOGLEFINANCE(A1246,""PRICE"")"),140.5)</f>
        <v>140.5</v>
      </c>
      <c r="C1246" s="11">
        <f ca="1">IFERROR(__xludf.DUMMYFUNCTION("GOOGLEFINANCE(A1246,""PRICEOPEN"")"),133.91)</f>
        <v>133.91</v>
      </c>
      <c r="D1246" s="11">
        <f ca="1">IFERROR(__xludf.DUMMYFUNCTION("GOOGLEFINANCE(A1246,""HIGH"")"),141.66)</f>
        <v>141.66</v>
      </c>
      <c r="E1246" s="11">
        <f ca="1">IFERROR(__xludf.DUMMYFUNCTION("GOOGLEFINANCE(A1246,""LOW"")"),133.91)</f>
        <v>133.91</v>
      </c>
      <c r="F1246" s="12" t="str">
        <f t="shared" ca="1" si="35"/>
        <v>BUY</v>
      </c>
      <c r="G1246" s="13">
        <f ca="1">IFERROR(__xludf.DUMMYFUNCTION("GOOGLEFINANCE(A1246,""CLOSEYEST"")"),135.26)</f>
        <v>135.26</v>
      </c>
      <c r="H1246" s="14" t="str">
        <f t="shared" ca="1" si="41"/>
        <v/>
      </c>
      <c r="I1246" s="15">
        <f t="shared" ca="1" si="36"/>
        <v>136.94333333333333</v>
      </c>
      <c r="J1246" s="16">
        <f t="shared" ca="1" si="37"/>
        <v>139.97666666666666</v>
      </c>
      <c r="K1246" s="16"/>
      <c r="L1246" s="16">
        <f t="shared" ca="1" si="38"/>
        <v>132.22666666666666</v>
      </c>
      <c r="M1246" s="16">
        <f t="shared" ca="1" si="39"/>
        <v>144.69333333333333</v>
      </c>
      <c r="N1246" s="16">
        <f t="shared" ca="1" si="40"/>
        <v>129.19333333333333</v>
      </c>
    </row>
    <row r="1247" spans="1:14" ht="24.75" customHeight="1" x14ac:dyDescent="0.8">
      <c r="A1247" s="18" t="s">
        <v>1210</v>
      </c>
      <c r="B1247" s="10">
        <f ca="1">IFERROR(__xludf.DUMMYFUNCTION("GOOGLEFINANCE(A1247,""PRICE"")"),176.65)</f>
        <v>176.65</v>
      </c>
      <c r="C1247" s="11">
        <f ca="1">IFERROR(__xludf.DUMMYFUNCTION("GOOGLEFINANCE(A1247,""PRICEOPEN"")"),173.83)</f>
        <v>173.83</v>
      </c>
      <c r="D1247" s="11">
        <f ca="1">IFERROR(__xludf.DUMMYFUNCTION("GOOGLEFINANCE(A1247,""HIGH"")"),176.89)</f>
        <v>176.89</v>
      </c>
      <c r="E1247" s="11">
        <f ca="1">IFERROR(__xludf.DUMMYFUNCTION("GOOGLEFINANCE(A1247,""LOW"")"),172.79)</f>
        <v>172.79</v>
      </c>
      <c r="F1247" s="12" t="str">
        <f t="shared" ca="1" si="35"/>
        <v/>
      </c>
      <c r="G1247" s="13">
        <f ca="1">IFERROR(__xludf.DUMMYFUNCTION("GOOGLEFINANCE(A1247,""CLOSEYEST"")"),173.83)</f>
        <v>173.83</v>
      </c>
      <c r="H1247" s="14" t="str">
        <f t="shared" ca="1" si="41"/>
        <v/>
      </c>
      <c r="I1247" s="15">
        <f t="shared" ca="1" si="36"/>
        <v>174.50333333333333</v>
      </c>
      <c r="J1247" s="16">
        <f t="shared" ca="1" si="37"/>
        <v>176.21666666666667</v>
      </c>
      <c r="K1247" s="16"/>
      <c r="L1247" s="16">
        <f t="shared" ca="1" si="38"/>
        <v>172.11666666666667</v>
      </c>
      <c r="M1247" s="16">
        <f t="shared" ca="1" si="39"/>
        <v>178.60333333333332</v>
      </c>
      <c r="N1247" s="16">
        <f t="shared" ca="1" si="40"/>
        <v>170.40333333333334</v>
      </c>
    </row>
    <row r="1248" spans="1:14" ht="24.75" customHeight="1" x14ac:dyDescent="0.8">
      <c r="A1248" s="18" t="s">
        <v>1211</v>
      </c>
      <c r="B1248" s="10">
        <f ca="1">IFERROR(__xludf.DUMMYFUNCTION("GOOGLEFINANCE(A1248,""PRICE"")"),1684.6)</f>
        <v>1684.6</v>
      </c>
      <c r="C1248" s="11">
        <f ca="1">IFERROR(__xludf.DUMMYFUNCTION("GOOGLEFINANCE(A1248,""PRICEOPEN"")"),1675)</f>
        <v>1675</v>
      </c>
      <c r="D1248" s="11">
        <f ca="1">IFERROR(__xludf.DUMMYFUNCTION("GOOGLEFINANCE(A1248,""HIGH"")"),1709.9)</f>
        <v>1709.9</v>
      </c>
      <c r="E1248" s="11">
        <f ca="1">IFERROR(__xludf.DUMMYFUNCTION("GOOGLEFINANCE(A1248,""LOW"")"),1666.2)</f>
        <v>1666.2</v>
      </c>
      <c r="F1248" s="12" t="str">
        <f t="shared" ca="1" si="35"/>
        <v/>
      </c>
      <c r="G1248" s="13">
        <f ca="1">IFERROR(__xludf.DUMMYFUNCTION("GOOGLEFINANCE(A1248,""CLOSEYEST"")"),1673.7)</f>
        <v>1673.7</v>
      </c>
      <c r="H1248" s="14" t="str">
        <f t="shared" ca="1" si="41"/>
        <v/>
      </c>
      <c r="I1248" s="15">
        <f t="shared" ca="1" si="36"/>
        <v>1683.2666666666667</v>
      </c>
      <c r="J1248" s="16">
        <f t="shared" ca="1" si="37"/>
        <v>1700.3333333333333</v>
      </c>
      <c r="K1248" s="16"/>
      <c r="L1248" s="16">
        <f t="shared" ca="1" si="38"/>
        <v>1656.6333333333332</v>
      </c>
      <c r="M1248" s="16">
        <f t="shared" ca="1" si="39"/>
        <v>1726.9666666666667</v>
      </c>
      <c r="N1248" s="16">
        <f t="shared" ca="1" si="40"/>
        <v>1639.5666666666666</v>
      </c>
    </row>
    <row r="1249" spans="1:14" ht="24.75" customHeight="1" x14ac:dyDescent="0.8">
      <c r="A1249" s="18" t="s">
        <v>1212</v>
      </c>
      <c r="B1249" s="10">
        <f ca="1">IFERROR(__xludf.DUMMYFUNCTION("GOOGLEFINANCE(A1249,""PRICE"")"),218.26)</f>
        <v>218.26</v>
      </c>
      <c r="C1249" s="11">
        <f ca="1">IFERROR(__xludf.DUMMYFUNCTION("GOOGLEFINANCE(A1249,""PRICEOPEN"")"),216.01)</f>
        <v>216.01</v>
      </c>
      <c r="D1249" s="11">
        <f ca="1">IFERROR(__xludf.DUMMYFUNCTION("GOOGLEFINANCE(A1249,""HIGH"")"),220.84)</f>
        <v>220.84</v>
      </c>
      <c r="E1249" s="11">
        <f ca="1">IFERROR(__xludf.DUMMYFUNCTION("GOOGLEFINANCE(A1249,""LOW"")"),215.65)</f>
        <v>215.65</v>
      </c>
      <c r="F1249" s="12" t="str">
        <f t="shared" ca="1" si="35"/>
        <v/>
      </c>
      <c r="G1249" s="13">
        <f ca="1">IFERROR(__xludf.DUMMYFUNCTION("GOOGLEFINANCE(A1249,""CLOSEYEST"")"),218.01)</f>
        <v>218.01</v>
      </c>
      <c r="H1249" s="14" t="str">
        <f t="shared" ca="1" si="41"/>
        <v/>
      </c>
      <c r="I1249" s="15">
        <f t="shared" ca="1" si="36"/>
        <v>218.16666666666666</v>
      </c>
      <c r="J1249" s="16">
        <f t="shared" ca="1" si="37"/>
        <v>220.68333333333331</v>
      </c>
      <c r="K1249" s="16"/>
      <c r="L1249" s="16">
        <f t="shared" ca="1" si="38"/>
        <v>215.49333333333331</v>
      </c>
      <c r="M1249" s="16">
        <f t="shared" ca="1" si="39"/>
        <v>223.35666666666665</v>
      </c>
      <c r="N1249" s="16">
        <f t="shared" ca="1" si="40"/>
        <v>212.97666666666666</v>
      </c>
    </row>
    <row r="1250" spans="1:14" ht="24.75" customHeight="1" x14ac:dyDescent="0.8">
      <c r="A1250" s="18" t="s">
        <v>1213</v>
      </c>
      <c r="B1250" s="10">
        <f ca="1">IFERROR(__xludf.DUMMYFUNCTION("GOOGLEFINANCE(A1250,""PRICE"")"),42.55)</f>
        <v>42.55</v>
      </c>
      <c r="C1250" s="11">
        <f ca="1">IFERROR(__xludf.DUMMYFUNCTION("GOOGLEFINANCE(A1250,""PRICEOPEN"")"),41.91)</f>
        <v>41.91</v>
      </c>
      <c r="D1250" s="11">
        <f ca="1">IFERROR(__xludf.DUMMYFUNCTION("GOOGLEFINANCE(A1250,""HIGH"")"),42.95)</f>
        <v>42.95</v>
      </c>
      <c r="E1250" s="11">
        <f ca="1">IFERROR(__xludf.DUMMYFUNCTION("GOOGLEFINANCE(A1250,""LOW"")"),41.91)</f>
        <v>41.91</v>
      </c>
      <c r="F1250" s="12" t="str">
        <f t="shared" ca="1" si="35"/>
        <v>BUY</v>
      </c>
      <c r="G1250" s="13">
        <f ca="1">IFERROR(__xludf.DUMMYFUNCTION("GOOGLEFINANCE(A1250,""CLOSEYEST"")"),41.91)</f>
        <v>41.91</v>
      </c>
      <c r="H1250" s="14" t="str">
        <f t="shared" ca="1" si="41"/>
        <v/>
      </c>
      <c r="I1250" s="15">
        <f t="shared" ca="1" si="36"/>
        <v>42.256666666666668</v>
      </c>
      <c r="J1250" s="16">
        <f t="shared" ca="1" si="37"/>
        <v>42.603333333333339</v>
      </c>
      <c r="K1250" s="16"/>
      <c r="L1250" s="16">
        <f t="shared" ca="1" si="38"/>
        <v>41.563333333333333</v>
      </c>
      <c r="M1250" s="16">
        <f t="shared" ca="1" si="39"/>
        <v>43.296666666666674</v>
      </c>
      <c r="N1250" s="16">
        <f t="shared" ca="1" si="40"/>
        <v>41.216666666666661</v>
      </c>
    </row>
    <row r="1251" spans="1:14" ht="24.75" customHeight="1" x14ac:dyDescent="0.8">
      <c r="A1251" s="18" t="s">
        <v>1214</v>
      </c>
      <c r="B1251" s="10">
        <f ca="1">IFERROR(__xludf.DUMMYFUNCTION("GOOGLEFINANCE(A1251,""PRICE"")"),11.34)</f>
        <v>11.34</v>
      </c>
      <c r="C1251" s="11">
        <f ca="1">IFERROR(__xludf.DUMMYFUNCTION("GOOGLEFINANCE(A1251,""PRICEOPEN"")"),11.34)</f>
        <v>11.34</v>
      </c>
      <c r="D1251" s="11">
        <f ca="1">IFERROR(__xludf.DUMMYFUNCTION("GOOGLEFINANCE(A1251,""HIGH"")"),11.34)</f>
        <v>11.34</v>
      </c>
      <c r="E1251" s="11">
        <f ca="1">IFERROR(__xludf.DUMMYFUNCTION("GOOGLEFINANCE(A1251,""LOW"")"),11.34)</f>
        <v>11.34</v>
      </c>
      <c r="F1251" s="12" t="str">
        <f t="shared" ca="1" si="35"/>
        <v>SELL</v>
      </c>
      <c r="G1251" s="13">
        <f ca="1">IFERROR(__xludf.DUMMYFUNCTION("GOOGLEFINANCE(A1251,""CLOSEYEST"")"),11.12)</f>
        <v>11.12</v>
      </c>
      <c r="H1251" s="14" t="str">
        <f t="shared" ca="1" si="41"/>
        <v>GAP UP</v>
      </c>
      <c r="I1251" s="15">
        <f t="shared" ca="1" si="36"/>
        <v>11.266666666666666</v>
      </c>
      <c r="J1251" s="16">
        <f t="shared" ca="1" si="37"/>
        <v>11.193333333333332</v>
      </c>
      <c r="K1251" s="16"/>
      <c r="L1251" s="16">
        <f t="shared" ca="1" si="38"/>
        <v>11.193333333333332</v>
      </c>
      <c r="M1251" s="16">
        <f t="shared" ca="1" si="39"/>
        <v>11.266666666666666</v>
      </c>
      <c r="N1251" s="16">
        <f t="shared" ca="1" si="40"/>
        <v>11.266666666666666</v>
      </c>
    </row>
    <row r="1252" spans="1:14" ht="24.75" customHeight="1" x14ac:dyDescent="0.8">
      <c r="A1252" s="18" t="s">
        <v>1215</v>
      </c>
      <c r="B1252" s="10" t="str">
        <f ca="1">IFERROR(__xludf.DUMMYFUNCTION("GOOGLEFINANCE(A1252,""PRICE"")"),"#N/A")</f>
        <v>#N/A</v>
      </c>
      <c r="C1252" s="11" t="str">
        <f ca="1">IFERROR(__xludf.DUMMYFUNCTION("GOOGLEFINANCE(A1252,""PRICEOPEN"")"),"#N/A")</f>
        <v>#N/A</v>
      </c>
      <c r="D1252" s="11" t="str">
        <f ca="1">IFERROR(__xludf.DUMMYFUNCTION("GOOGLEFINANCE(A1252,""HIGH"")"),"#N/A")</f>
        <v>#N/A</v>
      </c>
      <c r="E1252" s="11" t="str">
        <f ca="1">IFERROR(__xludf.DUMMYFUNCTION("GOOGLEFINANCE(A1252,""LOW"")"),"#N/A")</f>
        <v>#N/A</v>
      </c>
      <c r="F1252" s="12" t="str">
        <f t="shared" ca="1" si="35"/>
        <v>SELL</v>
      </c>
      <c r="G1252" s="13" t="str">
        <f ca="1">IFERROR(__xludf.DUMMYFUNCTION("GOOGLEFINANCE(A1252,""CLOSEYEST"")"),"#N/A")</f>
        <v>#N/A</v>
      </c>
      <c r="H1252" s="14" t="e">
        <f t="shared" ca="1" si="41"/>
        <v>#VALUE!</v>
      </c>
      <c r="I1252" s="15" t="e">
        <f t="shared" ca="1" si="36"/>
        <v>#VALUE!</v>
      </c>
      <c r="J1252" s="16" t="e">
        <f t="shared" ca="1" si="37"/>
        <v>#VALUE!</v>
      </c>
      <c r="K1252" s="16"/>
      <c r="L1252" s="16" t="e">
        <f t="shared" ca="1" si="38"/>
        <v>#VALUE!</v>
      </c>
      <c r="M1252" s="16" t="e">
        <f t="shared" ca="1" si="39"/>
        <v>#VALUE!</v>
      </c>
      <c r="N1252" s="16" t="e">
        <f t="shared" ca="1" si="40"/>
        <v>#VALUE!</v>
      </c>
    </row>
    <row r="1253" spans="1:14" ht="24.75" customHeight="1" x14ac:dyDescent="0.8">
      <c r="A1253" s="18" t="s">
        <v>1216</v>
      </c>
      <c r="B1253" s="10" t="str">
        <f ca="1">IFERROR(__xludf.DUMMYFUNCTION("GOOGLEFINANCE(A1253,""PRICE"")"),"#N/A")</f>
        <v>#N/A</v>
      </c>
      <c r="C1253" s="11" t="str">
        <f ca="1">IFERROR(__xludf.DUMMYFUNCTION("GOOGLEFINANCE(A1253,""PRICEOPEN"")"),"#N/A")</f>
        <v>#N/A</v>
      </c>
      <c r="D1253" s="11" t="str">
        <f ca="1">IFERROR(__xludf.DUMMYFUNCTION("GOOGLEFINANCE(A1253,""HIGH"")"),"#N/A")</f>
        <v>#N/A</v>
      </c>
      <c r="E1253" s="11" t="str">
        <f ca="1">IFERROR(__xludf.DUMMYFUNCTION("GOOGLEFINANCE(A1253,""LOW"")"),"#N/A")</f>
        <v>#N/A</v>
      </c>
      <c r="F1253" s="12" t="str">
        <f t="shared" ca="1" si="35"/>
        <v>SELL</v>
      </c>
      <c r="G1253" s="13" t="str">
        <f ca="1">IFERROR(__xludf.DUMMYFUNCTION("GOOGLEFINANCE(A1253,""CLOSEYEST"")"),"#N/A")</f>
        <v>#N/A</v>
      </c>
      <c r="H1253" s="14" t="e">
        <f t="shared" ca="1" si="41"/>
        <v>#VALUE!</v>
      </c>
      <c r="I1253" s="15" t="e">
        <f t="shared" ca="1" si="36"/>
        <v>#VALUE!</v>
      </c>
      <c r="J1253" s="16" t="e">
        <f t="shared" ca="1" si="37"/>
        <v>#VALUE!</v>
      </c>
      <c r="K1253" s="16"/>
      <c r="L1253" s="16" t="e">
        <f t="shared" ca="1" si="38"/>
        <v>#VALUE!</v>
      </c>
      <c r="M1253" s="16" t="e">
        <f t="shared" ca="1" si="39"/>
        <v>#VALUE!</v>
      </c>
      <c r="N1253" s="16" t="e">
        <f t="shared" ca="1" si="40"/>
        <v>#VALUE!</v>
      </c>
    </row>
    <row r="1254" spans="1:14" ht="24.75" customHeight="1" x14ac:dyDescent="0.8">
      <c r="A1254" s="18" t="s">
        <v>1217</v>
      </c>
      <c r="B1254" s="10">
        <f ca="1">IFERROR(__xludf.DUMMYFUNCTION("GOOGLEFINANCE(A1254,""PRICE"")"),2.03)</f>
        <v>2.0299999999999998</v>
      </c>
      <c r="C1254" s="11">
        <f ca="1">IFERROR(__xludf.DUMMYFUNCTION("GOOGLEFINANCE(A1254,""PRICEOPEN"")"),1.96)</f>
        <v>1.96</v>
      </c>
      <c r="D1254" s="11">
        <f ca="1">IFERROR(__xludf.DUMMYFUNCTION("GOOGLEFINANCE(A1254,""HIGH"")"),2.04)</f>
        <v>2.04</v>
      </c>
      <c r="E1254" s="11">
        <f ca="1">IFERROR(__xludf.DUMMYFUNCTION("GOOGLEFINANCE(A1254,""LOW"")"),1.95)</f>
        <v>1.95</v>
      </c>
      <c r="F1254" s="12" t="str">
        <f t="shared" ca="1" si="35"/>
        <v/>
      </c>
      <c r="G1254" s="13">
        <f ca="1">IFERROR(__xludf.DUMMYFUNCTION("GOOGLEFINANCE(A1254,""CLOSEYEST"")"),1.96)</f>
        <v>1.96</v>
      </c>
      <c r="H1254" s="14" t="str">
        <f t="shared" ca="1" si="41"/>
        <v/>
      </c>
      <c r="I1254" s="15">
        <f t="shared" ca="1" si="36"/>
        <v>1.9833333333333334</v>
      </c>
      <c r="J1254" s="16">
        <f t="shared" ca="1" si="37"/>
        <v>2.0166666666666666</v>
      </c>
      <c r="K1254" s="16"/>
      <c r="L1254" s="16">
        <f t="shared" ca="1" si="38"/>
        <v>1.9266666666666667</v>
      </c>
      <c r="M1254" s="16">
        <f t="shared" ca="1" si="39"/>
        <v>2.0733333333333333</v>
      </c>
      <c r="N1254" s="16">
        <f t="shared" ca="1" si="40"/>
        <v>1.8933333333333335</v>
      </c>
    </row>
    <row r="1255" spans="1:14" ht="24.75" customHeight="1" x14ac:dyDescent="0.8">
      <c r="A1255" s="18" t="s">
        <v>1218</v>
      </c>
      <c r="B1255" s="10">
        <f ca="1">IFERROR(__xludf.DUMMYFUNCTION("GOOGLEFINANCE(A1255,""PRICE"")"),94.89)</f>
        <v>94.89</v>
      </c>
      <c r="C1255" s="11">
        <f ca="1">IFERROR(__xludf.DUMMYFUNCTION("GOOGLEFINANCE(A1255,""PRICEOPEN"")"),93.02)</f>
        <v>93.02</v>
      </c>
      <c r="D1255" s="11">
        <f ca="1">IFERROR(__xludf.DUMMYFUNCTION("GOOGLEFINANCE(A1255,""HIGH"")"),95.78)</f>
        <v>95.78</v>
      </c>
      <c r="E1255" s="11">
        <f ca="1">IFERROR(__xludf.DUMMYFUNCTION("GOOGLEFINANCE(A1255,""LOW"")"),93.02)</f>
        <v>93.02</v>
      </c>
      <c r="F1255" s="12" t="str">
        <f t="shared" ca="1" si="35"/>
        <v>BUY</v>
      </c>
      <c r="G1255" s="13">
        <f ca="1">IFERROR(__xludf.DUMMYFUNCTION("GOOGLEFINANCE(A1255,""CLOSEYEST"")"),94.04)</f>
        <v>94.04</v>
      </c>
      <c r="H1255" s="14" t="str">
        <f t="shared" ca="1" si="41"/>
        <v>GAP DOWN</v>
      </c>
      <c r="I1255" s="15">
        <f t="shared" ca="1" si="36"/>
        <v>94.280000000000015</v>
      </c>
      <c r="J1255" s="16">
        <f t="shared" ca="1" si="37"/>
        <v>95.540000000000035</v>
      </c>
      <c r="K1255" s="16"/>
      <c r="L1255" s="16">
        <f t="shared" ca="1" si="38"/>
        <v>92.78000000000003</v>
      </c>
      <c r="M1255" s="16">
        <f t="shared" ca="1" si="39"/>
        <v>97.04000000000002</v>
      </c>
      <c r="N1255" s="16">
        <f t="shared" ca="1" si="40"/>
        <v>91.52000000000001</v>
      </c>
    </row>
    <row r="1256" spans="1:14" ht="24.75" customHeight="1" x14ac:dyDescent="0.8">
      <c r="A1256" s="18" t="s">
        <v>1219</v>
      </c>
      <c r="B1256" s="10">
        <f ca="1">IFERROR(__xludf.DUMMYFUNCTION("GOOGLEFINANCE(A1256,""PRICE"")"),91.49)</f>
        <v>91.49</v>
      </c>
      <c r="C1256" s="11">
        <f ca="1">IFERROR(__xludf.DUMMYFUNCTION("GOOGLEFINANCE(A1256,""PRICEOPEN"")"),91.5)</f>
        <v>91.5</v>
      </c>
      <c r="D1256" s="11">
        <f ca="1">IFERROR(__xludf.DUMMYFUNCTION("GOOGLEFINANCE(A1256,""HIGH"")"),91.5)</f>
        <v>91.5</v>
      </c>
      <c r="E1256" s="11">
        <f ca="1">IFERROR(__xludf.DUMMYFUNCTION("GOOGLEFINANCE(A1256,""LOW"")"),91.49)</f>
        <v>91.49</v>
      </c>
      <c r="F1256" s="12" t="str">
        <f t="shared" ca="1" si="35"/>
        <v>SELL</v>
      </c>
      <c r="G1256" s="13">
        <f ca="1">IFERROR(__xludf.DUMMYFUNCTION("GOOGLEFINANCE(A1256,""CLOSEYEST"")"),91.47)</f>
        <v>91.47</v>
      </c>
      <c r="H1256" s="14" t="str">
        <f t="shared" ca="1" si="41"/>
        <v/>
      </c>
      <c r="I1256" s="15">
        <f t="shared" ca="1" si="36"/>
        <v>91.486666666666679</v>
      </c>
      <c r="J1256" s="16">
        <f t="shared" ca="1" si="37"/>
        <v>91.483333333333363</v>
      </c>
      <c r="K1256" s="16"/>
      <c r="L1256" s="16">
        <f t="shared" ca="1" si="38"/>
        <v>91.473333333333358</v>
      </c>
      <c r="M1256" s="16">
        <f t="shared" ca="1" si="39"/>
        <v>91.496666666666684</v>
      </c>
      <c r="N1256" s="16">
        <f t="shared" ca="1" si="40"/>
        <v>91.476666666666674</v>
      </c>
    </row>
    <row r="1257" spans="1:14" ht="24.75" customHeight="1" x14ac:dyDescent="0.8">
      <c r="A1257" s="18" t="s">
        <v>1220</v>
      </c>
      <c r="B1257" s="10">
        <f ca="1">IFERROR(__xludf.DUMMYFUNCTION("GOOGLEFINANCE(A1257,""PRICE"")"),785.5)</f>
        <v>785.5</v>
      </c>
      <c r="C1257" s="11">
        <f ca="1">IFERROR(__xludf.DUMMYFUNCTION("GOOGLEFINANCE(A1257,""PRICEOPEN"")"),784.95)</f>
        <v>784.95</v>
      </c>
      <c r="D1257" s="11">
        <f ca="1">IFERROR(__xludf.DUMMYFUNCTION("GOOGLEFINANCE(A1257,""HIGH"")"),789.9)</f>
        <v>789.9</v>
      </c>
      <c r="E1257" s="11">
        <f ca="1">IFERROR(__xludf.DUMMYFUNCTION("GOOGLEFINANCE(A1257,""LOW"")"),777.25)</f>
        <v>777.25</v>
      </c>
      <c r="F1257" s="12" t="str">
        <f t="shared" ca="1" si="35"/>
        <v/>
      </c>
      <c r="G1257" s="13">
        <f ca="1">IFERROR(__xludf.DUMMYFUNCTION("GOOGLEFINANCE(A1257,""CLOSEYEST"")"),776.55)</f>
        <v>776.55</v>
      </c>
      <c r="H1257" s="14" t="str">
        <f t="shared" ca="1" si="41"/>
        <v>GAP UP</v>
      </c>
      <c r="I1257" s="15">
        <f t="shared" ca="1" si="36"/>
        <v>781.23333333333323</v>
      </c>
      <c r="J1257" s="16">
        <f t="shared" ca="1" si="37"/>
        <v>785.21666666666647</v>
      </c>
      <c r="K1257" s="16"/>
      <c r="L1257" s="16">
        <f t="shared" ca="1" si="38"/>
        <v>772.56666666666649</v>
      </c>
      <c r="M1257" s="16">
        <f t="shared" ca="1" si="39"/>
        <v>793.88333333333321</v>
      </c>
      <c r="N1257" s="16">
        <f t="shared" ca="1" si="40"/>
        <v>768.58333333333326</v>
      </c>
    </row>
    <row r="1258" spans="1:14" ht="24.75" customHeight="1" x14ac:dyDescent="0.8">
      <c r="A1258" s="18" t="s">
        <v>1221</v>
      </c>
      <c r="B1258" s="10">
        <f ca="1">IFERROR(__xludf.DUMMYFUNCTION("GOOGLEFINANCE(A1258,""PRICE"")"),36.7)</f>
        <v>36.700000000000003</v>
      </c>
      <c r="C1258" s="11">
        <f ca="1">IFERROR(__xludf.DUMMYFUNCTION("GOOGLEFINANCE(A1258,""PRICEOPEN"")"),36.47)</f>
        <v>36.47</v>
      </c>
      <c r="D1258" s="11">
        <f ca="1">IFERROR(__xludf.DUMMYFUNCTION("GOOGLEFINANCE(A1258,""HIGH"")"),36.9)</f>
        <v>36.9</v>
      </c>
      <c r="E1258" s="11">
        <f ca="1">IFERROR(__xludf.DUMMYFUNCTION("GOOGLEFINANCE(A1258,""LOW"")"),36.44)</f>
        <v>36.44</v>
      </c>
      <c r="F1258" s="12" t="str">
        <f t="shared" ca="1" si="35"/>
        <v/>
      </c>
      <c r="G1258" s="13">
        <f ca="1">IFERROR(__xludf.DUMMYFUNCTION("GOOGLEFINANCE(A1258,""CLOSEYEST"")"),36.41)</f>
        <v>36.409999999999997</v>
      </c>
      <c r="H1258" s="14" t="str">
        <f t="shared" ca="1" si="41"/>
        <v/>
      </c>
      <c r="I1258" s="15">
        <f t="shared" ca="1" si="36"/>
        <v>36.583333333333336</v>
      </c>
      <c r="J1258" s="16">
        <f t="shared" ca="1" si="37"/>
        <v>36.726666666666674</v>
      </c>
      <c r="K1258" s="16"/>
      <c r="L1258" s="16">
        <f t="shared" ca="1" si="38"/>
        <v>36.266666666666673</v>
      </c>
      <c r="M1258" s="16">
        <f t="shared" ca="1" si="39"/>
        <v>37.043333333333337</v>
      </c>
      <c r="N1258" s="16">
        <f t="shared" ca="1" si="40"/>
        <v>36.123333333333335</v>
      </c>
    </row>
    <row r="1259" spans="1:14" ht="24.75" customHeight="1" x14ac:dyDescent="0.8">
      <c r="A1259" s="18" t="s">
        <v>1222</v>
      </c>
      <c r="B1259" s="10">
        <f ca="1">IFERROR(__xludf.DUMMYFUNCTION("GOOGLEFINANCE(A1259,""PRICE"")"),777.5)</f>
        <v>777.5</v>
      </c>
      <c r="C1259" s="11">
        <f ca="1">IFERROR(__xludf.DUMMYFUNCTION("GOOGLEFINANCE(A1259,""PRICEOPEN"")"),775)</f>
        <v>775</v>
      </c>
      <c r="D1259" s="11">
        <f ca="1">IFERROR(__xludf.DUMMYFUNCTION("GOOGLEFINANCE(A1259,""HIGH"")"),786.9)</f>
        <v>786.9</v>
      </c>
      <c r="E1259" s="11">
        <f ca="1">IFERROR(__xludf.DUMMYFUNCTION("GOOGLEFINANCE(A1259,""LOW"")"),766)</f>
        <v>766</v>
      </c>
      <c r="F1259" s="12" t="str">
        <f t="shared" ca="1" si="35"/>
        <v/>
      </c>
      <c r="G1259" s="13">
        <f ca="1">IFERROR(__xludf.DUMMYFUNCTION("GOOGLEFINANCE(A1259,""CLOSEYEST"")"),772.45)</f>
        <v>772.45</v>
      </c>
      <c r="H1259" s="14" t="str">
        <f t="shared" ca="1" si="41"/>
        <v/>
      </c>
      <c r="I1259" s="15">
        <f t="shared" ca="1" si="36"/>
        <v>775.11666666666679</v>
      </c>
      <c r="J1259" s="16">
        <f t="shared" ca="1" si="37"/>
        <v>784.23333333333358</v>
      </c>
      <c r="K1259" s="16"/>
      <c r="L1259" s="16">
        <f t="shared" ca="1" si="38"/>
        <v>763.3333333333336</v>
      </c>
      <c r="M1259" s="16">
        <f t="shared" ca="1" si="39"/>
        <v>796.01666666666677</v>
      </c>
      <c r="N1259" s="16">
        <f t="shared" ca="1" si="40"/>
        <v>754.21666666666681</v>
      </c>
    </row>
    <row r="1260" spans="1:14" ht="24.75" customHeight="1" x14ac:dyDescent="0.8">
      <c r="A1260" s="18" t="s">
        <v>1223</v>
      </c>
      <c r="B1260" s="10">
        <f ca="1">IFERROR(__xludf.DUMMYFUNCTION("GOOGLEFINANCE(A1260,""PRICE"")"),390.1)</f>
        <v>390.1</v>
      </c>
      <c r="C1260" s="11">
        <f ca="1">IFERROR(__xludf.DUMMYFUNCTION("GOOGLEFINANCE(A1260,""PRICEOPEN"")"),384.4)</f>
        <v>384.4</v>
      </c>
      <c r="D1260" s="11">
        <f ca="1">IFERROR(__xludf.DUMMYFUNCTION("GOOGLEFINANCE(A1260,""HIGH"")"),397.8)</f>
        <v>397.8</v>
      </c>
      <c r="E1260" s="11">
        <f ca="1">IFERROR(__xludf.DUMMYFUNCTION("GOOGLEFINANCE(A1260,""LOW"")"),384.4)</f>
        <v>384.4</v>
      </c>
      <c r="F1260" s="12" t="str">
        <f t="shared" ca="1" si="35"/>
        <v>BUY</v>
      </c>
      <c r="G1260" s="13">
        <f ca="1">IFERROR(__xludf.DUMMYFUNCTION("GOOGLEFINANCE(A1260,""CLOSEYEST"")"),388.3)</f>
        <v>388.3</v>
      </c>
      <c r="H1260" s="14" t="str">
        <f t="shared" ca="1" si="41"/>
        <v>GAP DOWN</v>
      </c>
      <c r="I1260" s="15">
        <f t="shared" ca="1" si="36"/>
        <v>390.16666666666669</v>
      </c>
      <c r="J1260" s="16">
        <f t="shared" ca="1" si="37"/>
        <v>395.93333333333339</v>
      </c>
      <c r="K1260" s="16"/>
      <c r="L1260" s="16">
        <f t="shared" ca="1" si="38"/>
        <v>382.53333333333336</v>
      </c>
      <c r="M1260" s="16">
        <f t="shared" ca="1" si="39"/>
        <v>403.56666666666672</v>
      </c>
      <c r="N1260" s="16">
        <f t="shared" ca="1" si="40"/>
        <v>376.76666666666665</v>
      </c>
    </row>
    <row r="1261" spans="1:14" ht="24.75" customHeight="1" x14ac:dyDescent="0.8">
      <c r="A1261" s="18" t="s">
        <v>1224</v>
      </c>
      <c r="B1261" s="10">
        <f ca="1">IFERROR(__xludf.DUMMYFUNCTION("GOOGLEFINANCE(A1261,""PRICE"")"),457)</f>
        <v>457</v>
      </c>
      <c r="C1261" s="11">
        <f ca="1">IFERROR(__xludf.DUMMYFUNCTION("GOOGLEFINANCE(A1261,""PRICEOPEN"")"),454.75)</f>
        <v>454.75</v>
      </c>
      <c r="D1261" s="11">
        <f ca="1">IFERROR(__xludf.DUMMYFUNCTION("GOOGLEFINANCE(A1261,""HIGH"")"),457.15)</f>
        <v>457.15</v>
      </c>
      <c r="E1261" s="11">
        <f ca="1">IFERROR(__xludf.DUMMYFUNCTION("GOOGLEFINANCE(A1261,""LOW"")"),453)</f>
        <v>453</v>
      </c>
      <c r="F1261" s="12" t="str">
        <f t="shared" ca="1" si="35"/>
        <v/>
      </c>
      <c r="G1261" s="13">
        <f ca="1">IFERROR(__xludf.DUMMYFUNCTION("GOOGLEFINANCE(A1261,""CLOSEYEST"")"),449.7)</f>
        <v>449.7</v>
      </c>
      <c r="H1261" s="14" t="str">
        <f t="shared" ca="1" si="41"/>
        <v>GAP UP</v>
      </c>
      <c r="I1261" s="15">
        <f t="shared" ca="1" si="36"/>
        <v>453.2833333333333</v>
      </c>
      <c r="J1261" s="16">
        <f t="shared" ca="1" si="37"/>
        <v>453.56666666666661</v>
      </c>
      <c r="K1261" s="16"/>
      <c r="L1261" s="16">
        <f t="shared" ca="1" si="38"/>
        <v>449.41666666666663</v>
      </c>
      <c r="M1261" s="16">
        <f t="shared" ca="1" si="39"/>
        <v>457.43333333333328</v>
      </c>
      <c r="N1261" s="16">
        <f t="shared" ca="1" si="40"/>
        <v>449.13333333333333</v>
      </c>
    </row>
    <row r="1262" spans="1:14" ht="24.75" customHeight="1" x14ac:dyDescent="0.8">
      <c r="A1262" s="18" t="s">
        <v>1225</v>
      </c>
      <c r="B1262" s="10">
        <f ca="1">IFERROR(__xludf.DUMMYFUNCTION("GOOGLEFINANCE(A1262,""PRICE"")"),344.3)</f>
        <v>344.3</v>
      </c>
      <c r="C1262" s="11">
        <f ca="1">IFERROR(__xludf.DUMMYFUNCTION("GOOGLEFINANCE(A1262,""PRICEOPEN"")"),342.45)</f>
        <v>342.45</v>
      </c>
      <c r="D1262" s="11">
        <f ca="1">IFERROR(__xludf.DUMMYFUNCTION("GOOGLEFINANCE(A1262,""HIGH"")"),351.35)</f>
        <v>351.35</v>
      </c>
      <c r="E1262" s="11">
        <f ca="1">IFERROR(__xludf.DUMMYFUNCTION("GOOGLEFINANCE(A1262,""LOW"")"),338.45)</f>
        <v>338.45</v>
      </c>
      <c r="F1262" s="12" t="str">
        <f t="shared" ca="1" si="35"/>
        <v/>
      </c>
      <c r="G1262" s="13">
        <f ca="1">IFERROR(__xludf.DUMMYFUNCTION("GOOGLEFINANCE(A1262,""CLOSEYEST"")"),344.15)</f>
        <v>344.15</v>
      </c>
      <c r="H1262" s="14" t="str">
        <f t="shared" ca="1" si="41"/>
        <v/>
      </c>
      <c r="I1262" s="15">
        <f t="shared" ca="1" si="36"/>
        <v>344.64999999999992</v>
      </c>
      <c r="J1262" s="16">
        <f t="shared" ca="1" si="37"/>
        <v>350.84999999999985</v>
      </c>
      <c r="K1262" s="16"/>
      <c r="L1262" s="16">
        <f t="shared" ca="1" si="38"/>
        <v>337.94999999999982</v>
      </c>
      <c r="M1262" s="16">
        <f t="shared" ca="1" si="39"/>
        <v>357.54999999999995</v>
      </c>
      <c r="N1262" s="16">
        <f t="shared" ca="1" si="40"/>
        <v>331.74999999999989</v>
      </c>
    </row>
    <row r="1263" spans="1:14" ht="24.75" customHeight="1" x14ac:dyDescent="0.8">
      <c r="A1263" s="18" t="s">
        <v>1226</v>
      </c>
      <c r="B1263" s="10">
        <f ca="1">IFERROR(__xludf.DUMMYFUNCTION("GOOGLEFINANCE(A1263,""PRICE"")"),7.02)</f>
        <v>7.02</v>
      </c>
      <c r="C1263" s="11">
        <f ca="1">IFERROR(__xludf.DUMMYFUNCTION("GOOGLEFINANCE(A1263,""PRICEOPEN"")"),7.04)</f>
        <v>7.04</v>
      </c>
      <c r="D1263" s="11">
        <f ca="1">IFERROR(__xludf.DUMMYFUNCTION("GOOGLEFINANCE(A1263,""HIGH"")"),7.12)</f>
        <v>7.12</v>
      </c>
      <c r="E1263" s="11">
        <f ca="1">IFERROR(__xludf.DUMMYFUNCTION("GOOGLEFINANCE(A1263,""LOW"")"),6.95)</f>
        <v>6.95</v>
      </c>
      <c r="F1263" s="12" t="str">
        <f t="shared" ca="1" si="35"/>
        <v/>
      </c>
      <c r="G1263" s="13">
        <f ca="1">IFERROR(__xludf.DUMMYFUNCTION("GOOGLEFINANCE(A1263,""CLOSEYEST"")"),7)</f>
        <v>7</v>
      </c>
      <c r="H1263" s="14" t="str">
        <f t="shared" ca="1" si="41"/>
        <v/>
      </c>
      <c r="I1263" s="15">
        <f t="shared" ca="1" si="36"/>
        <v>7.0233333333333334</v>
      </c>
      <c r="J1263" s="16">
        <f t="shared" ca="1" si="37"/>
        <v>7.0966666666666667</v>
      </c>
      <c r="K1263" s="16"/>
      <c r="L1263" s="16">
        <f t="shared" ca="1" si="38"/>
        <v>6.9266666666666667</v>
      </c>
      <c r="M1263" s="16">
        <f t="shared" ca="1" si="39"/>
        <v>7.1933333333333334</v>
      </c>
      <c r="N1263" s="16">
        <f t="shared" ca="1" si="40"/>
        <v>6.8533333333333335</v>
      </c>
    </row>
    <row r="1264" spans="1:14" ht="24.75" customHeight="1" x14ac:dyDescent="0.8">
      <c r="A1264" s="18" t="s">
        <v>1227</v>
      </c>
      <c r="B1264" s="10">
        <f ca="1">IFERROR(__xludf.DUMMYFUNCTION("GOOGLEFINANCE(A1264,""PRICE"")"),25.32)</f>
        <v>25.32</v>
      </c>
      <c r="C1264" s="11">
        <f ca="1">IFERROR(__xludf.DUMMYFUNCTION("GOOGLEFINANCE(A1264,""PRICEOPEN"")"),25.2)</f>
        <v>25.2</v>
      </c>
      <c r="D1264" s="11">
        <f ca="1">IFERROR(__xludf.DUMMYFUNCTION("GOOGLEFINANCE(A1264,""HIGH"")"),25.66)</f>
        <v>25.66</v>
      </c>
      <c r="E1264" s="11">
        <f ca="1">IFERROR(__xludf.DUMMYFUNCTION("GOOGLEFINANCE(A1264,""LOW"")"),25.02)</f>
        <v>25.02</v>
      </c>
      <c r="F1264" s="12" t="str">
        <f t="shared" ca="1" si="35"/>
        <v/>
      </c>
      <c r="G1264" s="13">
        <f ca="1">IFERROR(__xludf.DUMMYFUNCTION("GOOGLEFINANCE(A1264,""CLOSEYEST"")"),25.15)</f>
        <v>25.15</v>
      </c>
      <c r="H1264" s="14" t="str">
        <f t="shared" ca="1" si="41"/>
        <v/>
      </c>
      <c r="I1264" s="15">
        <f t="shared" ca="1" si="36"/>
        <v>25.276666666666667</v>
      </c>
      <c r="J1264" s="16">
        <f t="shared" ca="1" si="37"/>
        <v>25.533333333333335</v>
      </c>
      <c r="K1264" s="16"/>
      <c r="L1264" s="16">
        <f t="shared" ca="1" si="38"/>
        <v>24.893333333333334</v>
      </c>
      <c r="M1264" s="16">
        <f t="shared" ca="1" si="39"/>
        <v>25.916666666666668</v>
      </c>
      <c r="N1264" s="16">
        <f t="shared" ca="1" si="40"/>
        <v>24.636666666666667</v>
      </c>
    </row>
    <row r="1265" spans="1:14" ht="24.75" customHeight="1" x14ac:dyDescent="0.8">
      <c r="A1265" s="18" t="s">
        <v>1228</v>
      </c>
      <c r="B1265" s="10">
        <f ca="1">IFERROR(__xludf.DUMMYFUNCTION("GOOGLEFINANCE(A1265,""PRICE"")"),268.3)</f>
        <v>268.3</v>
      </c>
      <c r="C1265" s="11">
        <f ca="1">IFERROR(__xludf.DUMMYFUNCTION("GOOGLEFINANCE(A1265,""PRICEOPEN"")"),267.15)</f>
        <v>267.14999999999998</v>
      </c>
      <c r="D1265" s="11">
        <f ca="1">IFERROR(__xludf.DUMMYFUNCTION("GOOGLEFINANCE(A1265,""HIGH"")"),272.4)</f>
        <v>272.39999999999998</v>
      </c>
      <c r="E1265" s="11">
        <f ca="1">IFERROR(__xludf.DUMMYFUNCTION("GOOGLEFINANCE(A1265,""LOW"")"),267.15)</f>
        <v>267.14999999999998</v>
      </c>
      <c r="F1265" s="12" t="str">
        <f t="shared" ca="1" si="35"/>
        <v>BUY</v>
      </c>
      <c r="G1265" s="13">
        <f ca="1">IFERROR(__xludf.DUMMYFUNCTION("GOOGLEFINANCE(A1265,""CLOSEYEST"")"),267.15)</f>
        <v>267.14999999999998</v>
      </c>
      <c r="H1265" s="14" t="str">
        <f t="shared" ca="1" si="41"/>
        <v/>
      </c>
      <c r="I1265" s="15">
        <f t="shared" ca="1" si="36"/>
        <v>268.89999999999998</v>
      </c>
      <c r="J1265" s="16">
        <f t="shared" ca="1" si="37"/>
        <v>270.64999999999998</v>
      </c>
      <c r="K1265" s="16"/>
      <c r="L1265" s="16">
        <f t="shared" ca="1" si="38"/>
        <v>265.39999999999998</v>
      </c>
      <c r="M1265" s="16">
        <f t="shared" ca="1" si="39"/>
        <v>274.14999999999998</v>
      </c>
      <c r="N1265" s="16">
        <f t="shared" ca="1" si="40"/>
        <v>263.64999999999998</v>
      </c>
    </row>
    <row r="1266" spans="1:14" ht="24.75" customHeight="1" x14ac:dyDescent="0.8">
      <c r="A1266" s="18" t="s">
        <v>1229</v>
      </c>
      <c r="B1266" s="10">
        <f ca="1">IFERROR(__xludf.DUMMYFUNCTION("GOOGLEFINANCE(A1266,""PRICE"")"),536)</f>
        <v>536</v>
      </c>
      <c r="C1266" s="11">
        <f ca="1">IFERROR(__xludf.DUMMYFUNCTION("GOOGLEFINANCE(A1266,""PRICEOPEN"")"),503.55)</f>
        <v>503.55</v>
      </c>
      <c r="D1266" s="11">
        <f ca="1">IFERROR(__xludf.DUMMYFUNCTION("GOOGLEFINANCE(A1266,""HIGH"")"),584)</f>
        <v>584</v>
      </c>
      <c r="E1266" s="11">
        <f ca="1">IFERROR(__xludf.DUMMYFUNCTION("GOOGLEFINANCE(A1266,""LOW"")"),503.55)</f>
        <v>503.55</v>
      </c>
      <c r="F1266" s="12" t="str">
        <f t="shared" ca="1" si="35"/>
        <v>BUY</v>
      </c>
      <c r="G1266" s="13">
        <f ca="1">IFERROR(__xludf.DUMMYFUNCTION("GOOGLEFINANCE(A1266,""CLOSEYEST"")"),513.15)</f>
        <v>513.15</v>
      </c>
      <c r="H1266" s="14" t="str">
        <f t="shared" ca="1" si="41"/>
        <v>GAP DOWN</v>
      </c>
      <c r="I1266" s="15">
        <f t="shared" ca="1" si="36"/>
        <v>533.56666666666661</v>
      </c>
      <c r="J1266" s="16">
        <f t="shared" ca="1" si="37"/>
        <v>563.58333333333326</v>
      </c>
      <c r="K1266" s="16"/>
      <c r="L1266" s="16">
        <f t="shared" ca="1" si="38"/>
        <v>483.13333333333321</v>
      </c>
      <c r="M1266" s="16">
        <f t="shared" ca="1" si="39"/>
        <v>614.01666666666665</v>
      </c>
      <c r="N1266" s="16">
        <f t="shared" ca="1" si="40"/>
        <v>453.11666666666656</v>
      </c>
    </row>
    <row r="1267" spans="1:14" ht="24.75" customHeight="1" x14ac:dyDescent="0.8">
      <c r="A1267" s="18" t="s">
        <v>1230</v>
      </c>
      <c r="B1267" s="10">
        <f ca="1">IFERROR(__xludf.DUMMYFUNCTION("GOOGLEFINANCE(A1267,""PRICE"")"),43.29)</f>
        <v>43.29</v>
      </c>
      <c r="C1267" s="11">
        <f ca="1">IFERROR(__xludf.DUMMYFUNCTION("GOOGLEFINANCE(A1267,""PRICEOPEN"")"),42.58)</f>
        <v>42.58</v>
      </c>
      <c r="D1267" s="11">
        <f ca="1">IFERROR(__xludf.DUMMYFUNCTION("GOOGLEFINANCE(A1267,""HIGH"")"),43.4)</f>
        <v>43.4</v>
      </c>
      <c r="E1267" s="11">
        <f ca="1">IFERROR(__xludf.DUMMYFUNCTION("GOOGLEFINANCE(A1267,""LOW"")"),42.32)</f>
        <v>42.32</v>
      </c>
      <c r="F1267" s="12" t="str">
        <f t="shared" ca="1" si="35"/>
        <v/>
      </c>
      <c r="G1267" s="13">
        <f ca="1">IFERROR(__xludf.DUMMYFUNCTION("GOOGLEFINANCE(A1267,""CLOSEYEST"")"),42.58)</f>
        <v>42.58</v>
      </c>
      <c r="H1267" s="14" t="str">
        <f t="shared" ca="1" si="41"/>
        <v/>
      </c>
      <c r="I1267" s="15">
        <f t="shared" ca="1" si="36"/>
        <v>42.766666666666673</v>
      </c>
      <c r="J1267" s="16">
        <f t="shared" ca="1" si="37"/>
        <v>43.213333333333345</v>
      </c>
      <c r="K1267" s="16"/>
      <c r="L1267" s="16">
        <f t="shared" ca="1" si="38"/>
        <v>42.133333333333347</v>
      </c>
      <c r="M1267" s="16">
        <f t="shared" ca="1" si="39"/>
        <v>43.846666666666671</v>
      </c>
      <c r="N1267" s="16">
        <f t="shared" ca="1" si="40"/>
        <v>41.686666666666675</v>
      </c>
    </row>
    <row r="1268" spans="1:14" ht="24.75" customHeight="1" x14ac:dyDescent="0.8">
      <c r="A1268" s="18" t="s">
        <v>1231</v>
      </c>
      <c r="B1268" s="10">
        <f ca="1">IFERROR(__xludf.DUMMYFUNCTION("GOOGLEFINANCE(A1268,""PRICE"")"),191)</f>
        <v>191</v>
      </c>
      <c r="C1268" s="11">
        <f ca="1">IFERROR(__xludf.DUMMYFUNCTION("GOOGLEFINANCE(A1268,""PRICEOPEN"")"),190)</f>
        <v>190</v>
      </c>
      <c r="D1268" s="11">
        <f ca="1">IFERROR(__xludf.DUMMYFUNCTION("GOOGLEFINANCE(A1268,""HIGH"")"),196.9)</f>
        <v>196.9</v>
      </c>
      <c r="E1268" s="11">
        <f ca="1">IFERROR(__xludf.DUMMYFUNCTION("GOOGLEFINANCE(A1268,""LOW"")"),188)</f>
        <v>188</v>
      </c>
      <c r="F1268" s="12" t="str">
        <f t="shared" ca="1" si="35"/>
        <v/>
      </c>
      <c r="G1268" s="13">
        <f ca="1">IFERROR(__xludf.DUMMYFUNCTION("GOOGLEFINANCE(A1268,""CLOSEYEST"")"),189.46)</f>
        <v>189.46</v>
      </c>
      <c r="H1268" s="14" t="str">
        <f t="shared" ca="1" si="41"/>
        <v/>
      </c>
      <c r="I1268" s="15">
        <f t="shared" ca="1" si="36"/>
        <v>191.45333333333335</v>
      </c>
      <c r="J1268" s="16">
        <f t="shared" ca="1" si="37"/>
        <v>194.90666666666669</v>
      </c>
      <c r="K1268" s="16"/>
      <c r="L1268" s="16">
        <f t="shared" ca="1" si="38"/>
        <v>186.00666666666669</v>
      </c>
      <c r="M1268" s="16">
        <f t="shared" ca="1" si="39"/>
        <v>200.35333333333335</v>
      </c>
      <c r="N1268" s="16">
        <f t="shared" ca="1" si="40"/>
        <v>182.55333333333334</v>
      </c>
    </row>
    <row r="1269" spans="1:14" ht="24.75" customHeight="1" x14ac:dyDescent="0.8">
      <c r="A1269" s="18" t="s">
        <v>1232</v>
      </c>
      <c r="B1269" s="10">
        <f ca="1">IFERROR(__xludf.DUMMYFUNCTION("GOOGLEFINANCE(A1269,""PRICE"")"),242.81)</f>
        <v>242.81</v>
      </c>
      <c r="C1269" s="11">
        <f ca="1">IFERROR(__xludf.DUMMYFUNCTION("GOOGLEFINANCE(A1269,""PRICEOPEN"")"),243.64)</f>
        <v>243.64</v>
      </c>
      <c r="D1269" s="11">
        <f ca="1">IFERROR(__xludf.DUMMYFUNCTION("GOOGLEFINANCE(A1269,""HIGH"")"),244.5)</f>
        <v>244.5</v>
      </c>
      <c r="E1269" s="11">
        <f ca="1">IFERROR(__xludf.DUMMYFUNCTION("GOOGLEFINANCE(A1269,""LOW"")"),240.48)</f>
        <v>240.48</v>
      </c>
      <c r="F1269" s="12" t="str">
        <f t="shared" ca="1" si="35"/>
        <v/>
      </c>
      <c r="G1269" s="13">
        <f ca="1">IFERROR(__xludf.DUMMYFUNCTION("GOOGLEFINANCE(A1269,""CLOSEYEST"")"),243.64)</f>
        <v>243.64</v>
      </c>
      <c r="H1269" s="14" t="str">
        <f t="shared" ca="1" si="41"/>
        <v/>
      </c>
      <c r="I1269" s="15">
        <f t="shared" ca="1" si="36"/>
        <v>242.87333333333333</v>
      </c>
      <c r="J1269" s="16">
        <f t="shared" ca="1" si="37"/>
        <v>245.26666666666668</v>
      </c>
      <c r="K1269" s="16"/>
      <c r="L1269" s="16">
        <f t="shared" ca="1" si="38"/>
        <v>241.24666666666667</v>
      </c>
      <c r="M1269" s="16">
        <f t="shared" ca="1" si="39"/>
        <v>246.89333333333335</v>
      </c>
      <c r="N1269" s="16">
        <f t="shared" ca="1" si="40"/>
        <v>238.85333333333332</v>
      </c>
    </row>
    <row r="1270" spans="1:14" ht="24.75" customHeight="1" x14ac:dyDescent="0.8">
      <c r="A1270" s="18" t="s">
        <v>1233</v>
      </c>
      <c r="B1270" s="10">
        <f ca="1">IFERROR(__xludf.DUMMYFUNCTION("GOOGLEFINANCE(A1270,""PRICE"")"),13.77)</f>
        <v>13.77</v>
      </c>
      <c r="C1270" s="11">
        <f ca="1">IFERROR(__xludf.DUMMYFUNCTION("GOOGLEFINANCE(A1270,""PRICEOPEN"")"),13.66)</f>
        <v>13.66</v>
      </c>
      <c r="D1270" s="11">
        <f ca="1">IFERROR(__xludf.DUMMYFUNCTION("GOOGLEFINANCE(A1270,""HIGH"")"),13.89)</f>
        <v>13.89</v>
      </c>
      <c r="E1270" s="11">
        <f ca="1">IFERROR(__xludf.DUMMYFUNCTION("GOOGLEFINANCE(A1270,""LOW"")"),13.6)</f>
        <v>13.6</v>
      </c>
      <c r="F1270" s="12" t="str">
        <f t="shared" ca="1" si="35"/>
        <v/>
      </c>
      <c r="G1270" s="13">
        <f ca="1">IFERROR(__xludf.DUMMYFUNCTION("GOOGLEFINANCE(A1270,""CLOSEYEST"")"),13.66)</f>
        <v>13.66</v>
      </c>
      <c r="H1270" s="14" t="str">
        <f t="shared" ca="1" si="41"/>
        <v/>
      </c>
      <c r="I1270" s="15">
        <f t="shared" ca="1" si="36"/>
        <v>13.716666666666669</v>
      </c>
      <c r="J1270" s="16">
        <f t="shared" ca="1" si="37"/>
        <v>13.833333333333337</v>
      </c>
      <c r="K1270" s="16"/>
      <c r="L1270" s="16">
        <f t="shared" ca="1" si="38"/>
        <v>13.543333333333337</v>
      </c>
      <c r="M1270" s="16">
        <f t="shared" ca="1" si="39"/>
        <v>14.006666666666669</v>
      </c>
      <c r="N1270" s="16">
        <f t="shared" ca="1" si="40"/>
        <v>13.426666666666668</v>
      </c>
    </row>
    <row r="1271" spans="1:14" ht="24.75" customHeight="1" x14ac:dyDescent="0.8">
      <c r="A1271" s="18" t="s">
        <v>1234</v>
      </c>
      <c r="B1271" s="10" t="str">
        <f ca="1">IFERROR(__xludf.DUMMYFUNCTION("GOOGLEFINANCE(A1271,""PRICE"")"),"#N/A")</f>
        <v>#N/A</v>
      </c>
      <c r="C1271" s="11" t="str">
        <f ca="1">IFERROR(__xludf.DUMMYFUNCTION("GOOGLEFINANCE(A1271,""PRICEOPEN"")"),"#N/A")</f>
        <v>#N/A</v>
      </c>
      <c r="D1271" s="11" t="str">
        <f ca="1">IFERROR(__xludf.DUMMYFUNCTION("GOOGLEFINANCE(A1271,""HIGH"")"),"#N/A")</f>
        <v>#N/A</v>
      </c>
      <c r="E1271" s="11" t="str">
        <f ca="1">IFERROR(__xludf.DUMMYFUNCTION("GOOGLEFINANCE(A1271,""LOW"")"),"#N/A")</f>
        <v>#N/A</v>
      </c>
      <c r="F1271" s="12" t="str">
        <f t="shared" ca="1" si="35"/>
        <v>SELL</v>
      </c>
      <c r="G1271" s="13" t="str">
        <f ca="1">IFERROR(__xludf.DUMMYFUNCTION("GOOGLEFINANCE(A1271,""CLOSEYEST"")"),"#N/A")</f>
        <v>#N/A</v>
      </c>
      <c r="H1271" s="14" t="e">
        <f t="shared" ca="1" si="41"/>
        <v>#VALUE!</v>
      </c>
      <c r="I1271" s="15" t="e">
        <f t="shared" ca="1" si="36"/>
        <v>#VALUE!</v>
      </c>
      <c r="J1271" s="16" t="e">
        <f t="shared" ca="1" si="37"/>
        <v>#VALUE!</v>
      </c>
      <c r="K1271" s="16"/>
      <c r="L1271" s="16" t="e">
        <f t="shared" ca="1" si="38"/>
        <v>#VALUE!</v>
      </c>
      <c r="M1271" s="16" t="e">
        <f t="shared" ca="1" si="39"/>
        <v>#VALUE!</v>
      </c>
      <c r="N1271" s="16" t="e">
        <f t="shared" ca="1" si="40"/>
        <v>#VALUE!</v>
      </c>
    </row>
    <row r="1272" spans="1:14" ht="24.75" customHeight="1" x14ac:dyDescent="0.8">
      <c r="A1272" s="18" t="s">
        <v>1235</v>
      </c>
      <c r="B1272" s="10" t="str">
        <f ca="1">IFERROR(__xludf.DUMMYFUNCTION("GOOGLEFINANCE(A1272,""PRICE"")"),"#N/A")</f>
        <v>#N/A</v>
      </c>
      <c r="C1272" s="11" t="str">
        <f ca="1">IFERROR(__xludf.DUMMYFUNCTION("GOOGLEFINANCE(A1272,""PRICEOPEN"")"),"#N/A")</f>
        <v>#N/A</v>
      </c>
      <c r="D1272" s="11" t="str">
        <f ca="1">IFERROR(__xludf.DUMMYFUNCTION("GOOGLEFINANCE(A1272,""HIGH"")"),"#N/A")</f>
        <v>#N/A</v>
      </c>
      <c r="E1272" s="11" t="str">
        <f ca="1">IFERROR(__xludf.DUMMYFUNCTION("GOOGLEFINANCE(A1272,""LOW"")"),"#N/A")</f>
        <v>#N/A</v>
      </c>
      <c r="F1272" s="12" t="str">
        <f t="shared" ca="1" si="35"/>
        <v>SELL</v>
      </c>
      <c r="G1272" s="13" t="str">
        <f ca="1">IFERROR(__xludf.DUMMYFUNCTION("GOOGLEFINANCE(A1272,""CLOSEYEST"")"),"#N/A")</f>
        <v>#N/A</v>
      </c>
      <c r="H1272" s="14" t="e">
        <f t="shared" ca="1" si="41"/>
        <v>#VALUE!</v>
      </c>
      <c r="I1272" s="15" t="e">
        <f t="shared" ca="1" si="36"/>
        <v>#VALUE!</v>
      </c>
      <c r="J1272" s="16" t="e">
        <f t="shared" ca="1" si="37"/>
        <v>#VALUE!</v>
      </c>
      <c r="K1272" s="16"/>
      <c r="L1272" s="16" t="e">
        <f t="shared" ca="1" si="38"/>
        <v>#VALUE!</v>
      </c>
      <c r="M1272" s="16" t="e">
        <f t="shared" ca="1" si="39"/>
        <v>#VALUE!</v>
      </c>
      <c r="N1272" s="16" t="e">
        <f t="shared" ca="1" si="40"/>
        <v>#VALUE!</v>
      </c>
    </row>
    <row r="1273" spans="1:14" ht="24.75" customHeight="1" x14ac:dyDescent="0.8">
      <c r="A1273" s="18" t="s">
        <v>1236</v>
      </c>
      <c r="B1273" s="10">
        <f ca="1">IFERROR(__xludf.DUMMYFUNCTION("GOOGLEFINANCE(A1273,""PRICE"")"),281.35)</f>
        <v>281.35000000000002</v>
      </c>
      <c r="C1273" s="11">
        <f ca="1">IFERROR(__xludf.DUMMYFUNCTION("GOOGLEFINANCE(A1273,""PRICEOPEN"")"),278.8)</f>
        <v>278.8</v>
      </c>
      <c r="D1273" s="11">
        <f ca="1">IFERROR(__xludf.DUMMYFUNCTION("GOOGLEFINANCE(A1273,""HIGH"")"),285.35)</f>
        <v>285.35000000000002</v>
      </c>
      <c r="E1273" s="11">
        <f ca="1">IFERROR(__xludf.DUMMYFUNCTION("GOOGLEFINANCE(A1273,""LOW"")"),277)</f>
        <v>277</v>
      </c>
      <c r="F1273" s="12" t="str">
        <f t="shared" ca="1" si="35"/>
        <v/>
      </c>
      <c r="G1273" s="13">
        <f ca="1">IFERROR(__xludf.DUMMYFUNCTION("GOOGLEFINANCE(A1273,""CLOSEYEST"")"),276.55)</f>
        <v>276.55</v>
      </c>
      <c r="H1273" s="14" t="str">
        <f t="shared" ca="1" si="41"/>
        <v/>
      </c>
      <c r="I1273" s="15">
        <f t="shared" ca="1" si="36"/>
        <v>279.63333333333338</v>
      </c>
      <c r="J1273" s="16">
        <f t="shared" ca="1" si="37"/>
        <v>282.26666666666677</v>
      </c>
      <c r="K1273" s="16"/>
      <c r="L1273" s="16">
        <f t="shared" ca="1" si="38"/>
        <v>273.91666666666674</v>
      </c>
      <c r="M1273" s="16">
        <f t="shared" ca="1" si="39"/>
        <v>287.98333333333341</v>
      </c>
      <c r="N1273" s="16">
        <f t="shared" ca="1" si="40"/>
        <v>271.28333333333336</v>
      </c>
    </row>
    <row r="1274" spans="1:14" ht="24.75" customHeight="1" x14ac:dyDescent="0.8">
      <c r="A1274" s="18" t="s">
        <v>1237</v>
      </c>
      <c r="B1274" s="10">
        <f ca="1">IFERROR(__xludf.DUMMYFUNCTION("GOOGLEFINANCE(A1274,""PRICE"")"),0.05)</f>
        <v>0.05</v>
      </c>
      <c r="C1274" s="11">
        <f ca="1">IFERROR(__xludf.DUMMYFUNCTION("GOOGLEFINANCE(A1274,""PRICEOPEN"")"),0.05)</f>
        <v>0.05</v>
      </c>
      <c r="D1274" s="11">
        <f ca="1">IFERROR(__xludf.DUMMYFUNCTION("GOOGLEFINANCE(A1274,""HIGH"")"),0.05)</f>
        <v>0.05</v>
      </c>
      <c r="E1274" s="11">
        <f ca="1">IFERROR(__xludf.DUMMYFUNCTION("GOOGLEFINANCE(A1274,""LOW"")"),0.05)</f>
        <v>0.05</v>
      </c>
      <c r="F1274" s="12" t="str">
        <f t="shared" ca="1" si="35"/>
        <v>SELL</v>
      </c>
      <c r="G1274" s="13">
        <f ca="1">IFERROR(__xludf.DUMMYFUNCTION("GOOGLEFINANCE(A1274,""CLOSEYEST"")"),0.05)</f>
        <v>0.05</v>
      </c>
      <c r="H1274" s="14" t="str">
        <f t="shared" ca="1" si="41"/>
        <v/>
      </c>
      <c r="I1274" s="15">
        <f t="shared" ca="1" si="36"/>
        <v>5.000000000000001E-2</v>
      </c>
      <c r="J1274" s="16">
        <f t="shared" ca="1" si="37"/>
        <v>5.0000000000000017E-2</v>
      </c>
      <c r="K1274" s="16"/>
      <c r="L1274" s="16">
        <f t="shared" ca="1" si="38"/>
        <v>5.0000000000000017E-2</v>
      </c>
      <c r="M1274" s="16">
        <f t="shared" ca="1" si="39"/>
        <v>5.000000000000001E-2</v>
      </c>
      <c r="N1274" s="16">
        <f t="shared" ca="1" si="40"/>
        <v>5.000000000000001E-2</v>
      </c>
    </row>
    <row r="1275" spans="1:14" ht="24.75" customHeight="1" x14ac:dyDescent="0.8">
      <c r="A1275" s="18" t="s">
        <v>1238</v>
      </c>
      <c r="B1275" s="10" t="str">
        <f ca="1">IFERROR(__xludf.DUMMYFUNCTION("GOOGLEFINANCE(A1275,""PRICE"")"),"#N/A")</f>
        <v>#N/A</v>
      </c>
      <c r="C1275" s="11" t="str">
        <f ca="1">IFERROR(__xludf.DUMMYFUNCTION("GOOGLEFINANCE(A1275,""PRICEOPEN"")"),"#N/A")</f>
        <v>#N/A</v>
      </c>
      <c r="D1275" s="11" t="str">
        <f ca="1">IFERROR(__xludf.DUMMYFUNCTION("GOOGLEFINANCE(A1275,""HIGH"")"),"#N/A")</f>
        <v>#N/A</v>
      </c>
      <c r="E1275" s="11" t="str">
        <f ca="1">IFERROR(__xludf.DUMMYFUNCTION("GOOGLEFINANCE(A1275,""LOW"")"),"#N/A")</f>
        <v>#N/A</v>
      </c>
      <c r="F1275" s="12" t="str">
        <f t="shared" ca="1" si="35"/>
        <v>SELL</v>
      </c>
      <c r="G1275" s="13" t="str">
        <f ca="1">IFERROR(__xludf.DUMMYFUNCTION("GOOGLEFINANCE(A1275,""CLOSEYEST"")"),"#N/A")</f>
        <v>#N/A</v>
      </c>
      <c r="H1275" s="14" t="e">
        <f t="shared" ca="1" si="41"/>
        <v>#VALUE!</v>
      </c>
      <c r="I1275" s="15" t="e">
        <f t="shared" ca="1" si="36"/>
        <v>#VALUE!</v>
      </c>
      <c r="J1275" s="16" t="e">
        <f t="shared" ca="1" si="37"/>
        <v>#VALUE!</v>
      </c>
      <c r="K1275" s="16"/>
      <c r="L1275" s="16" t="e">
        <f t="shared" ca="1" si="38"/>
        <v>#VALUE!</v>
      </c>
      <c r="M1275" s="16" t="e">
        <f t="shared" ca="1" si="39"/>
        <v>#VALUE!</v>
      </c>
      <c r="N1275" s="16" t="e">
        <f t="shared" ca="1" si="40"/>
        <v>#VALUE!</v>
      </c>
    </row>
    <row r="1276" spans="1:14" ht="24.75" customHeight="1" x14ac:dyDescent="0.8">
      <c r="A1276" s="18" t="s">
        <v>1239</v>
      </c>
      <c r="B1276" s="10">
        <f ca="1">IFERROR(__xludf.DUMMYFUNCTION("GOOGLEFINANCE(A1276,""PRICE"")"),1655)</f>
        <v>1655</v>
      </c>
      <c r="C1276" s="11">
        <f ca="1">IFERROR(__xludf.DUMMYFUNCTION("GOOGLEFINANCE(A1276,""PRICEOPEN"")"),1698.8)</f>
        <v>1698.8</v>
      </c>
      <c r="D1276" s="11">
        <f ca="1">IFERROR(__xludf.DUMMYFUNCTION("GOOGLEFINANCE(A1276,""HIGH"")"),1698.8)</f>
        <v>1698.8</v>
      </c>
      <c r="E1276" s="11">
        <f ca="1">IFERROR(__xludf.DUMMYFUNCTION("GOOGLEFINANCE(A1276,""LOW"")"),1651)</f>
        <v>1651</v>
      </c>
      <c r="F1276" s="12" t="str">
        <f t="shared" ca="1" si="35"/>
        <v>SELL</v>
      </c>
      <c r="G1276" s="13">
        <f ca="1">IFERROR(__xludf.DUMMYFUNCTION("GOOGLEFINANCE(A1276,""CLOSEYEST"")"),1656.4)</f>
        <v>1656.4</v>
      </c>
      <c r="H1276" s="14" t="str">
        <f t="shared" ca="1" si="41"/>
        <v>GAP UP</v>
      </c>
      <c r="I1276" s="15">
        <f t="shared" ca="1" si="36"/>
        <v>1668.7333333333336</v>
      </c>
      <c r="J1276" s="16">
        <f t="shared" ca="1" si="37"/>
        <v>1686.4666666666672</v>
      </c>
      <c r="K1276" s="16"/>
      <c r="L1276" s="16">
        <f t="shared" ca="1" si="38"/>
        <v>1638.6666666666672</v>
      </c>
      <c r="M1276" s="16">
        <f t="shared" ca="1" si="39"/>
        <v>1716.5333333333335</v>
      </c>
      <c r="N1276" s="16">
        <f t="shared" ca="1" si="40"/>
        <v>1620.9333333333336</v>
      </c>
    </row>
    <row r="1277" spans="1:14" ht="24.75" customHeight="1" x14ac:dyDescent="0.8">
      <c r="A1277" s="18" t="s">
        <v>1240</v>
      </c>
      <c r="B1277" s="10">
        <f ca="1">IFERROR(__xludf.DUMMYFUNCTION("GOOGLEFINANCE(A1277,""PRICE"")"),94.05)</f>
        <v>94.05</v>
      </c>
      <c r="C1277" s="11">
        <f ca="1">IFERROR(__xludf.DUMMYFUNCTION("GOOGLEFINANCE(A1277,""PRICEOPEN"")"),93.7)</f>
        <v>93.7</v>
      </c>
      <c r="D1277" s="11">
        <f ca="1">IFERROR(__xludf.DUMMYFUNCTION("GOOGLEFINANCE(A1277,""HIGH"")"),95.6)</f>
        <v>95.6</v>
      </c>
      <c r="E1277" s="11">
        <f ca="1">IFERROR(__xludf.DUMMYFUNCTION("GOOGLEFINANCE(A1277,""LOW"")"),93.11)</f>
        <v>93.11</v>
      </c>
      <c r="F1277" s="12" t="str">
        <f t="shared" ca="1" si="35"/>
        <v/>
      </c>
      <c r="G1277" s="13">
        <f ca="1">IFERROR(__xludf.DUMMYFUNCTION("GOOGLEFINANCE(A1277,""CLOSEYEST"")"),93.5)</f>
        <v>93.5</v>
      </c>
      <c r="H1277" s="14" t="str">
        <f t="shared" ca="1" si="41"/>
        <v/>
      </c>
      <c r="I1277" s="15">
        <f t="shared" ca="1" si="36"/>
        <v>94.07</v>
      </c>
      <c r="J1277" s="16">
        <f t="shared" ca="1" si="37"/>
        <v>95.029999999999987</v>
      </c>
      <c r="K1277" s="16"/>
      <c r="L1277" s="16">
        <f t="shared" ca="1" si="38"/>
        <v>92.539999999999992</v>
      </c>
      <c r="M1277" s="16">
        <f t="shared" ca="1" si="39"/>
        <v>96.559999999999988</v>
      </c>
      <c r="N1277" s="16">
        <f t="shared" ca="1" si="40"/>
        <v>91.58</v>
      </c>
    </row>
    <row r="1278" spans="1:14" ht="24.75" customHeight="1" x14ac:dyDescent="0.8">
      <c r="A1278" s="18" t="s">
        <v>1241</v>
      </c>
      <c r="B1278" s="10" t="str">
        <f ca="1">IFERROR(__xludf.DUMMYFUNCTION("GOOGLEFINANCE(A1278,""PRICE"")"),"#N/A")</f>
        <v>#N/A</v>
      </c>
      <c r="C1278" s="11" t="str">
        <f ca="1">IFERROR(__xludf.DUMMYFUNCTION("GOOGLEFINANCE(A1278,""PRICEOPEN"")"),"#N/A")</f>
        <v>#N/A</v>
      </c>
      <c r="D1278" s="11" t="str">
        <f ca="1">IFERROR(__xludf.DUMMYFUNCTION("GOOGLEFINANCE(A1278,""HIGH"")"),"#N/A")</f>
        <v>#N/A</v>
      </c>
      <c r="E1278" s="11" t="str">
        <f ca="1">IFERROR(__xludf.DUMMYFUNCTION("GOOGLEFINANCE(A1278,""LOW"")"),"#N/A")</f>
        <v>#N/A</v>
      </c>
      <c r="F1278" s="12" t="str">
        <f t="shared" ca="1" si="35"/>
        <v>SELL</v>
      </c>
      <c r="G1278" s="13" t="str">
        <f ca="1">IFERROR(__xludf.DUMMYFUNCTION("GOOGLEFINANCE(A1278,""CLOSEYEST"")"),"#N/A")</f>
        <v>#N/A</v>
      </c>
      <c r="H1278" s="14" t="e">
        <f t="shared" ca="1" si="41"/>
        <v>#VALUE!</v>
      </c>
      <c r="I1278" s="15" t="e">
        <f t="shared" ca="1" si="36"/>
        <v>#VALUE!</v>
      </c>
      <c r="J1278" s="16" t="e">
        <f t="shared" ca="1" si="37"/>
        <v>#VALUE!</v>
      </c>
      <c r="K1278" s="16"/>
      <c r="L1278" s="16" t="e">
        <f t="shared" ca="1" si="38"/>
        <v>#VALUE!</v>
      </c>
      <c r="M1278" s="16" t="e">
        <f t="shared" ca="1" si="39"/>
        <v>#VALUE!</v>
      </c>
      <c r="N1278" s="16" t="e">
        <f t="shared" ca="1" si="40"/>
        <v>#VALUE!</v>
      </c>
    </row>
    <row r="1279" spans="1:14" ht="24.75" customHeight="1" x14ac:dyDescent="0.8">
      <c r="A1279" s="18" t="s">
        <v>1242</v>
      </c>
      <c r="B1279" s="10">
        <f ca="1">IFERROR(__xludf.DUMMYFUNCTION("GOOGLEFINANCE(A1279,""PRICE"")"),59.89)</f>
        <v>59.89</v>
      </c>
      <c r="C1279" s="11">
        <f ca="1">IFERROR(__xludf.DUMMYFUNCTION("GOOGLEFINANCE(A1279,""PRICEOPEN"")"),59.65)</f>
        <v>59.65</v>
      </c>
      <c r="D1279" s="11">
        <f ca="1">IFERROR(__xludf.DUMMYFUNCTION("GOOGLEFINANCE(A1279,""HIGH"")"),60.28)</f>
        <v>60.28</v>
      </c>
      <c r="E1279" s="11">
        <f ca="1">IFERROR(__xludf.DUMMYFUNCTION("GOOGLEFINANCE(A1279,""LOW"")"),58.8)</f>
        <v>58.8</v>
      </c>
      <c r="F1279" s="12" t="str">
        <f t="shared" ca="1" si="35"/>
        <v/>
      </c>
      <c r="G1279" s="13">
        <f ca="1">IFERROR(__xludf.DUMMYFUNCTION("GOOGLEFINANCE(A1279,""CLOSEYEST"")"),59.05)</f>
        <v>59.05</v>
      </c>
      <c r="H1279" s="14" t="str">
        <f t="shared" ca="1" si="41"/>
        <v>GAP UP</v>
      </c>
      <c r="I1279" s="15">
        <f t="shared" ca="1" si="36"/>
        <v>59.376666666666665</v>
      </c>
      <c r="J1279" s="16">
        <f t="shared" ca="1" si="37"/>
        <v>59.953333333333333</v>
      </c>
      <c r="K1279" s="16"/>
      <c r="L1279" s="16">
        <f t="shared" ca="1" si="38"/>
        <v>58.473333333333329</v>
      </c>
      <c r="M1279" s="16">
        <f t="shared" ca="1" si="39"/>
        <v>60.856666666666669</v>
      </c>
      <c r="N1279" s="16">
        <f t="shared" ca="1" si="40"/>
        <v>57.896666666666661</v>
      </c>
    </row>
    <row r="1280" spans="1:14" ht="24.75" customHeight="1" x14ac:dyDescent="0.8">
      <c r="A1280" s="18" t="s">
        <v>1243</v>
      </c>
      <c r="B1280" s="10">
        <f ca="1">IFERROR(__xludf.DUMMYFUNCTION("GOOGLEFINANCE(A1280,""PRICE"")"),150)</f>
        <v>150</v>
      </c>
      <c r="C1280" s="11">
        <f ca="1">IFERROR(__xludf.DUMMYFUNCTION("GOOGLEFINANCE(A1280,""PRICEOPEN"")"),152)</f>
        <v>152</v>
      </c>
      <c r="D1280" s="11">
        <f ca="1">IFERROR(__xludf.DUMMYFUNCTION("GOOGLEFINANCE(A1280,""HIGH"")"),153.39)</f>
        <v>153.38999999999999</v>
      </c>
      <c r="E1280" s="11">
        <f ca="1">IFERROR(__xludf.DUMMYFUNCTION("GOOGLEFINANCE(A1280,""LOW"")"),148.01)</f>
        <v>148.01</v>
      </c>
      <c r="F1280" s="12" t="str">
        <f t="shared" ca="1" si="35"/>
        <v/>
      </c>
      <c r="G1280" s="13">
        <f ca="1">IFERROR(__xludf.DUMMYFUNCTION("GOOGLEFINANCE(A1280,""CLOSEYEST"")"),153.24)</f>
        <v>153.24</v>
      </c>
      <c r="H1280" s="14" t="str">
        <f t="shared" ca="1" si="41"/>
        <v/>
      </c>
      <c r="I1280" s="15">
        <f t="shared" ca="1" si="36"/>
        <v>151.54666666666665</v>
      </c>
      <c r="J1280" s="16">
        <f t="shared" ca="1" si="37"/>
        <v>155.08333333333331</v>
      </c>
      <c r="K1280" s="16"/>
      <c r="L1280" s="16">
        <f t="shared" ca="1" si="38"/>
        <v>149.70333333333332</v>
      </c>
      <c r="M1280" s="16">
        <f t="shared" ca="1" si="39"/>
        <v>156.92666666666665</v>
      </c>
      <c r="N1280" s="16">
        <f t="shared" ca="1" si="40"/>
        <v>146.16666666666666</v>
      </c>
    </row>
    <row r="1281" spans="1:14" ht="24.75" customHeight="1" x14ac:dyDescent="0.8">
      <c r="A1281" s="18" t="s">
        <v>1244</v>
      </c>
      <c r="B1281" s="10">
        <f ca="1">IFERROR(__xludf.DUMMYFUNCTION("GOOGLEFINANCE(A1281,""PRICE"")"),627.1)</f>
        <v>627.1</v>
      </c>
      <c r="C1281" s="11">
        <f ca="1">IFERROR(__xludf.DUMMYFUNCTION("GOOGLEFINANCE(A1281,""PRICEOPEN"")"),624.45)</f>
        <v>624.45000000000005</v>
      </c>
      <c r="D1281" s="11">
        <f ca="1">IFERROR(__xludf.DUMMYFUNCTION("GOOGLEFINANCE(A1281,""HIGH"")"),644.9)</f>
        <v>644.9</v>
      </c>
      <c r="E1281" s="11">
        <f ca="1">IFERROR(__xludf.DUMMYFUNCTION("GOOGLEFINANCE(A1281,""LOW"")"),611.15)</f>
        <v>611.15</v>
      </c>
      <c r="F1281" s="12" t="str">
        <f t="shared" ca="1" si="35"/>
        <v/>
      </c>
      <c r="G1281" s="13">
        <f ca="1">IFERROR(__xludf.DUMMYFUNCTION("GOOGLEFINANCE(A1281,""CLOSEYEST"")"),618.3)</f>
        <v>618.29999999999995</v>
      </c>
      <c r="H1281" s="14" t="str">
        <f t="shared" ca="1" si="41"/>
        <v/>
      </c>
      <c r="I1281" s="15">
        <f t="shared" ca="1" si="36"/>
        <v>624.7833333333333</v>
      </c>
      <c r="J1281" s="16">
        <f t="shared" ca="1" si="37"/>
        <v>638.41666666666663</v>
      </c>
      <c r="K1281" s="16"/>
      <c r="L1281" s="16">
        <f t="shared" ca="1" si="38"/>
        <v>604.66666666666663</v>
      </c>
      <c r="M1281" s="16">
        <f t="shared" ca="1" si="39"/>
        <v>658.5333333333333</v>
      </c>
      <c r="N1281" s="16">
        <f t="shared" ca="1" si="40"/>
        <v>591.0333333333333</v>
      </c>
    </row>
    <row r="1282" spans="1:14" ht="24.75" customHeight="1" x14ac:dyDescent="0.8">
      <c r="A1282" s="18" t="s">
        <v>1245</v>
      </c>
      <c r="B1282" s="10">
        <f ca="1">IFERROR(__xludf.DUMMYFUNCTION("GOOGLEFINANCE(A1282,""PRICE"")"),2.5)</f>
        <v>2.5</v>
      </c>
      <c r="C1282" s="11">
        <f ca="1">IFERROR(__xludf.DUMMYFUNCTION("GOOGLEFINANCE(A1282,""PRICEOPEN"")"),2.47)</f>
        <v>2.4700000000000002</v>
      </c>
      <c r="D1282" s="11">
        <f ca="1">IFERROR(__xludf.DUMMYFUNCTION("GOOGLEFINANCE(A1282,""HIGH"")"),2.51)</f>
        <v>2.5099999999999998</v>
      </c>
      <c r="E1282" s="11">
        <f ca="1">IFERROR(__xludf.DUMMYFUNCTION("GOOGLEFINANCE(A1282,""LOW"")"),2.47)</f>
        <v>2.4700000000000002</v>
      </c>
      <c r="F1282" s="12" t="str">
        <f t="shared" ca="1" si="35"/>
        <v>BUY</v>
      </c>
      <c r="G1282" s="13">
        <f ca="1">IFERROR(__xludf.DUMMYFUNCTION("GOOGLEFINANCE(A1282,""CLOSEYEST"")"),2.47)</f>
        <v>2.4700000000000002</v>
      </c>
      <c r="H1282" s="14" t="str">
        <f t="shared" ca="1" si="41"/>
        <v/>
      </c>
      <c r="I1282" s="15">
        <f t="shared" ca="1" si="36"/>
        <v>2.4833333333333338</v>
      </c>
      <c r="J1282" s="16">
        <f t="shared" ca="1" si="37"/>
        <v>2.4966666666666675</v>
      </c>
      <c r="K1282" s="16"/>
      <c r="L1282" s="16">
        <f t="shared" ca="1" si="38"/>
        <v>2.4566666666666679</v>
      </c>
      <c r="M1282" s="16">
        <f t="shared" ca="1" si="39"/>
        <v>2.5233333333333334</v>
      </c>
      <c r="N1282" s="16">
        <f t="shared" ca="1" si="40"/>
        <v>2.4433333333333342</v>
      </c>
    </row>
    <row r="1283" spans="1:14" ht="24.75" customHeight="1" x14ac:dyDescent="0.8">
      <c r="A1283" s="18" t="s">
        <v>1246</v>
      </c>
      <c r="B1283" s="10">
        <f ca="1">IFERROR(__xludf.DUMMYFUNCTION("GOOGLEFINANCE(A1283,""PRICE"")"),636)</f>
        <v>636</v>
      </c>
      <c r="C1283" s="11">
        <f ca="1">IFERROR(__xludf.DUMMYFUNCTION("GOOGLEFINANCE(A1283,""PRICEOPEN"")"),623)</f>
        <v>623</v>
      </c>
      <c r="D1283" s="11">
        <f ca="1">IFERROR(__xludf.DUMMYFUNCTION("GOOGLEFINANCE(A1283,""HIGH"")"),680)</f>
        <v>680</v>
      </c>
      <c r="E1283" s="11">
        <f ca="1">IFERROR(__xludf.DUMMYFUNCTION("GOOGLEFINANCE(A1283,""LOW"")"),621.4)</f>
        <v>621.4</v>
      </c>
      <c r="F1283" s="12" t="str">
        <f t="shared" ca="1" si="35"/>
        <v/>
      </c>
      <c r="G1283" s="13">
        <f ca="1">IFERROR(__xludf.DUMMYFUNCTION("GOOGLEFINANCE(A1283,""CLOSEYEST"")"),626.2)</f>
        <v>626.20000000000005</v>
      </c>
      <c r="H1283" s="14" t="str">
        <f t="shared" ca="1" si="41"/>
        <v/>
      </c>
      <c r="I1283" s="15">
        <f t="shared" ca="1" si="36"/>
        <v>642.53333333333342</v>
      </c>
      <c r="J1283" s="16">
        <f t="shared" ca="1" si="37"/>
        <v>663.66666666666686</v>
      </c>
      <c r="K1283" s="16"/>
      <c r="L1283" s="16">
        <f t="shared" ca="1" si="38"/>
        <v>605.06666666666683</v>
      </c>
      <c r="M1283" s="16">
        <f t="shared" ca="1" si="39"/>
        <v>701.13333333333344</v>
      </c>
      <c r="N1283" s="16">
        <f t="shared" ca="1" si="40"/>
        <v>583.93333333333339</v>
      </c>
    </row>
    <row r="1284" spans="1:14" ht="24.75" customHeight="1" x14ac:dyDescent="0.8">
      <c r="A1284" s="18" t="s">
        <v>1247</v>
      </c>
      <c r="B1284" s="10">
        <f ca="1">IFERROR(__xludf.DUMMYFUNCTION("GOOGLEFINANCE(A1284,""PRICE"")"),275.2)</f>
        <v>275.2</v>
      </c>
      <c r="C1284" s="11">
        <f ca="1">IFERROR(__xludf.DUMMYFUNCTION("GOOGLEFINANCE(A1284,""PRICEOPEN"")"),271.4)</f>
        <v>271.39999999999998</v>
      </c>
      <c r="D1284" s="11">
        <f ca="1">IFERROR(__xludf.DUMMYFUNCTION("GOOGLEFINANCE(A1284,""HIGH"")"),280)</f>
        <v>280</v>
      </c>
      <c r="E1284" s="11">
        <f ca="1">IFERROR(__xludf.DUMMYFUNCTION("GOOGLEFINANCE(A1284,""LOW"")"),267.8)</f>
        <v>267.8</v>
      </c>
      <c r="F1284" s="12" t="str">
        <f t="shared" ca="1" si="35"/>
        <v/>
      </c>
      <c r="G1284" s="13">
        <f ca="1">IFERROR(__xludf.DUMMYFUNCTION("GOOGLEFINANCE(A1284,""CLOSEYEST"")"),269.95)</f>
        <v>269.95</v>
      </c>
      <c r="H1284" s="14" t="str">
        <f t="shared" ca="1" si="41"/>
        <v/>
      </c>
      <c r="I1284" s="15">
        <f t="shared" ca="1" si="36"/>
        <v>272.58333333333331</v>
      </c>
      <c r="J1284" s="16">
        <f t="shared" ca="1" si="37"/>
        <v>277.36666666666662</v>
      </c>
      <c r="K1284" s="16"/>
      <c r="L1284" s="16">
        <f t="shared" ca="1" si="38"/>
        <v>265.16666666666663</v>
      </c>
      <c r="M1284" s="16">
        <f t="shared" ca="1" si="39"/>
        <v>284.7833333333333</v>
      </c>
      <c r="N1284" s="16">
        <f t="shared" ca="1" si="40"/>
        <v>260.38333333333333</v>
      </c>
    </row>
    <row r="1285" spans="1:14" ht="24.75" customHeight="1" x14ac:dyDescent="0.8">
      <c r="A1285" s="18" t="s">
        <v>1248</v>
      </c>
      <c r="B1285" s="10">
        <f ca="1">IFERROR(__xludf.DUMMYFUNCTION("GOOGLEFINANCE(A1285,""PRICE"")"),277)</f>
        <v>277</v>
      </c>
      <c r="C1285" s="11">
        <f ca="1">IFERROR(__xludf.DUMMYFUNCTION("GOOGLEFINANCE(A1285,""PRICEOPEN"")"),270.75)</f>
        <v>270.75</v>
      </c>
      <c r="D1285" s="11">
        <f ca="1">IFERROR(__xludf.DUMMYFUNCTION("GOOGLEFINANCE(A1285,""HIGH"")"),277.35)</f>
        <v>277.35000000000002</v>
      </c>
      <c r="E1285" s="11">
        <f ca="1">IFERROR(__xludf.DUMMYFUNCTION("GOOGLEFINANCE(A1285,""LOW"")"),267.65)</f>
        <v>267.64999999999998</v>
      </c>
      <c r="F1285" s="12" t="str">
        <f t="shared" ca="1" si="35"/>
        <v/>
      </c>
      <c r="G1285" s="13">
        <f ca="1">IFERROR(__xludf.DUMMYFUNCTION("GOOGLEFINANCE(A1285,""CLOSEYEST"")"),270.7)</f>
        <v>270.7</v>
      </c>
      <c r="H1285" s="14" t="str">
        <f t="shared" ca="1" si="41"/>
        <v/>
      </c>
      <c r="I1285" s="15">
        <f t="shared" ca="1" si="36"/>
        <v>271.90000000000003</v>
      </c>
      <c r="J1285" s="16">
        <f t="shared" ca="1" si="37"/>
        <v>276.15000000000009</v>
      </c>
      <c r="K1285" s="16"/>
      <c r="L1285" s="16">
        <f t="shared" ca="1" si="38"/>
        <v>266.45000000000005</v>
      </c>
      <c r="M1285" s="16">
        <f t="shared" ca="1" si="39"/>
        <v>281.60000000000008</v>
      </c>
      <c r="N1285" s="16">
        <f t="shared" ca="1" si="40"/>
        <v>262.2</v>
      </c>
    </row>
    <row r="1286" spans="1:14" ht="24.75" customHeight="1" x14ac:dyDescent="0.8">
      <c r="A1286" s="18" t="s">
        <v>1249</v>
      </c>
      <c r="B1286" s="10">
        <f ca="1">IFERROR(__xludf.DUMMYFUNCTION("GOOGLEFINANCE(A1286,""PRICE"")"),10.37)</f>
        <v>10.37</v>
      </c>
      <c r="C1286" s="11">
        <f ca="1">IFERROR(__xludf.DUMMYFUNCTION("GOOGLEFINANCE(A1286,""PRICEOPEN"")"),10.14)</f>
        <v>10.14</v>
      </c>
      <c r="D1286" s="11">
        <f ca="1">IFERROR(__xludf.DUMMYFUNCTION("GOOGLEFINANCE(A1286,""HIGH"")"),10.4)</f>
        <v>10.4</v>
      </c>
      <c r="E1286" s="11">
        <f ca="1">IFERROR(__xludf.DUMMYFUNCTION("GOOGLEFINANCE(A1286,""LOW"")"),10.09)</f>
        <v>10.09</v>
      </c>
      <c r="F1286" s="12" t="str">
        <f t="shared" ca="1" si="35"/>
        <v/>
      </c>
      <c r="G1286" s="13">
        <f ca="1">IFERROR(__xludf.DUMMYFUNCTION("GOOGLEFINANCE(A1286,""CLOSEYEST"")"),10.11)</f>
        <v>10.11</v>
      </c>
      <c r="H1286" s="14" t="str">
        <f t="shared" ca="1" si="41"/>
        <v/>
      </c>
      <c r="I1286" s="15">
        <f t="shared" ca="1" si="36"/>
        <v>10.200000000000001</v>
      </c>
      <c r="J1286" s="16">
        <f t="shared" ca="1" si="37"/>
        <v>10.310000000000002</v>
      </c>
      <c r="K1286" s="16"/>
      <c r="L1286" s="16">
        <f t="shared" ca="1" si="38"/>
        <v>10.000000000000002</v>
      </c>
      <c r="M1286" s="16">
        <f t="shared" ca="1" si="39"/>
        <v>10.510000000000002</v>
      </c>
      <c r="N1286" s="16">
        <f t="shared" ca="1" si="40"/>
        <v>9.89</v>
      </c>
    </row>
    <row r="1287" spans="1:14" ht="24.75" customHeight="1" x14ac:dyDescent="0.8">
      <c r="A1287" s="18" t="s">
        <v>1250</v>
      </c>
      <c r="B1287" s="10">
        <f ca="1">IFERROR(__xludf.DUMMYFUNCTION("GOOGLEFINANCE(A1287,""PRICE"")"),17.98)</f>
        <v>17.98</v>
      </c>
      <c r="C1287" s="11">
        <f ca="1">IFERROR(__xludf.DUMMYFUNCTION("GOOGLEFINANCE(A1287,""PRICEOPEN"")"),17.24)</f>
        <v>17.239999999999998</v>
      </c>
      <c r="D1287" s="11">
        <f ca="1">IFERROR(__xludf.DUMMYFUNCTION("GOOGLEFINANCE(A1287,""HIGH"")"),18.1)</f>
        <v>18.100000000000001</v>
      </c>
      <c r="E1287" s="11">
        <f ca="1">IFERROR(__xludf.DUMMYFUNCTION("GOOGLEFINANCE(A1287,""LOW"")"),16.98)</f>
        <v>16.98</v>
      </c>
      <c r="F1287" s="12" t="str">
        <f t="shared" ca="1" si="35"/>
        <v/>
      </c>
      <c r="G1287" s="13">
        <f ca="1">IFERROR(__xludf.DUMMYFUNCTION("GOOGLEFINANCE(A1287,""CLOSEYEST"")"),17.1)</f>
        <v>17.100000000000001</v>
      </c>
      <c r="H1287" s="14" t="str">
        <f t="shared" ca="1" si="41"/>
        <v/>
      </c>
      <c r="I1287" s="15">
        <f t="shared" ca="1" si="36"/>
        <v>17.393333333333334</v>
      </c>
      <c r="J1287" s="16">
        <f t="shared" ca="1" si="37"/>
        <v>17.806666666666668</v>
      </c>
      <c r="K1287" s="16"/>
      <c r="L1287" s="16">
        <f t="shared" ca="1" si="38"/>
        <v>16.686666666666667</v>
      </c>
      <c r="M1287" s="16">
        <f t="shared" ca="1" si="39"/>
        <v>18.513333333333335</v>
      </c>
      <c r="N1287" s="16">
        <f t="shared" ca="1" si="40"/>
        <v>16.273333333333333</v>
      </c>
    </row>
    <row r="1288" spans="1:14" ht="24.75" customHeight="1" x14ac:dyDescent="0.8">
      <c r="A1288" s="18" t="s">
        <v>1251</v>
      </c>
      <c r="B1288" s="10">
        <f ca="1">IFERROR(__xludf.DUMMYFUNCTION("GOOGLEFINANCE(A1288,""PRICE"")"),17.76)</f>
        <v>17.760000000000002</v>
      </c>
      <c r="C1288" s="11">
        <f ca="1">IFERROR(__xludf.DUMMYFUNCTION("GOOGLEFINANCE(A1288,""PRICEOPEN"")"),17.44)</f>
        <v>17.440000000000001</v>
      </c>
      <c r="D1288" s="11">
        <f ca="1">IFERROR(__xludf.DUMMYFUNCTION("GOOGLEFINANCE(A1288,""HIGH"")"),17.89)</f>
        <v>17.89</v>
      </c>
      <c r="E1288" s="11">
        <f ca="1">IFERROR(__xludf.DUMMYFUNCTION("GOOGLEFINANCE(A1288,""LOW"")"),17.41)</f>
        <v>17.41</v>
      </c>
      <c r="F1288" s="12" t="str">
        <f t="shared" ca="1" si="35"/>
        <v/>
      </c>
      <c r="G1288" s="13">
        <f ca="1">IFERROR(__xludf.DUMMYFUNCTION("GOOGLEFINANCE(A1288,""CLOSEYEST"")"),17.28)</f>
        <v>17.28</v>
      </c>
      <c r="H1288" s="14" t="str">
        <f t="shared" ca="1" si="41"/>
        <v/>
      </c>
      <c r="I1288" s="15">
        <f t="shared" ca="1" si="36"/>
        <v>17.526666666666667</v>
      </c>
      <c r="J1288" s="16">
        <f t="shared" ca="1" si="37"/>
        <v>17.643333333333334</v>
      </c>
      <c r="K1288" s="16"/>
      <c r="L1288" s="16">
        <f t="shared" ca="1" si="38"/>
        <v>17.163333333333334</v>
      </c>
      <c r="M1288" s="16">
        <f t="shared" ca="1" si="39"/>
        <v>18.006666666666668</v>
      </c>
      <c r="N1288" s="16">
        <f t="shared" ca="1" si="40"/>
        <v>17.046666666666667</v>
      </c>
    </row>
    <row r="1289" spans="1:14" ht="24.75" customHeight="1" x14ac:dyDescent="0.8">
      <c r="A1289" s="18" t="s">
        <v>1252</v>
      </c>
      <c r="B1289" s="10" t="str">
        <f ca="1">IFERROR(__xludf.DUMMYFUNCTION("GOOGLEFINANCE(A1289,""PRICE"")"),"#N/A")</f>
        <v>#N/A</v>
      </c>
      <c r="C1289" s="11" t="str">
        <f ca="1">IFERROR(__xludf.DUMMYFUNCTION("GOOGLEFINANCE(A1289,""PRICEOPEN"")"),"#N/A")</f>
        <v>#N/A</v>
      </c>
      <c r="D1289" s="11" t="str">
        <f ca="1">IFERROR(__xludf.DUMMYFUNCTION("GOOGLEFINANCE(A1289,""HIGH"")"),"#N/A")</f>
        <v>#N/A</v>
      </c>
      <c r="E1289" s="11" t="str">
        <f ca="1">IFERROR(__xludf.DUMMYFUNCTION("GOOGLEFINANCE(A1289,""LOW"")"),"#N/A")</f>
        <v>#N/A</v>
      </c>
      <c r="F1289" s="12" t="str">
        <f t="shared" ca="1" si="35"/>
        <v>SELL</v>
      </c>
      <c r="G1289" s="13" t="str">
        <f ca="1">IFERROR(__xludf.DUMMYFUNCTION("GOOGLEFINANCE(A1289,""CLOSEYEST"")"),"#N/A")</f>
        <v>#N/A</v>
      </c>
      <c r="H1289" s="14" t="e">
        <f t="shared" ca="1" si="41"/>
        <v>#VALUE!</v>
      </c>
      <c r="I1289" s="15" t="e">
        <f t="shared" ca="1" si="36"/>
        <v>#VALUE!</v>
      </c>
      <c r="J1289" s="16" t="e">
        <f t="shared" ca="1" si="37"/>
        <v>#VALUE!</v>
      </c>
      <c r="K1289" s="16"/>
      <c r="L1289" s="16" t="e">
        <f t="shared" ca="1" si="38"/>
        <v>#VALUE!</v>
      </c>
      <c r="M1289" s="16" t="e">
        <f t="shared" ca="1" si="39"/>
        <v>#VALUE!</v>
      </c>
      <c r="N1289" s="16" t="e">
        <f t="shared" ca="1" si="40"/>
        <v>#VALUE!</v>
      </c>
    </row>
    <row r="1290" spans="1:14" ht="24.75" customHeight="1" x14ac:dyDescent="0.8">
      <c r="A1290" s="18" t="s">
        <v>1253</v>
      </c>
      <c r="B1290" s="10">
        <f ca="1">IFERROR(__xludf.DUMMYFUNCTION("GOOGLEFINANCE(A1290,""PRICE"")"),442.95)</f>
        <v>442.95</v>
      </c>
      <c r="C1290" s="11">
        <f ca="1">IFERROR(__xludf.DUMMYFUNCTION("GOOGLEFINANCE(A1290,""PRICEOPEN"")"),444)</f>
        <v>444</v>
      </c>
      <c r="D1290" s="11">
        <f ca="1">IFERROR(__xludf.DUMMYFUNCTION("GOOGLEFINANCE(A1290,""HIGH"")"),444.95)</f>
        <v>444.95</v>
      </c>
      <c r="E1290" s="11">
        <f ca="1">IFERROR(__xludf.DUMMYFUNCTION("GOOGLEFINANCE(A1290,""LOW"")"),439)</f>
        <v>439</v>
      </c>
      <c r="F1290" s="12" t="str">
        <f t="shared" ca="1" si="35"/>
        <v/>
      </c>
      <c r="G1290" s="13">
        <f ca="1">IFERROR(__xludf.DUMMYFUNCTION("GOOGLEFINANCE(A1290,""CLOSEYEST"")"),443.1)</f>
        <v>443.1</v>
      </c>
      <c r="H1290" s="14" t="str">
        <f t="shared" ca="1" si="41"/>
        <v/>
      </c>
      <c r="I1290" s="15">
        <f t="shared" ca="1" si="36"/>
        <v>442.35000000000008</v>
      </c>
      <c r="J1290" s="16">
        <f t="shared" ca="1" si="37"/>
        <v>445.70000000000016</v>
      </c>
      <c r="K1290" s="16"/>
      <c r="L1290" s="16">
        <f t="shared" ca="1" si="38"/>
        <v>439.75000000000017</v>
      </c>
      <c r="M1290" s="16">
        <f t="shared" ca="1" si="39"/>
        <v>448.30000000000007</v>
      </c>
      <c r="N1290" s="16">
        <f t="shared" ca="1" si="40"/>
        <v>436.40000000000009</v>
      </c>
    </row>
    <row r="1291" spans="1:14" ht="24.75" customHeight="1" x14ac:dyDescent="0.8">
      <c r="A1291" s="18" t="s">
        <v>1254</v>
      </c>
      <c r="B1291" s="10">
        <f ca="1">IFERROR(__xludf.DUMMYFUNCTION("GOOGLEFINANCE(A1291,""PRICE"")"),32)</f>
        <v>32</v>
      </c>
      <c r="C1291" s="11">
        <f ca="1">IFERROR(__xludf.DUMMYFUNCTION("GOOGLEFINANCE(A1291,""PRICEOPEN"")"),32.46)</f>
        <v>32.46</v>
      </c>
      <c r="D1291" s="11">
        <f ca="1">IFERROR(__xludf.DUMMYFUNCTION("GOOGLEFINANCE(A1291,""HIGH"")"),32.46)</f>
        <v>32.46</v>
      </c>
      <c r="E1291" s="11">
        <f ca="1">IFERROR(__xludf.DUMMYFUNCTION("GOOGLEFINANCE(A1291,""LOW"")"),31)</f>
        <v>31</v>
      </c>
      <c r="F1291" s="12" t="str">
        <f t="shared" ca="1" si="35"/>
        <v>SELL</v>
      </c>
      <c r="G1291" s="13">
        <f ca="1">IFERROR(__xludf.DUMMYFUNCTION("GOOGLEFINANCE(A1291,""CLOSEYEST"")"),31.34)</f>
        <v>31.34</v>
      </c>
      <c r="H1291" s="14" t="str">
        <f t="shared" ca="1" si="41"/>
        <v>GAP UP</v>
      </c>
      <c r="I1291" s="15">
        <f t="shared" ca="1" si="36"/>
        <v>31.599999999999998</v>
      </c>
      <c r="J1291" s="16">
        <f t="shared" ca="1" si="37"/>
        <v>32.199999999999996</v>
      </c>
      <c r="K1291" s="16"/>
      <c r="L1291" s="16">
        <f t="shared" ca="1" si="38"/>
        <v>30.739999999999995</v>
      </c>
      <c r="M1291" s="16">
        <f t="shared" ca="1" si="39"/>
        <v>33.06</v>
      </c>
      <c r="N1291" s="16">
        <f t="shared" ca="1" si="40"/>
        <v>30.139999999999997</v>
      </c>
    </row>
    <row r="1292" spans="1:14" ht="24.75" customHeight="1" x14ac:dyDescent="0.8">
      <c r="A1292" s="18" t="s">
        <v>1255</v>
      </c>
      <c r="B1292" s="10">
        <f ca="1">IFERROR(__xludf.DUMMYFUNCTION("GOOGLEFINANCE(A1292,""PRICE"")"),5.44)</f>
        <v>5.44</v>
      </c>
      <c r="C1292" s="11">
        <f ca="1">IFERROR(__xludf.DUMMYFUNCTION("GOOGLEFINANCE(A1292,""PRICEOPEN"")"),5.44)</f>
        <v>5.44</v>
      </c>
      <c r="D1292" s="11">
        <f ca="1">IFERROR(__xludf.DUMMYFUNCTION("GOOGLEFINANCE(A1292,""HIGH"")"),5.45)</f>
        <v>5.45</v>
      </c>
      <c r="E1292" s="11">
        <f ca="1">IFERROR(__xludf.DUMMYFUNCTION("GOOGLEFINANCE(A1292,""LOW"")"),5.36)</f>
        <v>5.36</v>
      </c>
      <c r="F1292" s="12" t="str">
        <f t="shared" ca="1" si="35"/>
        <v/>
      </c>
      <c r="G1292" s="13">
        <f ca="1">IFERROR(__xludf.DUMMYFUNCTION("GOOGLEFINANCE(A1292,""CLOSEYEST"")"),5.42)</f>
        <v>5.42</v>
      </c>
      <c r="H1292" s="14" t="str">
        <f t="shared" ca="1" si="41"/>
        <v/>
      </c>
      <c r="I1292" s="15">
        <f t="shared" ca="1" si="36"/>
        <v>5.41</v>
      </c>
      <c r="J1292" s="16">
        <f t="shared" ca="1" si="37"/>
        <v>5.46</v>
      </c>
      <c r="K1292" s="16"/>
      <c r="L1292" s="16">
        <f t="shared" ca="1" si="38"/>
        <v>5.37</v>
      </c>
      <c r="M1292" s="16">
        <f t="shared" ca="1" si="39"/>
        <v>5.5</v>
      </c>
      <c r="N1292" s="16">
        <f t="shared" ca="1" si="40"/>
        <v>5.32</v>
      </c>
    </row>
    <row r="1293" spans="1:14" ht="24.75" customHeight="1" x14ac:dyDescent="0.8">
      <c r="A1293" s="18" t="s">
        <v>1256</v>
      </c>
      <c r="B1293" s="10">
        <f ca="1">IFERROR(__xludf.DUMMYFUNCTION("GOOGLEFINANCE(A1293,""PRICE"")"),162.21)</f>
        <v>162.21</v>
      </c>
      <c r="C1293" s="11">
        <f ca="1">IFERROR(__xludf.DUMMYFUNCTION("GOOGLEFINANCE(A1293,""PRICEOPEN"")"),160)</f>
        <v>160</v>
      </c>
      <c r="D1293" s="11">
        <f ca="1">IFERROR(__xludf.DUMMYFUNCTION("GOOGLEFINANCE(A1293,""HIGH"")"),164.4)</f>
        <v>164.4</v>
      </c>
      <c r="E1293" s="11">
        <f ca="1">IFERROR(__xludf.DUMMYFUNCTION("GOOGLEFINANCE(A1293,""LOW"")"),160)</f>
        <v>160</v>
      </c>
      <c r="F1293" s="12" t="str">
        <f t="shared" ca="1" si="35"/>
        <v>BUY</v>
      </c>
      <c r="G1293" s="13">
        <f ca="1">IFERROR(__xludf.DUMMYFUNCTION("GOOGLEFINANCE(A1293,""CLOSEYEST"")"),161.33)</f>
        <v>161.33000000000001</v>
      </c>
      <c r="H1293" s="14" t="str">
        <f t="shared" ca="1" si="41"/>
        <v/>
      </c>
      <c r="I1293" s="15">
        <f t="shared" ca="1" si="36"/>
        <v>161.91</v>
      </c>
      <c r="J1293" s="16">
        <f t="shared" ca="1" si="37"/>
        <v>163.82</v>
      </c>
      <c r="K1293" s="16"/>
      <c r="L1293" s="16">
        <f t="shared" ca="1" si="38"/>
        <v>159.41999999999999</v>
      </c>
      <c r="M1293" s="16">
        <f t="shared" ca="1" si="39"/>
        <v>166.31</v>
      </c>
      <c r="N1293" s="16">
        <f t="shared" ca="1" si="40"/>
        <v>157.51</v>
      </c>
    </row>
    <row r="1294" spans="1:14" ht="24.75" customHeight="1" x14ac:dyDescent="0.8">
      <c r="A1294" s="18" t="s">
        <v>1257</v>
      </c>
      <c r="B1294" s="10">
        <f ca="1">IFERROR(__xludf.DUMMYFUNCTION("GOOGLEFINANCE(A1294,""PRICE"")"),113.2)</f>
        <v>113.2</v>
      </c>
      <c r="C1294" s="11">
        <f ca="1">IFERROR(__xludf.DUMMYFUNCTION("GOOGLEFINANCE(A1294,""PRICEOPEN"")"),114.85)</f>
        <v>114.85</v>
      </c>
      <c r="D1294" s="11">
        <f ca="1">IFERROR(__xludf.DUMMYFUNCTION("GOOGLEFINANCE(A1294,""HIGH"")"),114.85)</f>
        <v>114.85</v>
      </c>
      <c r="E1294" s="11">
        <f ca="1">IFERROR(__xludf.DUMMYFUNCTION("GOOGLEFINANCE(A1294,""LOW"")"),111.61)</f>
        <v>111.61</v>
      </c>
      <c r="F1294" s="12" t="str">
        <f t="shared" ca="1" si="35"/>
        <v>SELL</v>
      </c>
      <c r="G1294" s="13">
        <f ca="1">IFERROR(__xludf.DUMMYFUNCTION("GOOGLEFINANCE(A1294,""CLOSEYEST"")"),111.39)</f>
        <v>111.39</v>
      </c>
      <c r="H1294" s="14" t="str">
        <f t="shared" ca="1" si="41"/>
        <v>GAP UP</v>
      </c>
      <c r="I1294" s="15">
        <f t="shared" ca="1" si="36"/>
        <v>112.61666666666666</v>
      </c>
      <c r="J1294" s="16">
        <f t="shared" ca="1" si="37"/>
        <v>113.62333333333332</v>
      </c>
      <c r="K1294" s="16"/>
      <c r="L1294" s="16">
        <f t="shared" ca="1" si="38"/>
        <v>110.38333333333333</v>
      </c>
      <c r="M1294" s="16">
        <f t="shared" ca="1" si="39"/>
        <v>115.85666666666665</v>
      </c>
      <c r="N1294" s="16">
        <f t="shared" ca="1" si="40"/>
        <v>109.37666666666667</v>
      </c>
    </row>
    <row r="1295" spans="1:14" ht="24.75" customHeight="1" x14ac:dyDescent="0.8">
      <c r="A1295" s="18" t="s">
        <v>1258</v>
      </c>
      <c r="B1295" s="10">
        <f ca="1">IFERROR(__xludf.DUMMYFUNCTION("GOOGLEFINANCE(A1295,""PRICE"")"),80.1)</f>
        <v>80.099999999999994</v>
      </c>
      <c r="C1295" s="11">
        <f ca="1">IFERROR(__xludf.DUMMYFUNCTION("GOOGLEFINANCE(A1295,""PRICEOPEN"")"),81.81)</f>
        <v>81.81</v>
      </c>
      <c r="D1295" s="11">
        <f ca="1">IFERROR(__xludf.DUMMYFUNCTION("GOOGLEFINANCE(A1295,""HIGH"")"),82.7)</f>
        <v>82.7</v>
      </c>
      <c r="E1295" s="11">
        <f ca="1">IFERROR(__xludf.DUMMYFUNCTION("GOOGLEFINANCE(A1295,""LOW"")"),79.37)</f>
        <v>79.37</v>
      </c>
      <c r="F1295" s="12" t="str">
        <f t="shared" ca="1" si="35"/>
        <v/>
      </c>
      <c r="G1295" s="13">
        <f ca="1">IFERROR(__xludf.DUMMYFUNCTION("GOOGLEFINANCE(A1295,""CLOSEYEST"")"),81.06)</f>
        <v>81.06</v>
      </c>
      <c r="H1295" s="14" t="str">
        <f t="shared" ca="1" si="41"/>
        <v/>
      </c>
      <c r="I1295" s="15">
        <f t="shared" ca="1" si="36"/>
        <v>81.043333333333337</v>
      </c>
      <c r="J1295" s="16">
        <f t="shared" ca="1" si="37"/>
        <v>82.716666666666669</v>
      </c>
      <c r="K1295" s="16"/>
      <c r="L1295" s="16">
        <f t="shared" ca="1" si="38"/>
        <v>79.38666666666667</v>
      </c>
      <c r="M1295" s="16">
        <f t="shared" ca="1" si="39"/>
        <v>84.373333333333335</v>
      </c>
      <c r="N1295" s="16">
        <f t="shared" ca="1" si="40"/>
        <v>77.713333333333338</v>
      </c>
    </row>
    <row r="1296" spans="1:14" ht="24.75" customHeight="1" x14ac:dyDescent="0.8">
      <c r="A1296" s="18" t="s">
        <v>1259</v>
      </c>
      <c r="B1296" s="10" t="str">
        <f ca="1">IFERROR(__xludf.DUMMYFUNCTION("GOOGLEFINANCE(A1296,""PRICE"")"),"#N/A")</f>
        <v>#N/A</v>
      </c>
      <c r="C1296" s="11" t="str">
        <f ca="1">IFERROR(__xludf.DUMMYFUNCTION("GOOGLEFINANCE(A1296,""PRICEOPEN"")"),"#N/A")</f>
        <v>#N/A</v>
      </c>
      <c r="D1296" s="11" t="str">
        <f ca="1">IFERROR(__xludf.DUMMYFUNCTION("GOOGLEFINANCE(A1296,""HIGH"")"),"#N/A")</f>
        <v>#N/A</v>
      </c>
      <c r="E1296" s="11" t="str">
        <f ca="1">IFERROR(__xludf.DUMMYFUNCTION("GOOGLEFINANCE(A1296,""LOW"")"),"#N/A")</f>
        <v>#N/A</v>
      </c>
      <c r="F1296" s="12" t="str">
        <f t="shared" ca="1" si="35"/>
        <v>SELL</v>
      </c>
      <c r="G1296" s="13" t="str">
        <f ca="1">IFERROR(__xludf.DUMMYFUNCTION("GOOGLEFINANCE(A1296,""CLOSEYEST"")"),"#N/A")</f>
        <v>#N/A</v>
      </c>
      <c r="H1296" s="14" t="e">
        <f t="shared" ca="1" si="41"/>
        <v>#VALUE!</v>
      </c>
      <c r="I1296" s="15" t="e">
        <f t="shared" ca="1" si="36"/>
        <v>#VALUE!</v>
      </c>
      <c r="J1296" s="16" t="e">
        <f t="shared" ca="1" si="37"/>
        <v>#VALUE!</v>
      </c>
      <c r="K1296" s="16"/>
      <c r="L1296" s="16" t="e">
        <f t="shared" ca="1" si="38"/>
        <v>#VALUE!</v>
      </c>
      <c r="M1296" s="16" t="e">
        <f t="shared" ca="1" si="39"/>
        <v>#VALUE!</v>
      </c>
      <c r="N1296" s="16" t="e">
        <f t="shared" ca="1" si="40"/>
        <v>#VALUE!</v>
      </c>
    </row>
    <row r="1297" spans="1:14" ht="24.75" customHeight="1" x14ac:dyDescent="0.8">
      <c r="A1297" s="18" t="s">
        <v>1260</v>
      </c>
      <c r="B1297" s="10">
        <f ca="1">IFERROR(__xludf.DUMMYFUNCTION("GOOGLEFINANCE(A1297,""PRICE"")"),222.6)</f>
        <v>222.6</v>
      </c>
      <c r="C1297" s="11">
        <f ca="1">IFERROR(__xludf.DUMMYFUNCTION("GOOGLEFINANCE(A1297,""PRICEOPEN"")"),213)</f>
        <v>213</v>
      </c>
      <c r="D1297" s="11">
        <f ca="1">IFERROR(__xludf.DUMMYFUNCTION("GOOGLEFINANCE(A1297,""HIGH"")"),222.62)</f>
        <v>222.62</v>
      </c>
      <c r="E1297" s="11">
        <f ca="1">IFERROR(__xludf.DUMMYFUNCTION("GOOGLEFINANCE(A1297,""LOW"")"),208.05)</f>
        <v>208.05</v>
      </c>
      <c r="F1297" s="12" t="str">
        <f t="shared" ca="1" si="35"/>
        <v/>
      </c>
      <c r="G1297" s="13">
        <f ca="1">IFERROR(__xludf.DUMMYFUNCTION("GOOGLEFINANCE(A1297,""CLOSEYEST"")"),212.02)</f>
        <v>212.02</v>
      </c>
      <c r="H1297" s="14" t="str">
        <f t="shared" ca="1" si="41"/>
        <v/>
      </c>
      <c r="I1297" s="15">
        <f t="shared" ca="1" si="36"/>
        <v>214.23000000000002</v>
      </c>
      <c r="J1297" s="16">
        <f t="shared" ca="1" si="37"/>
        <v>220.41000000000003</v>
      </c>
      <c r="K1297" s="16"/>
      <c r="L1297" s="16">
        <f t="shared" ca="1" si="38"/>
        <v>205.84000000000003</v>
      </c>
      <c r="M1297" s="16">
        <f t="shared" ca="1" si="39"/>
        <v>228.8</v>
      </c>
      <c r="N1297" s="16">
        <f t="shared" ca="1" si="40"/>
        <v>199.66000000000003</v>
      </c>
    </row>
    <row r="1298" spans="1:14" ht="24.75" customHeight="1" x14ac:dyDescent="0.8">
      <c r="A1298" s="18" t="s">
        <v>1261</v>
      </c>
      <c r="B1298" s="10">
        <f ca="1">IFERROR(__xludf.DUMMYFUNCTION("GOOGLEFINANCE(A1298,""PRICE"")"),89.2)</f>
        <v>89.2</v>
      </c>
      <c r="C1298" s="11">
        <f ca="1">IFERROR(__xludf.DUMMYFUNCTION("GOOGLEFINANCE(A1298,""PRICEOPEN"")"),88)</f>
        <v>88</v>
      </c>
      <c r="D1298" s="11">
        <f ca="1">IFERROR(__xludf.DUMMYFUNCTION("GOOGLEFINANCE(A1298,""HIGH"")"),90.39)</f>
        <v>90.39</v>
      </c>
      <c r="E1298" s="11">
        <f ca="1">IFERROR(__xludf.DUMMYFUNCTION("GOOGLEFINANCE(A1298,""LOW"")"),88)</f>
        <v>88</v>
      </c>
      <c r="F1298" s="12" t="str">
        <f t="shared" ca="1" si="35"/>
        <v>BUY</v>
      </c>
      <c r="G1298" s="13">
        <f ca="1">IFERROR(__xludf.DUMMYFUNCTION("GOOGLEFINANCE(A1298,""CLOSEYEST"")"),89.36)</f>
        <v>89.36</v>
      </c>
      <c r="H1298" s="14" t="str">
        <f t="shared" ca="1" si="41"/>
        <v>GAP DOWN</v>
      </c>
      <c r="I1298" s="15">
        <f t="shared" ca="1" si="36"/>
        <v>89.25</v>
      </c>
      <c r="J1298" s="16">
        <f t="shared" ca="1" si="37"/>
        <v>90.5</v>
      </c>
      <c r="K1298" s="16"/>
      <c r="L1298" s="16">
        <f t="shared" ca="1" si="38"/>
        <v>88.11</v>
      </c>
      <c r="M1298" s="16">
        <f t="shared" ca="1" si="39"/>
        <v>91.64</v>
      </c>
      <c r="N1298" s="16">
        <f t="shared" ca="1" si="40"/>
        <v>86.86</v>
      </c>
    </row>
    <row r="1299" spans="1:14" ht="24.75" customHeight="1" x14ac:dyDescent="0.8">
      <c r="A1299" s="18" t="s">
        <v>1262</v>
      </c>
      <c r="B1299" s="10">
        <f ca="1">IFERROR(__xludf.DUMMYFUNCTION("GOOGLEFINANCE(A1299,""PRICE"")"),3)</f>
        <v>3</v>
      </c>
      <c r="C1299" s="11">
        <f ca="1">IFERROR(__xludf.DUMMYFUNCTION("GOOGLEFINANCE(A1299,""PRICEOPEN"")"),2.95)</f>
        <v>2.95</v>
      </c>
      <c r="D1299" s="11">
        <f ca="1">IFERROR(__xludf.DUMMYFUNCTION("GOOGLEFINANCE(A1299,""HIGH"")"),3.05)</f>
        <v>3.05</v>
      </c>
      <c r="E1299" s="11">
        <f ca="1">IFERROR(__xludf.DUMMYFUNCTION("GOOGLEFINANCE(A1299,""LOW"")"),2.93)</f>
        <v>2.93</v>
      </c>
      <c r="F1299" s="12" t="str">
        <f t="shared" ref="F1299:F1553" ca="1" si="42">IF(C1299=D1299,"SELL",IF(C1299=E1299,"BUY", ""))</f>
        <v/>
      </c>
      <c r="G1299" s="13">
        <f ca="1">IFERROR(__xludf.DUMMYFUNCTION("GOOGLEFINANCE(A1299,""CLOSEYEST"")"),2.95)</f>
        <v>2.95</v>
      </c>
      <c r="H1299" s="14" t="str">
        <f t="shared" ca="1" si="41"/>
        <v/>
      </c>
      <c r="I1299" s="15">
        <f t="shared" ref="I1299:I1553" ca="1" si="43">(D1299+E1299+G1299)/3</f>
        <v>2.9766666666666666</v>
      </c>
      <c r="J1299" s="16">
        <f t="shared" ref="J1299:J1553" ca="1" si="44">(I1299*2)-E1299</f>
        <v>3.023333333333333</v>
      </c>
      <c r="K1299" s="16"/>
      <c r="L1299" s="16">
        <f t="shared" ref="L1299:L1553" ca="1" si="45">(I1299*2)-D1299</f>
        <v>2.9033333333333333</v>
      </c>
      <c r="M1299" s="16">
        <f t="shared" ref="M1299:M1553" ca="1" si="46">I1299+(J1299-L1299)</f>
        <v>3.0966666666666662</v>
      </c>
      <c r="N1299" s="16">
        <f t="shared" ref="N1299:N1553" ca="1" si="47">I1299-(J1299-L1299)</f>
        <v>2.8566666666666669</v>
      </c>
    </row>
    <row r="1300" spans="1:14" ht="24.75" customHeight="1" x14ac:dyDescent="0.8">
      <c r="A1300" s="18" t="s">
        <v>1263</v>
      </c>
      <c r="B1300" s="10">
        <f ca="1">IFERROR(__xludf.DUMMYFUNCTION("GOOGLEFINANCE(A1300,""PRICE"")"),31.7)</f>
        <v>31.7</v>
      </c>
      <c r="C1300" s="11">
        <f ca="1">IFERROR(__xludf.DUMMYFUNCTION("GOOGLEFINANCE(A1300,""PRICEOPEN"")"),31.65)</f>
        <v>31.65</v>
      </c>
      <c r="D1300" s="11">
        <f ca="1">IFERROR(__xludf.DUMMYFUNCTION("GOOGLEFINANCE(A1300,""HIGH"")"),31.7)</f>
        <v>31.7</v>
      </c>
      <c r="E1300" s="11">
        <f ca="1">IFERROR(__xludf.DUMMYFUNCTION("GOOGLEFINANCE(A1300,""LOW"")"),31)</f>
        <v>31</v>
      </c>
      <c r="F1300" s="12" t="str">
        <f t="shared" ca="1" si="42"/>
        <v/>
      </c>
      <c r="G1300" s="13">
        <f ca="1">IFERROR(__xludf.DUMMYFUNCTION("GOOGLEFINANCE(A1300,""CLOSEYEST"")"),31.13)</f>
        <v>31.13</v>
      </c>
      <c r="H1300" s="14" t="str">
        <f t="shared" ca="1" si="41"/>
        <v>GAP UP</v>
      </c>
      <c r="I1300" s="15">
        <f t="shared" ca="1" si="43"/>
        <v>31.276666666666667</v>
      </c>
      <c r="J1300" s="16">
        <f t="shared" ca="1" si="44"/>
        <v>31.553333333333335</v>
      </c>
      <c r="K1300" s="16"/>
      <c r="L1300" s="16">
        <f t="shared" ca="1" si="45"/>
        <v>30.853333333333335</v>
      </c>
      <c r="M1300" s="16">
        <f t="shared" ca="1" si="46"/>
        <v>31.976666666666667</v>
      </c>
      <c r="N1300" s="16">
        <f t="shared" ca="1" si="47"/>
        <v>30.576666666666668</v>
      </c>
    </row>
    <row r="1301" spans="1:14" ht="24.75" customHeight="1" x14ac:dyDescent="0.8">
      <c r="A1301" s="18" t="s">
        <v>1264</v>
      </c>
      <c r="B1301" s="10">
        <f ca="1">IFERROR(__xludf.DUMMYFUNCTION("GOOGLEFINANCE(A1301,""PRICE"")"),4.66)</f>
        <v>4.66</v>
      </c>
      <c r="C1301" s="11">
        <f ca="1">IFERROR(__xludf.DUMMYFUNCTION("GOOGLEFINANCE(A1301,""PRICEOPEN"")"),4.6)</f>
        <v>4.5999999999999996</v>
      </c>
      <c r="D1301" s="11">
        <f ca="1">IFERROR(__xludf.DUMMYFUNCTION("GOOGLEFINANCE(A1301,""HIGH"")"),4.84)</f>
        <v>4.84</v>
      </c>
      <c r="E1301" s="11">
        <f ca="1">IFERROR(__xludf.DUMMYFUNCTION("GOOGLEFINANCE(A1301,""LOW"")"),4.6)</f>
        <v>4.5999999999999996</v>
      </c>
      <c r="F1301" s="12" t="str">
        <f t="shared" ca="1" si="42"/>
        <v>BUY</v>
      </c>
      <c r="G1301" s="13">
        <f ca="1">IFERROR(__xludf.DUMMYFUNCTION("GOOGLEFINANCE(A1301,""CLOSEYEST"")"),4.57)</f>
        <v>4.57</v>
      </c>
      <c r="H1301" s="14" t="str">
        <f t="shared" ref="H1301:H1555" ca="1" si="48">IF(C1301&gt;=(G1301+(G1301*1%)),"GAP UP",IF(C1301&lt;=(G1301-(G1301*1%)),"GAP DOWN",""))</f>
        <v/>
      </c>
      <c r="I1301" s="15">
        <f t="shared" ca="1" si="43"/>
        <v>4.67</v>
      </c>
      <c r="J1301" s="16">
        <f t="shared" ca="1" si="44"/>
        <v>4.74</v>
      </c>
      <c r="K1301" s="16"/>
      <c r="L1301" s="16">
        <f t="shared" ca="1" si="45"/>
        <v>4.5</v>
      </c>
      <c r="M1301" s="16">
        <f t="shared" ca="1" si="46"/>
        <v>4.91</v>
      </c>
      <c r="N1301" s="16">
        <f t="shared" ca="1" si="47"/>
        <v>4.43</v>
      </c>
    </row>
    <row r="1302" spans="1:14" ht="24.75" customHeight="1" x14ac:dyDescent="0.8">
      <c r="A1302" s="18" t="s">
        <v>1265</v>
      </c>
      <c r="B1302" s="10">
        <f ca="1">IFERROR(__xludf.DUMMYFUNCTION("GOOGLEFINANCE(A1302,""PRICE"")"),109.1)</f>
        <v>109.1</v>
      </c>
      <c r="C1302" s="11">
        <f ca="1">IFERROR(__xludf.DUMMYFUNCTION("GOOGLEFINANCE(A1302,""PRICEOPEN"")"),110.9)</f>
        <v>110.9</v>
      </c>
      <c r="D1302" s="11">
        <f ca="1">IFERROR(__xludf.DUMMYFUNCTION("GOOGLEFINANCE(A1302,""HIGH"")"),110.9)</f>
        <v>110.9</v>
      </c>
      <c r="E1302" s="11">
        <f ca="1">IFERROR(__xludf.DUMMYFUNCTION("GOOGLEFINANCE(A1302,""LOW"")"),108.44)</f>
        <v>108.44</v>
      </c>
      <c r="F1302" s="12" t="str">
        <f t="shared" ca="1" si="42"/>
        <v>SELL</v>
      </c>
      <c r="G1302" s="13">
        <f ca="1">IFERROR(__xludf.DUMMYFUNCTION("GOOGLEFINANCE(A1302,""CLOSEYEST"")"),108.68)</f>
        <v>108.68</v>
      </c>
      <c r="H1302" s="14" t="str">
        <f t="shared" ca="1" si="48"/>
        <v>GAP UP</v>
      </c>
      <c r="I1302" s="15">
        <f t="shared" ca="1" si="43"/>
        <v>109.33999999999999</v>
      </c>
      <c r="J1302" s="16">
        <f t="shared" ca="1" si="44"/>
        <v>110.23999999999998</v>
      </c>
      <c r="K1302" s="16"/>
      <c r="L1302" s="16">
        <f t="shared" ca="1" si="45"/>
        <v>107.77999999999997</v>
      </c>
      <c r="M1302" s="16">
        <f t="shared" ca="1" si="46"/>
        <v>111.8</v>
      </c>
      <c r="N1302" s="16">
        <f t="shared" ca="1" si="47"/>
        <v>106.87999999999998</v>
      </c>
    </row>
    <row r="1303" spans="1:14" ht="24.75" customHeight="1" x14ac:dyDescent="0.8">
      <c r="A1303" s="18" t="s">
        <v>1266</v>
      </c>
      <c r="B1303" s="10">
        <f ca="1">IFERROR(__xludf.DUMMYFUNCTION("GOOGLEFINANCE(A1303,""PRICE"")"),181.16)</f>
        <v>181.16</v>
      </c>
      <c r="C1303" s="11">
        <f ca="1">IFERROR(__xludf.DUMMYFUNCTION("GOOGLEFINANCE(A1303,""PRICEOPEN"")"),185.01)</f>
        <v>185.01</v>
      </c>
      <c r="D1303" s="11">
        <f ca="1">IFERROR(__xludf.DUMMYFUNCTION("GOOGLEFINANCE(A1303,""HIGH"")"),187.3)</f>
        <v>187.3</v>
      </c>
      <c r="E1303" s="11">
        <f ca="1">IFERROR(__xludf.DUMMYFUNCTION("GOOGLEFINANCE(A1303,""LOW"")"),181.15)</f>
        <v>181.15</v>
      </c>
      <c r="F1303" s="12" t="str">
        <f t="shared" ca="1" si="42"/>
        <v/>
      </c>
      <c r="G1303" s="13">
        <f ca="1">IFERROR(__xludf.DUMMYFUNCTION("GOOGLEFINANCE(A1303,""CLOSEYEST"")"),184.93)</f>
        <v>184.93</v>
      </c>
      <c r="H1303" s="14" t="str">
        <f t="shared" ca="1" si="48"/>
        <v/>
      </c>
      <c r="I1303" s="15">
        <f t="shared" ca="1" si="43"/>
        <v>184.46000000000004</v>
      </c>
      <c r="J1303" s="16">
        <f t="shared" ca="1" si="44"/>
        <v>187.77000000000007</v>
      </c>
      <c r="K1303" s="16"/>
      <c r="L1303" s="16">
        <f t="shared" ca="1" si="45"/>
        <v>181.62000000000006</v>
      </c>
      <c r="M1303" s="16">
        <f t="shared" ca="1" si="46"/>
        <v>190.61000000000004</v>
      </c>
      <c r="N1303" s="16">
        <f t="shared" ca="1" si="47"/>
        <v>178.31000000000003</v>
      </c>
    </row>
    <row r="1304" spans="1:14" ht="24.75" customHeight="1" x14ac:dyDescent="0.8">
      <c r="A1304" s="18" t="s">
        <v>1267</v>
      </c>
      <c r="B1304" s="10">
        <f ca="1">IFERROR(__xludf.DUMMYFUNCTION("GOOGLEFINANCE(A1304,""PRICE"")"),92.25)</f>
        <v>92.25</v>
      </c>
      <c r="C1304" s="11">
        <f ca="1">IFERROR(__xludf.DUMMYFUNCTION("GOOGLEFINANCE(A1304,""PRICEOPEN"")"),93)</f>
        <v>93</v>
      </c>
      <c r="D1304" s="11">
        <f ca="1">IFERROR(__xludf.DUMMYFUNCTION("GOOGLEFINANCE(A1304,""HIGH"")"),94.88)</f>
        <v>94.88</v>
      </c>
      <c r="E1304" s="11">
        <f ca="1">IFERROR(__xludf.DUMMYFUNCTION("GOOGLEFINANCE(A1304,""LOW"")"),90.11)</f>
        <v>90.11</v>
      </c>
      <c r="F1304" s="12" t="str">
        <f t="shared" ca="1" si="42"/>
        <v/>
      </c>
      <c r="G1304" s="13">
        <f ca="1">IFERROR(__xludf.DUMMYFUNCTION("GOOGLEFINANCE(A1304,""CLOSEYEST"")"),93.14)</f>
        <v>93.14</v>
      </c>
      <c r="H1304" s="14" t="str">
        <f t="shared" ca="1" si="48"/>
        <v/>
      </c>
      <c r="I1304" s="15">
        <f t="shared" ca="1" si="43"/>
        <v>92.71</v>
      </c>
      <c r="J1304" s="16">
        <f t="shared" ca="1" si="44"/>
        <v>95.309999999999988</v>
      </c>
      <c r="K1304" s="16"/>
      <c r="L1304" s="16">
        <f t="shared" ca="1" si="45"/>
        <v>90.539999999999992</v>
      </c>
      <c r="M1304" s="16">
        <f t="shared" ca="1" si="46"/>
        <v>97.47999999999999</v>
      </c>
      <c r="N1304" s="16">
        <f t="shared" ca="1" si="47"/>
        <v>87.94</v>
      </c>
    </row>
    <row r="1305" spans="1:14" ht="24.75" customHeight="1" x14ac:dyDescent="0.8">
      <c r="A1305" s="18" t="s">
        <v>1268</v>
      </c>
      <c r="B1305" s="10">
        <f ca="1">IFERROR(__xludf.DUMMYFUNCTION("GOOGLEFINANCE(A1305,""PRICE"")"),331.15)</f>
        <v>331.15</v>
      </c>
      <c r="C1305" s="11">
        <f ca="1">IFERROR(__xludf.DUMMYFUNCTION("GOOGLEFINANCE(A1305,""PRICEOPEN"")"),341.2)</f>
        <v>341.2</v>
      </c>
      <c r="D1305" s="11">
        <f ca="1">IFERROR(__xludf.DUMMYFUNCTION("GOOGLEFINANCE(A1305,""HIGH"")"),341.2)</f>
        <v>341.2</v>
      </c>
      <c r="E1305" s="11">
        <f ca="1">IFERROR(__xludf.DUMMYFUNCTION("GOOGLEFINANCE(A1305,""LOW"")"),330.1)</f>
        <v>330.1</v>
      </c>
      <c r="F1305" s="12" t="str">
        <f t="shared" ca="1" si="42"/>
        <v>SELL</v>
      </c>
      <c r="G1305" s="13">
        <f ca="1">IFERROR(__xludf.DUMMYFUNCTION("GOOGLEFINANCE(A1305,""CLOSEYEST"")"),340.75)</f>
        <v>340.75</v>
      </c>
      <c r="H1305" s="14" t="str">
        <f t="shared" ca="1" si="48"/>
        <v/>
      </c>
      <c r="I1305" s="15">
        <f t="shared" ca="1" si="43"/>
        <v>337.34999999999997</v>
      </c>
      <c r="J1305" s="16">
        <f t="shared" ca="1" si="44"/>
        <v>344.59999999999991</v>
      </c>
      <c r="K1305" s="16"/>
      <c r="L1305" s="16">
        <f t="shared" ca="1" si="45"/>
        <v>333.49999999999994</v>
      </c>
      <c r="M1305" s="16">
        <f t="shared" ca="1" si="46"/>
        <v>348.44999999999993</v>
      </c>
      <c r="N1305" s="16">
        <f t="shared" ca="1" si="47"/>
        <v>326.25</v>
      </c>
    </row>
    <row r="1306" spans="1:14" ht="24.75" customHeight="1" x14ac:dyDescent="0.8">
      <c r="A1306" s="18" t="s">
        <v>1269</v>
      </c>
      <c r="B1306" s="10">
        <f ca="1">IFERROR(__xludf.DUMMYFUNCTION("GOOGLEFINANCE(A1306,""PRICE"")"),169.26)</f>
        <v>169.26</v>
      </c>
      <c r="C1306" s="11">
        <f ca="1">IFERROR(__xludf.DUMMYFUNCTION("GOOGLEFINANCE(A1306,""PRICEOPEN"")"),169.26)</f>
        <v>169.26</v>
      </c>
      <c r="D1306" s="11">
        <f ca="1">IFERROR(__xludf.DUMMYFUNCTION("GOOGLEFINANCE(A1306,""HIGH"")"),169.26)</f>
        <v>169.26</v>
      </c>
      <c r="E1306" s="11">
        <f ca="1">IFERROR(__xludf.DUMMYFUNCTION("GOOGLEFINANCE(A1306,""LOW"")"),169.26)</f>
        <v>169.26</v>
      </c>
      <c r="F1306" s="12" t="str">
        <f t="shared" ca="1" si="42"/>
        <v>SELL</v>
      </c>
      <c r="G1306" s="13">
        <f ca="1">IFERROR(__xludf.DUMMYFUNCTION("GOOGLEFINANCE(A1306,""CLOSEYEST"")"),172.72)</f>
        <v>172.72</v>
      </c>
      <c r="H1306" s="14" t="str">
        <f t="shared" ca="1" si="48"/>
        <v>GAP DOWN</v>
      </c>
      <c r="I1306" s="15">
        <f t="shared" ca="1" si="43"/>
        <v>170.41333333333333</v>
      </c>
      <c r="J1306" s="16">
        <f t="shared" ca="1" si="44"/>
        <v>171.56666666666666</v>
      </c>
      <c r="K1306" s="16"/>
      <c r="L1306" s="16">
        <f t="shared" ca="1" si="45"/>
        <v>171.56666666666666</v>
      </c>
      <c r="M1306" s="16">
        <f t="shared" ca="1" si="46"/>
        <v>170.41333333333333</v>
      </c>
      <c r="N1306" s="16">
        <f t="shared" ca="1" si="47"/>
        <v>170.41333333333333</v>
      </c>
    </row>
    <row r="1307" spans="1:14" ht="24.75" customHeight="1" x14ac:dyDescent="0.8">
      <c r="A1307" s="18" t="s">
        <v>1270</v>
      </c>
      <c r="B1307" s="10">
        <f ca="1">IFERROR(__xludf.DUMMYFUNCTION("GOOGLEFINANCE(A1307,""PRICE"")"),938.75)</f>
        <v>938.75</v>
      </c>
      <c r="C1307" s="11">
        <f ca="1">IFERROR(__xludf.DUMMYFUNCTION("GOOGLEFINANCE(A1307,""PRICEOPEN"")"),952)</f>
        <v>952</v>
      </c>
      <c r="D1307" s="11">
        <f ca="1">IFERROR(__xludf.DUMMYFUNCTION("GOOGLEFINANCE(A1307,""HIGH"")"),968)</f>
        <v>968</v>
      </c>
      <c r="E1307" s="11">
        <f ca="1">IFERROR(__xludf.DUMMYFUNCTION("GOOGLEFINANCE(A1307,""LOW"")"),925)</f>
        <v>925</v>
      </c>
      <c r="F1307" s="12" t="str">
        <f t="shared" ca="1" si="42"/>
        <v/>
      </c>
      <c r="G1307" s="13">
        <f ca="1">IFERROR(__xludf.DUMMYFUNCTION("GOOGLEFINANCE(A1307,""CLOSEYEST"")"),950.45)</f>
        <v>950.45</v>
      </c>
      <c r="H1307" s="14" t="str">
        <f t="shared" ca="1" si="48"/>
        <v/>
      </c>
      <c r="I1307" s="15">
        <f t="shared" ca="1" si="43"/>
        <v>947.81666666666661</v>
      </c>
      <c r="J1307" s="16">
        <f t="shared" ca="1" si="44"/>
        <v>970.63333333333321</v>
      </c>
      <c r="K1307" s="16"/>
      <c r="L1307" s="16">
        <f t="shared" ca="1" si="45"/>
        <v>927.63333333333321</v>
      </c>
      <c r="M1307" s="16">
        <f t="shared" ca="1" si="46"/>
        <v>990.81666666666661</v>
      </c>
      <c r="N1307" s="16">
        <f t="shared" ca="1" si="47"/>
        <v>904.81666666666661</v>
      </c>
    </row>
    <row r="1308" spans="1:14" ht="24.75" customHeight="1" x14ac:dyDescent="0.8">
      <c r="A1308" s="18" t="s">
        <v>1271</v>
      </c>
      <c r="B1308" s="10">
        <f ca="1">IFERROR(__xludf.DUMMYFUNCTION("GOOGLEFINANCE(A1308,""PRICE"")"),350.25)</f>
        <v>350.25</v>
      </c>
      <c r="C1308" s="11">
        <f ca="1">IFERROR(__xludf.DUMMYFUNCTION("GOOGLEFINANCE(A1308,""PRICEOPEN"")"),365)</f>
        <v>365</v>
      </c>
      <c r="D1308" s="11">
        <f ca="1">IFERROR(__xludf.DUMMYFUNCTION("GOOGLEFINANCE(A1308,""HIGH"")"),365)</f>
        <v>365</v>
      </c>
      <c r="E1308" s="11">
        <f ca="1">IFERROR(__xludf.DUMMYFUNCTION("GOOGLEFINANCE(A1308,""LOW"")"),346.35)</f>
        <v>346.35</v>
      </c>
      <c r="F1308" s="12" t="str">
        <f t="shared" ca="1" si="42"/>
        <v>SELL</v>
      </c>
      <c r="G1308" s="13">
        <f ca="1">IFERROR(__xludf.DUMMYFUNCTION("GOOGLEFINANCE(A1308,""CLOSEYEST"")"),361.9)</f>
        <v>361.9</v>
      </c>
      <c r="H1308" s="14" t="str">
        <f t="shared" ca="1" si="48"/>
        <v/>
      </c>
      <c r="I1308" s="15">
        <f t="shared" ca="1" si="43"/>
        <v>357.75</v>
      </c>
      <c r="J1308" s="16">
        <f t="shared" ca="1" si="44"/>
        <v>369.15</v>
      </c>
      <c r="K1308" s="16"/>
      <c r="L1308" s="16">
        <f t="shared" ca="1" si="45"/>
        <v>350.5</v>
      </c>
      <c r="M1308" s="16">
        <f t="shared" ca="1" si="46"/>
        <v>376.4</v>
      </c>
      <c r="N1308" s="16">
        <f t="shared" ca="1" si="47"/>
        <v>339.1</v>
      </c>
    </row>
    <row r="1309" spans="1:14" ht="24.75" customHeight="1" x14ac:dyDescent="0.8">
      <c r="A1309" s="18" t="s">
        <v>1272</v>
      </c>
      <c r="B1309" s="10" t="str">
        <f ca="1">IFERROR(__xludf.DUMMYFUNCTION("GOOGLEFINANCE(A1309,""PRICE"")"),"#N/A")</f>
        <v>#N/A</v>
      </c>
      <c r="C1309" s="11" t="str">
        <f ca="1">IFERROR(__xludf.DUMMYFUNCTION("GOOGLEFINANCE(A1309,""PRICEOPEN"")"),"#N/A")</f>
        <v>#N/A</v>
      </c>
      <c r="D1309" s="11" t="str">
        <f ca="1">IFERROR(__xludf.DUMMYFUNCTION("GOOGLEFINANCE(A1309,""HIGH"")"),"#N/A")</f>
        <v>#N/A</v>
      </c>
      <c r="E1309" s="11" t="str">
        <f ca="1">IFERROR(__xludf.DUMMYFUNCTION("GOOGLEFINANCE(A1309,""LOW"")"),"#N/A")</f>
        <v>#N/A</v>
      </c>
      <c r="F1309" s="12" t="str">
        <f t="shared" ca="1" si="42"/>
        <v>SELL</v>
      </c>
      <c r="G1309" s="13" t="str">
        <f ca="1">IFERROR(__xludf.DUMMYFUNCTION("GOOGLEFINANCE(A1309,""CLOSEYEST"")"),"#N/A")</f>
        <v>#N/A</v>
      </c>
      <c r="H1309" s="14" t="e">
        <f t="shared" ca="1" si="48"/>
        <v>#VALUE!</v>
      </c>
      <c r="I1309" s="15" t="e">
        <f t="shared" ca="1" si="43"/>
        <v>#VALUE!</v>
      </c>
      <c r="J1309" s="16" t="e">
        <f t="shared" ca="1" si="44"/>
        <v>#VALUE!</v>
      </c>
      <c r="K1309" s="16"/>
      <c r="L1309" s="16" t="e">
        <f t="shared" ca="1" si="45"/>
        <v>#VALUE!</v>
      </c>
      <c r="M1309" s="16" t="e">
        <f t="shared" ca="1" si="46"/>
        <v>#VALUE!</v>
      </c>
      <c r="N1309" s="16" t="e">
        <f t="shared" ca="1" si="47"/>
        <v>#VALUE!</v>
      </c>
    </row>
    <row r="1310" spans="1:14" ht="24.75" customHeight="1" x14ac:dyDescent="0.8">
      <c r="A1310" s="18" t="s">
        <v>1273</v>
      </c>
      <c r="B1310" s="10">
        <f ca="1">IFERROR(__xludf.DUMMYFUNCTION("GOOGLEFINANCE(A1310,""PRICE"")"),4.02)</f>
        <v>4.0199999999999996</v>
      </c>
      <c r="C1310" s="11">
        <f ca="1">IFERROR(__xludf.DUMMYFUNCTION("GOOGLEFINANCE(A1310,""PRICEOPEN"")"),4.03)</f>
        <v>4.03</v>
      </c>
      <c r="D1310" s="11">
        <f ca="1">IFERROR(__xludf.DUMMYFUNCTION("GOOGLEFINANCE(A1310,""HIGH"")"),4.25)</f>
        <v>4.25</v>
      </c>
      <c r="E1310" s="11">
        <f ca="1">IFERROR(__xludf.DUMMYFUNCTION("GOOGLEFINANCE(A1310,""LOW"")"),3.89)</f>
        <v>3.89</v>
      </c>
      <c r="F1310" s="12" t="str">
        <f t="shared" ca="1" si="42"/>
        <v/>
      </c>
      <c r="G1310" s="13">
        <f ca="1">IFERROR(__xludf.DUMMYFUNCTION("GOOGLEFINANCE(A1310,""CLOSEYEST"")"),4.08)</f>
        <v>4.08</v>
      </c>
      <c r="H1310" s="14" t="str">
        <f t="shared" ca="1" si="48"/>
        <v>GAP DOWN</v>
      </c>
      <c r="I1310" s="15">
        <f t="shared" ca="1" si="43"/>
        <v>4.0733333333333333</v>
      </c>
      <c r="J1310" s="16">
        <f t="shared" ca="1" si="44"/>
        <v>4.2566666666666659</v>
      </c>
      <c r="K1310" s="16"/>
      <c r="L1310" s="16">
        <f t="shared" ca="1" si="45"/>
        <v>3.8966666666666665</v>
      </c>
      <c r="M1310" s="16">
        <f t="shared" ca="1" si="46"/>
        <v>4.4333333333333327</v>
      </c>
      <c r="N1310" s="16">
        <f t="shared" ca="1" si="47"/>
        <v>3.7133333333333338</v>
      </c>
    </row>
    <row r="1311" spans="1:14" ht="24.75" customHeight="1" x14ac:dyDescent="0.8">
      <c r="A1311" s="18" t="s">
        <v>1274</v>
      </c>
      <c r="B1311" s="10">
        <f ca="1">IFERROR(__xludf.DUMMYFUNCTION("GOOGLEFINANCE(A1311,""PRICE"")"),33)</f>
        <v>33</v>
      </c>
      <c r="C1311" s="11">
        <f ca="1">IFERROR(__xludf.DUMMYFUNCTION("GOOGLEFINANCE(A1311,""PRICEOPEN"")"),34.75)</f>
        <v>34.75</v>
      </c>
      <c r="D1311" s="11">
        <f ca="1">IFERROR(__xludf.DUMMYFUNCTION("GOOGLEFINANCE(A1311,""HIGH"")"),34.75)</f>
        <v>34.75</v>
      </c>
      <c r="E1311" s="11">
        <f ca="1">IFERROR(__xludf.DUMMYFUNCTION("GOOGLEFINANCE(A1311,""LOW"")"),32.9)</f>
        <v>32.9</v>
      </c>
      <c r="F1311" s="12" t="str">
        <f t="shared" ca="1" si="42"/>
        <v>SELL</v>
      </c>
      <c r="G1311" s="13">
        <f ca="1">IFERROR(__xludf.DUMMYFUNCTION("GOOGLEFINANCE(A1311,""CLOSEYEST"")"),34.63)</f>
        <v>34.630000000000003</v>
      </c>
      <c r="H1311" s="14" t="str">
        <f t="shared" ca="1" si="48"/>
        <v/>
      </c>
      <c r="I1311" s="15">
        <f t="shared" ca="1" si="43"/>
        <v>34.093333333333334</v>
      </c>
      <c r="J1311" s="16">
        <f t="shared" ca="1" si="44"/>
        <v>35.286666666666669</v>
      </c>
      <c r="K1311" s="16"/>
      <c r="L1311" s="16">
        <f t="shared" ca="1" si="45"/>
        <v>33.436666666666667</v>
      </c>
      <c r="M1311" s="16">
        <f t="shared" ca="1" si="46"/>
        <v>35.943333333333335</v>
      </c>
      <c r="N1311" s="16">
        <f t="shared" ca="1" si="47"/>
        <v>32.243333333333332</v>
      </c>
    </row>
    <row r="1312" spans="1:14" ht="24.75" customHeight="1" x14ac:dyDescent="0.8">
      <c r="A1312" s="18" t="s">
        <v>1275</v>
      </c>
      <c r="B1312" s="10">
        <f ca="1">IFERROR(__xludf.DUMMYFUNCTION("GOOGLEFINANCE(A1312,""PRICE"")"),126.81)</f>
        <v>126.81</v>
      </c>
      <c r="C1312" s="11">
        <f ca="1">IFERROR(__xludf.DUMMYFUNCTION("GOOGLEFINANCE(A1312,""PRICEOPEN"")"),127.7)</f>
        <v>127.7</v>
      </c>
      <c r="D1312" s="11">
        <f ca="1">IFERROR(__xludf.DUMMYFUNCTION("GOOGLEFINANCE(A1312,""HIGH"")"),130)</f>
        <v>130</v>
      </c>
      <c r="E1312" s="11">
        <f ca="1">IFERROR(__xludf.DUMMYFUNCTION("GOOGLEFINANCE(A1312,""LOW"")"),126.75)</f>
        <v>126.75</v>
      </c>
      <c r="F1312" s="12" t="str">
        <f t="shared" ca="1" si="42"/>
        <v/>
      </c>
      <c r="G1312" s="13">
        <f ca="1">IFERROR(__xludf.DUMMYFUNCTION("GOOGLEFINANCE(A1312,""CLOSEYEST"")"),126.98)</f>
        <v>126.98</v>
      </c>
      <c r="H1312" s="14" t="str">
        <f t="shared" ca="1" si="48"/>
        <v/>
      </c>
      <c r="I1312" s="15">
        <f t="shared" ca="1" si="43"/>
        <v>127.91000000000001</v>
      </c>
      <c r="J1312" s="16">
        <f t="shared" ca="1" si="44"/>
        <v>129.07000000000002</v>
      </c>
      <c r="K1312" s="16"/>
      <c r="L1312" s="16">
        <f t="shared" ca="1" si="45"/>
        <v>125.82000000000002</v>
      </c>
      <c r="M1312" s="16">
        <f t="shared" ca="1" si="46"/>
        <v>131.16000000000003</v>
      </c>
      <c r="N1312" s="16">
        <f t="shared" ca="1" si="47"/>
        <v>124.66000000000001</v>
      </c>
    </row>
    <row r="1313" spans="1:14" ht="24.75" customHeight="1" x14ac:dyDescent="0.8">
      <c r="A1313" s="18" t="s">
        <v>1276</v>
      </c>
      <c r="B1313" s="10">
        <f ca="1">IFERROR(__xludf.DUMMYFUNCTION("GOOGLEFINANCE(A1313,""PRICE"")"),33.28)</f>
        <v>33.28</v>
      </c>
      <c r="C1313" s="11">
        <f ca="1">IFERROR(__xludf.DUMMYFUNCTION("GOOGLEFINANCE(A1313,""PRICEOPEN"")"),29.5)</f>
        <v>29.5</v>
      </c>
      <c r="D1313" s="11">
        <f ca="1">IFERROR(__xludf.DUMMYFUNCTION("GOOGLEFINANCE(A1313,""HIGH"")"),33.5)</f>
        <v>33.5</v>
      </c>
      <c r="E1313" s="11">
        <f ca="1">IFERROR(__xludf.DUMMYFUNCTION("GOOGLEFINANCE(A1313,""LOW"")"),29.5)</f>
        <v>29.5</v>
      </c>
      <c r="F1313" s="12" t="str">
        <f t="shared" ca="1" si="42"/>
        <v>BUY</v>
      </c>
      <c r="G1313" s="13">
        <f ca="1">IFERROR(__xludf.DUMMYFUNCTION("GOOGLEFINANCE(A1313,""CLOSEYEST"")"),30.55)</f>
        <v>30.55</v>
      </c>
      <c r="H1313" s="14" t="str">
        <f t="shared" ca="1" si="48"/>
        <v>GAP DOWN</v>
      </c>
      <c r="I1313" s="15">
        <f t="shared" ca="1" si="43"/>
        <v>31.183333333333334</v>
      </c>
      <c r="J1313" s="16">
        <f t="shared" ca="1" si="44"/>
        <v>32.866666666666667</v>
      </c>
      <c r="K1313" s="16"/>
      <c r="L1313" s="16">
        <f t="shared" ca="1" si="45"/>
        <v>28.866666666666667</v>
      </c>
      <c r="M1313" s="16">
        <f t="shared" ca="1" si="46"/>
        <v>35.183333333333337</v>
      </c>
      <c r="N1313" s="16">
        <f t="shared" ca="1" si="47"/>
        <v>27.183333333333334</v>
      </c>
    </row>
    <row r="1314" spans="1:14" ht="24.75" customHeight="1" x14ac:dyDescent="0.8">
      <c r="A1314" s="18" t="s">
        <v>1277</v>
      </c>
      <c r="B1314" s="10" t="str">
        <f ca="1">IFERROR(__xludf.DUMMYFUNCTION("GOOGLEFINANCE(A1314,""PRICE"")"),"#N/A")</f>
        <v>#N/A</v>
      </c>
      <c r="C1314" s="11" t="str">
        <f ca="1">IFERROR(__xludf.DUMMYFUNCTION("GOOGLEFINANCE(A1314,""PRICEOPEN"")"),"#N/A")</f>
        <v>#N/A</v>
      </c>
      <c r="D1314" s="11" t="str">
        <f ca="1">IFERROR(__xludf.DUMMYFUNCTION("GOOGLEFINANCE(A1314,""HIGH"")"),"#N/A")</f>
        <v>#N/A</v>
      </c>
      <c r="E1314" s="11" t="str">
        <f ca="1">IFERROR(__xludf.DUMMYFUNCTION("GOOGLEFINANCE(A1314,""LOW"")"),"#N/A")</f>
        <v>#N/A</v>
      </c>
      <c r="F1314" s="12" t="str">
        <f t="shared" ca="1" si="42"/>
        <v>SELL</v>
      </c>
      <c r="G1314" s="13" t="str">
        <f ca="1">IFERROR(__xludf.DUMMYFUNCTION("GOOGLEFINANCE(A1314,""CLOSEYEST"")"),"#N/A")</f>
        <v>#N/A</v>
      </c>
      <c r="H1314" s="14" t="e">
        <f t="shared" ca="1" si="48"/>
        <v>#VALUE!</v>
      </c>
      <c r="I1314" s="15" t="e">
        <f t="shared" ca="1" si="43"/>
        <v>#VALUE!</v>
      </c>
      <c r="J1314" s="16" t="e">
        <f t="shared" ca="1" si="44"/>
        <v>#VALUE!</v>
      </c>
      <c r="K1314" s="16"/>
      <c r="L1314" s="16" t="e">
        <f t="shared" ca="1" si="45"/>
        <v>#VALUE!</v>
      </c>
      <c r="M1314" s="16" t="e">
        <f t="shared" ca="1" si="46"/>
        <v>#VALUE!</v>
      </c>
      <c r="N1314" s="16" t="e">
        <f t="shared" ca="1" si="47"/>
        <v>#VALUE!</v>
      </c>
    </row>
    <row r="1315" spans="1:14" ht="24.75" customHeight="1" x14ac:dyDescent="0.8">
      <c r="A1315" s="18" t="s">
        <v>1278</v>
      </c>
      <c r="B1315" s="10">
        <f ca="1">IFERROR(__xludf.DUMMYFUNCTION("GOOGLEFINANCE(A1315,""PRICE"")"),19.2)</f>
        <v>19.2</v>
      </c>
      <c r="C1315" s="11">
        <f ca="1">IFERROR(__xludf.DUMMYFUNCTION("GOOGLEFINANCE(A1315,""PRICEOPEN"")"),18.45)</f>
        <v>18.45</v>
      </c>
      <c r="D1315" s="11">
        <f ca="1">IFERROR(__xludf.DUMMYFUNCTION("GOOGLEFINANCE(A1315,""HIGH"")"),19.49)</f>
        <v>19.489999999999998</v>
      </c>
      <c r="E1315" s="11">
        <f ca="1">IFERROR(__xludf.DUMMYFUNCTION("GOOGLEFINANCE(A1315,""LOW"")"),18.45)</f>
        <v>18.45</v>
      </c>
      <c r="F1315" s="12" t="str">
        <f t="shared" ca="1" si="42"/>
        <v>BUY</v>
      </c>
      <c r="G1315" s="13">
        <f ca="1">IFERROR(__xludf.DUMMYFUNCTION("GOOGLEFINANCE(A1315,""CLOSEYEST"")"),18.31)</f>
        <v>18.309999999999999</v>
      </c>
      <c r="H1315" s="14" t="str">
        <f t="shared" ca="1" si="48"/>
        <v/>
      </c>
      <c r="I1315" s="15">
        <f t="shared" ca="1" si="43"/>
        <v>18.75</v>
      </c>
      <c r="J1315" s="16">
        <f t="shared" ca="1" si="44"/>
        <v>19.05</v>
      </c>
      <c r="K1315" s="16"/>
      <c r="L1315" s="16">
        <f t="shared" ca="1" si="45"/>
        <v>18.010000000000002</v>
      </c>
      <c r="M1315" s="16">
        <f t="shared" ca="1" si="46"/>
        <v>19.79</v>
      </c>
      <c r="N1315" s="16">
        <f t="shared" ca="1" si="47"/>
        <v>17.71</v>
      </c>
    </row>
    <row r="1316" spans="1:14" ht="24.75" customHeight="1" x14ac:dyDescent="0.8">
      <c r="A1316" s="18" t="s">
        <v>1279</v>
      </c>
      <c r="B1316" s="10" t="str">
        <f ca="1">IFERROR(__xludf.DUMMYFUNCTION("GOOGLEFINANCE(A1316,""PRICE"")"),"#N/A")</f>
        <v>#N/A</v>
      </c>
      <c r="C1316" s="11" t="str">
        <f ca="1">IFERROR(__xludf.DUMMYFUNCTION("GOOGLEFINANCE(A1316,""PRICEOPEN"")"),"#N/A")</f>
        <v>#N/A</v>
      </c>
      <c r="D1316" s="11" t="str">
        <f ca="1">IFERROR(__xludf.DUMMYFUNCTION("GOOGLEFINANCE(A1316,""HIGH"")"),"#N/A")</f>
        <v>#N/A</v>
      </c>
      <c r="E1316" s="11" t="str">
        <f ca="1">IFERROR(__xludf.DUMMYFUNCTION("GOOGLEFINANCE(A1316,""LOW"")"),"#N/A")</f>
        <v>#N/A</v>
      </c>
      <c r="F1316" s="12" t="str">
        <f t="shared" ca="1" si="42"/>
        <v>SELL</v>
      </c>
      <c r="G1316" s="13" t="str">
        <f ca="1">IFERROR(__xludf.DUMMYFUNCTION("GOOGLEFINANCE(A1316,""CLOSEYEST"")"),"#N/A")</f>
        <v>#N/A</v>
      </c>
      <c r="H1316" s="14" t="e">
        <f t="shared" ca="1" si="48"/>
        <v>#VALUE!</v>
      </c>
      <c r="I1316" s="15" t="e">
        <f t="shared" ca="1" si="43"/>
        <v>#VALUE!</v>
      </c>
      <c r="J1316" s="16" t="e">
        <f t="shared" ca="1" si="44"/>
        <v>#VALUE!</v>
      </c>
      <c r="K1316" s="16"/>
      <c r="L1316" s="16" t="e">
        <f t="shared" ca="1" si="45"/>
        <v>#VALUE!</v>
      </c>
      <c r="M1316" s="16" t="e">
        <f t="shared" ca="1" si="46"/>
        <v>#VALUE!</v>
      </c>
      <c r="N1316" s="16" t="e">
        <f t="shared" ca="1" si="47"/>
        <v>#VALUE!</v>
      </c>
    </row>
    <row r="1317" spans="1:14" ht="24.75" customHeight="1" x14ac:dyDescent="0.8">
      <c r="A1317" s="18" t="s">
        <v>1280</v>
      </c>
      <c r="B1317" s="10">
        <f ca="1">IFERROR(__xludf.DUMMYFUNCTION("GOOGLEFINANCE(A1317,""PRICE"")"),16.55)</f>
        <v>16.55</v>
      </c>
      <c r="C1317" s="11">
        <f ca="1">IFERROR(__xludf.DUMMYFUNCTION("GOOGLEFINANCE(A1317,""PRICEOPEN"")"),16.01)</f>
        <v>16.010000000000002</v>
      </c>
      <c r="D1317" s="11">
        <f ca="1">IFERROR(__xludf.DUMMYFUNCTION("GOOGLEFINANCE(A1317,""HIGH"")"),16.72)</f>
        <v>16.72</v>
      </c>
      <c r="E1317" s="11">
        <f ca="1">IFERROR(__xludf.DUMMYFUNCTION("GOOGLEFINANCE(A1317,""LOW"")"),16.01)</f>
        <v>16.010000000000002</v>
      </c>
      <c r="F1317" s="12" t="str">
        <f t="shared" ca="1" si="42"/>
        <v>BUY</v>
      </c>
      <c r="G1317" s="13">
        <f ca="1">IFERROR(__xludf.DUMMYFUNCTION("GOOGLEFINANCE(A1317,""CLOSEYEST"")"),16.2)</f>
        <v>16.2</v>
      </c>
      <c r="H1317" s="14" t="str">
        <f t="shared" ca="1" si="48"/>
        <v>GAP DOWN</v>
      </c>
      <c r="I1317" s="15">
        <f t="shared" ca="1" si="43"/>
        <v>16.310000000000002</v>
      </c>
      <c r="J1317" s="16">
        <f t="shared" ca="1" si="44"/>
        <v>16.610000000000003</v>
      </c>
      <c r="K1317" s="16"/>
      <c r="L1317" s="16">
        <f t="shared" ca="1" si="45"/>
        <v>15.900000000000006</v>
      </c>
      <c r="M1317" s="16">
        <f t="shared" ca="1" si="46"/>
        <v>17.02</v>
      </c>
      <c r="N1317" s="16">
        <f t="shared" ca="1" si="47"/>
        <v>15.600000000000005</v>
      </c>
    </row>
    <row r="1318" spans="1:14" ht="24.75" customHeight="1" x14ac:dyDescent="0.8">
      <c r="A1318" s="18" t="s">
        <v>1281</v>
      </c>
      <c r="B1318" s="10">
        <f ca="1">IFERROR(__xludf.DUMMYFUNCTION("GOOGLEFINANCE(A1318,""PRICE"")"),2.44)</f>
        <v>2.44</v>
      </c>
      <c r="C1318" s="11">
        <f ca="1">IFERROR(__xludf.DUMMYFUNCTION("GOOGLEFINANCE(A1318,""PRICEOPEN"")"),2.36)</f>
        <v>2.36</v>
      </c>
      <c r="D1318" s="11">
        <f ca="1">IFERROR(__xludf.DUMMYFUNCTION("GOOGLEFINANCE(A1318,""HIGH"")"),2.46)</f>
        <v>2.46</v>
      </c>
      <c r="E1318" s="11">
        <f ca="1">IFERROR(__xludf.DUMMYFUNCTION("GOOGLEFINANCE(A1318,""LOW"")"),2.33)</f>
        <v>2.33</v>
      </c>
      <c r="F1318" s="12" t="str">
        <f t="shared" ca="1" si="42"/>
        <v/>
      </c>
      <c r="G1318" s="13">
        <f ca="1">IFERROR(__xludf.DUMMYFUNCTION("GOOGLEFINANCE(A1318,""CLOSEYEST"")"),2.36)</f>
        <v>2.36</v>
      </c>
      <c r="H1318" s="14" t="str">
        <f t="shared" ca="1" si="48"/>
        <v/>
      </c>
      <c r="I1318" s="15">
        <f t="shared" ca="1" si="43"/>
        <v>2.3833333333333333</v>
      </c>
      <c r="J1318" s="16">
        <f t="shared" ca="1" si="44"/>
        <v>2.4366666666666665</v>
      </c>
      <c r="K1318" s="16"/>
      <c r="L1318" s="16">
        <f t="shared" ca="1" si="45"/>
        <v>2.3066666666666666</v>
      </c>
      <c r="M1318" s="16">
        <f t="shared" ca="1" si="46"/>
        <v>2.5133333333333332</v>
      </c>
      <c r="N1318" s="16">
        <f t="shared" ca="1" si="47"/>
        <v>2.2533333333333334</v>
      </c>
    </row>
    <row r="1319" spans="1:14" ht="24.75" customHeight="1" x14ac:dyDescent="0.8">
      <c r="A1319" s="18" t="s">
        <v>1282</v>
      </c>
      <c r="B1319" s="10">
        <f ca="1">IFERROR(__xludf.DUMMYFUNCTION("GOOGLEFINANCE(A1319,""PRICE"")"),201.5)</f>
        <v>201.5</v>
      </c>
      <c r="C1319" s="11">
        <f ca="1">IFERROR(__xludf.DUMMYFUNCTION("GOOGLEFINANCE(A1319,""PRICEOPEN"")"),201.92)</f>
        <v>201.92</v>
      </c>
      <c r="D1319" s="11">
        <f ca="1">IFERROR(__xludf.DUMMYFUNCTION("GOOGLEFINANCE(A1319,""HIGH"")"),206.9)</f>
        <v>206.9</v>
      </c>
      <c r="E1319" s="11">
        <f ca="1">IFERROR(__xludf.DUMMYFUNCTION("GOOGLEFINANCE(A1319,""LOW"")"),200.99)</f>
        <v>200.99</v>
      </c>
      <c r="F1319" s="12" t="str">
        <f t="shared" ca="1" si="42"/>
        <v/>
      </c>
      <c r="G1319" s="13">
        <f ca="1">IFERROR(__xludf.DUMMYFUNCTION("GOOGLEFINANCE(A1319,""CLOSEYEST"")"),200.91)</f>
        <v>200.91</v>
      </c>
      <c r="H1319" s="14" t="str">
        <f t="shared" ca="1" si="48"/>
        <v/>
      </c>
      <c r="I1319" s="15">
        <f t="shared" ca="1" si="43"/>
        <v>202.93333333333331</v>
      </c>
      <c r="J1319" s="16">
        <f t="shared" ca="1" si="44"/>
        <v>204.87666666666661</v>
      </c>
      <c r="K1319" s="16"/>
      <c r="L1319" s="16">
        <f t="shared" ca="1" si="45"/>
        <v>198.96666666666661</v>
      </c>
      <c r="M1319" s="16">
        <f t="shared" ca="1" si="46"/>
        <v>208.84333333333331</v>
      </c>
      <c r="N1319" s="16">
        <f t="shared" ca="1" si="47"/>
        <v>197.02333333333331</v>
      </c>
    </row>
    <row r="1320" spans="1:14" ht="24.75" customHeight="1" x14ac:dyDescent="0.8">
      <c r="A1320" s="18" t="s">
        <v>1283</v>
      </c>
      <c r="B1320" s="10">
        <f ca="1">IFERROR(__xludf.DUMMYFUNCTION("GOOGLEFINANCE(A1320,""PRICE"")"),96.4)</f>
        <v>96.4</v>
      </c>
      <c r="C1320" s="11">
        <f ca="1">IFERROR(__xludf.DUMMYFUNCTION("GOOGLEFINANCE(A1320,""PRICEOPEN"")"),94.89)</f>
        <v>94.89</v>
      </c>
      <c r="D1320" s="11">
        <f ca="1">IFERROR(__xludf.DUMMYFUNCTION("GOOGLEFINANCE(A1320,""HIGH"")"),96.95)</f>
        <v>96.95</v>
      </c>
      <c r="E1320" s="11">
        <f ca="1">IFERROR(__xludf.DUMMYFUNCTION("GOOGLEFINANCE(A1320,""LOW"")"),94.21)</f>
        <v>94.21</v>
      </c>
      <c r="F1320" s="12" t="str">
        <f t="shared" ca="1" si="42"/>
        <v/>
      </c>
      <c r="G1320" s="13">
        <f ca="1">IFERROR(__xludf.DUMMYFUNCTION("GOOGLEFINANCE(A1320,""CLOSEYEST"")"),94.57)</f>
        <v>94.57</v>
      </c>
      <c r="H1320" s="14" t="str">
        <f t="shared" ca="1" si="48"/>
        <v/>
      </c>
      <c r="I1320" s="15">
        <f t="shared" ca="1" si="43"/>
        <v>95.243333333333339</v>
      </c>
      <c r="J1320" s="16">
        <f t="shared" ca="1" si="44"/>
        <v>96.276666666666685</v>
      </c>
      <c r="K1320" s="16"/>
      <c r="L1320" s="16">
        <f t="shared" ca="1" si="45"/>
        <v>93.536666666666676</v>
      </c>
      <c r="M1320" s="16">
        <f t="shared" ca="1" si="46"/>
        <v>97.983333333333348</v>
      </c>
      <c r="N1320" s="16">
        <f t="shared" ca="1" si="47"/>
        <v>92.50333333333333</v>
      </c>
    </row>
    <row r="1321" spans="1:14" ht="24.75" customHeight="1" x14ac:dyDescent="0.8">
      <c r="A1321" s="18" t="s">
        <v>1284</v>
      </c>
      <c r="B1321" s="10">
        <f ca="1">IFERROR(__xludf.DUMMYFUNCTION("GOOGLEFINANCE(A1321,""PRICE"")"),7)</f>
        <v>7</v>
      </c>
      <c r="C1321" s="11">
        <f ca="1">IFERROR(__xludf.DUMMYFUNCTION("GOOGLEFINANCE(A1321,""PRICEOPEN"")"),6.95)</f>
        <v>6.95</v>
      </c>
      <c r="D1321" s="11">
        <f ca="1">IFERROR(__xludf.DUMMYFUNCTION("GOOGLEFINANCE(A1321,""HIGH"")"),7.08)</f>
        <v>7.08</v>
      </c>
      <c r="E1321" s="11">
        <f ca="1">IFERROR(__xludf.DUMMYFUNCTION("GOOGLEFINANCE(A1321,""LOW"")"),6.95)</f>
        <v>6.95</v>
      </c>
      <c r="F1321" s="12" t="str">
        <f t="shared" ca="1" si="42"/>
        <v>BUY</v>
      </c>
      <c r="G1321" s="13">
        <f ca="1">IFERROR(__xludf.DUMMYFUNCTION("GOOGLEFINANCE(A1321,""CLOSEYEST"")"),7.03)</f>
        <v>7.03</v>
      </c>
      <c r="H1321" s="14" t="str">
        <f t="shared" ca="1" si="48"/>
        <v>GAP DOWN</v>
      </c>
      <c r="I1321" s="15">
        <f t="shared" ca="1" si="43"/>
        <v>7.0200000000000005</v>
      </c>
      <c r="J1321" s="16">
        <f t="shared" ca="1" si="44"/>
        <v>7.0900000000000007</v>
      </c>
      <c r="K1321" s="16"/>
      <c r="L1321" s="16">
        <f t="shared" ca="1" si="45"/>
        <v>6.9600000000000009</v>
      </c>
      <c r="M1321" s="16">
        <f t="shared" ca="1" si="46"/>
        <v>7.15</v>
      </c>
      <c r="N1321" s="16">
        <f t="shared" ca="1" si="47"/>
        <v>6.8900000000000006</v>
      </c>
    </row>
    <row r="1322" spans="1:14" ht="24.75" customHeight="1" x14ac:dyDescent="0.8">
      <c r="A1322" s="18" t="s">
        <v>1285</v>
      </c>
      <c r="B1322" s="10">
        <f ca="1">IFERROR(__xludf.DUMMYFUNCTION("GOOGLEFINANCE(A1322,""PRICE"")"),89.6)</f>
        <v>89.6</v>
      </c>
      <c r="C1322" s="11">
        <f ca="1">IFERROR(__xludf.DUMMYFUNCTION("GOOGLEFINANCE(A1322,""PRICEOPEN"")"),91.1)</f>
        <v>91.1</v>
      </c>
      <c r="D1322" s="11">
        <f ca="1">IFERROR(__xludf.DUMMYFUNCTION("GOOGLEFINANCE(A1322,""HIGH"")"),95)</f>
        <v>95</v>
      </c>
      <c r="E1322" s="11">
        <f ca="1">IFERROR(__xludf.DUMMYFUNCTION("GOOGLEFINANCE(A1322,""LOW"")"),89.01)</f>
        <v>89.01</v>
      </c>
      <c r="F1322" s="12" t="str">
        <f t="shared" ca="1" si="42"/>
        <v/>
      </c>
      <c r="G1322" s="13">
        <f ca="1">IFERROR(__xludf.DUMMYFUNCTION("GOOGLEFINANCE(A1322,""CLOSEYEST"")"),92.21)</f>
        <v>92.21</v>
      </c>
      <c r="H1322" s="14" t="str">
        <f t="shared" ca="1" si="48"/>
        <v>GAP DOWN</v>
      </c>
      <c r="I1322" s="15">
        <f t="shared" ca="1" si="43"/>
        <v>92.073333333333323</v>
      </c>
      <c r="J1322" s="16">
        <f t="shared" ca="1" si="44"/>
        <v>95.136666666666642</v>
      </c>
      <c r="K1322" s="16"/>
      <c r="L1322" s="16">
        <f t="shared" ca="1" si="45"/>
        <v>89.146666666666647</v>
      </c>
      <c r="M1322" s="16">
        <f t="shared" ca="1" si="46"/>
        <v>98.063333333333318</v>
      </c>
      <c r="N1322" s="16">
        <f t="shared" ca="1" si="47"/>
        <v>86.083333333333329</v>
      </c>
    </row>
    <row r="1323" spans="1:14" ht="24.75" customHeight="1" x14ac:dyDescent="0.8">
      <c r="A1323" s="18" t="s">
        <v>1286</v>
      </c>
      <c r="B1323" s="10" t="str">
        <f ca="1">IFERROR(__xludf.DUMMYFUNCTION("GOOGLEFINANCE(A1323,""PRICE"")"),"#N/A")</f>
        <v>#N/A</v>
      </c>
      <c r="C1323" s="11" t="str">
        <f ca="1">IFERROR(__xludf.DUMMYFUNCTION("GOOGLEFINANCE(A1323,""PRICEOPEN"")"),"#N/A")</f>
        <v>#N/A</v>
      </c>
      <c r="D1323" s="11" t="str">
        <f ca="1">IFERROR(__xludf.DUMMYFUNCTION("GOOGLEFINANCE(A1323,""HIGH"")"),"#N/A")</f>
        <v>#N/A</v>
      </c>
      <c r="E1323" s="11" t="str">
        <f ca="1">IFERROR(__xludf.DUMMYFUNCTION("GOOGLEFINANCE(A1323,""LOW"")"),"#N/A")</f>
        <v>#N/A</v>
      </c>
      <c r="F1323" s="12" t="str">
        <f t="shared" ca="1" si="42"/>
        <v>SELL</v>
      </c>
      <c r="G1323" s="13" t="str">
        <f ca="1">IFERROR(__xludf.DUMMYFUNCTION("GOOGLEFINANCE(A1323,""CLOSEYEST"")"),"#N/A")</f>
        <v>#N/A</v>
      </c>
      <c r="H1323" s="14" t="e">
        <f t="shared" ca="1" si="48"/>
        <v>#VALUE!</v>
      </c>
      <c r="I1323" s="15" t="e">
        <f t="shared" ca="1" si="43"/>
        <v>#VALUE!</v>
      </c>
      <c r="J1323" s="16" t="e">
        <f t="shared" ca="1" si="44"/>
        <v>#VALUE!</v>
      </c>
      <c r="K1323" s="16"/>
      <c r="L1323" s="16" t="e">
        <f t="shared" ca="1" si="45"/>
        <v>#VALUE!</v>
      </c>
      <c r="M1323" s="16" t="e">
        <f t="shared" ca="1" si="46"/>
        <v>#VALUE!</v>
      </c>
      <c r="N1323" s="16" t="e">
        <f t="shared" ca="1" si="47"/>
        <v>#VALUE!</v>
      </c>
    </row>
    <row r="1324" spans="1:14" ht="24.75" customHeight="1" x14ac:dyDescent="0.8">
      <c r="A1324" s="18" t="s">
        <v>1287</v>
      </c>
      <c r="B1324" s="10">
        <f ca="1">IFERROR(__xludf.DUMMYFUNCTION("GOOGLEFINANCE(A1324,""PRICE"")"),11.27)</f>
        <v>11.27</v>
      </c>
      <c r="C1324" s="11">
        <f ca="1">IFERROR(__xludf.DUMMYFUNCTION("GOOGLEFINANCE(A1324,""PRICEOPEN"")"),12.19)</f>
        <v>12.19</v>
      </c>
      <c r="D1324" s="11">
        <f ca="1">IFERROR(__xludf.DUMMYFUNCTION("GOOGLEFINANCE(A1324,""HIGH"")"),12.2)</f>
        <v>12.2</v>
      </c>
      <c r="E1324" s="11">
        <f ca="1">IFERROR(__xludf.DUMMYFUNCTION("GOOGLEFINANCE(A1324,""LOW"")"),11.18)</f>
        <v>11.18</v>
      </c>
      <c r="F1324" s="12" t="str">
        <f t="shared" ca="1" si="42"/>
        <v/>
      </c>
      <c r="G1324" s="13">
        <f ca="1">IFERROR(__xludf.DUMMYFUNCTION("GOOGLEFINANCE(A1324,""CLOSEYEST"")"),11.77)</f>
        <v>11.77</v>
      </c>
      <c r="H1324" s="14" t="str">
        <f t="shared" ca="1" si="48"/>
        <v>GAP UP</v>
      </c>
      <c r="I1324" s="15">
        <f t="shared" ca="1" si="43"/>
        <v>11.716666666666667</v>
      </c>
      <c r="J1324" s="16">
        <f t="shared" ca="1" si="44"/>
        <v>12.253333333333334</v>
      </c>
      <c r="K1324" s="16"/>
      <c r="L1324" s="16">
        <f t="shared" ca="1" si="45"/>
        <v>11.233333333333334</v>
      </c>
      <c r="M1324" s="16">
        <f t="shared" ca="1" si="46"/>
        <v>12.736666666666666</v>
      </c>
      <c r="N1324" s="16">
        <f t="shared" ca="1" si="47"/>
        <v>10.696666666666667</v>
      </c>
    </row>
    <row r="1325" spans="1:14" ht="24.75" customHeight="1" x14ac:dyDescent="0.8">
      <c r="A1325" s="18" t="s">
        <v>1288</v>
      </c>
      <c r="B1325" s="10">
        <f ca="1">IFERROR(__xludf.DUMMYFUNCTION("GOOGLEFINANCE(A1325,""PRICE"")"),30.6)</f>
        <v>30.6</v>
      </c>
      <c r="C1325" s="11">
        <f ca="1">IFERROR(__xludf.DUMMYFUNCTION("GOOGLEFINANCE(A1325,""PRICEOPEN"")"),30.11)</f>
        <v>30.11</v>
      </c>
      <c r="D1325" s="11">
        <f ca="1">IFERROR(__xludf.DUMMYFUNCTION("GOOGLEFINANCE(A1325,""HIGH"")"),30.68)</f>
        <v>30.68</v>
      </c>
      <c r="E1325" s="11">
        <f ca="1">IFERROR(__xludf.DUMMYFUNCTION("GOOGLEFINANCE(A1325,""LOW"")"),30)</f>
        <v>30</v>
      </c>
      <c r="F1325" s="12" t="str">
        <f t="shared" ca="1" si="42"/>
        <v/>
      </c>
      <c r="G1325" s="13">
        <f ca="1">IFERROR(__xludf.DUMMYFUNCTION("GOOGLEFINANCE(A1325,""CLOSEYEST"")"),30.18)</f>
        <v>30.18</v>
      </c>
      <c r="H1325" s="14" t="str">
        <f t="shared" ca="1" si="48"/>
        <v/>
      </c>
      <c r="I1325" s="15">
        <f t="shared" ca="1" si="43"/>
        <v>30.286666666666665</v>
      </c>
      <c r="J1325" s="16">
        <f t="shared" ca="1" si="44"/>
        <v>30.573333333333331</v>
      </c>
      <c r="K1325" s="16"/>
      <c r="L1325" s="16">
        <f t="shared" ca="1" si="45"/>
        <v>29.893333333333331</v>
      </c>
      <c r="M1325" s="16">
        <f t="shared" ca="1" si="46"/>
        <v>30.966666666666665</v>
      </c>
      <c r="N1325" s="16">
        <f t="shared" ca="1" si="47"/>
        <v>29.606666666666666</v>
      </c>
    </row>
    <row r="1326" spans="1:14" ht="24.75" customHeight="1" x14ac:dyDescent="0.8">
      <c r="A1326" s="18" t="s">
        <v>1289</v>
      </c>
      <c r="B1326" s="10">
        <f ca="1">IFERROR(__xludf.DUMMYFUNCTION("GOOGLEFINANCE(A1326,""PRICE"")"),1.96)</f>
        <v>1.96</v>
      </c>
      <c r="C1326" s="11">
        <f ca="1">IFERROR(__xludf.DUMMYFUNCTION("GOOGLEFINANCE(A1326,""PRICEOPEN"")"),1.9)</f>
        <v>1.9</v>
      </c>
      <c r="D1326" s="11">
        <f ca="1">IFERROR(__xludf.DUMMYFUNCTION("GOOGLEFINANCE(A1326,""HIGH"")"),2.09)</f>
        <v>2.09</v>
      </c>
      <c r="E1326" s="11">
        <f ca="1">IFERROR(__xludf.DUMMYFUNCTION("GOOGLEFINANCE(A1326,""LOW"")"),1.9)</f>
        <v>1.9</v>
      </c>
      <c r="F1326" s="12" t="str">
        <f t="shared" ca="1" si="42"/>
        <v>BUY</v>
      </c>
      <c r="G1326" s="13">
        <f ca="1">IFERROR(__xludf.DUMMYFUNCTION("GOOGLEFINANCE(A1326,""CLOSEYEST"")"),2.01)</f>
        <v>2.0099999999999998</v>
      </c>
      <c r="H1326" s="14" t="str">
        <f t="shared" ca="1" si="48"/>
        <v>GAP DOWN</v>
      </c>
      <c r="I1326" s="15">
        <f t="shared" ca="1" si="43"/>
        <v>2</v>
      </c>
      <c r="J1326" s="16">
        <f t="shared" ca="1" si="44"/>
        <v>2.1</v>
      </c>
      <c r="K1326" s="16"/>
      <c r="L1326" s="16">
        <f t="shared" ca="1" si="45"/>
        <v>1.9100000000000001</v>
      </c>
      <c r="M1326" s="16">
        <f t="shared" ca="1" si="46"/>
        <v>2.19</v>
      </c>
      <c r="N1326" s="16">
        <f t="shared" ca="1" si="47"/>
        <v>1.81</v>
      </c>
    </row>
    <row r="1327" spans="1:14" ht="24.75" customHeight="1" x14ac:dyDescent="0.8">
      <c r="A1327" s="18" t="s">
        <v>1290</v>
      </c>
      <c r="B1327" s="10" t="str">
        <f ca="1">IFERROR(__xludf.DUMMYFUNCTION("GOOGLEFINANCE(A1327,""PRICE"")"),"#N/A")</f>
        <v>#N/A</v>
      </c>
      <c r="C1327" s="11" t="str">
        <f ca="1">IFERROR(__xludf.DUMMYFUNCTION("GOOGLEFINANCE(A1327,""PRICEOPEN"")"),"#N/A")</f>
        <v>#N/A</v>
      </c>
      <c r="D1327" s="11" t="str">
        <f ca="1">IFERROR(__xludf.DUMMYFUNCTION("GOOGLEFINANCE(A1327,""HIGH"")"),"#N/A")</f>
        <v>#N/A</v>
      </c>
      <c r="E1327" s="11" t="str">
        <f ca="1">IFERROR(__xludf.DUMMYFUNCTION("GOOGLEFINANCE(A1327,""LOW"")"),"#N/A")</f>
        <v>#N/A</v>
      </c>
      <c r="F1327" s="12" t="str">
        <f t="shared" ca="1" si="42"/>
        <v>SELL</v>
      </c>
      <c r="G1327" s="13" t="str">
        <f ca="1">IFERROR(__xludf.DUMMYFUNCTION("GOOGLEFINANCE(A1327,""CLOSEYEST"")"),"#N/A")</f>
        <v>#N/A</v>
      </c>
      <c r="H1327" s="14" t="e">
        <f t="shared" ca="1" si="48"/>
        <v>#VALUE!</v>
      </c>
      <c r="I1327" s="15" t="e">
        <f t="shared" ca="1" si="43"/>
        <v>#VALUE!</v>
      </c>
      <c r="J1327" s="16" t="e">
        <f t="shared" ca="1" si="44"/>
        <v>#VALUE!</v>
      </c>
      <c r="K1327" s="16"/>
      <c r="L1327" s="16" t="e">
        <f t="shared" ca="1" si="45"/>
        <v>#VALUE!</v>
      </c>
      <c r="M1327" s="16" t="e">
        <f t="shared" ca="1" si="46"/>
        <v>#VALUE!</v>
      </c>
      <c r="N1327" s="16" t="e">
        <f t="shared" ca="1" si="47"/>
        <v>#VALUE!</v>
      </c>
    </row>
    <row r="1328" spans="1:14" ht="24.75" customHeight="1" x14ac:dyDescent="0.8">
      <c r="A1328" s="18" t="s">
        <v>1291</v>
      </c>
      <c r="B1328" s="10">
        <f ca="1">IFERROR(__xludf.DUMMYFUNCTION("GOOGLEFINANCE(A1328,""PRICE"")"),42.91)</f>
        <v>42.91</v>
      </c>
      <c r="C1328" s="11">
        <f ca="1">IFERROR(__xludf.DUMMYFUNCTION("GOOGLEFINANCE(A1328,""PRICEOPEN"")"),39.12)</f>
        <v>39.119999999999997</v>
      </c>
      <c r="D1328" s="11">
        <f ca="1">IFERROR(__xludf.DUMMYFUNCTION("GOOGLEFINANCE(A1328,""HIGH"")"),42.91)</f>
        <v>42.91</v>
      </c>
      <c r="E1328" s="11">
        <f ca="1">IFERROR(__xludf.DUMMYFUNCTION("GOOGLEFINANCE(A1328,""LOW"")"),39.02)</f>
        <v>39.020000000000003</v>
      </c>
      <c r="F1328" s="12" t="str">
        <f t="shared" ca="1" si="42"/>
        <v/>
      </c>
      <c r="G1328" s="13">
        <f ca="1">IFERROR(__xludf.DUMMYFUNCTION("GOOGLEFINANCE(A1328,""CLOSEYEST"")"),39.01)</f>
        <v>39.01</v>
      </c>
      <c r="H1328" s="14" t="str">
        <f t="shared" ca="1" si="48"/>
        <v/>
      </c>
      <c r="I1328" s="15">
        <f t="shared" ca="1" si="43"/>
        <v>40.313333333333333</v>
      </c>
      <c r="J1328" s="16">
        <f t="shared" ca="1" si="44"/>
        <v>41.606666666666662</v>
      </c>
      <c r="K1328" s="16"/>
      <c r="L1328" s="16">
        <f t="shared" ca="1" si="45"/>
        <v>37.716666666666669</v>
      </c>
      <c r="M1328" s="16">
        <f t="shared" ca="1" si="46"/>
        <v>44.203333333333326</v>
      </c>
      <c r="N1328" s="16">
        <f t="shared" ca="1" si="47"/>
        <v>36.423333333333339</v>
      </c>
    </row>
    <row r="1329" spans="1:14" ht="24.75" customHeight="1" x14ac:dyDescent="0.8">
      <c r="A1329" s="18" t="s">
        <v>1292</v>
      </c>
      <c r="B1329" s="10">
        <f ca="1">IFERROR(__xludf.DUMMYFUNCTION("GOOGLEFINANCE(A1329,""PRICE"")"),45.1)</f>
        <v>45.1</v>
      </c>
      <c r="C1329" s="11">
        <f ca="1">IFERROR(__xludf.DUMMYFUNCTION("GOOGLEFINANCE(A1329,""PRICEOPEN"")"),45.05)</f>
        <v>45.05</v>
      </c>
      <c r="D1329" s="11">
        <f ca="1">IFERROR(__xludf.DUMMYFUNCTION("GOOGLEFINANCE(A1329,""HIGH"")"),45.75)</f>
        <v>45.75</v>
      </c>
      <c r="E1329" s="11">
        <f ca="1">IFERROR(__xludf.DUMMYFUNCTION("GOOGLEFINANCE(A1329,""LOW"")"),44.06)</f>
        <v>44.06</v>
      </c>
      <c r="F1329" s="12" t="str">
        <f t="shared" ca="1" si="42"/>
        <v/>
      </c>
      <c r="G1329" s="13">
        <f ca="1">IFERROR(__xludf.DUMMYFUNCTION("GOOGLEFINANCE(A1329,""CLOSEYEST"")"),44.82)</f>
        <v>44.82</v>
      </c>
      <c r="H1329" s="14" t="str">
        <f t="shared" ca="1" si="48"/>
        <v/>
      </c>
      <c r="I1329" s="15">
        <f t="shared" ca="1" si="43"/>
        <v>44.876666666666665</v>
      </c>
      <c r="J1329" s="16">
        <f t="shared" ca="1" si="44"/>
        <v>45.693333333333328</v>
      </c>
      <c r="K1329" s="16"/>
      <c r="L1329" s="16">
        <f t="shared" ca="1" si="45"/>
        <v>44.00333333333333</v>
      </c>
      <c r="M1329" s="16">
        <f t="shared" ca="1" si="46"/>
        <v>46.566666666666663</v>
      </c>
      <c r="N1329" s="16">
        <f t="shared" ca="1" si="47"/>
        <v>43.186666666666667</v>
      </c>
    </row>
    <row r="1330" spans="1:14" ht="24.75" customHeight="1" x14ac:dyDescent="0.8">
      <c r="A1330" s="18" t="s">
        <v>1293</v>
      </c>
      <c r="B1330" s="10">
        <f ca="1">IFERROR(__xludf.DUMMYFUNCTION("GOOGLEFINANCE(A1330,""PRICE"")"),1100)</f>
        <v>1100</v>
      </c>
      <c r="C1330" s="11">
        <f ca="1">IFERROR(__xludf.DUMMYFUNCTION("GOOGLEFINANCE(A1330,""PRICEOPEN"")"),1125)</f>
        <v>1125</v>
      </c>
      <c r="D1330" s="11">
        <f ca="1">IFERROR(__xludf.DUMMYFUNCTION("GOOGLEFINANCE(A1330,""HIGH"")"),1125)</f>
        <v>1125</v>
      </c>
      <c r="E1330" s="11">
        <f ca="1">IFERROR(__xludf.DUMMYFUNCTION("GOOGLEFINANCE(A1330,""LOW"")"),1097.3)</f>
        <v>1097.3</v>
      </c>
      <c r="F1330" s="12" t="str">
        <f t="shared" ca="1" si="42"/>
        <v>SELL</v>
      </c>
      <c r="G1330" s="13">
        <f ca="1">IFERROR(__xludf.DUMMYFUNCTION("GOOGLEFINANCE(A1330,""CLOSEYEST"")"),1100.5)</f>
        <v>1100.5</v>
      </c>
      <c r="H1330" s="14" t="str">
        <f t="shared" ca="1" si="48"/>
        <v>GAP UP</v>
      </c>
      <c r="I1330" s="15">
        <f t="shared" ca="1" si="43"/>
        <v>1107.6000000000001</v>
      </c>
      <c r="J1330" s="16">
        <f t="shared" ca="1" si="44"/>
        <v>1117.9000000000003</v>
      </c>
      <c r="K1330" s="16"/>
      <c r="L1330" s="16">
        <f t="shared" ca="1" si="45"/>
        <v>1090.2000000000003</v>
      </c>
      <c r="M1330" s="16">
        <f t="shared" ca="1" si="46"/>
        <v>1135.3000000000002</v>
      </c>
      <c r="N1330" s="16">
        <f t="shared" ca="1" si="47"/>
        <v>1079.9000000000001</v>
      </c>
    </row>
    <row r="1331" spans="1:14" ht="24.75" customHeight="1" x14ac:dyDescent="0.8">
      <c r="A1331" s="18" t="s">
        <v>1294</v>
      </c>
      <c r="B1331" s="10">
        <f ca="1">IFERROR(__xludf.DUMMYFUNCTION("GOOGLEFINANCE(A1331,""PRICE"")"),126.5)</f>
        <v>126.5</v>
      </c>
      <c r="C1331" s="11">
        <f ca="1">IFERROR(__xludf.DUMMYFUNCTION("GOOGLEFINANCE(A1331,""PRICEOPEN"")"),125.61)</f>
        <v>125.61</v>
      </c>
      <c r="D1331" s="11">
        <f ca="1">IFERROR(__xludf.DUMMYFUNCTION("GOOGLEFINANCE(A1331,""HIGH"")"),127)</f>
        <v>127</v>
      </c>
      <c r="E1331" s="11">
        <f ca="1">IFERROR(__xludf.DUMMYFUNCTION("GOOGLEFINANCE(A1331,""LOW"")"),124.32)</f>
        <v>124.32</v>
      </c>
      <c r="F1331" s="12" t="str">
        <f t="shared" ca="1" si="42"/>
        <v/>
      </c>
      <c r="G1331" s="13">
        <f ca="1">IFERROR(__xludf.DUMMYFUNCTION("GOOGLEFINANCE(A1331,""CLOSEYEST"")"),124.59)</f>
        <v>124.59</v>
      </c>
      <c r="H1331" s="14" t="str">
        <f t="shared" ca="1" si="48"/>
        <v/>
      </c>
      <c r="I1331" s="15">
        <f t="shared" ca="1" si="43"/>
        <v>125.30333333333333</v>
      </c>
      <c r="J1331" s="16">
        <f t="shared" ca="1" si="44"/>
        <v>126.28666666666666</v>
      </c>
      <c r="K1331" s="16"/>
      <c r="L1331" s="16">
        <f t="shared" ca="1" si="45"/>
        <v>123.60666666666665</v>
      </c>
      <c r="M1331" s="16">
        <f t="shared" ca="1" si="46"/>
        <v>127.98333333333333</v>
      </c>
      <c r="N1331" s="16">
        <f t="shared" ca="1" si="47"/>
        <v>122.62333333333332</v>
      </c>
    </row>
    <row r="1332" spans="1:14" ht="24.75" customHeight="1" x14ac:dyDescent="0.8">
      <c r="A1332" s="18" t="s">
        <v>1295</v>
      </c>
      <c r="B1332" s="10">
        <f ca="1">IFERROR(__xludf.DUMMYFUNCTION("GOOGLEFINANCE(A1332,""PRICE"")"),8.12)</f>
        <v>8.1199999999999992</v>
      </c>
      <c r="C1332" s="11">
        <f ca="1">IFERROR(__xludf.DUMMYFUNCTION("GOOGLEFINANCE(A1332,""PRICEOPEN"")"),8.23)</f>
        <v>8.23</v>
      </c>
      <c r="D1332" s="11">
        <f ca="1">IFERROR(__xludf.DUMMYFUNCTION("GOOGLEFINANCE(A1332,""HIGH"")"),8.23)</f>
        <v>8.23</v>
      </c>
      <c r="E1332" s="11">
        <f ca="1">IFERROR(__xludf.DUMMYFUNCTION("GOOGLEFINANCE(A1332,""LOW"")"),8.05)</f>
        <v>8.0500000000000007</v>
      </c>
      <c r="F1332" s="12" t="str">
        <f t="shared" ca="1" si="42"/>
        <v>SELL</v>
      </c>
      <c r="G1332" s="13">
        <f ca="1">IFERROR(__xludf.DUMMYFUNCTION("GOOGLEFINANCE(A1332,""CLOSEYEST"")"),8.06)</f>
        <v>8.06</v>
      </c>
      <c r="H1332" s="14" t="str">
        <f t="shared" ca="1" si="48"/>
        <v>GAP UP</v>
      </c>
      <c r="I1332" s="15">
        <f t="shared" ca="1" si="43"/>
        <v>8.1133333333333351</v>
      </c>
      <c r="J1332" s="16">
        <f t="shared" ca="1" si="44"/>
        <v>8.1766666666666694</v>
      </c>
      <c r="K1332" s="16"/>
      <c r="L1332" s="16">
        <f t="shared" ca="1" si="45"/>
        <v>7.9966666666666697</v>
      </c>
      <c r="M1332" s="16">
        <f t="shared" ca="1" si="46"/>
        <v>8.2933333333333348</v>
      </c>
      <c r="N1332" s="16">
        <f t="shared" ca="1" si="47"/>
        <v>7.9333333333333353</v>
      </c>
    </row>
    <row r="1333" spans="1:14" ht="24.75" customHeight="1" x14ac:dyDescent="0.8">
      <c r="A1333" s="18" t="s">
        <v>1296</v>
      </c>
      <c r="B1333" s="10">
        <f ca="1">IFERROR(__xludf.DUMMYFUNCTION("GOOGLEFINANCE(A1333,""PRICE"")"),20.69)</f>
        <v>20.69</v>
      </c>
      <c r="C1333" s="11">
        <f ca="1">IFERROR(__xludf.DUMMYFUNCTION("GOOGLEFINANCE(A1333,""PRICEOPEN"")"),20.79)</f>
        <v>20.79</v>
      </c>
      <c r="D1333" s="11">
        <f ca="1">IFERROR(__xludf.DUMMYFUNCTION("GOOGLEFINANCE(A1333,""HIGH"")"),20.79)</f>
        <v>20.79</v>
      </c>
      <c r="E1333" s="11">
        <f ca="1">IFERROR(__xludf.DUMMYFUNCTION("GOOGLEFINANCE(A1333,""LOW"")"),20.37)</f>
        <v>20.37</v>
      </c>
      <c r="F1333" s="12" t="str">
        <f t="shared" ca="1" si="42"/>
        <v>SELL</v>
      </c>
      <c r="G1333" s="13">
        <f ca="1">IFERROR(__xludf.DUMMYFUNCTION("GOOGLEFINANCE(A1333,""CLOSEYEST"")"),20.4)</f>
        <v>20.399999999999999</v>
      </c>
      <c r="H1333" s="14" t="str">
        <f t="shared" ca="1" si="48"/>
        <v>GAP UP</v>
      </c>
      <c r="I1333" s="15">
        <f t="shared" ca="1" si="43"/>
        <v>20.52</v>
      </c>
      <c r="J1333" s="16">
        <f t="shared" ca="1" si="44"/>
        <v>20.669999999999998</v>
      </c>
      <c r="K1333" s="16"/>
      <c r="L1333" s="16">
        <f t="shared" ca="1" si="45"/>
        <v>20.25</v>
      </c>
      <c r="M1333" s="16">
        <f t="shared" ca="1" si="46"/>
        <v>20.939999999999998</v>
      </c>
      <c r="N1333" s="16">
        <f t="shared" ca="1" si="47"/>
        <v>20.100000000000001</v>
      </c>
    </row>
    <row r="1334" spans="1:14" ht="24.75" customHeight="1" x14ac:dyDescent="0.8">
      <c r="A1334" s="18" t="s">
        <v>1297</v>
      </c>
      <c r="B1334" s="10">
        <f ca="1">IFERROR(__xludf.DUMMYFUNCTION("GOOGLEFINANCE(A1334,""PRICE"")"),27.8)</f>
        <v>27.8</v>
      </c>
      <c r="C1334" s="11">
        <f ca="1">IFERROR(__xludf.DUMMYFUNCTION("GOOGLEFINANCE(A1334,""PRICEOPEN"")"),27.99)</f>
        <v>27.99</v>
      </c>
      <c r="D1334" s="11">
        <f ca="1">IFERROR(__xludf.DUMMYFUNCTION("GOOGLEFINANCE(A1334,""HIGH"")"),28.04)</f>
        <v>28.04</v>
      </c>
      <c r="E1334" s="11">
        <f ca="1">IFERROR(__xludf.DUMMYFUNCTION("GOOGLEFINANCE(A1334,""LOW"")"),27.37)</f>
        <v>27.37</v>
      </c>
      <c r="F1334" s="12" t="str">
        <f t="shared" ca="1" si="42"/>
        <v/>
      </c>
      <c r="G1334" s="13">
        <f ca="1">IFERROR(__xludf.DUMMYFUNCTION("GOOGLEFINANCE(A1334,""CLOSEYEST"")"),27.92)</f>
        <v>27.92</v>
      </c>
      <c r="H1334" s="14" t="str">
        <f t="shared" ca="1" si="48"/>
        <v/>
      </c>
      <c r="I1334" s="15">
        <f t="shared" ca="1" si="43"/>
        <v>27.776666666666667</v>
      </c>
      <c r="J1334" s="16">
        <f t="shared" ca="1" si="44"/>
        <v>28.183333333333334</v>
      </c>
      <c r="K1334" s="16"/>
      <c r="L1334" s="16">
        <f t="shared" ca="1" si="45"/>
        <v>27.513333333333335</v>
      </c>
      <c r="M1334" s="16">
        <f t="shared" ca="1" si="46"/>
        <v>28.446666666666665</v>
      </c>
      <c r="N1334" s="16">
        <f t="shared" ca="1" si="47"/>
        <v>27.106666666666669</v>
      </c>
    </row>
    <row r="1335" spans="1:14" ht="24.75" customHeight="1" x14ac:dyDescent="0.8">
      <c r="A1335" s="18" t="s">
        <v>1298</v>
      </c>
      <c r="B1335" s="10">
        <f ca="1">IFERROR(__xludf.DUMMYFUNCTION("GOOGLEFINANCE(A1335,""PRICE"")"),217.94)</f>
        <v>217.94</v>
      </c>
      <c r="C1335" s="11">
        <f ca="1">IFERROR(__xludf.DUMMYFUNCTION("GOOGLEFINANCE(A1335,""PRICEOPEN"")"),215.99)</f>
        <v>215.99</v>
      </c>
      <c r="D1335" s="11">
        <f ca="1">IFERROR(__xludf.DUMMYFUNCTION("GOOGLEFINANCE(A1335,""HIGH"")"),218.89)</f>
        <v>218.89</v>
      </c>
      <c r="E1335" s="11">
        <f ca="1">IFERROR(__xludf.DUMMYFUNCTION("GOOGLEFINANCE(A1335,""LOW"")"),214.78)</f>
        <v>214.78</v>
      </c>
      <c r="F1335" s="12" t="str">
        <f t="shared" ca="1" si="42"/>
        <v/>
      </c>
      <c r="G1335" s="13">
        <f ca="1">IFERROR(__xludf.DUMMYFUNCTION("GOOGLEFINANCE(A1335,""CLOSEYEST"")"),213.99)</f>
        <v>213.99</v>
      </c>
      <c r="H1335" s="14" t="str">
        <f t="shared" ca="1" si="48"/>
        <v/>
      </c>
      <c r="I1335" s="15">
        <f t="shared" ca="1" si="43"/>
        <v>215.88666666666666</v>
      </c>
      <c r="J1335" s="16">
        <f t="shared" ca="1" si="44"/>
        <v>216.99333333333331</v>
      </c>
      <c r="K1335" s="16"/>
      <c r="L1335" s="16">
        <f t="shared" ca="1" si="45"/>
        <v>212.88333333333333</v>
      </c>
      <c r="M1335" s="16">
        <f t="shared" ca="1" si="46"/>
        <v>219.99666666666664</v>
      </c>
      <c r="N1335" s="16">
        <f t="shared" ca="1" si="47"/>
        <v>211.77666666666667</v>
      </c>
    </row>
    <row r="1336" spans="1:14" ht="24.75" customHeight="1" x14ac:dyDescent="0.8">
      <c r="A1336" s="18" t="s">
        <v>1299</v>
      </c>
      <c r="B1336" s="10">
        <f ca="1">IFERROR(__xludf.DUMMYFUNCTION("GOOGLEFINANCE(A1336,""PRICE"")"),41.62)</f>
        <v>41.62</v>
      </c>
      <c r="C1336" s="11">
        <f ca="1">IFERROR(__xludf.DUMMYFUNCTION("GOOGLEFINANCE(A1336,""PRICEOPEN"")"),41.8)</f>
        <v>41.8</v>
      </c>
      <c r="D1336" s="11">
        <f ca="1">IFERROR(__xludf.DUMMYFUNCTION("GOOGLEFINANCE(A1336,""HIGH"")"),42.4)</f>
        <v>42.4</v>
      </c>
      <c r="E1336" s="11">
        <f ca="1">IFERROR(__xludf.DUMMYFUNCTION("GOOGLEFINANCE(A1336,""LOW"")"),41.45)</f>
        <v>41.45</v>
      </c>
      <c r="F1336" s="12" t="str">
        <f t="shared" ca="1" si="42"/>
        <v/>
      </c>
      <c r="G1336" s="13">
        <f ca="1">IFERROR(__xludf.DUMMYFUNCTION("GOOGLEFINANCE(A1336,""CLOSEYEST"")"),41.91)</f>
        <v>41.91</v>
      </c>
      <c r="H1336" s="14" t="str">
        <f t="shared" ca="1" si="48"/>
        <v/>
      </c>
      <c r="I1336" s="15">
        <f t="shared" ca="1" si="43"/>
        <v>41.919999999999995</v>
      </c>
      <c r="J1336" s="16">
        <f t="shared" ca="1" si="44"/>
        <v>42.389999999999986</v>
      </c>
      <c r="K1336" s="16"/>
      <c r="L1336" s="16">
        <f t="shared" ca="1" si="45"/>
        <v>41.439999999999991</v>
      </c>
      <c r="M1336" s="16">
        <f t="shared" ca="1" si="46"/>
        <v>42.86999999999999</v>
      </c>
      <c r="N1336" s="16">
        <f t="shared" ca="1" si="47"/>
        <v>40.97</v>
      </c>
    </row>
    <row r="1337" spans="1:14" ht="24.75" customHeight="1" x14ac:dyDescent="0.8">
      <c r="A1337" s="18" t="s">
        <v>1300</v>
      </c>
      <c r="B1337" s="10">
        <f ca="1">IFERROR(__xludf.DUMMYFUNCTION("GOOGLEFINANCE(A1337,""PRICE"")"),7.6)</f>
        <v>7.6</v>
      </c>
      <c r="C1337" s="11">
        <f ca="1">IFERROR(__xludf.DUMMYFUNCTION("GOOGLEFINANCE(A1337,""PRICEOPEN"")"),7.35)</f>
        <v>7.35</v>
      </c>
      <c r="D1337" s="11">
        <f ca="1">IFERROR(__xludf.DUMMYFUNCTION("GOOGLEFINANCE(A1337,""HIGH"")"),7.72)</f>
        <v>7.72</v>
      </c>
      <c r="E1337" s="11">
        <f ca="1">IFERROR(__xludf.DUMMYFUNCTION("GOOGLEFINANCE(A1337,""LOW"")"),7.35)</f>
        <v>7.35</v>
      </c>
      <c r="F1337" s="12" t="str">
        <f t="shared" ca="1" si="42"/>
        <v>BUY</v>
      </c>
      <c r="G1337" s="13">
        <f ca="1">IFERROR(__xludf.DUMMYFUNCTION("GOOGLEFINANCE(A1337,""CLOSEYEST"")"),7.54)</f>
        <v>7.54</v>
      </c>
      <c r="H1337" s="14" t="str">
        <f t="shared" ca="1" si="48"/>
        <v>GAP DOWN</v>
      </c>
      <c r="I1337" s="15">
        <f t="shared" ca="1" si="43"/>
        <v>7.5366666666666662</v>
      </c>
      <c r="J1337" s="16">
        <f t="shared" ca="1" si="44"/>
        <v>7.7233333333333327</v>
      </c>
      <c r="K1337" s="16"/>
      <c r="L1337" s="16">
        <f t="shared" ca="1" si="45"/>
        <v>7.3533333333333326</v>
      </c>
      <c r="M1337" s="16">
        <f t="shared" ca="1" si="46"/>
        <v>7.9066666666666663</v>
      </c>
      <c r="N1337" s="16">
        <f t="shared" ca="1" si="47"/>
        <v>7.1666666666666661</v>
      </c>
    </row>
    <row r="1338" spans="1:14" ht="24.75" customHeight="1" x14ac:dyDescent="0.8">
      <c r="A1338" s="18" t="s">
        <v>1301</v>
      </c>
      <c r="B1338" s="10">
        <f ca="1">IFERROR(__xludf.DUMMYFUNCTION("GOOGLEFINANCE(A1338,""PRICE"")"),213.59)</f>
        <v>213.59</v>
      </c>
      <c r="C1338" s="11">
        <f ca="1">IFERROR(__xludf.DUMMYFUNCTION("GOOGLEFINANCE(A1338,""PRICEOPEN"")"),219.23)</f>
        <v>219.23</v>
      </c>
      <c r="D1338" s="11">
        <f ca="1">IFERROR(__xludf.DUMMYFUNCTION("GOOGLEFINANCE(A1338,""HIGH"")"),222.4)</f>
        <v>222.4</v>
      </c>
      <c r="E1338" s="11">
        <f ca="1">IFERROR(__xludf.DUMMYFUNCTION("GOOGLEFINANCE(A1338,""LOW"")"),212.05)</f>
        <v>212.05</v>
      </c>
      <c r="F1338" s="12" t="str">
        <f t="shared" ca="1" si="42"/>
        <v/>
      </c>
      <c r="G1338" s="13">
        <f ca="1">IFERROR(__xludf.DUMMYFUNCTION("GOOGLEFINANCE(A1338,""CLOSEYEST"")"),217.3)</f>
        <v>217.3</v>
      </c>
      <c r="H1338" s="14" t="str">
        <f t="shared" ca="1" si="48"/>
        <v/>
      </c>
      <c r="I1338" s="15">
        <f t="shared" ca="1" si="43"/>
        <v>217.25</v>
      </c>
      <c r="J1338" s="16">
        <f t="shared" ca="1" si="44"/>
        <v>222.45</v>
      </c>
      <c r="K1338" s="16"/>
      <c r="L1338" s="16">
        <f t="shared" ca="1" si="45"/>
        <v>212.1</v>
      </c>
      <c r="M1338" s="16">
        <f t="shared" ca="1" si="46"/>
        <v>227.6</v>
      </c>
      <c r="N1338" s="16">
        <f t="shared" ca="1" si="47"/>
        <v>206.9</v>
      </c>
    </row>
    <row r="1339" spans="1:14" ht="24.75" customHeight="1" x14ac:dyDescent="0.8">
      <c r="A1339" s="18" t="s">
        <v>1302</v>
      </c>
      <c r="B1339" s="10">
        <f ca="1">IFERROR(__xludf.DUMMYFUNCTION("GOOGLEFINANCE(A1339,""PRICE"")"),365.85)</f>
        <v>365.85</v>
      </c>
      <c r="C1339" s="11">
        <f ca="1">IFERROR(__xludf.DUMMYFUNCTION("GOOGLEFINANCE(A1339,""PRICEOPEN"")"),365.1)</f>
        <v>365.1</v>
      </c>
      <c r="D1339" s="11">
        <f ca="1">IFERROR(__xludf.DUMMYFUNCTION("GOOGLEFINANCE(A1339,""HIGH"")"),367.05)</f>
        <v>367.05</v>
      </c>
      <c r="E1339" s="11">
        <f ca="1">IFERROR(__xludf.DUMMYFUNCTION("GOOGLEFINANCE(A1339,""LOW"")"),361.5)</f>
        <v>361.5</v>
      </c>
      <c r="F1339" s="12" t="str">
        <f t="shared" ca="1" si="42"/>
        <v/>
      </c>
      <c r="G1339" s="13">
        <f ca="1">IFERROR(__xludf.DUMMYFUNCTION("GOOGLEFINANCE(A1339,""CLOSEYEST"")"),365.55)</f>
        <v>365.55</v>
      </c>
      <c r="H1339" s="14" t="str">
        <f t="shared" ca="1" si="48"/>
        <v/>
      </c>
      <c r="I1339" s="15">
        <f t="shared" ca="1" si="43"/>
        <v>364.7</v>
      </c>
      <c r="J1339" s="16">
        <f t="shared" ca="1" si="44"/>
        <v>367.9</v>
      </c>
      <c r="K1339" s="16"/>
      <c r="L1339" s="16">
        <f t="shared" ca="1" si="45"/>
        <v>362.34999999999997</v>
      </c>
      <c r="M1339" s="16">
        <f t="shared" ca="1" si="46"/>
        <v>370.25</v>
      </c>
      <c r="N1339" s="16">
        <f t="shared" ca="1" si="47"/>
        <v>359.15</v>
      </c>
    </row>
    <row r="1340" spans="1:14" ht="24.75" customHeight="1" x14ac:dyDescent="0.8">
      <c r="A1340" s="18" t="s">
        <v>1303</v>
      </c>
      <c r="B1340" s="10">
        <f ca="1">IFERROR(__xludf.DUMMYFUNCTION("GOOGLEFINANCE(A1340,""PRICE"")"),181.49)</f>
        <v>181.49</v>
      </c>
      <c r="C1340" s="11">
        <f ca="1">IFERROR(__xludf.DUMMYFUNCTION("GOOGLEFINANCE(A1340,""PRICEOPEN"")"),181)</f>
        <v>181</v>
      </c>
      <c r="D1340" s="11">
        <f ca="1">IFERROR(__xludf.DUMMYFUNCTION("GOOGLEFINANCE(A1340,""HIGH"")"),184.48)</f>
        <v>184.48</v>
      </c>
      <c r="E1340" s="11">
        <f ca="1">IFERROR(__xludf.DUMMYFUNCTION("GOOGLEFINANCE(A1340,""LOW"")"),176)</f>
        <v>176</v>
      </c>
      <c r="F1340" s="12" t="str">
        <f t="shared" ca="1" si="42"/>
        <v/>
      </c>
      <c r="G1340" s="13">
        <f ca="1">IFERROR(__xludf.DUMMYFUNCTION("GOOGLEFINANCE(A1340,""CLOSEYEST"")"),180.01)</f>
        <v>180.01</v>
      </c>
      <c r="H1340" s="14" t="str">
        <f t="shared" ca="1" si="48"/>
        <v/>
      </c>
      <c r="I1340" s="15">
        <f t="shared" ca="1" si="43"/>
        <v>180.16333333333333</v>
      </c>
      <c r="J1340" s="16">
        <f t="shared" ca="1" si="44"/>
        <v>184.32666666666665</v>
      </c>
      <c r="K1340" s="16"/>
      <c r="L1340" s="16">
        <f t="shared" ca="1" si="45"/>
        <v>175.84666666666666</v>
      </c>
      <c r="M1340" s="16">
        <f t="shared" ca="1" si="46"/>
        <v>188.64333333333332</v>
      </c>
      <c r="N1340" s="16">
        <f t="shared" ca="1" si="47"/>
        <v>171.68333333333334</v>
      </c>
    </row>
    <row r="1341" spans="1:14" ht="24.75" customHeight="1" x14ac:dyDescent="0.8">
      <c r="A1341" s="18" t="s">
        <v>1304</v>
      </c>
      <c r="B1341" s="10">
        <f ca="1">IFERROR(__xludf.DUMMYFUNCTION("GOOGLEFINANCE(A1341,""PRICE"")"),25.36)</f>
        <v>25.36</v>
      </c>
      <c r="C1341" s="11">
        <f ca="1">IFERROR(__xludf.DUMMYFUNCTION("GOOGLEFINANCE(A1341,""PRICEOPEN"")"),25.25)</f>
        <v>25.25</v>
      </c>
      <c r="D1341" s="11">
        <f ca="1">IFERROR(__xludf.DUMMYFUNCTION("GOOGLEFINANCE(A1341,""HIGH"")"),26.24)</f>
        <v>26.24</v>
      </c>
      <c r="E1341" s="11">
        <f ca="1">IFERROR(__xludf.DUMMYFUNCTION("GOOGLEFINANCE(A1341,""LOW"")"),25.06)</f>
        <v>25.06</v>
      </c>
      <c r="F1341" s="12" t="str">
        <f t="shared" ca="1" si="42"/>
        <v/>
      </c>
      <c r="G1341" s="13">
        <f ca="1">IFERROR(__xludf.DUMMYFUNCTION("GOOGLEFINANCE(A1341,""CLOSEYEST"")"),25.7)</f>
        <v>25.7</v>
      </c>
      <c r="H1341" s="14" t="str">
        <f t="shared" ca="1" si="48"/>
        <v>GAP DOWN</v>
      </c>
      <c r="I1341" s="15">
        <f t="shared" ca="1" si="43"/>
        <v>25.666666666666668</v>
      </c>
      <c r="J1341" s="16">
        <f t="shared" ca="1" si="44"/>
        <v>26.273333333333337</v>
      </c>
      <c r="K1341" s="16"/>
      <c r="L1341" s="16">
        <f t="shared" ca="1" si="45"/>
        <v>25.093333333333337</v>
      </c>
      <c r="M1341" s="16">
        <f t="shared" ca="1" si="46"/>
        <v>26.846666666666668</v>
      </c>
      <c r="N1341" s="16">
        <f t="shared" ca="1" si="47"/>
        <v>24.486666666666668</v>
      </c>
    </row>
    <row r="1342" spans="1:14" ht="24.75" customHeight="1" x14ac:dyDescent="0.8">
      <c r="A1342" s="18" t="s">
        <v>1305</v>
      </c>
      <c r="B1342" s="10" t="str">
        <f ca="1">IFERROR(__xludf.DUMMYFUNCTION("GOOGLEFINANCE(A1342,""PRICE"")"),"#N/A")</f>
        <v>#N/A</v>
      </c>
      <c r="C1342" s="11" t="str">
        <f ca="1">IFERROR(__xludf.DUMMYFUNCTION("GOOGLEFINANCE(A1342,""PRICEOPEN"")"),"#N/A")</f>
        <v>#N/A</v>
      </c>
      <c r="D1342" s="11" t="str">
        <f ca="1">IFERROR(__xludf.DUMMYFUNCTION("GOOGLEFINANCE(A1342,""HIGH"")"),"#N/A")</f>
        <v>#N/A</v>
      </c>
      <c r="E1342" s="11" t="str">
        <f ca="1">IFERROR(__xludf.DUMMYFUNCTION("GOOGLEFINANCE(A1342,""LOW"")"),"#N/A")</f>
        <v>#N/A</v>
      </c>
      <c r="F1342" s="12" t="str">
        <f t="shared" ca="1" si="42"/>
        <v>SELL</v>
      </c>
      <c r="G1342" s="13" t="str">
        <f ca="1">IFERROR(__xludf.DUMMYFUNCTION("GOOGLEFINANCE(A1342,""CLOSEYEST"")"),"#N/A")</f>
        <v>#N/A</v>
      </c>
      <c r="H1342" s="14" t="e">
        <f t="shared" ca="1" si="48"/>
        <v>#VALUE!</v>
      </c>
      <c r="I1342" s="15" t="e">
        <f t="shared" ca="1" si="43"/>
        <v>#VALUE!</v>
      </c>
      <c r="J1342" s="16" t="e">
        <f t="shared" ca="1" si="44"/>
        <v>#VALUE!</v>
      </c>
      <c r="K1342" s="16"/>
      <c r="L1342" s="16" t="e">
        <f t="shared" ca="1" si="45"/>
        <v>#VALUE!</v>
      </c>
      <c r="M1342" s="16" t="e">
        <f t="shared" ca="1" si="46"/>
        <v>#VALUE!</v>
      </c>
      <c r="N1342" s="16" t="e">
        <f t="shared" ca="1" si="47"/>
        <v>#VALUE!</v>
      </c>
    </row>
    <row r="1343" spans="1:14" ht="24.75" customHeight="1" x14ac:dyDescent="0.8">
      <c r="A1343" s="18" t="s">
        <v>1306</v>
      </c>
      <c r="B1343" s="10">
        <f ca="1">IFERROR(__xludf.DUMMYFUNCTION("GOOGLEFINANCE(A1343,""PRICE"")"),30.37)</f>
        <v>30.37</v>
      </c>
      <c r="C1343" s="11">
        <f ca="1">IFERROR(__xludf.DUMMYFUNCTION("GOOGLEFINANCE(A1343,""PRICEOPEN"")"),30.25)</f>
        <v>30.25</v>
      </c>
      <c r="D1343" s="11">
        <f ca="1">IFERROR(__xludf.DUMMYFUNCTION("GOOGLEFINANCE(A1343,""HIGH"")"),30.79)</f>
        <v>30.79</v>
      </c>
      <c r="E1343" s="11">
        <f ca="1">IFERROR(__xludf.DUMMYFUNCTION("GOOGLEFINANCE(A1343,""LOW"")"),30.25)</f>
        <v>30.25</v>
      </c>
      <c r="F1343" s="12" t="str">
        <f t="shared" ca="1" si="42"/>
        <v>BUY</v>
      </c>
      <c r="G1343" s="13">
        <f ca="1">IFERROR(__xludf.DUMMYFUNCTION("GOOGLEFINANCE(A1343,""CLOSEYEST"")"),30.2)</f>
        <v>30.2</v>
      </c>
      <c r="H1343" s="14" t="str">
        <f t="shared" ca="1" si="48"/>
        <v/>
      </c>
      <c r="I1343" s="15">
        <f t="shared" ca="1" si="43"/>
        <v>30.41333333333333</v>
      </c>
      <c r="J1343" s="16">
        <f t="shared" ca="1" si="44"/>
        <v>30.576666666666661</v>
      </c>
      <c r="K1343" s="16"/>
      <c r="L1343" s="16">
        <f t="shared" ca="1" si="45"/>
        <v>30.036666666666662</v>
      </c>
      <c r="M1343" s="16">
        <f t="shared" ca="1" si="46"/>
        <v>30.95333333333333</v>
      </c>
      <c r="N1343" s="16">
        <f t="shared" ca="1" si="47"/>
        <v>29.873333333333331</v>
      </c>
    </row>
    <row r="1344" spans="1:14" ht="24.75" customHeight="1" x14ac:dyDescent="0.8">
      <c r="A1344" s="18" t="s">
        <v>1307</v>
      </c>
      <c r="B1344" s="10">
        <f ca="1">IFERROR(__xludf.DUMMYFUNCTION("GOOGLEFINANCE(A1344,""PRICE"")"),64.3)</f>
        <v>64.3</v>
      </c>
      <c r="C1344" s="11">
        <f ca="1">IFERROR(__xludf.DUMMYFUNCTION("GOOGLEFINANCE(A1344,""PRICEOPEN"")"),63.63)</f>
        <v>63.63</v>
      </c>
      <c r="D1344" s="11">
        <f ca="1">IFERROR(__xludf.DUMMYFUNCTION("GOOGLEFINANCE(A1344,""HIGH"")"),64.65)</f>
        <v>64.650000000000006</v>
      </c>
      <c r="E1344" s="11">
        <f ca="1">IFERROR(__xludf.DUMMYFUNCTION("GOOGLEFINANCE(A1344,""LOW"")"),61.41)</f>
        <v>61.41</v>
      </c>
      <c r="F1344" s="12" t="str">
        <f t="shared" ca="1" si="42"/>
        <v/>
      </c>
      <c r="G1344" s="13">
        <f ca="1">IFERROR(__xludf.DUMMYFUNCTION("GOOGLEFINANCE(A1344,""CLOSEYEST"")"),60.61)</f>
        <v>60.61</v>
      </c>
      <c r="H1344" s="14" t="str">
        <f t="shared" ca="1" si="48"/>
        <v>GAP UP</v>
      </c>
      <c r="I1344" s="15">
        <f t="shared" ca="1" si="43"/>
        <v>62.223333333333336</v>
      </c>
      <c r="J1344" s="16">
        <f t="shared" ca="1" si="44"/>
        <v>63.036666666666676</v>
      </c>
      <c r="K1344" s="16"/>
      <c r="L1344" s="16">
        <f t="shared" ca="1" si="45"/>
        <v>59.796666666666667</v>
      </c>
      <c r="M1344" s="16">
        <f t="shared" ca="1" si="46"/>
        <v>65.463333333333338</v>
      </c>
      <c r="N1344" s="16">
        <f t="shared" ca="1" si="47"/>
        <v>58.983333333333327</v>
      </c>
    </row>
    <row r="1345" spans="1:14" ht="24.75" customHeight="1" x14ac:dyDescent="0.8">
      <c r="A1345" s="18" t="s">
        <v>1308</v>
      </c>
      <c r="B1345" s="10">
        <f ca="1">IFERROR(__xludf.DUMMYFUNCTION("GOOGLEFINANCE(A1345,""PRICE"")"),19.94)</f>
        <v>19.940000000000001</v>
      </c>
      <c r="C1345" s="11">
        <f ca="1">IFERROR(__xludf.DUMMYFUNCTION("GOOGLEFINANCE(A1345,""PRICEOPEN"")"),19.07)</f>
        <v>19.07</v>
      </c>
      <c r="D1345" s="11">
        <f ca="1">IFERROR(__xludf.DUMMYFUNCTION("GOOGLEFINANCE(A1345,""HIGH"")"),20.5)</f>
        <v>20.5</v>
      </c>
      <c r="E1345" s="11">
        <f ca="1">IFERROR(__xludf.DUMMYFUNCTION("GOOGLEFINANCE(A1345,""LOW"")"),18.96)</f>
        <v>18.96</v>
      </c>
      <c r="F1345" s="12" t="str">
        <f t="shared" ca="1" si="42"/>
        <v/>
      </c>
      <c r="G1345" s="13">
        <f ca="1">IFERROR(__xludf.DUMMYFUNCTION("GOOGLEFINANCE(A1345,""CLOSEYEST"")"),19.07)</f>
        <v>19.07</v>
      </c>
      <c r="H1345" s="14" t="str">
        <f t="shared" ca="1" si="48"/>
        <v/>
      </c>
      <c r="I1345" s="15">
        <f t="shared" ca="1" si="43"/>
        <v>19.510000000000002</v>
      </c>
      <c r="J1345" s="16">
        <f t="shared" ca="1" si="44"/>
        <v>20.060000000000002</v>
      </c>
      <c r="K1345" s="16"/>
      <c r="L1345" s="16">
        <f t="shared" ca="1" si="45"/>
        <v>18.520000000000003</v>
      </c>
      <c r="M1345" s="16">
        <f t="shared" ca="1" si="46"/>
        <v>21.05</v>
      </c>
      <c r="N1345" s="16">
        <f t="shared" ca="1" si="47"/>
        <v>17.970000000000002</v>
      </c>
    </row>
    <row r="1346" spans="1:14" ht="24.75" customHeight="1" x14ac:dyDescent="0.8">
      <c r="A1346" s="18" t="s">
        <v>1309</v>
      </c>
      <c r="B1346" s="10">
        <f ca="1">IFERROR(__xludf.DUMMYFUNCTION("GOOGLEFINANCE(A1346,""PRICE"")"),206.99)</f>
        <v>206.99</v>
      </c>
      <c r="C1346" s="11">
        <f ca="1">IFERROR(__xludf.DUMMYFUNCTION("GOOGLEFINANCE(A1346,""PRICEOPEN"")"),198.11)</f>
        <v>198.11</v>
      </c>
      <c r="D1346" s="11">
        <f ca="1">IFERROR(__xludf.DUMMYFUNCTION("GOOGLEFINANCE(A1346,""HIGH"")"),208)</f>
        <v>208</v>
      </c>
      <c r="E1346" s="11">
        <f ca="1">IFERROR(__xludf.DUMMYFUNCTION("GOOGLEFINANCE(A1346,""LOW"")"),198.11)</f>
        <v>198.11</v>
      </c>
      <c r="F1346" s="12" t="str">
        <f t="shared" ca="1" si="42"/>
        <v>BUY</v>
      </c>
      <c r="G1346" s="13">
        <f ca="1">IFERROR(__xludf.DUMMYFUNCTION("GOOGLEFINANCE(A1346,""CLOSEYEST"")"),200.73)</f>
        <v>200.73</v>
      </c>
      <c r="H1346" s="14" t="str">
        <f t="shared" ca="1" si="48"/>
        <v>GAP DOWN</v>
      </c>
      <c r="I1346" s="15">
        <f t="shared" ca="1" si="43"/>
        <v>202.28</v>
      </c>
      <c r="J1346" s="16">
        <f t="shared" ca="1" si="44"/>
        <v>206.45</v>
      </c>
      <c r="K1346" s="16"/>
      <c r="L1346" s="16">
        <f t="shared" ca="1" si="45"/>
        <v>196.56</v>
      </c>
      <c r="M1346" s="16">
        <f t="shared" ca="1" si="46"/>
        <v>212.17</v>
      </c>
      <c r="N1346" s="16">
        <f t="shared" ca="1" si="47"/>
        <v>192.39000000000001</v>
      </c>
    </row>
    <row r="1347" spans="1:14" ht="24.75" customHeight="1" x14ac:dyDescent="0.8">
      <c r="A1347" s="18" t="s">
        <v>1310</v>
      </c>
      <c r="B1347" s="10">
        <f ca="1">IFERROR(__xludf.DUMMYFUNCTION("GOOGLEFINANCE(A1347,""PRICE"")"),29.77)</f>
        <v>29.77</v>
      </c>
      <c r="C1347" s="11">
        <f ca="1">IFERROR(__xludf.DUMMYFUNCTION("GOOGLEFINANCE(A1347,""PRICEOPEN"")"),29.49)</f>
        <v>29.49</v>
      </c>
      <c r="D1347" s="11">
        <f ca="1">IFERROR(__xludf.DUMMYFUNCTION("GOOGLEFINANCE(A1347,""HIGH"")"),30)</f>
        <v>30</v>
      </c>
      <c r="E1347" s="11">
        <f ca="1">IFERROR(__xludf.DUMMYFUNCTION("GOOGLEFINANCE(A1347,""LOW"")"),28.6)</f>
        <v>28.6</v>
      </c>
      <c r="F1347" s="12" t="str">
        <f t="shared" ca="1" si="42"/>
        <v/>
      </c>
      <c r="G1347" s="13">
        <f ca="1">IFERROR(__xludf.DUMMYFUNCTION("GOOGLEFINANCE(A1347,""CLOSEYEST"")"),29.05)</f>
        <v>29.05</v>
      </c>
      <c r="H1347" s="14" t="str">
        <f t="shared" ca="1" si="48"/>
        <v>GAP UP</v>
      </c>
      <c r="I1347" s="15">
        <f t="shared" ca="1" si="43"/>
        <v>29.216666666666669</v>
      </c>
      <c r="J1347" s="16">
        <f t="shared" ca="1" si="44"/>
        <v>29.833333333333336</v>
      </c>
      <c r="K1347" s="16"/>
      <c r="L1347" s="16">
        <f t="shared" ca="1" si="45"/>
        <v>28.433333333333337</v>
      </c>
      <c r="M1347" s="16">
        <f t="shared" ca="1" si="46"/>
        <v>30.616666666666667</v>
      </c>
      <c r="N1347" s="16">
        <f t="shared" ca="1" si="47"/>
        <v>27.81666666666667</v>
      </c>
    </row>
    <row r="1348" spans="1:14" ht="24.75" customHeight="1" x14ac:dyDescent="0.8">
      <c r="A1348" s="18" t="s">
        <v>1311</v>
      </c>
      <c r="B1348" s="10">
        <f ca="1">IFERROR(__xludf.DUMMYFUNCTION("GOOGLEFINANCE(A1348,""PRICE"")"),1191)</f>
        <v>1191</v>
      </c>
      <c r="C1348" s="11">
        <f ca="1">IFERROR(__xludf.DUMMYFUNCTION("GOOGLEFINANCE(A1348,""PRICEOPEN"")"),1187.1)</f>
        <v>1187.0999999999999</v>
      </c>
      <c r="D1348" s="11">
        <f ca="1">IFERROR(__xludf.DUMMYFUNCTION("GOOGLEFINANCE(A1348,""HIGH"")"),1202.2)</f>
        <v>1202.2</v>
      </c>
      <c r="E1348" s="11">
        <f ca="1">IFERROR(__xludf.DUMMYFUNCTION("GOOGLEFINANCE(A1348,""LOW"")"),1174.2)</f>
        <v>1174.2</v>
      </c>
      <c r="F1348" s="12" t="str">
        <f t="shared" ca="1" si="42"/>
        <v/>
      </c>
      <c r="G1348" s="13">
        <f ca="1">IFERROR(__xludf.DUMMYFUNCTION("GOOGLEFINANCE(A1348,""CLOSEYEST"")"),1187.1)</f>
        <v>1187.0999999999999</v>
      </c>
      <c r="H1348" s="14" t="str">
        <f t="shared" ca="1" si="48"/>
        <v/>
      </c>
      <c r="I1348" s="15">
        <f t="shared" ca="1" si="43"/>
        <v>1187.8333333333333</v>
      </c>
      <c r="J1348" s="16">
        <f t="shared" ca="1" si="44"/>
        <v>1201.4666666666665</v>
      </c>
      <c r="K1348" s="16"/>
      <c r="L1348" s="16">
        <f t="shared" ca="1" si="45"/>
        <v>1173.4666666666665</v>
      </c>
      <c r="M1348" s="16">
        <f t="shared" ca="1" si="46"/>
        <v>1215.8333333333333</v>
      </c>
      <c r="N1348" s="16">
        <f t="shared" ca="1" si="47"/>
        <v>1159.8333333333333</v>
      </c>
    </row>
    <row r="1349" spans="1:14" ht="24.75" customHeight="1" x14ac:dyDescent="0.8">
      <c r="A1349" s="18" t="s">
        <v>1312</v>
      </c>
      <c r="B1349" s="10">
        <f ca="1">IFERROR(__xludf.DUMMYFUNCTION("GOOGLEFINANCE(A1349,""PRICE"")"),9.6)</f>
        <v>9.6</v>
      </c>
      <c r="C1349" s="11">
        <f ca="1">IFERROR(__xludf.DUMMYFUNCTION("GOOGLEFINANCE(A1349,""PRICEOPEN"")"),9.55)</f>
        <v>9.5500000000000007</v>
      </c>
      <c r="D1349" s="11">
        <f ca="1">IFERROR(__xludf.DUMMYFUNCTION("GOOGLEFINANCE(A1349,""HIGH"")"),9.69)</f>
        <v>9.69</v>
      </c>
      <c r="E1349" s="11">
        <f ca="1">IFERROR(__xludf.DUMMYFUNCTION("GOOGLEFINANCE(A1349,""LOW"")"),9.53)</f>
        <v>9.5299999999999994</v>
      </c>
      <c r="F1349" s="12" t="str">
        <f t="shared" ca="1" si="42"/>
        <v/>
      </c>
      <c r="G1349" s="13">
        <f ca="1">IFERROR(__xludf.DUMMYFUNCTION("GOOGLEFINANCE(A1349,""CLOSEYEST"")"),9.55)</f>
        <v>9.5500000000000007</v>
      </c>
      <c r="H1349" s="14" t="str">
        <f t="shared" ca="1" si="48"/>
        <v/>
      </c>
      <c r="I1349" s="15">
        <f t="shared" ca="1" si="43"/>
        <v>9.59</v>
      </c>
      <c r="J1349" s="16">
        <f t="shared" ca="1" si="44"/>
        <v>9.65</v>
      </c>
      <c r="K1349" s="16"/>
      <c r="L1349" s="16">
        <f t="shared" ca="1" si="45"/>
        <v>9.49</v>
      </c>
      <c r="M1349" s="16">
        <f t="shared" ca="1" si="46"/>
        <v>9.75</v>
      </c>
      <c r="N1349" s="16">
        <f t="shared" ca="1" si="47"/>
        <v>9.43</v>
      </c>
    </row>
    <row r="1350" spans="1:14" ht="24.75" customHeight="1" x14ac:dyDescent="0.8">
      <c r="A1350" s="18" t="s">
        <v>1313</v>
      </c>
      <c r="B1350" s="10">
        <f ca="1">IFERROR(__xludf.DUMMYFUNCTION("GOOGLEFINANCE(A1350,""PRICE"")"),100.77)</f>
        <v>100.77</v>
      </c>
      <c r="C1350" s="11">
        <f ca="1">IFERROR(__xludf.DUMMYFUNCTION("GOOGLEFINANCE(A1350,""PRICEOPEN"")"),99.9)</f>
        <v>99.9</v>
      </c>
      <c r="D1350" s="11">
        <f ca="1">IFERROR(__xludf.DUMMYFUNCTION("GOOGLEFINANCE(A1350,""HIGH"")"),101.85)</f>
        <v>101.85</v>
      </c>
      <c r="E1350" s="11">
        <f ca="1">IFERROR(__xludf.DUMMYFUNCTION("GOOGLEFINANCE(A1350,""LOW"")"),99)</f>
        <v>99</v>
      </c>
      <c r="F1350" s="12" t="str">
        <f t="shared" ca="1" si="42"/>
        <v/>
      </c>
      <c r="G1350" s="13">
        <f ca="1">IFERROR(__xludf.DUMMYFUNCTION("GOOGLEFINANCE(A1350,""CLOSEYEST"")"),99.09)</f>
        <v>99.09</v>
      </c>
      <c r="H1350" s="14" t="str">
        <f t="shared" ca="1" si="48"/>
        <v/>
      </c>
      <c r="I1350" s="15">
        <f t="shared" ca="1" si="43"/>
        <v>99.98</v>
      </c>
      <c r="J1350" s="16">
        <f t="shared" ca="1" si="44"/>
        <v>100.96000000000001</v>
      </c>
      <c r="K1350" s="16"/>
      <c r="L1350" s="16">
        <f t="shared" ca="1" si="45"/>
        <v>98.110000000000014</v>
      </c>
      <c r="M1350" s="16">
        <f t="shared" ca="1" si="46"/>
        <v>102.83</v>
      </c>
      <c r="N1350" s="16">
        <f t="shared" ca="1" si="47"/>
        <v>97.13000000000001</v>
      </c>
    </row>
    <row r="1351" spans="1:14" ht="24.75" customHeight="1" x14ac:dyDescent="0.8">
      <c r="A1351" s="18" t="s">
        <v>1314</v>
      </c>
      <c r="B1351" s="10">
        <f ca="1">IFERROR(__xludf.DUMMYFUNCTION("GOOGLEFINANCE(A1351,""PRICE"")"),38.26)</f>
        <v>38.26</v>
      </c>
      <c r="C1351" s="11">
        <f ca="1">IFERROR(__xludf.DUMMYFUNCTION("GOOGLEFINANCE(A1351,""PRICEOPEN"")"),37.79)</f>
        <v>37.79</v>
      </c>
      <c r="D1351" s="11">
        <f ca="1">IFERROR(__xludf.DUMMYFUNCTION("GOOGLEFINANCE(A1351,""HIGH"")"),38.37)</f>
        <v>38.369999999999997</v>
      </c>
      <c r="E1351" s="11">
        <f ca="1">IFERROR(__xludf.DUMMYFUNCTION("GOOGLEFINANCE(A1351,""LOW"")"),37.64)</f>
        <v>37.64</v>
      </c>
      <c r="F1351" s="12" t="str">
        <f t="shared" ca="1" si="42"/>
        <v/>
      </c>
      <c r="G1351" s="13">
        <f ca="1">IFERROR(__xludf.DUMMYFUNCTION("GOOGLEFINANCE(A1351,""CLOSEYEST"")"),37.58)</f>
        <v>37.58</v>
      </c>
      <c r="H1351" s="14" t="str">
        <f t="shared" ca="1" si="48"/>
        <v/>
      </c>
      <c r="I1351" s="15">
        <f t="shared" ca="1" si="43"/>
        <v>37.86333333333333</v>
      </c>
      <c r="J1351" s="16">
        <f t="shared" ca="1" si="44"/>
        <v>38.086666666666659</v>
      </c>
      <c r="K1351" s="16"/>
      <c r="L1351" s="16">
        <f t="shared" ca="1" si="45"/>
        <v>37.356666666666662</v>
      </c>
      <c r="M1351" s="16">
        <f t="shared" ca="1" si="46"/>
        <v>38.593333333333327</v>
      </c>
      <c r="N1351" s="16">
        <f t="shared" ca="1" si="47"/>
        <v>37.133333333333333</v>
      </c>
    </row>
    <row r="1352" spans="1:14" ht="24.75" customHeight="1" x14ac:dyDescent="0.8">
      <c r="A1352" s="18" t="s">
        <v>1315</v>
      </c>
      <c r="B1352" s="10">
        <f ca="1">IFERROR(__xludf.DUMMYFUNCTION("GOOGLEFINANCE(A1352,""PRICE"")"),90.49)</f>
        <v>90.49</v>
      </c>
      <c r="C1352" s="11">
        <f ca="1">IFERROR(__xludf.DUMMYFUNCTION("GOOGLEFINANCE(A1352,""PRICEOPEN"")"),91.5)</f>
        <v>91.5</v>
      </c>
      <c r="D1352" s="11">
        <f ca="1">IFERROR(__xludf.DUMMYFUNCTION("GOOGLEFINANCE(A1352,""HIGH"")"),91.5)</f>
        <v>91.5</v>
      </c>
      <c r="E1352" s="11">
        <f ca="1">IFERROR(__xludf.DUMMYFUNCTION("GOOGLEFINANCE(A1352,""LOW"")"),88.25)</f>
        <v>88.25</v>
      </c>
      <c r="F1352" s="12" t="str">
        <f t="shared" ca="1" si="42"/>
        <v>SELL</v>
      </c>
      <c r="G1352" s="13">
        <f ca="1">IFERROR(__xludf.DUMMYFUNCTION("GOOGLEFINANCE(A1352,""CLOSEYEST"")"),90.84)</f>
        <v>90.84</v>
      </c>
      <c r="H1352" s="14" t="str">
        <f t="shared" ca="1" si="48"/>
        <v/>
      </c>
      <c r="I1352" s="15">
        <f t="shared" ca="1" si="43"/>
        <v>90.196666666666673</v>
      </c>
      <c r="J1352" s="16">
        <f t="shared" ca="1" si="44"/>
        <v>92.143333333333345</v>
      </c>
      <c r="K1352" s="16"/>
      <c r="L1352" s="16">
        <f t="shared" ca="1" si="45"/>
        <v>88.893333333333345</v>
      </c>
      <c r="M1352" s="16">
        <f t="shared" ca="1" si="46"/>
        <v>93.446666666666673</v>
      </c>
      <c r="N1352" s="16">
        <f t="shared" ca="1" si="47"/>
        <v>86.946666666666673</v>
      </c>
    </row>
    <row r="1353" spans="1:14" ht="24.75" customHeight="1" x14ac:dyDescent="0.8">
      <c r="A1353" s="18" t="s">
        <v>1316</v>
      </c>
      <c r="B1353" s="10">
        <f ca="1">IFERROR(__xludf.DUMMYFUNCTION("GOOGLEFINANCE(A1353,""PRICE"")"),9.8)</f>
        <v>9.8000000000000007</v>
      </c>
      <c r="C1353" s="11">
        <f ca="1">IFERROR(__xludf.DUMMYFUNCTION("GOOGLEFINANCE(A1353,""PRICEOPEN"")"),9.88)</f>
        <v>9.8800000000000008</v>
      </c>
      <c r="D1353" s="11">
        <f ca="1">IFERROR(__xludf.DUMMYFUNCTION("GOOGLEFINANCE(A1353,""HIGH"")"),9.94)</f>
        <v>9.94</v>
      </c>
      <c r="E1353" s="11">
        <f ca="1">IFERROR(__xludf.DUMMYFUNCTION("GOOGLEFINANCE(A1353,""LOW"")"),9.54)</f>
        <v>9.5399999999999991</v>
      </c>
      <c r="F1353" s="12" t="str">
        <f t="shared" ca="1" si="42"/>
        <v/>
      </c>
      <c r="G1353" s="13">
        <f ca="1">IFERROR(__xludf.DUMMYFUNCTION("GOOGLEFINANCE(A1353,""CLOSEYEST"")"),9.73)</f>
        <v>9.73</v>
      </c>
      <c r="H1353" s="14" t="str">
        <f t="shared" ca="1" si="48"/>
        <v>GAP UP</v>
      </c>
      <c r="I1353" s="15">
        <f t="shared" ca="1" si="43"/>
        <v>9.7366666666666664</v>
      </c>
      <c r="J1353" s="16">
        <f t="shared" ca="1" si="44"/>
        <v>9.9333333333333336</v>
      </c>
      <c r="K1353" s="16"/>
      <c r="L1353" s="16">
        <f t="shared" ca="1" si="45"/>
        <v>9.5333333333333332</v>
      </c>
      <c r="M1353" s="16">
        <f t="shared" ca="1" si="46"/>
        <v>10.136666666666667</v>
      </c>
      <c r="N1353" s="16">
        <f t="shared" ca="1" si="47"/>
        <v>9.336666666666666</v>
      </c>
    </row>
    <row r="1354" spans="1:14" ht="24.75" customHeight="1" x14ac:dyDescent="0.8">
      <c r="A1354" s="18" t="s">
        <v>1317</v>
      </c>
      <c r="B1354" s="10">
        <f ca="1">IFERROR(__xludf.DUMMYFUNCTION("GOOGLEFINANCE(A1354,""PRICE"")"),37.55)</f>
        <v>37.549999999999997</v>
      </c>
      <c r="C1354" s="11">
        <f ca="1">IFERROR(__xludf.DUMMYFUNCTION("GOOGLEFINANCE(A1354,""PRICEOPEN"")"),32.78)</f>
        <v>32.78</v>
      </c>
      <c r="D1354" s="11">
        <f ca="1">IFERROR(__xludf.DUMMYFUNCTION("GOOGLEFINANCE(A1354,""HIGH"")"),37.8)</f>
        <v>37.799999999999997</v>
      </c>
      <c r="E1354" s="11">
        <f ca="1">IFERROR(__xludf.DUMMYFUNCTION("GOOGLEFINANCE(A1354,""LOW"")"),32.78)</f>
        <v>32.78</v>
      </c>
      <c r="F1354" s="12" t="str">
        <f t="shared" ca="1" si="42"/>
        <v>BUY</v>
      </c>
      <c r="G1354" s="13">
        <f ca="1">IFERROR(__xludf.DUMMYFUNCTION("GOOGLEFINANCE(A1354,""CLOSEYEST"")"),32.99)</f>
        <v>32.99</v>
      </c>
      <c r="H1354" s="14" t="str">
        <f t="shared" ca="1" si="48"/>
        <v/>
      </c>
      <c r="I1354" s="15">
        <f t="shared" ca="1" si="43"/>
        <v>34.523333333333333</v>
      </c>
      <c r="J1354" s="16">
        <f t="shared" ca="1" si="44"/>
        <v>36.266666666666666</v>
      </c>
      <c r="K1354" s="16"/>
      <c r="L1354" s="16">
        <f t="shared" ca="1" si="45"/>
        <v>31.24666666666667</v>
      </c>
      <c r="M1354" s="16">
        <f t="shared" ca="1" si="46"/>
        <v>39.543333333333329</v>
      </c>
      <c r="N1354" s="16">
        <f t="shared" ca="1" si="47"/>
        <v>29.503333333333337</v>
      </c>
    </row>
    <row r="1355" spans="1:14" ht="24.75" customHeight="1" x14ac:dyDescent="0.8">
      <c r="A1355" s="18" t="s">
        <v>1318</v>
      </c>
      <c r="B1355" s="10">
        <f ca="1">IFERROR(__xludf.DUMMYFUNCTION("GOOGLEFINANCE(A1355,""PRICE"")"),12.99)</f>
        <v>12.99</v>
      </c>
      <c r="C1355" s="11">
        <f ca="1">IFERROR(__xludf.DUMMYFUNCTION("GOOGLEFINANCE(A1355,""PRICEOPEN"")"),12.95)</f>
        <v>12.95</v>
      </c>
      <c r="D1355" s="11">
        <f ca="1">IFERROR(__xludf.DUMMYFUNCTION("GOOGLEFINANCE(A1355,""HIGH"")"),13.05)</f>
        <v>13.05</v>
      </c>
      <c r="E1355" s="11">
        <f ca="1">IFERROR(__xludf.DUMMYFUNCTION("GOOGLEFINANCE(A1355,""LOW"")"),12.95)</f>
        <v>12.95</v>
      </c>
      <c r="F1355" s="12" t="str">
        <f t="shared" ca="1" si="42"/>
        <v>BUY</v>
      </c>
      <c r="G1355" s="13">
        <f ca="1">IFERROR(__xludf.DUMMYFUNCTION("GOOGLEFINANCE(A1355,""CLOSEYEST"")"),12.98)</f>
        <v>12.98</v>
      </c>
      <c r="H1355" s="14" t="str">
        <f t="shared" ca="1" si="48"/>
        <v/>
      </c>
      <c r="I1355" s="15">
        <f t="shared" ca="1" si="43"/>
        <v>12.993333333333334</v>
      </c>
      <c r="J1355" s="16">
        <f t="shared" ca="1" si="44"/>
        <v>13.036666666666669</v>
      </c>
      <c r="K1355" s="16"/>
      <c r="L1355" s="16">
        <f t="shared" ca="1" si="45"/>
        <v>12.936666666666667</v>
      </c>
      <c r="M1355" s="16">
        <f t="shared" ca="1" si="46"/>
        <v>13.093333333333335</v>
      </c>
      <c r="N1355" s="16">
        <f t="shared" ca="1" si="47"/>
        <v>12.893333333333333</v>
      </c>
    </row>
    <row r="1356" spans="1:14" ht="24.75" customHeight="1" x14ac:dyDescent="0.8">
      <c r="A1356" s="18" t="s">
        <v>1319</v>
      </c>
      <c r="B1356" s="10">
        <f ca="1">IFERROR(__xludf.DUMMYFUNCTION("GOOGLEFINANCE(A1356,""PRICE"")"),96.22)</f>
        <v>96.22</v>
      </c>
      <c r="C1356" s="11">
        <f ca="1">IFERROR(__xludf.DUMMYFUNCTION("GOOGLEFINANCE(A1356,""PRICEOPEN"")"),95.25)</f>
        <v>95.25</v>
      </c>
      <c r="D1356" s="11">
        <f ca="1">IFERROR(__xludf.DUMMYFUNCTION("GOOGLEFINANCE(A1356,""HIGH"")"),98.5)</f>
        <v>98.5</v>
      </c>
      <c r="E1356" s="11">
        <f ca="1">IFERROR(__xludf.DUMMYFUNCTION("GOOGLEFINANCE(A1356,""LOW"")"),95.25)</f>
        <v>95.25</v>
      </c>
      <c r="F1356" s="12" t="str">
        <f t="shared" ca="1" si="42"/>
        <v>BUY</v>
      </c>
      <c r="G1356" s="13">
        <f ca="1">IFERROR(__xludf.DUMMYFUNCTION("GOOGLEFINANCE(A1356,""CLOSEYEST"")"),96.67)</f>
        <v>96.67</v>
      </c>
      <c r="H1356" s="14" t="str">
        <f t="shared" ca="1" si="48"/>
        <v>GAP DOWN</v>
      </c>
      <c r="I1356" s="15">
        <f t="shared" ca="1" si="43"/>
        <v>96.806666666666672</v>
      </c>
      <c r="J1356" s="16">
        <f t="shared" ca="1" si="44"/>
        <v>98.363333333333344</v>
      </c>
      <c r="K1356" s="16"/>
      <c r="L1356" s="16">
        <f t="shared" ca="1" si="45"/>
        <v>95.113333333333344</v>
      </c>
      <c r="M1356" s="16">
        <f t="shared" ca="1" si="46"/>
        <v>100.05666666666667</v>
      </c>
      <c r="N1356" s="16">
        <f t="shared" ca="1" si="47"/>
        <v>93.556666666666672</v>
      </c>
    </row>
    <row r="1357" spans="1:14" ht="24.75" customHeight="1" x14ac:dyDescent="0.8">
      <c r="A1357" s="18" t="s">
        <v>1320</v>
      </c>
      <c r="B1357" s="10">
        <f ca="1">IFERROR(__xludf.DUMMYFUNCTION("GOOGLEFINANCE(A1357,""PRICE"")"),317.8)</f>
        <v>317.8</v>
      </c>
      <c r="C1357" s="11">
        <f ca="1">IFERROR(__xludf.DUMMYFUNCTION("GOOGLEFINANCE(A1357,""PRICEOPEN"")"),310.7)</f>
        <v>310.7</v>
      </c>
      <c r="D1357" s="11">
        <f ca="1">IFERROR(__xludf.DUMMYFUNCTION("GOOGLEFINANCE(A1357,""HIGH"")"),317.9)</f>
        <v>317.89999999999998</v>
      </c>
      <c r="E1357" s="11">
        <f ca="1">IFERROR(__xludf.DUMMYFUNCTION("GOOGLEFINANCE(A1357,""LOW"")"),303)</f>
        <v>303</v>
      </c>
      <c r="F1357" s="12" t="str">
        <f t="shared" ca="1" si="42"/>
        <v/>
      </c>
      <c r="G1357" s="13">
        <f ca="1">IFERROR(__xludf.DUMMYFUNCTION("GOOGLEFINANCE(A1357,""CLOSEYEST"")"),318.65)</f>
        <v>318.64999999999998</v>
      </c>
      <c r="H1357" s="14" t="str">
        <f t="shared" ca="1" si="48"/>
        <v>GAP DOWN</v>
      </c>
      <c r="I1357" s="15">
        <f t="shared" ca="1" si="43"/>
        <v>313.18333333333334</v>
      </c>
      <c r="J1357" s="16">
        <f t="shared" ca="1" si="44"/>
        <v>323.36666666666667</v>
      </c>
      <c r="K1357" s="16"/>
      <c r="L1357" s="16">
        <f t="shared" ca="1" si="45"/>
        <v>308.4666666666667</v>
      </c>
      <c r="M1357" s="16">
        <f t="shared" ca="1" si="46"/>
        <v>328.08333333333331</v>
      </c>
      <c r="N1357" s="16">
        <f t="shared" ca="1" si="47"/>
        <v>298.28333333333336</v>
      </c>
    </row>
    <row r="1358" spans="1:14" ht="24.75" customHeight="1" x14ac:dyDescent="0.8">
      <c r="A1358" s="18" t="s">
        <v>1321</v>
      </c>
      <c r="B1358" s="10" t="str">
        <f ca="1">IFERROR(__xludf.DUMMYFUNCTION("GOOGLEFINANCE(A1358,""PRICE"")"),"#N/A")</f>
        <v>#N/A</v>
      </c>
      <c r="C1358" s="11" t="str">
        <f ca="1">IFERROR(__xludf.DUMMYFUNCTION("GOOGLEFINANCE(A1358,""PRICEOPEN"")"),"#N/A")</f>
        <v>#N/A</v>
      </c>
      <c r="D1358" s="11" t="str">
        <f ca="1">IFERROR(__xludf.DUMMYFUNCTION("GOOGLEFINANCE(A1358,""HIGH"")"),"#N/A")</f>
        <v>#N/A</v>
      </c>
      <c r="E1358" s="11" t="str">
        <f ca="1">IFERROR(__xludf.DUMMYFUNCTION("GOOGLEFINANCE(A1358,""LOW"")"),"#N/A")</f>
        <v>#N/A</v>
      </c>
      <c r="F1358" s="12" t="str">
        <f t="shared" ca="1" si="42"/>
        <v>SELL</v>
      </c>
      <c r="G1358" s="13" t="str">
        <f ca="1">IFERROR(__xludf.DUMMYFUNCTION("GOOGLEFINANCE(A1358,""CLOSEYEST"")"),"#N/A")</f>
        <v>#N/A</v>
      </c>
      <c r="H1358" s="14" t="e">
        <f t="shared" ca="1" si="48"/>
        <v>#VALUE!</v>
      </c>
      <c r="I1358" s="15" t="e">
        <f t="shared" ca="1" si="43"/>
        <v>#VALUE!</v>
      </c>
      <c r="J1358" s="16" t="e">
        <f t="shared" ca="1" si="44"/>
        <v>#VALUE!</v>
      </c>
      <c r="K1358" s="16"/>
      <c r="L1358" s="16" t="e">
        <f t="shared" ca="1" si="45"/>
        <v>#VALUE!</v>
      </c>
      <c r="M1358" s="16" t="e">
        <f t="shared" ca="1" si="46"/>
        <v>#VALUE!</v>
      </c>
      <c r="N1358" s="16" t="e">
        <f t="shared" ca="1" si="47"/>
        <v>#VALUE!</v>
      </c>
    </row>
    <row r="1359" spans="1:14" ht="24.75" customHeight="1" x14ac:dyDescent="0.8">
      <c r="A1359" s="18" t="s">
        <v>1322</v>
      </c>
      <c r="B1359" s="10">
        <f ca="1">IFERROR(__xludf.DUMMYFUNCTION("GOOGLEFINANCE(A1359,""PRICE"")"),582)</f>
        <v>582</v>
      </c>
      <c r="C1359" s="11">
        <f ca="1">IFERROR(__xludf.DUMMYFUNCTION("GOOGLEFINANCE(A1359,""PRICEOPEN"")"),585)</f>
        <v>585</v>
      </c>
      <c r="D1359" s="11">
        <f ca="1">IFERROR(__xludf.DUMMYFUNCTION("GOOGLEFINANCE(A1359,""HIGH"")"),595)</f>
        <v>595</v>
      </c>
      <c r="E1359" s="11">
        <f ca="1">IFERROR(__xludf.DUMMYFUNCTION("GOOGLEFINANCE(A1359,""LOW"")"),582)</f>
        <v>582</v>
      </c>
      <c r="F1359" s="12" t="str">
        <f t="shared" ca="1" si="42"/>
        <v/>
      </c>
      <c r="G1359" s="13">
        <f ca="1">IFERROR(__xludf.DUMMYFUNCTION("GOOGLEFINANCE(A1359,""CLOSEYEST"")"),587.4)</f>
        <v>587.4</v>
      </c>
      <c r="H1359" s="14" t="str">
        <f t="shared" ca="1" si="48"/>
        <v/>
      </c>
      <c r="I1359" s="15">
        <f t="shared" ca="1" si="43"/>
        <v>588.13333333333333</v>
      </c>
      <c r="J1359" s="16">
        <f t="shared" ca="1" si="44"/>
        <v>594.26666666666665</v>
      </c>
      <c r="K1359" s="16"/>
      <c r="L1359" s="16">
        <f t="shared" ca="1" si="45"/>
        <v>581.26666666666665</v>
      </c>
      <c r="M1359" s="16">
        <f t="shared" ca="1" si="46"/>
        <v>601.13333333333333</v>
      </c>
      <c r="N1359" s="16">
        <f t="shared" ca="1" si="47"/>
        <v>575.13333333333333</v>
      </c>
    </row>
    <row r="1360" spans="1:14" ht="24.75" customHeight="1" x14ac:dyDescent="0.8">
      <c r="A1360" s="18" t="s">
        <v>1323</v>
      </c>
      <c r="B1360" s="10">
        <f ca="1">IFERROR(__xludf.DUMMYFUNCTION("GOOGLEFINANCE(A1360,""PRICE"")"),59.72)</f>
        <v>59.72</v>
      </c>
      <c r="C1360" s="11">
        <f ca="1">IFERROR(__xludf.DUMMYFUNCTION("GOOGLEFINANCE(A1360,""PRICEOPEN"")"),59.71)</f>
        <v>59.71</v>
      </c>
      <c r="D1360" s="11">
        <f ca="1">IFERROR(__xludf.DUMMYFUNCTION("GOOGLEFINANCE(A1360,""HIGH"")"),61.5)</f>
        <v>61.5</v>
      </c>
      <c r="E1360" s="11">
        <f ca="1">IFERROR(__xludf.DUMMYFUNCTION("GOOGLEFINANCE(A1360,""LOW"")"),59.01)</f>
        <v>59.01</v>
      </c>
      <c r="F1360" s="12" t="str">
        <f t="shared" ca="1" si="42"/>
        <v/>
      </c>
      <c r="G1360" s="13">
        <f ca="1">IFERROR(__xludf.DUMMYFUNCTION("GOOGLEFINANCE(A1360,""CLOSEYEST"")"),61.22)</f>
        <v>61.22</v>
      </c>
      <c r="H1360" s="14" t="str">
        <f t="shared" ca="1" si="48"/>
        <v>GAP DOWN</v>
      </c>
      <c r="I1360" s="15">
        <f t="shared" ca="1" si="43"/>
        <v>60.576666666666661</v>
      </c>
      <c r="J1360" s="16">
        <f t="shared" ca="1" si="44"/>
        <v>62.143333333333324</v>
      </c>
      <c r="K1360" s="16"/>
      <c r="L1360" s="16">
        <f t="shared" ca="1" si="45"/>
        <v>59.653333333333322</v>
      </c>
      <c r="M1360" s="16">
        <f t="shared" ca="1" si="46"/>
        <v>63.066666666666663</v>
      </c>
      <c r="N1360" s="16">
        <f t="shared" ca="1" si="47"/>
        <v>58.086666666666659</v>
      </c>
    </row>
    <row r="1361" spans="1:14" ht="24.75" customHeight="1" x14ac:dyDescent="0.8">
      <c r="A1361" s="18" t="s">
        <v>1324</v>
      </c>
      <c r="B1361" s="10">
        <f ca="1">IFERROR(__xludf.DUMMYFUNCTION("GOOGLEFINANCE(A1361,""PRICE"")"),348.4)</f>
        <v>348.4</v>
      </c>
      <c r="C1361" s="11">
        <f ca="1">IFERROR(__xludf.DUMMYFUNCTION("GOOGLEFINANCE(A1361,""PRICEOPEN"")"),336.95)</f>
        <v>336.95</v>
      </c>
      <c r="D1361" s="11">
        <f ca="1">IFERROR(__xludf.DUMMYFUNCTION("GOOGLEFINANCE(A1361,""HIGH"")"),348.5)</f>
        <v>348.5</v>
      </c>
      <c r="E1361" s="11">
        <f ca="1">IFERROR(__xludf.DUMMYFUNCTION("GOOGLEFINANCE(A1361,""LOW"")"),333.3)</f>
        <v>333.3</v>
      </c>
      <c r="F1361" s="12" t="str">
        <f t="shared" ca="1" si="42"/>
        <v/>
      </c>
      <c r="G1361" s="13">
        <f ca="1">IFERROR(__xludf.DUMMYFUNCTION("GOOGLEFINANCE(A1361,""CLOSEYEST"")"),333)</f>
        <v>333</v>
      </c>
      <c r="H1361" s="14" t="str">
        <f t="shared" ca="1" si="48"/>
        <v>GAP UP</v>
      </c>
      <c r="I1361" s="15">
        <f t="shared" ca="1" si="43"/>
        <v>338.26666666666665</v>
      </c>
      <c r="J1361" s="16">
        <f t="shared" ca="1" si="44"/>
        <v>343.23333333333329</v>
      </c>
      <c r="K1361" s="16"/>
      <c r="L1361" s="16">
        <f t="shared" ca="1" si="45"/>
        <v>328.0333333333333</v>
      </c>
      <c r="M1361" s="16">
        <f t="shared" ca="1" si="46"/>
        <v>353.46666666666664</v>
      </c>
      <c r="N1361" s="16">
        <f t="shared" ca="1" si="47"/>
        <v>323.06666666666666</v>
      </c>
    </row>
    <row r="1362" spans="1:14" ht="24.75" customHeight="1" x14ac:dyDescent="0.8">
      <c r="A1362" s="18" t="s">
        <v>1325</v>
      </c>
      <c r="B1362" s="10">
        <f ca="1">IFERROR(__xludf.DUMMYFUNCTION("GOOGLEFINANCE(A1362,""PRICE"")"),1.73)</f>
        <v>1.73</v>
      </c>
      <c r="C1362" s="11">
        <f ca="1">IFERROR(__xludf.DUMMYFUNCTION("GOOGLEFINANCE(A1362,""PRICEOPEN"")"),1.67)</f>
        <v>1.67</v>
      </c>
      <c r="D1362" s="11">
        <f ca="1">IFERROR(__xludf.DUMMYFUNCTION("GOOGLEFINANCE(A1362,""HIGH"")"),1.73)</f>
        <v>1.73</v>
      </c>
      <c r="E1362" s="11">
        <f ca="1">IFERROR(__xludf.DUMMYFUNCTION("GOOGLEFINANCE(A1362,""LOW"")"),1.65)</f>
        <v>1.65</v>
      </c>
      <c r="F1362" s="12" t="str">
        <f t="shared" ca="1" si="42"/>
        <v/>
      </c>
      <c r="G1362" s="13">
        <f ca="1">IFERROR(__xludf.DUMMYFUNCTION("GOOGLEFINANCE(A1362,""CLOSEYEST"")"),1.7)</f>
        <v>1.7</v>
      </c>
      <c r="H1362" s="14" t="str">
        <f t="shared" ca="1" si="48"/>
        <v>GAP DOWN</v>
      </c>
      <c r="I1362" s="15">
        <f t="shared" ca="1" si="43"/>
        <v>1.6933333333333334</v>
      </c>
      <c r="J1362" s="16">
        <f t="shared" ca="1" si="44"/>
        <v>1.7366666666666668</v>
      </c>
      <c r="K1362" s="16"/>
      <c r="L1362" s="16">
        <f t="shared" ca="1" si="45"/>
        <v>1.6566666666666667</v>
      </c>
      <c r="M1362" s="16">
        <f t="shared" ca="1" si="46"/>
        <v>1.7733333333333334</v>
      </c>
      <c r="N1362" s="16">
        <f t="shared" ca="1" si="47"/>
        <v>1.6133333333333333</v>
      </c>
    </row>
    <row r="1363" spans="1:14" ht="24.75" customHeight="1" x14ac:dyDescent="0.8">
      <c r="A1363" s="18" t="s">
        <v>1326</v>
      </c>
      <c r="B1363" s="10">
        <f ca="1">IFERROR(__xludf.DUMMYFUNCTION("GOOGLEFINANCE(A1363,""PRICE"")"),1.94)</f>
        <v>1.94</v>
      </c>
      <c r="C1363" s="11">
        <f ca="1">IFERROR(__xludf.DUMMYFUNCTION("GOOGLEFINANCE(A1363,""PRICEOPEN"")"),1.92)</f>
        <v>1.92</v>
      </c>
      <c r="D1363" s="11">
        <f ca="1">IFERROR(__xludf.DUMMYFUNCTION("GOOGLEFINANCE(A1363,""HIGH"")"),1.95)</f>
        <v>1.95</v>
      </c>
      <c r="E1363" s="11">
        <f ca="1">IFERROR(__xludf.DUMMYFUNCTION("GOOGLEFINANCE(A1363,""LOW"")"),1.9)</f>
        <v>1.9</v>
      </c>
      <c r="F1363" s="12" t="str">
        <f t="shared" ca="1" si="42"/>
        <v/>
      </c>
      <c r="G1363" s="13">
        <f ca="1">IFERROR(__xludf.DUMMYFUNCTION("GOOGLEFINANCE(A1363,""CLOSEYEST"")"),1.91)</f>
        <v>1.91</v>
      </c>
      <c r="H1363" s="14" t="str">
        <f t="shared" ca="1" si="48"/>
        <v/>
      </c>
      <c r="I1363" s="15">
        <f t="shared" ca="1" si="43"/>
        <v>1.92</v>
      </c>
      <c r="J1363" s="16">
        <f t="shared" ca="1" si="44"/>
        <v>1.94</v>
      </c>
      <c r="K1363" s="16"/>
      <c r="L1363" s="16">
        <f t="shared" ca="1" si="45"/>
        <v>1.89</v>
      </c>
      <c r="M1363" s="16">
        <f t="shared" ca="1" si="46"/>
        <v>1.97</v>
      </c>
      <c r="N1363" s="16">
        <f t="shared" ca="1" si="47"/>
        <v>1.8699999999999999</v>
      </c>
    </row>
    <row r="1364" spans="1:14" ht="24.75" customHeight="1" x14ac:dyDescent="0.8">
      <c r="A1364" s="18" t="s">
        <v>1327</v>
      </c>
      <c r="B1364" s="10">
        <f ca="1">IFERROR(__xludf.DUMMYFUNCTION("GOOGLEFINANCE(A1364,""PRICE"")"),294)</f>
        <v>294</v>
      </c>
      <c r="C1364" s="11">
        <f ca="1">IFERROR(__xludf.DUMMYFUNCTION("GOOGLEFINANCE(A1364,""PRICEOPEN"")"),302.95)</f>
        <v>302.95</v>
      </c>
      <c r="D1364" s="11">
        <f ca="1">IFERROR(__xludf.DUMMYFUNCTION("GOOGLEFINANCE(A1364,""HIGH"")"),302.95)</f>
        <v>302.95</v>
      </c>
      <c r="E1364" s="11">
        <f ca="1">IFERROR(__xludf.DUMMYFUNCTION("GOOGLEFINANCE(A1364,""LOW"")"),292.4)</f>
        <v>292.39999999999998</v>
      </c>
      <c r="F1364" s="12" t="str">
        <f t="shared" ca="1" si="42"/>
        <v>SELL</v>
      </c>
      <c r="G1364" s="13">
        <f ca="1">IFERROR(__xludf.DUMMYFUNCTION("GOOGLEFINANCE(A1364,""CLOSEYEST"")"),299.95)</f>
        <v>299.95</v>
      </c>
      <c r="H1364" s="14" t="str">
        <f t="shared" ca="1" si="48"/>
        <v>GAP UP</v>
      </c>
      <c r="I1364" s="15">
        <f t="shared" ca="1" si="43"/>
        <v>298.43333333333334</v>
      </c>
      <c r="J1364" s="16">
        <f t="shared" ca="1" si="44"/>
        <v>304.4666666666667</v>
      </c>
      <c r="K1364" s="16"/>
      <c r="L1364" s="16">
        <f t="shared" ca="1" si="45"/>
        <v>293.91666666666669</v>
      </c>
      <c r="M1364" s="16">
        <f t="shared" ca="1" si="46"/>
        <v>308.98333333333335</v>
      </c>
      <c r="N1364" s="16">
        <f t="shared" ca="1" si="47"/>
        <v>287.88333333333333</v>
      </c>
    </row>
    <row r="1365" spans="1:14" ht="24.75" customHeight="1" x14ac:dyDescent="0.8">
      <c r="A1365" s="18" t="s">
        <v>1328</v>
      </c>
      <c r="B1365" s="10">
        <f ca="1">IFERROR(__xludf.DUMMYFUNCTION("GOOGLEFINANCE(A1365,""PRICE"")"),40.22)</f>
        <v>40.22</v>
      </c>
      <c r="C1365" s="11">
        <f ca="1">IFERROR(__xludf.DUMMYFUNCTION("GOOGLEFINANCE(A1365,""PRICEOPEN"")"),40.3)</f>
        <v>40.299999999999997</v>
      </c>
      <c r="D1365" s="11">
        <f ca="1">IFERROR(__xludf.DUMMYFUNCTION("GOOGLEFINANCE(A1365,""HIGH"")"),40.62)</f>
        <v>40.619999999999997</v>
      </c>
      <c r="E1365" s="11">
        <f ca="1">IFERROR(__xludf.DUMMYFUNCTION("GOOGLEFINANCE(A1365,""LOW"")"),40.08)</f>
        <v>40.08</v>
      </c>
      <c r="F1365" s="12" t="str">
        <f t="shared" ca="1" si="42"/>
        <v/>
      </c>
      <c r="G1365" s="13">
        <f ca="1">IFERROR(__xludf.DUMMYFUNCTION("GOOGLEFINANCE(A1365,""CLOSEYEST"")"),40.3)</f>
        <v>40.299999999999997</v>
      </c>
      <c r="H1365" s="14" t="str">
        <f t="shared" ca="1" si="48"/>
        <v/>
      </c>
      <c r="I1365" s="15">
        <f t="shared" ca="1" si="43"/>
        <v>40.333333333333329</v>
      </c>
      <c r="J1365" s="16">
        <f t="shared" ca="1" si="44"/>
        <v>40.586666666666659</v>
      </c>
      <c r="K1365" s="16"/>
      <c r="L1365" s="16">
        <f t="shared" ca="1" si="45"/>
        <v>40.04666666666666</v>
      </c>
      <c r="M1365" s="16">
        <f t="shared" ca="1" si="46"/>
        <v>40.873333333333328</v>
      </c>
      <c r="N1365" s="16">
        <f t="shared" ca="1" si="47"/>
        <v>39.793333333333329</v>
      </c>
    </row>
    <row r="1366" spans="1:14" ht="24.75" customHeight="1" x14ac:dyDescent="0.8">
      <c r="A1366" s="18" t="s">
        <v>1329</v>
      </c>
      <c r="B1366" s="10">
        <f ca="1">IFERROR(__xludf.DUMMYFUNCTION("GOOGLEFINANCE(A1366,""PRICE"")"),485.5)</f>
        <v>485.5</v>
      </c>
      <c r="C1366" s="11">
        <f ca="1">IFERROR(__xludf.DUMMYFUNCTION("GOOGLEFINANCE(A1366,""PRICEOPEN"")"),468.75)</f>
        <v>468.75</v>
      </c>
      <c r="D1366" s="11">
        <f ca="1">IFERROR(__xludf.DUMMYFUNCTION("GOOGLEFINANCE(A1366,""HIGH"")"),492)</f>
        <v>492</v>
      </c>
      <c r="E1366" s="11">
        <f ca="1">IFERROR(__xludf.DUMMYFUNCTION("GOOGLEFINANCE(A1366,""LOW"")"),468.75)</f>
        <v>468.75</v>
      </c>
      <c r="F1366" s="12" t="str">
        <f t="shared" ca="1" si="42"/>
        <v>BUY</v>
      </c>
      <c r="G1366" s="13">
        <f ca="1">IFERROR(__xludf.DUMMYFUNCTION("GOOGLEFINANCE(A1366,""CLOSEYEST"")"),468.7)</f>
        <v>468.7</v>
      </c>
      <c r="H1366" s="14" t="str">
        <f t="shared" ca="1" si="48"/>
        <v/>
      </c>
      <c r="I1366" s="15">
        <f t="shared" ca="1" si="43"/>
        <v>476.48333333333335</v>
      </c>
      <c r="J1366" s="16">
        <f t="shared" ca="1" si="44"/>
        <v>484.2166666666667</v>
      </c>
      <c r="K1366" s="16"/>
      <c r="L1366" s="16">
        <f t="shared" ca="1" si="45"/>
        <v>460.9666666666667</v>
      </c>
      <c r="M1366" s="16">
        <f t="shared" ca="1" si="46"/>
        <v>499.73333333333335</v>
      </c>
      <c r="N1366" s="16">
        <f t="shared" ca="1" si="47"/>
        <v>453.23333333333335</v>
      </c>
    </row>
    <row r="1367" spans="1:14" ht="24.75" customHeight="1" x14ac:dyDescent="0.8">
      <c r="A1367" s="18" t="s">
        <v>1330</v>
      </c>
      <c r="B1367" s="10">
        <f ca="1">IFERROR(__xludf.DUMMYFUNCTION("GOOGLEFINANCE(A1367,""PRICE"")"),8.2)</f>
        <v>8.1999999999999993</v>
      </c>
      <c r="C1367" s="11">
        <f ca="1">IFERROR(__xludf.DUMMYFUNCTION("GOOGLEFINANCE(A1367,""PRICEOPEN"")"),8.24)</f>
        <v>8.24</v>
      </c>
      <c r="D1367" s="11">
        <f ca="1">IFERROR(__xludf.DUMMYFUNCTION("GOOGLEFINANCE(A1367,""HIGH"")"),8.25)</f>
        <v>8.25</v>
      </c>
      <c r="E1367" s="11">
        <f ca="1">IFERROR(__xludf.DUMMYFUNCTION("GOOGLEFINANCE(A1367,""LOW"")"),8.14)</f>
        <v>8.14</v>
      </c>
      <c r="F1367" s="12" t="str">
        <f t="shared" ca="1" si="42"/>
        <v/>
      </c>
      <c r="G1367" s="13">
        <f ca="1">IFERROR(__xludf.DUMMYFUNCTION("GOOGLEFINANCE(A1367,""CLOSEYEST"")"),8.22)</f>
        <v>8.2200000000000006</v>
      </c>
      <c r="H1367" s="14" t="str">
        <f t="shared" ca="1" si="48"/>
        <v/>
      </c>
      <c r="I1367" s="15">
        <f t="shared" ca="1" si="43"/>
        <v>8.2033333333333331</v>
      </c>
      <c r="J1367" s="16">
        <f t="shared" ca="1" si="44"/>
        <v>8.2666666666666657</v>
      </c>
      <c r="K1367" s="16"/>
      <c r="L1367" s="16">
        <f t="shared" ca="1" si="45"/>
        <v>8.1566666666666663</v>
      </c>
      <c r="M1367" s="16">
        <f t="shared" ca="1" si="46"/>
        <v>8.3133333333333326</v>
      </c>
      <c r="N1367" s="16">
        <f t="shared" ca="1" si="47"/>
        <v>8.0933333333333337</v>
      </c>
    </row>
    <row r="1368" spans="1:14" ht="24.75" customHeight="1" x14ac:dyDescent="0.8">
      <c r="A1368" s="18" t="s">
        <v>1331</v>
      </c>
      <c r="B1368" s="10">
        <f ca="1">IFERROR(__xludf.DUMMYFUNCTION("GOOGLEFINANCE(A1368,""PRICE"")"),182.99)</f>
        <v>182.99</v>
      </c>
      <c r="C1368" s="11">
        <f ca="1">IFERROR(__xludf.DUMMYFUNCTION("GOOGLEFINANCE(A1368,""PRICEOPEN"")"),182)</f>
        <v>182</v>
      </c>
      <c r="D1368" s="11">
        <f ca="1">IFERROR(__xludf.DUMMYFUNCTION("GOOGLEFINANCE(A1368,""HIGH"")"),182.99)</f>
        <v>182.99</v>
      </c>
      <c r="E1368" s="11">
        <f ca="1">IFERROR(__xludf.DUMMYFUNCTION("GOOGLEFINANCE(A1368,""LOW"")"),175.15)</f>
        <v>175.15</v>
      </c>
      <c r="F1368" s="12" t="str">
        <f t="shared" ca="1" si="42"/>
        <v/>
      </c>
      <c r="G1368" s="13">
        <f ca="1">IFERROR(__xludf.DUMMYFUNCTION("GOOGLEFINANCE(A1368,""CLOSEYEST"")"),179)</f>
        <v>179</v>
      </c>
      <c r="H1368" s="14" t="str">
        <f t="shared" ca="1" si="48"/>
        <v>GAP UP</v>
      </c>
      <c r="I1368" s="15">
        <f t="shared" ca="1" si="43"/>
        <v>179.04666666666665</v>
      </c>
      <c r="J1368" s="16">
        <f t="shared" ca="1" si="44"/>
        <v>182.9433333333333</v>
      </c>
      <c r="K1368" s="16"/>
      <c r="L1368" s="16">
        <f t="shared" ca="1" si="45"/>
        <v>175.1033333333333</v>
      </c>
      <c r="M1368" s="16">
        <f t="shared" ca="1" si="46"/>
        <v>186.88666666666666</v>
      </c>
      <c r="N1368" s="16">
        <f t="shared" ca="1" si="47"/>
        <v>171.20666666666665</v>
      </c>
    </row>
    <row r="1369" spans="1:14" ht="24.75" customHeight="1" x14ac:dyDescent="0.8">
      <c r="A1369" s="18" t="s">
        <v>1332</v>
      </c>
      <c r="B1369" s="10">
        <f ca="1">IFERROR(__xludf.DUMMYFUNCTION("GOOGLEFINANCE(A1369,""PRICE"")"),135)</f>
        <v>135</v>
      </c>
      <c r="C1369" s="11">
        <f ca="1">IFERROR(__xludf.DUMMYFUNCTION("GOOGLEFINANCE(A1369,""PRICEOPEN"")"),131.81)</f>
        <v>131.81</v>
      </c>
      <c r="D1369" s="11">
        <f ca="1">IFERROR(__xludf.DUMMYFUNCTION("GOOGLEFINANCE(A1369,""HIGH"")"),138.34)</f>
        <v>138.34</v>
      </c>
      <c r="E1369" s="11">
        <f ca="1">IFERROR(__xludf.DUMMYFUNCTION("GOOGLEFINANCE(A1369,""LOW"")"),130)</f>
        <v>130</v>
      </c>
      <c r="F1369" s="12" t="str">
        <f t="shared" ca="1" si="42"/>
        <v/>
      </c>
      <c r="G1369" s="13">
        <f ca="1">IFERROR(__xludf.DUMMYFUNCTION("GOOGLEFINANCE(A1369,""CLOSEYEST"")"),131.76)</f>
        <v>131.76</v>
      </c>
      <c r="H1369" s="14" t="str">
        <f t="shared" ca="1" si="48"/>
        <v/>
      </c>
      <c r="I1369" s="15">
        <f t="shared" ca="1" si="43"/>
        <v>133.36666666666667</v>
      </c>
      <c r="J1369" s="16">
        <f t="shared" ca="1" si="44"/>
        <v>136.73333333333335</v>
      </c>
      <c r="K1369" s="16"/>
      <c r="L1369" s="16">
        <f t="shared" ca="1" si="45"/>
        <v>128.39333333333335</v>
      </c>
      <c r="M1369" s="16">
        <f t="shared" ca="1" si="46"/>
        <v>141.70666666666668</v>
      </c>
      <c r="N1369" s="16">
        <f t="shared" ca="1" si="47"/>
        <v>125.02666666666667</v>
      </c>
    </row>
    <row r="1370" spans="1:14" ht="24.75" customHeight="1" x14ac:dyDescent="0.8">
      <c r="A1370" s="18" t="s">
        <v>1333</v>
      </c>
      <c r="B1370" s="10">
        <f ca="1">IFERROR(__xludf.DUMMYFUNCTION("GOOGLEFINANCE(A1370,""PRICE"")"),139.42)</f>
        <v>139.41999999999999</v>
      </c>
      <c r="C1370" s="11">
        <f ca="1">IFERROR(__xludf.DUMMYFUNCTION("GOOGLEFINANCE(A1370,""PRICEOPEN"")"),138.61)</f>
        <v>138.61000000000001</v>
      </c>
      <c r="D1370" s="11">
        <f ca="1">IFERROR(__xludf.DUMMYFUNCTION("GOOGLEFINANCE(A1370,""HIGH"")"),139.42)</f>
        <v>139.41999999999999</v>
      </c>
      <c r="E1370" s="11">
        <f ca="1">IFERROR(__xludf.DUMMYFUNCTION("GOOGLEFINANCE(A1370,""LOW"")"),136.42)</f>
        <v>136.41999999999999</v>
      </c>
      <c r="F1370" s="12" t="str">
        <f t="shared" ca="1" si="42"/>
        <v/>
      </c>
      <c r="G1370" s="13">
        <f ca="1">IFERROR(__xludf.DUMMYFUNCTION("GOOGLEFINANCE(A1370,""CLOSEYEST"")"),139.42)</f>
        <v>139.41999999999999</v>
      </c>
      <c r="H1370" s="14" t="str">
        <f t="shared" ca="1" si="48"/>
        <v/>
      </c>
      <c r="I1370" s="15">
        <f t="shared" ca="1" si="43"/>
        <v>138.41999999999999</v>
      </c>
      <c r="J1370" s="16">
        <f t="shared" ca="1" si="44"/>
        <v>140.41999999999999</v>
      </c>
      <c r="K1370" s="16"/>
      <c r="L1370" s="16">
        <f t="shared" ca="1" si="45"/>
        <v>137.41999999999999</v>
      </c>
      <c r="M1370" s="16">
        <f t="shared" ca="1" si="46"/>
        <v>141.41999999999999</v>
      </c>
      <c r="N1370" s="16">
        <f t="shared" ca="1" si="47"/>
        <v>135.41999999999999</v>
      </c>
    </row>
    <row r="1371" spans="1:14" ht="24.75" customHeight="1" x14ac:dyDescent="0.8">
      <c r="A1371" s="18" t="s">
        <v>1334</v>
      </c>
      <c r="B1371" s="10">
        <f ca="1">IFERROR(__xludf.DUMMYFUNCTION("GOOGLEFINANCE(A1371,""PRICE"")"),28.29)</f>
        <v>28.29</v>
      </c>
      <c r="C1371" s="11">
        <f ca="1">IFERROR(__xludf.DUMMYFUNCTION("GOOGLEFINANCE(A1371,""PRICEOPEN"")"),26.95)</f>
        <v>26.95</v>
      </c>
      <c r="D1371" s="11">
        <f ca="1">IFERROR(__xludf.DUMMYFUNCTION("GOOGLEFINANCE(A1371,""HIGH"")"),28.29)</f>
        <v>28.29</v>
      </c>
      <c r="E1371" s="11">
        <f ca="1">IFERROR(__xludf.DUMMYFUNCTION("GOOGLEFINANCE(A1371,""LOW"")"),26.95)</f>
        <v>26.95</v>
      </c>
      <c r="F1371" s="12" t="str">
        <f t="shared" ca="1" si="42"/>
        <v>BUY</v>
      </c>
      <c r="G1371" s="13">
        <f ca="1">IFERROR(__xludf.DUMMYFUNCTION("GOOGLEFINANCE(A1371,""CLOSEYEST"")"),26.95)</f>
        <v>26.95</v>
      </c>
      <c r="H1371" s="14" t="str">
        <f t="shared" ca="1" si="48"/>
        <v/>
      </c>
      <c r="I1371" s="15">
        <f t="shared" ca="1" si="43"/>
        <v>27.396666666666665</v>
      </c>
      <c r="J1371" s="16">
        <f t="shared" ca="1" si="44"/>
        <v>27.84333333333333</v>
      </c>
      <c r="K1371" s="16"/>
      <c r="L1371" s="16">
        <f t="shared" ca="1" si="45"/>
        <v>26.50333333333333</v>
      </c>
      <c r="M1371" s="16">
        <f t="shared" ca="1" si="46"/>
        <v>28.736666666666665</v>
      </c>
      <c r="N1371" s="16">
        <f t="shared" ca="1" si="47"/>
        <v>26.056666666666665</v>
      </c>
    </row>
    <row r="1372" spans="1:14" ht="24.75" customHeight="1" x14ac:dyDescent="0.8">
      <c r="A1372" s="18" t="s">
        <v>1335</v>
      </c>
      <c r="B1372" s="10">
        <f ca="1">IFERROR(__xludf.DUMMYFUNCTION("GOOGLEFINANCE(A1372,""PRICE"")"),0.57)</f>
        <v>0.56999999999999995</v>
      </c>
      <c r="C1372" s="11">
        <f ca="1">IFERROR(__xludf.DUMMYFUNCTION("GOOGLEFINANCE(A1372,""PRICEOPEN"")"),0.55)</f>
        <v>0.55000000000000004</v>
      </c>
      <c r="D1372" s="11">
        <f ca="1">IFERROR(__xludf.DUMMYFUNCTION("GOOGLEFINANCE(A1372,""HIGH"")"),0.57)</f>
        <v>0.56999999999999995</v>
      </c>
      <c r="E1372" s="11">
        <f ca="1">IFERROR(__xludf.DUMMYFUNCTION("GOOGLEFINANCE(A1372,""LOW"")"),0.55)</f>
        <v>0.55000000000000004</v>
      </c>
      <c r="F1372" s="12" t="str">
        <f t="shared" ca="1" si="42"/>
        <v>BUY</v>
      </c>
      <c r="G1372" s="13">
        <f ca="1">IFERROR(__xludf.DUMMYFUNCTION("GOOGLEFINANCE(A1372,""CLOSEYEST"")"),0.55)</f>
        <v>0.55000000000000004</v>
      </c>
      <c r="H1372" s="14" t="str">
        <f t="shared" ca="1" si="48"/>
        <v/>
      </c>
      <c r="I1372" s="15">
        <f t="shared" ca="1" si="43"/>
        <v>0.55666666666666675</v>
      </c>
      <c r="J1372" s="16">
        <f t="shared" ca="1" si="44"/>
        <v>0.56333333333333346</v>
      </c>
      <c r="K1372" s="16"/>
      <c r="L1372" s="16">
        <f t="shared" ca="1" si="45"/>
        <v>0.54333333333333356</v>
      </c>
      <c r="M1372" s="16">
        <f t="shared" ca="1" si="46"/>
        <v>0.57666666666666666</v>
      </c>
      <c r="N1372" s="16">
        <f t="shared" ca="1" si="47"/>
        <v>0.53666666666666685</v>
      </c>
    </row>
    <row r="1373" spans="1:14" ht="24.75" customHeight="1" x14ac:dyDescent="0.8">
      <c r="A1373" s="18" t="s">
        <v>1336</v>
      </c>
      <c r="B1373" s="10">
        <f ca="1">IFERROR(__xludf.DUMMYFUNCTION("GOOGLEFINANCE(A1373,""PRICE"")"),252.5)</f>
        <v>252.5</v>
      </c>
      <c r="C1373" s="11">
        <f ca="1">IFERROR(__xludf.DUMMYFUNCTION("GOOGLEFINANCE(A1373,""PRICEOPEN"")"),253)</f>
        <v>253</v>
      </c>
      <c r="D1373" s="11">
        <f ca="1">IFERROR(__xludf.DUMMYFUNCTION("GOOGLEFINANCE(A1373,""HIGH"")"),257)</f>
        <v>257</v>
      </c>
      <c r="E1373" s="11">
        <f ca="1">IFERROR(__xludf.DUMMYFUNCTION("GOOGLEFINANCE(A1373,""LOW"")"),249)</f>
        <v>249</v>
      </c>
      <c r="F1373" s="12" t="str">
        <f t="shared" ca="1" si="42"/>
        <v/>
      </c>
      <c r="G1373" s="13">
        <f ca="1">IFERROR(__xludf.DUMMYFUNCTION("GOOGLEFINANCE(A1373,""CLOSEYEST"")"),249.45)</f>
        <v>249.45</v>
      </c>
      <c r="H1373" s="14" t="str">
        <f t="shared" ca="1" si="48"/>
        <v>GAP UP</v>
      </c>
      <c r="I1373" s="15">
        <f t="shared" ca="1" si="43"/>
        <v>251.81666666666669</v>
      </c>
      <c r="J1373" s="16">
        <f t="shared" ca="1" si="44"/>
        <v>254.63333333333338</v>
      </c>
      <c r="K1373" s="16"/>
      <c r="L1373" s="16">
        <f t="shared" ca="1" si="45"/>
        <v>246.63333333333338</v>
      </c>
      <c r="M1373" s="16">
        <f t="shared" ca="1" si="46"/>
        <v>259.81666666666672</v>
      </c>
      <c r="N1373" s="16">
        <f t="shared" ca="1" si="47"/>
        <v>243.81666666666669</v>
      </c>
    </row>
    <row r="1374" spans="1:14" ht="24.75" customHeight="1" x14ac:dyDescent="0.8">
      <c r="A1374" s="18" t="s">
        <v>1337</v>
      </c>
      <c r="B1374" s="10">
        <f ca="1">IFERROR(__xludf.DUMMYFUNCTION("GOOGLEFINANCE(A1374,""PRICE"")"),57.98)</f>
        <v>57.98</v>
      </c>
      <c r="C1374" s="11">
        <f ca="1">IFERROR(__xludf.DUMMYFUNCTION("GOOGLEFINANCE(A1374,""PRICEOPEN"")"),58.2)</f>
        <v>58.2</v>
      </c>
      <c r="D1374" s="11">
        <f ca="1">IFERROR(__xludf.DUMMYFUNCTION("GOOGLEFINANCE(A1374,""HIGH"")"),58.22)</f>
        <v>58.22</v>
      </c>
      <c r="E1374" s="11">
        <f ca="1">IFERROR(__xludf.DUMMYFUNCTION("GOOGLEFINANCE(A1374,""LOW"")"),56.36)</f>
        <v>56.36</v>
      </c>
      <c r="F1374" s="12" t="str">
        <f t="shared" ca="1" si="42"/>
        <v/>
      </c>
      <c r="G1374" s="13">
        <f ca="1">IFERROR(__xludf.DUMMYFUNCTION("GOOGLEFINANCE(A1374,""CLOSEYEST"")"),57.3)</f>
        <v>57.3</v>
      </c>
      <c r="H1374" s="14" t="str">
        <f t="shared" ca="1" si="48"/>
        <v>GAP UP</v>
      </c>
      <c r="I1374" s="15">
        <f t="shared" ca="1" si="43"/>
        <v>57.293333333333329</v>
      </c>
      <c r="J1374" s="16">
        <f t="shared" ca="1" si="44"/>
        <v>58.226666666666659</v>
      </c>
      <c r="K1374" s="16"/>
      <c r="L1374" s="16">
        <f t="shared" ca="1" si="45"/>
        <v>56.36666666666666</v>
      </c>
      <c r="M1374" s="16">
        <f t="shared" ca="1" si="46"/>
        <v>59.153333333333329</v>
      </c>
      <c r="N1374" s="16">
        <f t="shared" ca="1" si="47"/>
        <v>55.43333333333333</v>
      </c>
    </row>
    <row r="1375" spans="1:14" ht="24.75" customHeight="1" x14ac:dyDescent="0.8">
      <c r="A1375" s="18" t="s">
        <v>1338</v>
      </c>
      <c r="B1375" s="10">
        <f ca="1">IFERROR(__xludf.DUMMYFUNCTION("GOOGLEFINANCE(A1375,""PRICE"")"),41.74)</f>
        <v>41.74</v>
      </c>
      <c r="C1375" s="11">
        <f ca="1">IFERROR(__xludf.DUMMYFUNCTION("GOOGLEFINANCE(A1375,""PRICEOPEN"")"),41.55)</f>
        <v>41.55</v>
      </c>
      <c r="D1375" s="11">
        <f ca="1">IFERROR(__xludf.DUMMYFUNCTION("GOOGLEFINANCE(A1375,""HIGH"")"),42.76)</f>
        <v>42.76</v>
      </c>
      <c r="E1375" s="11">
        <f ca="1">IFERROR(__xludf.DUMMYFUNCTION("GOOGLEFINANCE(A1375,""LOW"")"),41.1)</f>
        <v>41.1</v>
      </c>
      <c r="F1375" s="12" t="str">
        <f t="shared" ca="1" si="42"/>
        <v/>
      </c>
      <c r="G1375" s="13">
        <f ca="1">IFERROR(__xludf.DUMMYFUNCTION("GOOGLEFINANCE(A1375,""CLOSEYEST"")"),41.55)</f>
        <v>41.55</v>
      </c>
      <c r="H1375" s="14" t="str">
        <f t="shared" ca="1" si="48"/>
        <v/>
      </c>
      <c r="I1375" s="15">
        <f t="shared" ca="1" si="43"/>
        <v>41.803333333333335</v>
      </c>
      <c r="J1375" s="16">
        <f t="shared" ca="1" si="44"/>
        <v>42.506666666666668</v>
      </c>
      <c r="K1375" s="16"/>
      <c r="L1375" s="16">
        <f t="shared" ca="1" si="45"/>
        <v>40.846666666666671</v>
      </c>
      <c r="M1375" s="16">
        <f t="shared" ca="1" si="46"/>
        <v>43.463333333333331</v>
      </c>
      <c r="N1375" s="16">
        <f t="shared" ca="1" si="47"/>
        <v>40.143333333333338</v>
      </c>
    </row>
    <row r="1376" spans="1:14" ht="24.75" customHeight="1" x14ac:dyDescent="0.8">
      <c r="A1376" s="18" t="s">
        <v>1339</v>
      </c>
      <c r="B1376" s="10">
        <f ca="1">IFERROR(__xludf.DUMMYFUNCTION("GOOGLEFINANCE(A1376,""PRICE"")"),1.38)</f>
        <v>1.38</v>
      </c>
      <c r="C1376" s="11">
        <f ca="1">IFERROR(__xludf.DUMMYFUNCTION("GOOGLEFINANCE(A1376,""PRICEOPEN"")"),1.37)</f>
        <v>1.37</v>
      </c>
      <c r="D1376" s="11">
        <f ca="1">IFERROR(__xludf.DUMMYFUNCTION("GOOGLEFINANCE(A1376,""HIGH"")"),1.38)</f>
        <v>1.38</v>
      </c>
      <c r="E1376" s="11">
        <f ca="1">IFERROR(__xludf.DUMMYFUNCTION("GOOGLEFINANCE(A1376,""LOW"")"),1.33)</f>
        <v>1.33</v>
      </c>
      <c r="F1376" s="12" t="str">
        <f t="shared" ca="1" si="42"/>
        <v/>
      </c>
      <c r="G1376" s="13">
        <f ca="1">IFERROR(__xludf.DUMMYFUNCTION("GOOGLEFINANCE(A1376,""CLOSEYEST"")"),1.36)</f>
        <v>1.36</v>
      </c>
      <c r="H1376" s="14" t="str">
        <f t="shared" ca="1" si="48"/>
        <v/>
      </c>
      <c r="I1376" s="15">
        <f t="shared" ca="1" si="43"/>
        <v>1.3566666666666667</v>
      </c>
      <c r="J1376" s="16">
        <f t="shared" ca="1" si="44"/>
        <v>1.3833333333333333</v>
      </c>
      <c r="K1376" s="16"/>
      <c r="L1376" s="16">
        <f t="shared" ca="1" si="45"/>
        <v>1.3333333333333335</v>
      </c>
      <c r="M1376" s="16">
        <f t="shared" ca="1" si="46"/>
        <v>1.4066666666666665</v>
      </c>
      <c r="N1376" s="16">
        <f t="shared" ca="1" si="47"/>
        <v>1.3066666666666669</v>
      </c>
    </row>
    <row r="1377" spans="1:14" ht="24.75" customHeight="1" x14ac:dyDescent="0.8">
      <c r="A1377" s="18" t="s">
        <v>1340</v>
      </c>
      <c r="B1377" s="10">
        <f ca="1">IFERROR(__xludf.DUMMYFUNCTION("GOOGLEFINANCE(A1377,""PRICE"")"),4)</f>
        <v>4</v>
      </c>
      <c r="C1377" s="11">
        <f ca="1">IFERROR(__xludf.DUMMYFUNCTION("GOOGLEFINANCE(A1377,""PRICEOPEN"")"),4.13)</f>
        <v>4.13</v>
      </c>
      <c r="D1377" s="11">
        <f ca="1">IFERROR(__xludf.DUMMYFUNCTION("GOOGLEFINANCE(A1377,""HIGH"")"),4.13)</f>
        <v>4.13</v>
      </c>
      <c r="E1377" s="11">
        <f ca="1">IFERROR(__xludf.DUMMYFUNCTION("GOOGLEFINANCE(A1377,""LOW"")"),4)</f>
        <v>4</v>
      </c>
      <c r="F1377" s="12" t="str">
        <f t="shared" ca="1" si="42"/>
        <v>SELL</v>
      </c>
      <c r="G1377" s="13">
        <f ca="1">IFERROR(__xludf.DUMMYFUNCTION("GOOGLEFINANCE(A1377,""CLOSEYEST"")"),4.13)</f>
        <v>4.13</v>
      </c>
      <c r="H1377" s="14" t="str">
        <f t="shared" ca="1" si="48"/>
        <v/>
      </c>
      <c r="I1377" s="15">
        <f t="shared" ca="1" si="43"/>
        <v>4.086666666666666</v>
      </c>
      <c r="J1377" s="16">
        <f t="shared" ca="1" si="44"/>
        <v>4.173333333333332</v>
      </c>
      <c r="K1377" s="16"/>
      <c r="L1377" s="16">
        <f t="shared" ca="1" si="45"/>
        <v>4.0433333333333321</v>
      </c>
      <c r="M1377" s="16">
        <f t="shared" ca="1" si="46"/>
        <v>4.2166666666666659</v>
      </c>
      <c r="N1377" s="16">
        <f t="shared" ca="1" si="47"/>
        <v>3.9566666666666661</v>
      </c>
    </row>
    <row r="1378" spans="1:14" ht="24.75" customHeight="1" x14ac:dyDescent="0.8">
      <c r="A1378" s="18" t="s">
        <v>1341</v>
      </c>
      <c r="B1378" s="10">
        <f ca="1">IFERROR(__xludf.DUMMYFUNCTION("GOOGLEFINANCE(A1378,""PRICE"")"),10.38)</f>
        <v>10.38</v>
      </c>
      <c r="C1378" s="11">
        <f ca="1">IFERROR(__xludf.DUMMYFUNCTION("GOOGLEFINANCE(A1378,""PRICEOPEN"")"),10.6)</f>
        <v>10.6</v>
      </c>
      <c r="D1378" s="11">
        <f ca="1">IFERROR(__xludf.DUMMYFUNCTION("GOOGLEFINANCE(A1378,""HIGH"")"),10.6)</f>
        <v>10.6</v>
      </c>
      <c r="E1378" s="11">
        <f ca="1">IFERROR(__xludf.DUMMYFUNCTION("GOOGLEFINANCE(A1378,""LOW"")"),10.3)</f>
        <v>10.3</v>
      </c>
      <c r="F1378" s="12" t="str">
        <f t="shared" ca="1" si="42"/>
        <v>SELL</v>
      </c>
      <c r="G1378" s="13">
        <f ca="1">IFERROR(__xludf.DUMMYFUNCTION("GOOGLEFINANCE(A1378,""CLOSEYEST"")"),10.4)</f>
        <v>10.4</v>
      </c>
      <c r="H1378" s="14" t="str">
        <f t="shared" ca="1" si="48"/>
        <v>GAP UP</v>
      </c>
      <c r="I1378" s="15">
        <f t="shared" ca="1" si="43"/>
        <v>10.433333333333332</v>
      </c>
      <c r="J1378" s="16">
        <f t="shared" ca="1" si="44"/>
        <v>10.566666666666663</v>
      </c>
      <c r="K1378" s="16"/>
      <c r="L1378" s="16">
        <f t="shared" ca="1" si="45"/>
        <v>10.266666666666664</v>
      </c>
      <c r="M1378" s="16">
        <f t="shared" ca="1" si="46"/>
        <v>10.733333333333331</v>
      </c>
      <c r="N1378" s="16">
        <f t="shared" ca="1" si="47"/>
        <v>10.133333333333333</v>
      </c>
    </row>
    <row r="1379" spans="1:14" ht="24.75" customHeight="1" x14ac:dyDescent="0.8">
      <c r="A1379" s="18" t="s">
        <v>1342</v>
      </c>
      <c r="B1379" s="10">
        <f ca="1">IFERROR(__xludf.DUMMYFUNCTION("GOOGLEFINANCE(A1379,""PRICE"")"),613.5)</f>
        <v>613.5</v>
      </c>
      <c r="C1379" s="11">
        <f ca="1">IFERROR(__xludf.DUMMYFUNCTION("GOOGLEFINANCE(A1379,""PRICEOPEN"")"),620.75)</f>
        <v>620.75</v>
      </c>
      <c r="D1379" s="11">
        <f ca="1">IFERROR(__xludf.DUMMYFUNCTION("GOOGLEFINANCE(A1379,""HIGH"")"),626.75)</f>
        <v>626.75</v>
      </c>
      <c r="E1379" s="11">
        <f ca="1">IFERROR(__xludf.DUMMYFUNCTION("GOOGLEFINANCE(A1379,""LOW"")"),611)</f>
        <v>611</v>
      </c>
      <c r="F1379" s="12" t="str">
        <f t="shared" ca="1" si="42"/>
        <v/>
      </c>
      <c r="G1379" s="13">
        <f ca="1">IFERROR(__xludf.DUMMYFUNCTION("GOOGLEFINANCE(A1379,""CLOSEYEST"")"),622.25)</f>
        <v>622.25</v>
      </c>
      <c r="H1379" s="14" t="str">
        <f t="shared" ca="1" si="48"/>
        <v/>
      </c>
      <c r="I1379" s="15">
        <f t="shared" ca="1" si="43"/>
        <v>620</v>
      </c>
      <c r="J1379" s="16">
        <f t="shared" ca="1" si="44"/>
        <v>629</v>
      </c>
      <c r="K1379" s="16"/>
      <c r="L1379" s="16">
        <f t="shared" ca="1" si="45"/>
        <v>613.25</v>
      </c>
      <c r="M1379" s="16">
        <f t="shared" ca="1" si="46"/>
        <v>635.75</v>
      </c>
      <c r="N1379" s="16">
        <f t="shared" ca="1" si="47"/>
        <v>604.25</v>
      </c>
    </row>
    <row r="1380" spans="1:14" ht="24.75" customHeight="1" x14ac:dyDescent="0.8">
      <c r="A1380" s="18" t="s">
        <v>1343</v>
      </c>
      <c r="B1380" s="10">
        <f ca="1">IFERROR(__xludf.DUMMYFUNCTION("GOOGLEFINANCE(A1380,""PRICE"")"),76)</f>
        <v>76</v>
      </c>
      <c r="C1380" s="11">
        <f ca="1">IFERROR(__xludf.DUMMYFUNCTION("GOOGLEFINANCE(A1380,""PRICEOPEN"")"),75.4)</f>
        <v>75.400000000000006</v>
      </c>
      <c r="D1380" s="11">
        <f ca="1">IFERROR(__xludf.DUMMYFUNCTION("GOOGLEFINANCE(A1380,""HIGH"")"),76.35)</f>
        <v>76.349999999999994</v>
      </c>
      <c r="E1380" s="11">
        <f ca="1">IFERROR(__xludf.DUMMYFUNCTION("GOOGLEFINANCE(A1380,""LOW"")"),73.62)</f>
        <v>73.62</v>
      </c>
      <c r="F1380" s="12" t="str">
        <f t="shared" ca="1" si="42"/>
        <v/>
      </c>
      <c r="G1380" s="13">
        <f ca="1">IFERROR(__xludf.DUMMYFUNCTION("GOOGLEFINANCE(A1380,""CLOSEYEST"")"),74.28)</f>
        <v>74.28</v>
      </c>
      <c r="H1380" s="14" t="str">
        <f t="shared" ca="1" si="48"/>
        <v>GAP UP</v>
      </c>
      <c r="I1380" s="15">
        <f t="shared" ca="1" si="43"/>
        <v>74.75</v>
      </c>
      <c r="J1380" s="16">
        <f t="shared" ca="1" si="44"/>
        <v>75.88</v>
      </c>
      <c r="K1380" s="16"/>
      <c r="L1380" s="16">
        <f t="shared" ca="1" si="45"/>
        <v>73.150000000000006</v>
      </c>
      <c r="M1380" s="16">
        <f t="shared" ca="1" si="46"/>
        <v>77.47999999999999</v>
      </c>
      <c r="N1380" s="16">
        <f t="shared" ca="1" si="47"/>
        <v>72.02000000000001</v>
      </c>
    </row>
    <row r="1381" spans="1:14" ht="24.75" customHeight="1" x14ac:dyDescent="0.8">
      <c r="A1381" s="18" t="s">
        <v>1344</v>
      </c>
      <c r="B1381" s="10" t="str">
        <f ca="1">IFERROR(__xludf.DUMMYFUNCTION("GOOGLEFINANCE(A1381,""PRICE"")"),"#N/A")</f>
        <v>#N/A</v>
      </c>
      <c r="C1381" s="11" t="str">
        <f ca="1">IFERROR(__xludf.DUMMYFUNCTION("GOOGLEFINANCE(A1381,""PRICEOPEN"")"),"#N/A")</f>
        <v>#N/A</v>
      </c>
      <c r="D1381" s="11" t="str">
        <f ca="1">IFERROR(__xludf.DUMMYFUNCTION("GOOGLEFINANCE(A1381,""HIGH"")"),"#N/A")</f>
        <v>#N/A</v>
      </c>
      <c r="E1381" s="11" t="str">
        <f ca="1">IFERROR(__xludf.DUMMYFUNCTION("GOOGLEFINANCE(A1381,""LOW"")"),"#N/A")</f>
        <v>#N/A</v>
      </c>
      <c r="F1381" s="12" t="str">
        <f t="shared" ca="1" si="42"/>
        <v>SELL</v>
      </c>
      <c r="G1381" s="13" t="str">
        <f ca="1">IFERROR(__xludf.DUMMYFUNCTION("GOOGLEFINANCE(A1381,""CLOSEYEST"")"),"#N/A")</f>
        <v>#N/A</v>
      </c>
      <c r="H1381" s="14" t="e">
        <f t="shared" ca="1" si="48"/>
        <v>#VALUE!</v>
      </c>
      <c r="I1381" s="15" t="e">
        <f t="shared" ca="1" si="43"/>
        <v>#VALUE!</v>
      </c>
      <c r="J1381" s="16" t="e">
        <f t="shared" ca="1" si="44"/>
        <v>#VALUE!</v>
      </c>
      <c r="K1381" s="16"/>
      <c r="L1381" s="16" t="e">
        <f t="shared" ca="1" si="45"/>
        <v>#VALUE!</v>
      </c>
      <c r="M1381" s="16" t="e">
        <f t="shared" ca="1" si="46"/>
        <v>#VALUE!</v>
      </c>
      <c r="N1381" s="16" t="e">
        <f t="shared" ca="1" si="47"/>
        <v>#VALUE!</v>
      </c>
    </row>
    <row r="1382" spans="1:14" ht="24.75" customHeight="1" x14ac:dyDescent="0.8">
      <c r="A1382" s="18" t="s">
        <v>1345</v>
      </c>
      <c r="B1382" s="10">
        <f ca="1">IFERROR(__xludf.DUMMYFUNCTION("GOOGLEFINANCE(A1382,""PRICE"")"),55.1)</f>
        <v>55.1</v>
      </c>
      <c r="C1382" s="11">
        <f ca="1">IFERROR(__xludf.DUMMYFUNCTION("GOOGLEFINANCE(A1382,""PRICEOPEN"")"),55.49)</f>
        <v>55.49</v>
      </c>
      <c r="D1382" s="11">
        <f ca="1">IFERROR(__xludf.DUMMYFUNCTION("GOOGLEFINANCE(A1382,""HIGH"")"),56.45)</f>
        <v>56.45</v>
      </c>
      <c r="E1382" s="11">
        <f ca="1">IFERROR(__xludf.DUMMYFUNCTION("GOOGLEFINANCE(A1382,""LOW"")"),54.62)</f>
        <v>54.62</v>
      </c>
      <c r="F1382" s="12" t="str">
        <f t="shared" ca="1" si="42"/>
        <v/>
      </c>
      <c r="G1382" s="13">
        <f ca="1">IFERROR(__xludf.DUMMYFUNCTION("GOOGLEFINANCE(A1382,""CLOSEYEST"")"),55.49)</f>
        <v>55.49</v>
      </c>
      <c r="H1382" s="14" t="str">
        <f t="shared" ca="1" si="48"/>
        <v/>
      </c>
      <c r="I1382" s="15">
        <f t="shared" ca="1" si="43"/>
        <v>55.52</v>
      </c>
      <c r="J1382" s="16">
        <f t="shared" ca="1" si="44"/>
        <v>56.420000000000009</v>
      </c>
      <c r="K1382" s="16"/>
      <c r="L1382" s="16">
        <f t="shared" ca="1" si="45"/>
        <v>54.59</v>
      </c>
      <c r="M1382" s="16">
        <f t="shared" ca="1" si="46"/>
        <v>57.350000000000009</v>
      </c>
      <c r="N1382" s="16">
        <f t="shared" ca="1" si="47"/>
        <v>53.69</v>
      </c>
    </row>
    <row r="1383" spans="1:14" ht="24.75" customHeight="1" x14ac:dyDescent="0.8">
      <c r="A1383" s="18" t="s">
        <v>1346</v>
      </c>
      <c r="B1383" s="10">
        <f ca="1">IFERROR(__xludf.DUMMYFUNCTION("GOOGLEFINANCE(A1383,""PRICE"")"),9.59)</f>
        <v>9.59</v>
      </c>
      <c r="C1383" s="11">
        <f ca="1">IFERROR(__xludf.DUMMYFUNCTION("GOOGLEFINANCE(A1383,""PRICEOPEN"")"),9.5)</f>
        <v>9.5</v>
      </c>
      <c r="D1383" s="11">
        <f ca="1">IFERROR(__xludf.DUMMYFUNCTION("GOOGLEFINANCE(A1383,""HIGH"")"),9.68)</f>
        <v>9.68</v>
      </c>
      <c r="E1383" s="11">
        <f ca="1">IFERROR(__xludf.DUMMYFUNCTION("GOOGLEFINANCE(A1383,""LOW"")"),9.13)</f>
        <v>9.1300000000000008</v>
      </c>
      <c r="F1383" s="12" t="str">
        <f t="shared" ca="1" si="42"/>
        <v/>
      </c>
      <c r="G1383" s="13">
        <f ca="1">IFERROR(__xludf.DUMMYFUNCTION("GOOGLEFINANCE(A1383,""CLOSEYEST"")"),9.57)</f>
        <v>9.57</v>
      </c>
      <c r="H1383" s="14" t="str">
        <f t="shared" ca="1" si="48"/>
        <v/>
      </c>
      <c r="I1383" s="15">
        <f t="shared" ca="1" si="43"/>
        <v>9.4600000000000009</v>
      </c>
      <c r="J1383" s="16">
        <f t="shared" ca="1" si="44"/>
        <v>9.7900000000000009</v>
      </c>
      <c r="K1383" s="16"/>
      <c r="L1383" s="16">
        <f t="shared" ca="1" si="45"/>
        <v>9.240000000000002</v>
      </c>
      <c r="M1383" s="16">
        <f t="shared" ca="1" si="46"/>
        <v>10.01</v>
      </c>
      <c r="N1383" s="16">
        <f t="shared" ca="1" si="47"/>
        <v>8.9100000000000019</v>
      </c>
    </row>
    <row r="1384" spans="1:14" ht="24.75" customHeight="1" x14ac:dyDescent="0.8">
      <c r="A1384" s="18" t="s">
        <v>1347</v>
      </c>
      <c r="B1384" s="10" t="str">
        <f ca="1">IFERROR(__xludf.DUMMYFUNCTION("GOOGLEFINANCE(A1384,""PRICE"")"),"#N/A")</f>
        <v>#N/A</v>
      </c>
      <c r="C1384" s="11" t="str">
        <f ca="1">IFERROR(__xludf.DUMMYFUNCTION("GOOGLEFINANCE(A1384,""PRICEOPEN"")"),"#N/A")</f>
        <v>#N/A</v>
      </c>
      <c r="D1384" s="11" t="str">
        <f ca="1">IFERROR(__xludf.DUMMYFUNCTION("GOOGLEFINANCE(A1384,""HIGH"")"),"#N/A")</f>
        <v>#N/A</v>
      </c>
      <c r="E1384" s="11" t="str">
        <f ca="1">IFERROR(__xludf.DUMMYFUNCTION("GOOGLEFINANCE(A1384,""LOW"")"),"#N/A")</f>
        <v>#N/A</v>
      </c>
      <c r="F1384" s="12" t="str">
        <f t="shared" ca="1" si="42"/>
        <v>SELL</v>
      </c>
      <c r="G1384" s="13" t="str">
        <f ca="1">IFERROR(__xludf.DUMMYFUNCTION("GOOGLEFINANCE(A1384,""CLOSEYEST"")"),"#N/A")</f>
        <v>#N/A</v>
      </c>
      <c r="H1384" s="14" t="e">
        <f t="shared" ca="1" si="48"/>
        <v>#VALUE!</v>
      </c>
      <c r="I1384" s="15" t="e">
        <f t="shared" ca="1" si="43"/>
        <v>#VALUE!</v>
      </c>
      <c r="J1384" s="16" t="e">
        <f t="shared" ca="1" si="44"/>
        <v>#VALUE!</v>
      </c>
      <c r="K1384" s="16"/>
      <c r="L1384" s="16" t="e">
        <f t="shared" ca="1" si="45"/>
        <v>#VALUE!</v>
      </c>
      <c r="M1384" s="16" t="e">
        <f t="shared" ca="1" si="46"/>
        <v>#VALUE!</v>
      </c>
      <c r="N1384" s="16" t="e">
        <f t="shared" ca="1" si="47"/>
        <v>#VALUE!</v>
      </c>
    </row>
    <row r="1385" spans="1:14" ht="24.75" customHeight="1" x14ac:dyDescent="0.8">
      <c r="A1385" s="18" t="s">
        <v>1348</v>
      </c>
      <c r="B1385" s="10">
        <f ca="1">IFERROR(__xludf.DUMMYFUNCTION("GOOGLEFINANCE(A1385,""PRICE"")"),283.7)</f>
        <v>283.7</v>
      </c>
      <c r="C1385" s="11">
        <f ca="1">IFERROR(__xludf.DUMMYFUNCTION("GOOGLEFINANCE(A1385,""PRICEOPEN"")"),285.35)</f>
        <v>285.35000000000002</v>
      </c>
      <c r="D1385" s="11">
        <f ca="1">IFERROR(__xludf.DUMMYFUNCTION("GOOGLEFINANCE(A1385,""HIGH"")"),286.9)</f>
        <v>286.89999999999998</v>
      </c>
      <c r="E1385" s="11">
        <f ca="1">IFERROR(__xludf.DUMMYFUNCTION("GOOGLEFINANCE(A1385,""LOW"")"),281.35)</f>
        <v>281.35000000000002</v>
      </c>
      <c r="F1385" s="12" t="str">
        <f t="shared" ca="1" si="42"/>
        <v/>
      </c>
      <c r="G1385" s="13">
        <f ca="1">IFERROR(__xludf.DUMMYFUNCTION("GOOGLEFINANCE(A1385,""CLOSEYEST"")"),282.85)</f>
        <v>282.85000000000002</v>
      </c>
      <c r="H1385" s="14" t="str">
        <f t="shared" ca="1" si="48"/>
        <v/>
      </c>
      <c r="I1385" s="15">
        <f t="shared" ca="1" si="43"/>
        <v>283.7</v>
      </c>
      <c r="J1385" s="16">
        <f t="shared" ca="1" si="44"/>
        <v>286.04999999999995</v>
      </c>
      <c r="K1385" s="16"/>
      <c r="L1385" s="16">
        <f t="shared" ca="1" si="45"/>
        <v>280.5</v>
      </c>
      <c r="M1385" s="16">
        <f t="shared" ca="1" si="46"/>
        <v>289.24999999999994</v>
      </c>
      <c r="N1385" s="16">
        <f t="shared" ca="1" si="47"/>
        <v>278.15000000000003</v>
      </c>
    </row>
    <row r="1386" spans="1:14" ht="24.75" customHeight="1" x14ac:dyDescent="0.8">
      <c r="A1386" s="18" t="s">
        <v>1349</v>
      </c>
      <c r="B1386" s="10">
        <f ca="1">IFERROR(__xludf.DUMMYFUNCTION("GOOGLEFINANCE(A1386,""PRICE"")"),850)</f>
        <v>850</v>
      </c>
      <c r="C1386" s="11">
        <f ca="1">IFERROR(__xludf.DUMMYFUNCTION("GOOGLEFINANCE(A1386,""PRICEOPEN"")"),846.85)</f>
        <v>846.85</v>
      </c>
      <c r="D1386" s="11">
        <f ca="1">IFERROR(__xludf.DUMMYFUNCTION("GOOGLEFINANCE(A1386,""HIGH"")"),852.8)</f>
        <v>852.8</v>
      </c>
      <c r="E1386" s="11">
        <f ca="1">IFERROR(__xludf.DUMMYFUNCTION("GOOGLEFINANCE(A1386,""LOW"")"),836.1)</f>
        <v>836.1</v>
      </c>
      <c r="F1386" s="12" t="str">
        <f t="shared" ca="1" si="42"/>
        <v/>
      </c>
      <c r="G1386" s="13">
        <f ca="1">IFERROR(__xludf.DUMMYFUNCTION("GOOGLEFINANCE(A1386,""CLOSEYEST"")"),846.85)</f>
        <v>846.85</v>
      </c>
      <c r="H1386" s="14" t="str">
        <f t="shared" ca="1" si="48"/>
        <v/>
      </c>
      <c r="I1386" s="15">
        <f t="shared" ca="1" si="43"/>
        <v>845.25</v>
      </c>
      <c r="J1386" s="16">
        <f t="shared" ca="1" si="44"/>
        <v>854.4</v>
      </c>
      <c r="K1386" s="16"/>
      <c r="L1386" s="16">
        <f t="shared" ca="1" si="45"/>
        <v>837.7</v>
      </c>
      <c r="M1386" s="16">
        <f t="shared" ca="1" si="46"/>
        <v>861.94999999999993</v>
      </c>
      <c r="N1386" s="16">
        <f t="shared" ca="1" si="47"/>
        <v>828.55000000000007</v>
      </c>
    </row>
    <row r="1387" spans="1:14" ht="24.75" customHeight="1" x14ac:dyDescent="0.8">
      <c r="A1387" s="18" t="s">
        <v>1350</v>
      </c>
      <c r="B1387" s="10">
        <f ca="1">IFERROR(__xludf.DUMMYFUNCTION("GOOGLEFINANCE(A1387,""PRICE"")"),252)</f>
        <v>252</v>
      </c>
      <c r="C1387" s="11">
        <f ca="1">IFERROR(__xludf.DUMMYFUNCTION("GOOGLEFINANCE(A1387,""PRICEOPEN"")"),255)</f>
        <v>255</v>
      </c>
      <c r="D1387" s="11">
        <f ca="1">IFERROR(__xludf.DUMMYFUNCTION("GOOGLEFINANCE(A1387,""HIGH"")"),257.48)</f>
        <v>257.48</v>
      </c>
      <c r="E1387" s="11">
        <f ca="1">IFERROR(__xludf.DUMMYFUNCTION("GOOGLEFINANCE(A1387,""LOW"")"),247)</f>
        <v>247</v>
      </c>
      <c r="F1387" s="12" t="str">
        <f t="shared" ca="1" si="42"/>
        <v/>
      </c>
      <c r="G1387" s="13">
        <f ca="1">IFERROR(__xludf.DUMMYFUNCTION("GOOGLEFINANCE(A1387,""CLOSEYEST"")"),250.63)</f>
        <v>250.63</v>
      </c>
      <c r="H1387" s="14" t="str">
        <f t="shared" ca="1" si="48"/>
        <v>GAP UP</v>
      </c>
      <c r="I1387" s="15">
        <f t="shared" ca="1" si="43"/>
        <v>251.70333333333335</v>
      </c>
      <c r="J1387" s="16">
        <f t="shared" ca="1" si="44"/>
        <v>256.40666666666669</v>
      </c>
      <c r="K1387" s="16"/>
      <c r="L1387" s="16">
        <f t="shared" ca="1" si="45"/>
        <v>245.92666666666668</v>
      </c>
      <c r="M1387" s="16">
        <f t="shared" ca="1" si="46"/>
        <v>262.18333333333339</v>
      </c>
      <c r="N1387" s="16">
        <f t="shared" ca="1" si="47"/>
        <v>241.22333333333333</v>
      </c>
    </row>
    <row r="1388" spans="1:14" ht="24.75" customHeight="1" x14ac:dyDescent="0.8">
      <c r="A1388" s="18" t="s">
        <v>1351</v>
      </c>
      <c r="B1388" s="10">
        <f ca="1">IFERROR(__xludf.DUMMYFUNCTION("GOOGLEFINANCE(A1388,""PRICE"")"),605)</f>
        <v>605</v>
      </c>
      <c r="C1388" s="11">
        <f ca="1">IFERROR(__xludf.DUMMYFUNCTION("GOOGLEFINANCE(A1388,""PRICEOPEN"")"),574.35)</f>
        <v>574.35</v>
      </c>
      <c r="D1388" s="11">
        <f ca="1">IFERROR(__xludf.DUMMYFUNCTION("GOOGLEFINANCE(A1388,""HIGH"")"),613)</f>
        <v>613</v>
      </c>
      <c r="E1388" s="11">
        <f ca="1">IFERROR(__xludf.DUMMYFUNCTION("GOOGLEFINANCE(A1388,""LOW"")"),571.6)</f>
        <v>571.6</v>
      </c>
      <c r="F1388" s="12" t="str">
        <f t="shared" ca="1" si="42"/>
        <v/>
      </c>
      <c r="G1388" s="13">
        <f ca="1">IFERROR(__xludf.DUMMYFUNCTION("GOOGLEFINANCE(A1388,""CLOSEYEST"")"),572.25)</f>
        <v>572.25</v>
      </c>
      <c r="H1388" s="14" t="str">
        <f t="shared" ca="1" si="48"/>
        <v/>
      </c>
      <c r="I1388" s="15">
        <f t="shared" ca="1" si="43"/>
        <v>585.61666666666667</v>
      </c>
      <c r="J1388" s="16">
        <f t="shared" ca="1" si="44"/>
        <v>599.63333333333333</v>
      </c>
      <c r="K1388" s="16"/>
      <c r="L1388" s="16">
        <f t="shared" ca="1" si="45"/>
        <v>558.23333333333335</v>
      </c>
      <c r="M1388" s="16">
        <f t="shared" ca="1" si="46"/>
        <v>627.01666666666665</v>
      </c>
      <c r="N1388" s="16">
        <f t="shared" ca="1" si="47"/>
        <v>544.2166666666667</v>
      </c>
    </row>
    <row r="1389" spans="1:14" ht="24.75" customHeight="1" x14ac:dyDescent="0.8">
      <c r="A1389" s="18" t="s">
        <v>1352</v>
      </c>
      <c r="B1389" s="10">
        <f ca="1">IFERROR(__xludf.DUMMYFUNCTION("GOOGLEFINANCE(A1389,""PRICE"")"),1045.1)</f>
        <v>1045.0999999999999</v>
      </c>
      <c r="C1389" s="11">
        <f ca="1">IFERROR(__xludf.DUMMYFUNCTION("GOOGLEFINANCE(A1389,""PRICEOPEN"")"),1047)</f>
        <v>1047</v>
      </c>
      <c r="D1389" s="11">
        <f ca="1">IFERROR(__xludf.DUMMYFUNCTION("GOOGLEFINANCE(A1389,""HIGH"")"),1062)</f>
        <v>1062</v>
      </c>
      <c r="E1389" s="11">
        <f ca="1">IFERROR(__xludf.DUMMYFUNCTION("GOOGLEFINANCE(A1389,""LOW"")"),1021)</f>
        <v>1021</v>
      </c>
      <c r="F1389" s="12" t="str">
        <f t="shared" ca="1" si="42"/>
        <v/>
      </c>
      <c r="G1389" s="13">
        <f ca="1">IFERROR(__xludf.DUMMYFUNCTION("GOOGLEFINANCE(A1389,""CLOSEYEST"")"),1043)</f>
        <v>1043</v>
      </c>
      <c r="H1389" s="14" t="str">
        <f t="shared" ca="1" si="48"/>
        <v/>
      </c>
      <c r="I1389" s="15">
        <f t="shared" ca="1" si="43"/>
        <v>1042</v>
      </c>
      <c r="J1389" s="16">
        <f t="shared" ca="1" si="44"/>
        <v>1063</v>
      </c>
      <c r="K1389" s="16"/>
      <c r="L1389" s="16">
        <f t="shared" ca="1" si="45"/>
        <v>1022</v>
      </c>
      <c r="M1389" s="16">
        <f t="shared" ca="1" si="46"/>
        <v>1083</v>
      </c>
      <c r="N1389" s="16">
        <f t="shared" ca="1" si="47"/>
        <v>1001</v>
      </c>
    </row>
    <row r="1390" spans="1:14" ht="24.75" customHeight="1" x14ac:dyDescent="0.8">
      <c r="A1390" s="18" t="s">
        <v>1353</v>
      </c>
      <c r="B1390" s="10" t="str">
        <f ca="1">IFERROR(__xludf.DUMMYFUNCTION("GOOGLEFINANCE(A1390,""PRICE"")"),"#N/A")</f>
        <v>#N/A</v>
      </c>
      <c r="C1390" s="11" t="str">
        <f ca="1">IFERROR(__xludf.DUMMYFUNCTION("GOOGLEFINANCE(A1390,""PRICEOPEN"")"),"#N/A")</f>
        <v>#N/A</v>
      </c>
      <c r="D1390" s="11" t="str">
        <f ca="1">IFERROR(__xludf.DUMMYFUNCTION("GOOGLEFINANCE(A1390,""HIGH"")"),"#N/A")</f>
        <v>#N/A</v>
      </c>
      <c r="E1390" s="11" t="str">
        <f ca="1">IFERROR(__xludf.DUMMYFUNCTION("GOOGLEFINANCE(A1390,""LOW"")"),"#N/A")</f>
        <v>#N/A</v>
      </c>
      <c r="F1390" s="12" t="str">
        <f t="shared" ca="1" si="42"/>
        <v>SELL</v>
      </c>
      <c r="G1390" s="13" t="str">
        <f ca="1">IFERROR(__xludf.DUMMYFUNCTION("GOOGLEFINANCE(A1390,""CLOSEYEST"")"),"#N/A")</f>
        <v>#N/A</v>
      </c>
      <c r="H1390" s="14" t="e">
        <f t="shared" ca="1" si="48"/>
        <v>#VALUE!</v>
      </c>
      <c r="I1390" s="15" t="e">
        <f t="shared" ca="1" si="43"/>
        <v>#VALUE!</v>
      </c>
      <c r="J1390" s="16" t="e">
        <f t="shared" ca="1" si="44"/>
        <v>#VALUE!</v>
      </c>
      <c r="K1390" s="16"/>
      <c r="L1390" s="16" t="e">
        <f t="shared" ca="1" si="45"/>
        <v>#VALUE!</v>
      </c>
      <c r="M1390" s="16" t="e">
        <f t="shared" ca="1" si="46"/>
        <v>#VALUE!</v>
      </c>
      <c r="N1390" s="16" t="e">
        <f t="shared" ca="1" si="47"/>
        <v>#VALUE!</v>
      </c>
    </row>
    <row r="1391" spans="1:14" ht="24.75" customHeight="1" x14ac:dyDescent="0.8">
      <c r="A1391" s="18" t="s">
        <v>1354</v>
      </c>
      <c r="B1391" s="10" t="str">
        <f ca="1">IFERROR(__xludf.DUMMYFUNCTION("GOOGLEFINANCE(A1391,""PRICE"")"),"#N/A")</f>
        <v>#N/A</v>
      </c>
      <c r="C1391" s="11" t="str">
        <f ca="1">IFERROR(__xludf.DUMMYFUNCTION("GOOGLEFINANCE(A1391,""PRICEOPEN"")"),"#N/A")</f>
        <v>#N/A</v>
      </c>
      <c r="D1391" s="11" t="str">
        <f ca="1">IFERROR(__xludf.DUMMYFUNCTION("GOOGLEFINANCE(A1391,""HIGH"")"),"#N/A")</f>
        <v>#N/A</v>
      </c>
      <c r="E1391" s="11" t="str">
        <f ca="1">IFERROR(__xludf.DUMMYFUNCTION("GOOGLEFINANCE(A1391,""LOW"")"),"#N/A")</f>
        <v>#N/A</v>
      </c>
      <c r="F1391" s="12" t="str">
        <f t="shared" ca="1" si="42"/>
        <v>SELL</v>
      </c>
      <c r="G1391" s="13" t="str">
        <f ca="1">IFERROR(__xludf.DUMMYFUNCTION("GOOGLEFINANCE(A1391,""CLOSEYEST"")"),"#N/A")</f>
        <v>#N/A</v>
      </c>
      <c r="H1391" s="14" t="e">
        <f t="shared" ca="1" si="48"/>
        <v>#VALUE!</v>
      </c>
      <c r="I1391" s="15" t="e">
        <f t="shared" ca="1" si="43"/>
        <v>#VALUE!</v>
      </c>
      <c r="J1391" s="16" t="e">
        <f t="shared" ca="1" si="44"/>
        <v>#VALUE!</v>
      </c>
      <c r="K1391" s="16"/>
      <c r="L1391" s="16" t="e">
        <f t="shared" ca="1" si="45"/>
        <v>#VALUE!</v>
      </c>
      <c r="M1391" s="16" t="e">
        <f t="shared" ca="1" si="46"/>
        <v>#VALUE!</v>
      </c>
      <c r="N1391" s="16" t="e">
        <f t="shared" ca="1" si="47"/>
        <v>#VALUE!</v>
      </c>
    </row>
    <row r="1392" spans="1:14" ht="24.75" customHeight="1" x14ac:dyDescent="0.8">
      <c r="A1392" s="18" t="s">
        <v>1355</v>
      </c>
      <c r="B1392" s="10">
        <f ca="1">IFERROR(__xludf.DUMMYFUNCTION("GOOGLEFINANCE(A1392,""PRICE"")"),181.5)</f>
        <v>181.5</v>
      </c>
      <c r="C1392" s="11">
        <f ca="1">IFERROR(__xludf.DUMMYFUNCTION("GOOGLEFINANCE(A1392,""PRICEOPEN"")"),174.01)</f>
        <v>174.01</v>
      </c>
      <c r="D1392" s="11">
        <f ca="1">IFERROR(__xludf.DUMMYFUNCTION("GOOGLEFINANCE(A1392,""HIGH"")"),183.5)</f>
        <v>183.5</v>
      </c>
      <c r="E1392" s="11">
        <f ca="1">IFERROR(__xludf.DUMMYFUNCTION("GOOGLEFINANCE(A1392,""LOW"")"),174.01)</f>
        <v>174.01</v>
      </c>
      <c r="F1392" s="12" t="str">
        <f t="shared" ca="1" si="42"/>
        <v>BUY</v>
      </c>
      <c r="G1392" s="13">
        <f ca="1">IFERROR(__xludf.DUMMYFUNCTION("GOOGLEFINANCE(A1392,""CLOSEYEST"")"),175.86)</f>
        <v>175.86</v>
      </c>
      <c r="H1392" s="14" t="str">
        <f t="shared" ca="1" si="48"/>
        <v>GAP DOWN</v>
      </c>
      <c r="I1392" s="15">
        <f t="shared" ca="1" si="43"/>
        <v>177.79</v>
      </c>
      <c r="J1392" s="16">
        <f t="shared" ca="1" si="44"/>
        <v>181.57</v>
      </c>
      <c r="K1392" s="16"/>
      <c r="L1392" s="16">
        <f t="shared" ca="1" si="45"/>
        <v>172.07999999999998</v>
      </c>
      <c r="M1392" s="16">
        <f t="shared" ca="1" si="46"/>
        <v>187.28</v>
      </c>
      <c r="N1392" s="16">
        <f t="shared" ca="1" si="47"/>
        <v>168.29999999999998</v>
      </c>
    </row>
    <row r="1393" spans="1:14" ht="24.75" customHeight="1" x14ac:dyDescent="0.8">
      <c r="A1393" s="18" t="s">
        <v>1356</v>
      </c>
      <c r="B1393" s="10" t="str">
        <f ca="1">IFERROR(__xludf.DUMMYFUNCTION("GOOGLEFINANCE(A1393,""PRICE"")"),"#N/A")</f>
        <v>#N/A</v>
      </c>
      <c r="C1393" s="11" t="str">
        <f ca="1">IFERROR(__xludf.DUMMYFUNCTION("GOOGLEFINANCE(A1393,""PRICEOPEN"")"),"#N/A")</f>
        <v>#N/A</v>
      </c>
      <c r="D1393" s="11" t="str">
        <f ca="1">IFERROR(__xludf.DUMMYFUNCTION("GOOGLEFINANCE(A1393,""HIGH"")"),"#N/A")</f>
        <v>#N/A</v>
      </c>
      <c r="E1393" s="11" t="str">
        <f ca="1">IFERROR(__xludf.DUMMYFUNCTION("GOOGLEFINANCE(A1393,""LOW"")"),"#N/A")</f>
        <v>#N/A</v>
      </c>
      <c r="F1393" s="12" t="str">
        <f t="shared" ca="1" si="42"/>
        <v>SELL</v>
      </c>
      <c r="G1393" s="13" t="str">
        <f ca="1">IFERROR(__xludf.DUMMYFUNCTION("GOOGLEFINANCE(A1393,""CLOSEYEST"")"),"#N/A")</f>
        <v>#N/A</v>
      </c>
      <c r="H1393" s="14" t="e">
        <f t="shared" ca="1" si="48"/>
        <v>#VALUE!</v>
      </c>
      <c r="I1393" s="15" t="e">
        <f t="shared" ca="1" si="43"/>
        <v>#VALUE!</v>
      </c>
      <c r="J1393" s="16" t="e">
        <f t="shared" ca="1" si="44"/>
        <v>#VALUE!</v>
      </c>
      <c r="K1393" s="16"/>
      <c r="L1393" s="16" t="e">
        <f t="shared" ca="1" si="45"/>
        <v>#VALUE!</v>
      </c>
      <c r="M1393" s="16" t="e">
        <f t="shared" ca="1" si="46"/>
        <v>#VALUE!</v>
      </c>
      <c r="N1393" s="16" t="e">
        <f t="shared" ca="1" si="47"/>
        <v>#VALUE!</v>
      </c>
    </row>
    <row r="1394" spans="1:14" ht="24.75" customHeight="1" x14ac:dyDescent="0.8">
      <c r="A1394" s="18" t="s">
        <v>1357</v>
      </c>
      <c r="B1394" s="10">
        <f ca="1">IFERROR(__xludf.DUMMYFUNCTION("GOOGLEFINANCE(A1394,""PRICE"")"),362)</f>
        <v>362</v>
      </c>
      <c r="C1394" s="11">
        <f ca="1">IFERROR(__xludf.DUMMYFUNCTION("GOOGLEFINANCE(A1394,""PRICEOPEN"")"),369.9)</f>
        <v>369.9</v>
      </c>
      <c r="D1394" s="11">
        <f ca="1">IFERROR(__xludf.DUMMYFUNCTION("GOOGLEFINANCE(A1394,""HIGH"")"),369.95)</f>
        <v>369.95</v>
      </c>
      <c r="E1394" s="11">
        <f ca="1">IFERROR(__xludf.DUMMYFUNCTION("GOOGLEFINANCE(A1394,""LOW"")"),357.15)</f>
        <v>357.15</v>
      </c>
      <c r="F1394" s="12" t="str">
        <f t="shared" ca="1" si="42"/>
        <v/>
      </c>
      <c r="G1394" s="13">
        <f ca="1">IFERROR(__xludf.DUMMYFUNCTION("GOOGLEFINANCE(A1394,""CLOSEYEST"")"),366.8)</f>
        <v>366.8</v>
      </c>
      <c r="H1394" s="14" t="str">
        <f t="shared" ca="1" si="48"/>
        <v/>
      </c>
      <c r="I1394" s="15">
        <f t="shared" ca="1" si="43"/>
        <v>364.63333333333327</v>
      </c>
      <c r="J1394" s="16">
        <f t="shared" ca="1" si="44"/>
        <v>372.11666666666656</v>
      </c>
      <c r="K1394" s="16"/>
      <c r="L1394" s="16">
        <f t="shared" ca="1" si="45"/>
        <v>359.31666666666655</v>
      </c>
      <c r="M1394" s="16">
        <f t="shared" ca="1" si="46"/>
        <v>377.43333333333328</v>
      </c>
      <c r="N1394" s="16">
        <f t="shared" ca="1" si="47"/>
        <v>351.83333333333326</v>
      </c>
    </row>
    <row r="1395" spans="1:14" ht="24.75" customHeight="1" x14ac:dyDescent="0.8">
      <c r="A1395" s="18" t="s">
        <v>1358</v>
      </c>
      <c r="B1395" s="10">
        <f ca="1">IFERROR(__xludf.DUMMYFUNCTION("GOOGLEFINANCE(A1395,""PRICE"")"),45.27)</f>
        <v>45.27</v>
      </c>
      <c r="C1395" s="11">
        <f ca="1">IFERROR(__xludf.DUMMYFUNCTION("GOOGLEFINANCE(A1395,""PRICEOPEN"")"),45.27)</f>
        <v>45.27</v>
      </c>
      <c r="D1395" s="11">
        <f ca="1">IFERROR(__xludf.DUMMYFUNCTION("GOOGLEFINANCE(A1395,""HIGH"")"),45.27)</f>
        <v>45.27</v>
      </c>
      <c r="E1395" s="11">
        <f ca="1">IFERROR(__xludf.DUMMYFUNCTION("GOOGLEFINANCE(A1395,""LOW"")"),45.27)</f>
        <v>45.27</v>
      </c>
      <c r="F1395" s="12" t="str">
        <f t="shared" ca="1" si="42"/>
        <v>SELL</v>
      </c>
      <c r="G1395" s="13">
        <f ca="1">IFERROR(__xludf.DUMMYFUNCTION("GOOGLEFINANCE(A1395,""CLOSEYEST"")"),43.12)</f>
        <v>43.12</v>
      </c>
      <c r="H1395" s="14" t="str">
        <f t="shared" ca="1" si="48"/>
        <v>GAP UP</v>
      </c>
      <c r="I1395" s="15">
        <f t="shared" ca="1" si="43"/>
        <v>44.553333333333335</v>
      </c>
      <c r="J1395" s="16">
        <f t="shared" ca="1" si="44"/>
        <v>43.836666666666666</v>
      </c>
      <c r="K1395" s="16"/>
      <c r="L1395" s="16">
        <f t="shared" ca="1" si="45"/>
        <v>43.836666666666666</v>
      </c>
      <c r="M1395" s="16">
        <f t="shared" ca="1" si="46"/>
        <v>44.553333333333335</v>
      </c>
      <c r="N1395" s="16">
        <f t="shared" ca="1" si="47"/>
        <v>44.553333333333335</v>
      </c>
    </row>
    <row r="1396" spans="1:14" ht="24.75" customHeight="1" x14ac:dyDescent="0.8">
      <c r="A1396" s="18" t="s">
        <v>1359</v>
      </c>
      <c r="B1396" s="10">
        <f ca="1">IFERROR(__xludf.DUMMYFUNCTION("GOOGLEFINANCE(A1396,""PRICE"")"),17.51)</f>
        <v>17.510000000000002</v>
      </c>
      <c r="C1396" s="11">
        <f ca="1">IFERROR(__xludf.DUMMYFUNCTION("GOOGLEFINANCE(A1396,""PRICEOPEN"")"),16.66)</f>
        <v>16.66</v>
      </c>
      <c r="D1396" s="11">
        <f ca="1">IFERROR(__xludf.DUMMYFUNCTION("GOOGLEFINANCE(A1396,""HIGH"")"),17.51)</f>
        <v>17.510000000000002</v>
      </c>
      <c r="E1396" s="11">
        <f ca="1">IFERROR(__xludf.DUMMYFUNCTION("GOOGLEFINANCE(A1396,""LOW"")"),16.66)</f>
        <v>16.66</v>
      </c>
      <c r="F1396" s="12" t="str">
        <f t="shared" ca="1" si="42"/>
        <v>BUY</v>
      </c>
      <c r="G1396" s="13">
        <f ca="1">IFERROR(__xludf.DUMMYFUNCTION("GOOGLEFINANCE(A1396,""CLOSEYEST"")"),16.68)</f>
        <v>16.68</v>
      </c>
      <c r="H1396" s="14" t="str">
        <f t="shared" ca="1" si="48"/>
        <v/>
      </c>
      <c r="I1396" s="15">
        <f t="shared" ca="1" si="43"/>
        <v>16.95</v>
      </c>
      <c r="J1396" s="16">
        <f t="shared" ca="1" si="44"/>
        <v>17.239999999999998</v>
      </c>
      <c r="K1396" s="16"/>
      <c r="L1396" s="16">
        <f t="shared" ca="1" si="45"/>
        <v>16.389999999999997</v>
      </c>
      <c r="M1396" s="16">
        <f t="shared" ca="1" si="46"/>
        <v>17.8</v>
      </c>
      <c r="N1396" s="16">
        <f t="shared" ca="1" si="47"/>
        <v>16.099999999999998</v>
      </c>
    </row>
    <row r="1397" spans="1:14" ht="24.75" customHeight="1" x14ac:dyDescent="0.8">
      <c r="A1397" s="18" t="s">
        <v>1360</v>
      </c>
      <c r="B1397" s="10">
        <f ca="1">IFERROR(__xludf.DUMMYFUNCTION("GOOGLEFINANCE(A1397,""PRICE"")"),287)</f>
        <v>287</v>
      </c>
      <c r="C1397" s="11">
        <f ca="1">IFERROR(__xludf.DUMMYFUNCTION("GOOGLEFINANCE(A1397,""PRICEOPEN"")"),291.15)</f>
        <v>291.14999999999998</v>
      </c>
      <c r="D1397" s="11">
        <f ca="1">IFERROR(__xludf.DUMMYFUNCTION("GOOGLEFINANCE(A1397,""HIGH"")"),293.95)</f>
        <v>293.95</v>
      </c>
      <c r="E1397" s="11">
        <f ca="1">IFERROR(__xludf.DUMMYFUNCTION("GOOGLEFINANCE(A1397,""LOW"")"),281.5)</f>
        <v>281.5</v>
      </c>
      <c r="F1397" s="12" t="str">
        <f t="shared" ca="1" si="42"/>
        <v/>
      </c>
      <c r="G1397" s="13">
        <f ca="1">IFERROR(__xludf.DUMMYFUNCTION("GOOGLEFINANCE(A1397,""CLOSEYEST"")"),291.7)</f>
        <v>291.7</v>
      </c>
      <c r="H1397" s="14" t="str">
        <f t="shared" ca="1" si="48"/>
        <v/>
      </c>
      <c r="I1397" s="15">
        <f t="shared" ca="1" si="43"/>
        <v>289.05</v>
      </c>
      <c r="J1397" s="16">
        <f t="shared" ca="1" si="44"/>
        <v>296.60000000000002</v>
      </c>
      <c r="K1397" s="16"/>
      <c r="L1397" s="16">
        <f t="shared" ca="1" si="45"/>
        <v>284.15000000000003</v>
      </c>
      <c r="M1397" s="16">
        <f t="shared" ca="1" si="46"/>
        <v>301.5</v>
      </c>
      <c r="N1397" s="16">
        <f t="shared" ca="1" si="47"/>
        <v>276.60000000000002</v>
      </c>
    </row>
    <row r="1398" spans="1:14" ht="24.75" customHeight="1" x14ac:dyDescent="0.8">
      <c r="A1398" s="18" t="s">
        <v>1361</v>
      </c>
      <c r="B1398" s="10">
        <f ca="1">IFERROR(__xludf.DUMMYFUNCTION("GOOGLEFINANCE(A1398,""PRICE"")"),17.52)</f>
        <v>17.52</v>
      </c>
      <c r="C1398" s="11">
        <f ca="1">IFERROR(__xludf.DUMMYFUNCTION("GOOGLEFINANCE(A1398,""PRICEOPEN"")"),17.52)</f>
        <v>17.52</v>
      </c>
      <c r="D1398" s="11">
        <f ca="1">IFERROR(__xludf.DUMMYFUNCTION("GOOGLEFINANCE(A1398,""HIGH"")"),17.52)</f>
        <v>17.52</v>
      </c>
      <c r="E1398" s="11">
        <f ca="1">IFERROR(__xludf.DUMMYFUNCTION("GOOGLEFINANCE(A1398,""LOW"")"),17.52)</f>
        <v>17.52</v>
      </c>
      <c r="F1398" s="12" t="str">
        <f t="shared" ca="1" si="42"/>
        <v>SELL</v>
      </c>
      <c r="G1398" s="13">
        <f ca="1">IFERROR(__xludf.DUMMYFUNCTION("GOOGLEFINANCE(A1398,""CLOSEYEST"")"),17.18)</f>
        <v>17.18</v>
      </c>
      <c r="H1398" s="14" t="str">
        <f t="shared" ca="1" si="48"/>
        <v>GAP UP</v>
      </c>
      <c r="I1398" s="15">
        <f t="shared" ca="1" si="43"/>
        <v>17.406666666666666</v>
      </c>
      <c r="J1398" s="16">
        <f t="shared" ca="1" si="44"/>
        <v>17.293333333333333</v>
      </c>
      <c r="K1398" s="16"/>
      <c r="L1398" s="16">
        <f t="shared" ca="1" si="45"/>
        <v>17.293333333333333</v>
      </c>
      <c r="M1398" s="16">
        <f t="shared" ca="1" si="46"/>
        <v>17.406666666666666</v>
      </c>
      <c r="N1398" s="16">
        <f t="shared" ca="1" si="47"/>
        <v>17.406666666666666</v>
      </c>
    </row>
    <row r="1399" spans="1:14" ht="24.75" customHeight="1" x14ac:dyDescent="0.8">
      <c r="A1399" s="18" t="s">
        <v>1362</v>
      </c>
      <c r="B1399" s="10">
        <f ca="1">IFERROR(__xludf.DUMMYFUNCTION("GOOGLEFINANCE(A1399,""PRICE"")"),534.15)</f>
        <v>534.15</v>
      </c>
      <c r="C1399" s="11">
        <f ca="1">IFERROR(__xludf.DUMMYFUNCTION("GOOGLEFINANCE(A1399,""PRICEOPEN"")"),525.2)</f>
        <v>525.20000000000005</v>
      </c>
      <c r="D1399" s="11">
        <f ca="1">IFERROR(__xludf.DUMMYFUNCTION("GOOGLEFINANCE(A1399,""HIGH"")"),540.8)</f>
        <v>540.79999999999995</v>
      </c>
      <c r="E1399" s="11">
        <f ca="1">IFERROR(__xludf.DUMMYFUNCTION("GOOGLEFINANCE(A1399,""LOW"")"),523.7)</f>
        <v>523.70000000000005</v>
      </c>
      <c r="F1399" s="12" t="str">
        <f t="shared" ca="1" si="42"/>
        <v/>
      </c>
      <c r="G1399" s="13">
        <f ca="1">IFERROR(__xludf.DUMMYFUNCTION("GOOGLEFINANCE(A1399,""CLOSEYEST"")"),528.35)</f>
        <v>528.35</v>
      </c>
      <c r="H1399" s="14" t="str">
        <f t="shared" ca="1" si="48"/>
        <v/>
      </c>
      <c r="I1399" s="15">
        <f t="shared" ca="1" si="43"/>
        <v>530.94999999999993</v>
      </c>
      <c r="J1399" s="16">
        <f t="shared" ca="1" si="44"/>
        <v>538.19999999999982</v>
      </c>
      <c r="K1399" s="16"/>
      <c r="L1399" s="16">
        <f t="shared" ca="1" si="45"/>
        <v>521.09999999999991</v>
      </c>
      <c r="M1399" s="16">
        <f t="shared" ca="1" si="46"/>
        <v>548.04999999999984</v>
      </c>
      <c r="N1399" s="16">
        <f t="shared" ca="1" si="47"/>
        <v>513.85</v>
      </c>
    </row>
    <row r="1400" spans="1:14" ht="24.75" customHeight="1" x14ac:dyDescent="0.8">
      <c r="A1400" s="18" t="s">
        <v>1363</v>
      </c>
      <c r="B1400" s="10">
        <f ca="1">IFERROR(__xludf.DUMMYFUNCTION("GOOGLEFINANCE(A1400,""PRICE"")"),123.78)</f>
        <v>123.78</v>
      </c>
      <c r="C1400" s="11">
        <f ca="1">IFERROR(__xludf.DUMMYFUNCTION("GOOGLEFINANCE(A1400,""PRICEOPEN"")"),124.99)</f>
        <v>124.99</v>
      </c>
      <c r="D1400" s="11">
        <f ca="1">IFERROR(__xludf.DUMMYFUNCTION("GOOGLEFINANCE(A1400,""HIGH"")"),124.99)</f>
        <v>124.99</v>
      </c>
      <c r="E1400" s="11">
        <f ca="1">IFERROR(__xludf.DUMMYFUNCTION("GOOGLEFINANCE(A1400,""LOW"")"),121.2)</f>
        <v>121.2</v>
      </c>
      <c r="F1400" s="12" t="str">
        <f t="shared" ca="1" si="42"/>
        <v>SELL</v>
      </c>
      <c r="G1400" s="13">
        <f ca="1">IFERROR(__xludf.DUMMYFUNCTION("GOOGLEFINANCE(A1400,""CLOSEYEST"")"),123.89)</f>
        <v>123.89</v>
      </c>
      <c r="H1400" s="14" t="str">
        <f t="shared" ca="1" si="48"/>
        <v/>
      </c>
      <c r="I1400" s="15">
        <f t="shared" ca="1" si="43"/>
        <v>123.36</v>
      </c>
      <c r="J1400" s="16">
        <f t="shared" ca="1" si="44"/>
        <v>125.52</v>
      </c>
      <c r="K1400" s="16"/>
      <c r="L1400" s="16">
        <f t="shared" ca="1" si="45"/>
        <v>121.73</v>
      </c>
      <c r="M1400" s="16">
        <f t="shared" ca="1" si="46"/>
        <v>127.14999999999999</v>
      </c>
      <c r="N1400" s="16">
        <f t="shared" ca="1" si="47"/>
        <v>119.57000000000001</v>
      </c>
    </row>
    <row r="1401" spans="1:14" ht="24.75" customHeight="1" x14ac:dyDescent="0.8">
      <c r="A1401" s="18" t="s">
        <v>1364</v>
      </c>
      <c r="B1401" s="10">
        <f ca="1">IFERROR(__xludf.DUMMYFUNCTION("GOOGLEFINANCE(A1401,""PRICE"")"),121.43)</f>
        <v>121.43</v>
      </c>
      <c r="C1401" s="11">
        <f ca="1">IFERROR(__xludf.DUMMYFUNCTION("GOOGLEFINANCE(A1401,""PRICEOPEN"")"),121.95)</f>
        <v>121.95</v>
      </c>
      <c r="D1401" s="11">
        <f ca="1">IFERROR(__xludf.DUMMYFUNCTION("GOOGLEFINANCE(A1401,""HIGH"")"),122.05)</f>
        <v>122.05</v>
      </c>
      <c r="E1401" s="11">
        <f ca="1">IFERROR(__xludf.DUMMYFUNCTION("GOOGLEFINANCE(A1401,""LOW"")"),121.43)</f>
        <v>121.43</v>
      </c>
      <c r="F1401" s="12" t="str">
        <f t="shared" ca="1" si="42"/>
        <v/>
      </c>
      <c r="G1401" s="13">
        <f ca="1">IFERROR(__xludf.DUMMYFUNCTION("GOOGLEFINANCE(A1401,""CLOSEYEST"")"),121.89)</f>
        <v>121.89</v>
      </c>
      <c r="H1401" s="14" t="str">
        <f t="shared" ca="1" si="48"/>
        <v/>
      </c>
      <c r="I1401" s="15">
        <f t="shared" ca="1" si="43"/>
        <v>121.79</v>
      </c>
      <c r="J1401" s="16">
        <f t="shared" ca="1" si="44"/>
        <v>122.15</v>
      </c>
      <c r="K1401" s="16"/>
      <c r="L1401" s="16">
        <f t="shared" ca="1" si="45"/>
        <v>121.53000000000002</v>
      </c>
      <c r="M1401" s="16">
        <f t="shared" ca="1" si="46"/>
        <v>122.41</v>
      </c>
      <c r="N1401" s="16">
        <f t="shared" ca="1" si="47"/>
        <v>121.17000000000002</v>
      </c>
    </row>
    <row r="1402" spans="1:14" ht="24.75" customHeight="1" x14ac:dyDescent="0.8">
      <c r="A1402" s="18" t="s">
        <v>1365</v>
      </c>
      <c r="B1402" s="10">
        <f ca="1">IFERROR(__xludf.DUMMYFUNCTION("GOOGLEFINANCE(A1402,""PRICE"")"),1018.9)</f>
        <v>1018.9</v>
      </c>
      <c r="C1402" s="11">
        <f ca="1">IFERROR(__xludf.DUMMYFUNCTION("GOOGLEFINANCE(A1402,""PRICEOPEN"")"),1045.95)</f>
        <v>1045.95</v>
      </c>
      <c r="D1402" s="11">
        <f ca="1">IFERROR(__xludf.DUMMYFUNCTION("GOOGLEFINANCE(A1402,""HIGH"")"),1069)</f>
        <v>1069</v>
      </c>
      <c r="E1402" s="11">
        <f ca="1">IFERROR(__xludf.DUMMYFUNCTION("GOOGLEFINANCE(A1402,""LOW"")"),1011.25)</f>
        <v>1011.25</v>
      </c>
      <c r="F1402" s="12" t="str">
        <f t="shared" ca="1" si="42"/>
        <v/>
      </c>
      <c r="G1402" s="13">
        <f ca="1">IFERROR(__xludf.DUMMYFUNCTION("GOOGLEFINANCE(A1402,""CLOSEYEST"")"),1011.25)</f>
        <v>1011.25</v>
      </c>
      <c r="H1402" s="14" t="str">
        <f t="shared" ca="1" si="48"/>
        <v>GAP UP</v>
      </c>
      <c r="I1402" s="15">
        <f t="shared" ca="1" si="43"/>
        <v>1030.5</v>
      </c>
      <c r="J1402" s="16">
        <f t="shared" ca="1" si="44"/>
        <v>1049.75</v>
      </c>
      <c r="K1402" s="16"/>
      <c r="L1402" s="16">
        <f t="shared" ca="1" si="45"/>
        <v>992</v>
      </c>
      <c r="M1402" s="16">
        <f t="shared" ca="1" si="46"/>
        <v>1088.25</v>
      </c>
      <c r="N1402" s="16">
        <f t="shared" ca="1" si="47"/>
        <v>972.75</v>
      </c>
    </row>
    <row r="1403" spans="1:14" ht="24.75" customHeight="1" x14ac:dyDescent="0.8">
      <c r="A1403" s="18" t="s">
        <v>1366</v>
      </c>
      <c r="B1403" s="10">
        <f ca="1">IFERROR(__xludf.DUMMYFUNCTION("GOOGLEFINANCE(A1403,""PRICE"")"),115.53)</f>
        <v>115.53</v>
      </c>
      <c r="C1403" s="11">
        <f ca="1">IFERROR(__xludf.DUMMYFUNCTION("GOOGLEFINANCE(A1403,""PRICEOPEN"")"),114.85)</f>
        <v>114.85</v>
      </c>
      <c r="D1403" s="11">
        <f ca="1">IFERROR(__xludf.DUMMYFUNCTION("GOOGLEFINANCE(A1403,""HIGH"")"),116)</f>
        <v>116</v>
      </c>
      <c r="E1403" s="11">
        <f ca="1">IFERROR(__xludf.DUMMYFUNCTION("GOOGLEFINANCE(A1403,""LOW"")"),113.55)</f>
        <v>113.55</v>
      </c>
      <c r="F1403" s="12" t="str">
        <f t="shared" ca="1" si="42"/>
        <v/>
      </c>
      <c r="G1403" s="13">
        <f ca="1">IFERROR(__xludf.DUMMYFUNCTION("GOOGLEFINANCE(A1403,""CLOSEYEST"")"),113.39)</f>
        <v>113.39</v>
      </c>
      <c r="H1403" s="14" t="str">
        <f t="shared" ca="1" si="48"/>
        <v>GAP UP</v>
      </c>
      <c r="I1403" s="15">
        <f t="shared" ca="1" si="43"/>
        <v>114.31333333333333</v>
      </c>
      <c r="J1403" s="16">
        <f t="shared" ca="1" si="44"/>
        <v>115.07666666666667</v>
      </c>
      <c r="K1403" s="16"/>
      <c r="L1403" s="16">
        <f t="shared" ca="1" si="45"/>
        <v>112.62666666666667</v>
      </c>
      <c r="M1403" s="16">
        <f t="shared" ca="1" si="46"/>
        <v>116.76333333333334</v>
      </c>
      <c r="N1403" s="16">
        <f t="shared" ca="1" si="47"/>
        <v>111.86333333333333</v>
      </c>
    </row>
    <row r="1404" spans="1:14" ht="24.75" customHeight="1" x14ac:dyDescent="0.8">
      <c r="A1404" s="18" t="s">
        <v>1367</v>
      </c>
      <c r="B1404" s="10">
        <f ca="1">IFERROR(__xludf.DUMMYFUNCTION("GOOGLEFINANCE(A1404,""PRICE"")"),286)</f>
        <v>286</v>
      </c>
      <c r="C1404" s="11">
        <f ca="1">IFERROR(__xludf.DUMMYFUNCTION("GOOGLEFINANCE(A1404,""PRICEOPEN"")"),288.65)</f>
        <v>288.64999999999998</v>
      </c>
      <c r="D1404" s="11">
        <f ca="1">IFERROR(__xludf.DUMMYFUNCTION("GOOGLEFINANCE(A1404,""HIGH"")"),288.65)</f>
        <v>288.64999999999998</v>
      </c>
      <c r="E1404" s="11">
        <f ca="1">IFERROR(__xludf.DUMMYFUNCTION("GOOGLEFINANCE(A1404,""LOW"")"),284.1)</f>
        <v>284.10000000000002</v>
      </c>
      <c r="F1404" s="12" t="str">
        <f t="shared" ca="1" si="42"/>
        <v>SELL</v>
      </c>
      <c r="G1404" s="13">
        <f ca="1">IFERROR(__xludf.DUMMYFUNCTION("GOOGLEFINANCE(A1404,""CLOSEYEST"")"),287.65)</f>
        <v>287.64999999999998</v>
      </c>
      <c r="H1404" s="14" t="str">
        <f t="shared" ca="1" si="48"/>
        <v/>
      </c>
      <c r="I1404" s="15">
        <f t="shared" ca="1" si="43"/>
        <v>286.8</v>
      </c>
      <c r="J1404" s="16">
        <f t="shared" ca="1" si="44"/>
        <v>289.5</v>
      </c>
      <c r="K1404" s="16"/>
      <c r="L1404" s="16">
        <f t="shared" ca="1" si="45"/>
        <v>284.95000000000005</v>
      </c>
      <c r="M1404" s="16">
        <f t="shared" ca="1" si="46"/>
        <v>291.34999999999997</v>
      </c>
      <c r="N1404" s="16">
        <f t="shared" ca="1" si="47"/>
        <v>282.25000000000006</v>
      </c>
    </row>
    <row r="1405" spans="1:14" ht="24.75" customHeight="1" x14ac:dyDescent="0.8">
      <c r="A1405" s="18" t="s">
        <v>1368</v>
      </c>
      <c r="B1405" s="10">
        <f ca="1">IFERROR(__xludf.DUMMYFUNCTION("GOOGLEFINANCE(A1405,""PRICE"")"),13)</f>
        <v>13</v>
      </c>
      <c r="C1405" s="11">
        <f ca="1">IFERROR(__xludf.DUMMYFUNCTION("GOOGLEFINANCE(A1405,""PRICEOPEN"")"),12.79)</f>
        <v>12.79</v>
      </c>
      <c r="D1405" s="11">
        <f ca="1">IFERROR(__xludf.DUMMYFUNCTION("GOOGLEFINANCE(A1405,""HIGH"")"),13.13)</f>
        <v>13.13</v>
      </c>
      <c r="E1405" s="11">
        <f ca="1">IFERROR(__xludf.DUMMYFUNCTION("GOOGLEFINANCE(A1405,""LOW"")"),12.45)</f>
        <v>12.45</v>
      </c>
      <c r="F1405" s="12" t="str">
        <f t="shared" ca="1" si="42"/>
        <v/>
      </c>
      <c r="G1405" s="13">
        <f ca="1">IFERROR(__xludf.DUMMYFUNCTION("GOOGLEFINANCE(A1405,""CLOSEYEST"")"),12.51)</f>
        <v>12.51</v>
      </c>
      <c r="H1405" s="14" t="str">
        <f t="shared" ca="1" si="48"/>
        <v>GAP UP</v>
      </c>
      <c r="I1405" s="15">
        <f t="shared" ca="1" si="43"/>
        <v>12.696666666666665</v>
      </c>
      <c r="J1405" s="16">
        <f t="shared" ca="1" si="44"/>
        <v>12.943333333333332</v>
      </c>
      <c r="K1405" s="16"/>
      <c r="L1405" s="16">
        <f t="shared" ca="1" si="45"/>
        <v>12.26333333333333</v>
      </c>
      <c r="M1405" s="16">
        <f t="shared" ca="1" si="46"/>
        <v>13.376666666666667</v>
      </c>
      <c r="N1405" s="16">
        <f t="shared" ca="1" si="47"/>
        <v>12.016666666666664</v>
      </c>
    </row>
    <row r="1406" spans="1:14" ht="24.75" customHeight="1" x14ac:dyDescent="0.8">
      <c r="A1406" s="18" t="s">
        <v>1369</v>
      </c>
      <c r="B1406" s="10" t="str">
        <f ca="1">IFERROR(__xludf.DUMMYFUNCTION("GOOGLEFINANCE(A1406,""PRICE"")"),"#N/A")</f>
        <v>#N/A</v>
      </c>
      <c r="C1406" s="11" t="str">
        <f ca="1">IFERROR(__xludf.DUMMYFUNCTION("GOOGLEFINANCE(A1406,""PRICEOPEN"")"),"#N/A")</f>
        <v>#N/A</v>
      </c>
      <c r="D1406" s="11" t="str">
        <f ca="1">IFERROR(__xludf.DUMMYFUNCTION("GOOGLEFINANCE(A1406,""HIGH"")"),"#N/A")</f>
        <v>#N/A</v>
      </c>
      <c r="E1406" s="11" t="str">
        <f ca="1">IFERROR(__xludf.DUMMYFUNCTION("GOOGLEFINANCE(A1406,""LOW"")"),"#N/A")</f>
        <v>#N/A</v>
      </c>
      <c r="F1406" s="12" t="str">
        <f t="shared" ca="1" si="42"/>
        <v>SELL</v>
      </c>
      <c r="G1406" s="13" t="str">
        <f ca="1">IFERROR(__xludf.DUMMYFUNCTION("GOOGLEFINANCE(A1406,""CLOSEYEST"")"),"#N/A")</f>
        <v>#N/A</v>
      </c>
      <c r="H1406" s="14" t="e">
        <f t="shared" ca="1" si="48"/>
        <v>#VALUE!</v>
      </c>
      <c r="I1406" s="15" t="e">
        <f t="shared" ca="1" si="43"/>
        <v>#VALUE!</v>
      </c>
      <c r="J1406" s="16" t="e">
        <f t="shared" ca="1" si="44"/>
        <v>#VALUE!</v>
      </c>
      <c r="K1406" s="16"/>
      <c r="L1406" s="16" t="e">
        <f t="shared" ca="1" si="45"/>
        <v>#VALUE!</v>
      </c>
      <c r="M1406" s="16" t="e">
        <f t="shared" ca="1" si="46"/>
        <v>#VALUE!</v>
      </c>
      <c r="N1406" s="16" t="e">
        <f t="shared" ca="1" si="47"/>
        <v>#VALUE!</v>
      </c>
    </row>
    <row r="1407" spans="1:14" ht="24.75" customHeight="1" x14ac:dyDescent="0.8">
      <c r="A1407" s="18" t="s">
        <v>1370</v>
      </c>
      <c r="B1407" s="10" t="str">
        <f ca="1">IFERROR(__xludf.DUMMYFUNCTION("GOOGLEFINANCE(A1407,""PRICE"")"),"#N/A")</f>
        <v>#N/A</v>
      </c>
      <c r="C1407" s="11" t="str">
        <f ca="1">IFERROR(__xludf.DUMMYFUNCTION("GOOGLEFINANCE(A1407,""PRICEOPEN"")"),"#N/A")</f>
        <v>#N/A</v>
      </c>
      <c r="D1407" s="11" t="str">
        <f ca="1">IFERROR(__xludf.DUMMYFUNCTION("GOOGLEFINANCE(A1407,""HIGH"")"),"#N/A")</f>
        <v>#N/A</v>
      </c>
      <c r="E1407" s="11" t="str">
        <f ca="1">IFERROR(__xludf.DUMMYFUNCTION("GOOGLEFINANCE(A1407,""LOW"")"),"#N/A")</f>
        <v>#N/A</v>
      </c>
      <c r="F1407" s="12" t="str">
        <f t="shared" ca="1" si="42"/>
        <v>SELL</v>
      </c>
      <c r="G1407" s="13" t="str">
        <f ca="1">IFERROR(__xludf.DUMMYFUNCTION("GOOGLEFINANCE(A1407,""CLOSEYEST"")"),"#N/A")</f>
        <v>#N/A</v>
      </c>
      <c r="H1407" s="14" t="e">
        <f t="shared" ca="1" si="48"/>
        <v>#VALUE!</v>
      </c>
      <c r="I1407" s="15" t="e">
        <f t="shared" ca="1" si="43"/>
        <v>#VALUE!</v>
      </c>
      <c r="J1407" s="16" t="e">
        <f t="shared" ca="1" si="44"/>
        <v>#VALUE!</v>
      </c>
      <c r="K1407" s="16"/>
      <c r="L1407" s="16" t="e">
        <f t="shared" ca="1" si="45"/>
        <v>#VALUE!</v>
      </c>
      <c r="M1407" s="16" t="e">
        <f t="shared" ca="1" si="46"/>
        <v>#VALUE!</v>
      </c>
      <c r="N1407" s="16" t="e">
        <f t="shared" ca="1" si="47"/>
        <v>#VALUE!</v>
      </c>
    </row>
    <row r="1408" spans="1:14" ht="24.75" customHeight="1" x14ac:dyDescent="0.8">
      <c r="A1408" s="18" t="s">
        <v>1371</v>
      </c>
      <c r="B1408" s="10">
        <f ca="1">IFERROR(__xludf.DUMMYFUNCTION("GOOGLEFINANCE(A1408,""PRICE"")"),17.4)</f>
        <v>17.399999999999999</v>
      </c>
      <c r="C1408" s="11">
        <f ca="1">IFERROR(__xludf.DUMMYFUNCTION("GOOGLEFINANCE(A1408,""PRICEOPEN"")"),16.92)</f>
        <v>16.920000000000002</v>
      </c>
      <c r="D1408" s="11">
        <f ca="1">IFERROR(__xludf.DUMMYFUNCTION("GOOGLEFINANCE(A1408,""HIGH"")"),17.4)</f>
        <v>17.399999999999999</v>
      </c>
      <c r="E1408" s="11">
        <f ca="1">IFERROR(__xludf.DUMMYFUNCTION("GOOGLEFINANCE(A1408,""LOW"")"),16.89)</f>
        <v>16.89</v>
      </c>
      <c r="F1408" s="12" t="str">
        <f t="shared" ca="1" si="42"/>
        <v/>
      </c>
      <c r="G1408" s="13">
        <f ca="1">IFERROR(__xludf.DUMMYFUNCTION("GOOGLEFINANCE(A1408,""CLOSEYEST"")"),16.58)</f>
        <v>16.579999999999998</v>
      </c>
      <c r="H1408" s="14" t="str">
        <f t="shared" ca="1" si="48"/>
        <v>GAP UP</v>
      </c>
      <c r="I1408" s="15">
        <f t="shared" ca="1" si="43"/>
        <v>16.956666666666667</v>
      </c>
      <c r="J1408" s="16">
        <f t="shared" ca="1" si="44"/>
        <v>17.023333333333333</v>
      </c>
      <c r="K1408" s="16"/>
      <c r="L1408" s="16">
        <f t="shared" ca="1" si="45"/>
        <v>16.513333333333335</v>
      </c>
      <c r="M1408" s="16">
        <f t="shared" ca="1" si="46"/>
        <v>17.466666666666665</v>
      </c>
      <c r="N1408" s="16">
        <f t="shared" ca="1" si="47"/>
        <v>16.446666666666669</v>
      </c>
    </row>
    <row r="1409" spans="1:14" ht="24.75" customHeight="1" x14ac:dyDescent="0.8">
      <c r="A1409" s="18" t="s">
        <v>1372</v>
      </c>
      <c r="B1409" s="10">
        <f ca="1">IFERROR(__xludf.DUMMYFUNCTION("GOOGLEFINANCE(A1409,""PRICE"")"),66.94)</f>
        <v>66.94</v>
      </c>
      <c r="C1409" s="11">
        <f ca="1">IFERROR(__xludf.DUMMYFUNCTION("GOOGLEFINANCE(A1409,""PRICEOPEN"")"),65)</f>
        <v>65</v>
      </c>
      <c r="D1409" s="11">
        <f ca="1">IFERROR(__xludf.DUMMYFUNCTION("GOOGLEFINANCE(A1409,""HIGH"")"),66.94)</f>
        <v>66.94</v>
      </c>
      <c r="E1409" s="11">
        <f ca="1">IFERROR(__xludf.DUMMYFUNCTION("GOOGLEFINANCE(A1409,""LOW"")"),64)</f>
        <v>64</v>
      </c>
      <c r="F1409" s="12" t="str">
        <f t="shared" ca="1" si="42"/>
        <v/>
      </c>
      <c r="G1409" s="13">
        <f ca="1">IFERROR(__xludf.DUMMYFUNCTION("GOOGLEFINANCE(A1409,""CLOSEYEST"")"),65.08)</f>
        <v>65.08</v>
      </c>
      <c r="H1409" s="14" t="str">
        <f t="shared" ca="1" si="48"/>
        <v/>
      </c>
      <c r="I1409" s="15">
        <f t="shared" ca="1" si="43"/>
        <v>65.339999999999989</v>
      </c>
      <c r="J1409" s="16">
        <f t="shared" ca="1" si="44"/>
        <v>66.679999999999978</v>
      </c>
      <c r="K1409" s="16"/>
      <c r="L1409" s="16">
        <f t="shared" ca="1" si="45"/>
        <v>63.739999999999981</v>
      </c>
      <c r="M1409" s="16">
        <f t="shared" ca="1" si="46"/>
        <v>68.279999999999987</v>
      </c>
      <c r="N1409" s="16">
        <f t="shared" ca="1" si="47"/>
        <v>62.399999999999991</v>
      </c>
    </row>
    <row r="1410" spans="1:14" ht="24.75" customHeight="1" x14ac:dyDescent="0.8">
      <c r="A1410" s="18" t="s">
        <v>1373</v>
      </c>
      <c r="B1410" s="10">
        <f ca="1">IFERROR(__xludf.DUMMYFUNCTION("GOOGLEFINANCE(A1410,""PRICE"")"),115.5)</f>
        <v>115.5</v>
      </c>
      <c r="C1410" s="11">
        <f ca="1">IFERROR(__xludf.DUMMYFUNCTION("GOOGLEFINANCE(A1410,""PRICEOPEN"")"),113.9)</f>
        <v>113.9</v>
      </c>
      <c r="D1410" s="11">
        <f ca="1">IFERROR(__xludf.DUMMYFUNCTION("GOOGLEFINANCE(A1410,""HIGH"")"),116)</f>
        <v>116</v>
      </c>
      <c r="E1410" s="11">
        <f ca="1">IFERROR(__xludf.DUMMYFUNCTION("GOOGLEFINANCE(A1410,""LOW"")"),112.21)</f>
        <v>112.21</v>
      </c>
      <c r="F1410" s="12" t="str">
        <f t="shared" ca="1" si="42"/>
        <v/>
      </c>
      <c r="G1410" s="13">
        <f ca="1">IFERROR(__xludf.DUMMYFUNCTION("GOOGLEFINANCE(A1410,""CLOSEYEST"")"),113.9)</f>
        <v>113.9</v>
      </c>
      <c r="H1410" s="14" t="str">
        <f t="shared" ca="1" si="48"/>
        <v/>
      </c>
      <c r="I1410" s="15">
        <f t="shared" ca="1" si="43"/>
        <v>114.03666666666668</v>
      </c>
      <c r="J1410" s="16">
        <f t="shared" ca="1" si="44"/>
        <v>115.86333333333336</v>
      </c>
      <c r="K1410" s="16"/>
      <c r="L1410" s="16">
        <f t="shared" ca="1" si="45"/>
        <v>112.07333333333335</v>
      </c>
      <c r="M1410" s="16">
        <f t="shared" ca="1" si="46"/>
        <v>117.82666666666668</v>
      </c>
      <c r="N1410" s="16">
        <f t="shared" ca="1" si="47"/>
        <v>110.24666666666667</v>
      </c>
    </row>
    <row r="1411" spans="1:14" ht="24.75" customHeight="1" x14ac:dyDescent="0.8">
      <c r="A1411" s="18" t="s">
        <v>1374</v>
      </c>
      <c r="B1411" s="10">
        <f ca="1">IFERROR(__xludf.DUMMYFUNCTION("GOOGLEFINANCE(A1411,""PRICE"")"),8.3)</f>
        <v>8.3000000000000007</v>
      </c>
      <c r="C1411" s="11">
        <f ca="1">IFERROR(__xludf.DUMMYFUNCTION("GOOGLEFINANCE(A1411,""PRICEOPEN"")"),8.29)</f>
        <v>8.2899999999999991</v>
      </c>
      <c r="D1411" s="11">
        <f ca="1">IFERROR(__xludf.DUMMYFUNCTION("GOOGLEFINANCE(A1411,""HIGH"")"),8.4)</f>
        <v>8.4</v>
      </c>
      <c r="E1411" s="11">
        <f ca="1">IFERROR(__xludf.DUMMYFUNCTION("GOOGLEFINANCE(A1411,""LOW"")"),7.92)</f>
        <v>7.92</v>
      </c>
      <c r="F1411" s="12" t="str">
        <f t="shared" ca="1" si="42"/>
        <v/>
      </c>
      <c r="G1411" s="13">
        <f ca="1">IFERROR(__xludf.DUMMYFUNCTION("GOOGLEFINANCE(A1411,""CLOSEYEST"")"),8.2)</f>
        <v>8.1999999999999993</v>
      </c>
      <c r="H1411" s="14" t="str">
        <f t="shared" ca="1" si="48"/>
        <v>GAP UP</v>
      </c>
      <c r="I1411" s="15">
        <f t="shared" ca="1" si="43"/>
        <v>8.1733333333333338</v>
      </c>
      <c r="J1411" s="16">
        <f t="shared" ca="1" si="44"/>
        <v>8.4266666666666676</v>
      </c>
      <c r="K1411" s="16"/>
      <c r="L1411" s="16">
        <f t="shared" ca="1" si="45"/>
        <v>7.9466666666666672</v>
      </c>
      <c r="M1411" s="16">
        <f t="shared" ca="1" si="46"/>
        <v>8.6533333333333342</v>
      </c>
      <c r="N1411" s="16">
        <f t="shared" ca="1" si="47"/>
        <v>7.6933333333333334</v>
      </c>
    </row>
    <row r="1412" spans="1:14" ht="24.75" customHeight="1" x14ac:dyDescent="0.8">
      <c r="A1412" s="18" t="s">
        <v>1375</v>
      </c>
      <c r="B1412" s="10">
        <f ca="1">IFERROR(__xludf.DUMMYFUNCTION("GOOGLEFINANCE(A1412,""PRICE"")"),1795)</f>
        <v>1795</v>
      </c>
      <c r="C1412" s="11">
        <f ca="1">IFERROR(__xludf.DUMMYFUNCTION("GOOGLEFINANCE(A1412,""PRICEOPEN"")"),1740)</f>
        <v>1740</v>
      </c>
      <c r="D1412" s="11">
        <f ca="1">IFERROR(__xludf.DUMMYFUNCTION("GOOGLEFINANCE(A1412,""HIGH"")"),1809.7)</f>
        <v>1809.7</v>
      </c>
      <c r="E1412" s="11">
        <f ca="1">IFERROR(__xludf.DUMMYFUNCTION("GOOGLEFINANCE(A1412,""LOW"")"),1701.5)</f>
        <v>1701.5</v>
      </c>
      <c r="F1412" s="12" t="str">
        <f t="shared" ca="1" si="42"/>
        <v/>
      </c>
      <c r="G1412" s="13">
        <f ca="1">IFERROR(__xludf.DUMMYFUNCTION("GOOGLEFINANCE(A1412,""CLOSEYEST"")"),1723.6)</f>
        <v>1723.6</v>
      </c>
      <c r="H1412" s="14" t="str">
        <f t="shared" ca="1" si="48"/>
        <v/>
      </c>
      <c r="I1412" s="15">
        <f t="shared" ca="1" si="43"/>
        <v>1744.9333333333332</v>
      </c>
      <c r="J1412" s="16">
        <f t="shared" ca="1" si="44"/>
        <v>1788.3666666666663</v>
      </c>
      <c r="K1412" s="16"/>
      <c r="L1412" s="16">
        <f t="shared" ca="1" si="45"/>
        <v>1680.1666666666663</v>
      </c>
      <c r="M1412" s="16">
        <f t="shared" ca="1" si="46"/>
        <v>1853.1333333333332</v>
      </c>
      <c r="N1412" s="16">
        <f t="shared" ca="1" si="47"/>
        <v>1636.7333333333331</v>
      </c>
    </row>
    <row r="1413" spans="1:14" ht="24.75" customHeight="1" x14ac:dyDescent="0.8">
      <c r="A1413" s="18" t="s">
        <v>1376</v>
      </c>
      <c r="B1413" s="10" t="str">
        <f ca="1">IFERROR(__xludf.DUMMYFUNCTION("GOOGLEFINANCE(A1413,""PRICE"")"),"#N/A")</f>
        <v>#N/A</v>
      </c>
      <c r="C1413" s="11" t="str">
        <f ca="1">IFERROR(__xludf.DUMMYFUNCTION("GOOGLEFINANCE(A1413,""PRICEOPEN"")"),"#N/A")</f>
        <v>#N/A</v>
      </c>
      <c r="D1413" s="11" t="str">
        <f ca="1">IFERROR(__xludf.DUMMYFUNCTION("GOOGLEFINANCE(A1413,""HIGH"")"),"#N/A")</f>
        <v>#N/A</v>
      </c>
      <c r="E1413" s="11" t="str">
        <f ca="1">IFERROR(__xludf.DUMMYFUNCTION("GOOGLEFINANCE(A1413,""LOW"")"),"#N/A")</f>
        <v>#N/A</v>
      </c>
      <c r="F1413" s="12" t="str">
        <f t="shared" ca="1" si="42"/>
        <v>SELL</v>
      </c>
      <c r="G1413" s="13" t="str">
        <f ca="1">IFERROR(__xludf.DUMMYFUNCTION("GOOGLEFINANCE(A1413,""CLOSEYEST"")"),"#N/A")</f>
        <v>#N/A</v>
      </c>
      <c r="H1413" s="14" t="e">
        <f t="shared" ca="1" si="48"/>
        <v>#VALUE!</v>
      </c>
      <c r="I1413" s="15" t="e">
        <f t="shared" ca="1" si="43"/>
        <v>#VALUE!</v>
      </c>
      <c r="J1413" s="16" t="e">
        <f t="shared" ca="1" si="44"/>
        <v>#VALUE!</v>
      </c>
      <c r="K1413" s="16"/>
      <c r="L1413" s="16" t="e">
        <f t="shared" ca="1" si="45"/>
        <v>#VALUE!</v>
      </c>
      <c r="M1413" s="16" t="e">
        <f t="shared" ca="1" si="46"/>
        <v>#VALUE!</v>
      </c>
      <c r="N1413" s="16" t="e">
        <f t="shared" ca="1" si="47"/>
        <v>#VALUE!</v>
      </c>
    </row>
    <row r="1414" spans="1:14" ht="24.75" customHeight="1" x14ac:dyDescent="0.8">
      <c r="A1414" s="18" t="s">
        <v>1377</v>
      </c>
      <c r="B1414" s="10">
        <f ca="1">IFERROR(__xludf.DUMMYFUNCTION("GOOGLEFINANCE(A1414,""PRICE"")"),3)</f>
        <v>3</v>
      </c>
      <c r="C1414" s="11">
        <f ca="1">IFERROR(__xludf.DUMMYFUNCTION("GOOGLEFINANCE(A1414,""PRICEOPEN"")"),3.09)</f>
        <v>3.09</v>
      </c>
      <c r="D1414" s="11">
        <f ca="1">IFERROR(__xludf.DUMMYFUNCTION("GOOGLEFINANCE(A1414,""HIGH"")"),3.09)</f>
        <v>3.09</v>
      </c>
      <c r="E1414" s="11">
        <f ca="1">IFERROR(__xludf.DUMMYFUNCTION("GOOGLEFINANCE(A1414,""LOW"")"),2.91)</f>
        <v>2.91</v>
      </c>
      <c r="F1414" s="12" t="str">
        <f t="shared" ca="1" si="42"/>
        <v>SELL</v>
      </c>
      <c r="G1414" s="13">
        <f ca="1">IFERROR(__xludf.DUMMYFUNCTION("GOOGLEFINANCE(A1414,""CLOSEYEST"")"),3.04)</f>
        <v>3.04</v>
      </c>
      <c r="H1414" s="14" t="str">
        <f t="shared" ca="1" si="48"/>
        <v>GAP UP</v>
      </c>
      <c r="I1414" s="15">
        <f t="shared" ca="1" si="43"/>
        <v>3.0133333333333332</v>
      </c>
      <c r="J1414" s="16">
        <f t="shared" ca="1" si="44"/>
        <v>3.1166666666666663</v>
      </c>
      <c r="K1414" s="16"/>
      <c r="L1414" s="16">
        <f t="shared" ca="1" si="45"/>
        <v>2.9366666666666665</v>
      </c>
      <c r="M1414" s="16">
        <f t="shared" ca="1" si="46"/>
        <v>3.1933333333333329</v>
      </c>
      <c r="N1414" s="16">
        <f t="shared" ca="1" si="47"/>
        <v>2.8333333333333335</v>
      </c>
    </row>
    <row r="1415" spans="1:14" ht="24.75" customHeight="1" x14ac:dyDescent="0.8">
      <c r="A1415" s="18" t="s">
        <v>1378</v>
      </c>
      <c r="B1415" s="10" t="str">
        <f ca="1">IFERROR(__xludf.DUMMYFUNCTION("GOOGLEFINANCE(A1415,""PRICE"")"),"#N/A")</f>
        <v>#N/A</v>
      </c>
      <c r="C1415" s="11" t="str">
        <f ca="1">IFERROR(__xludf.DUMMYFUNCTION("GOOGLEFINANCE(A1415,""PRICEOPEN"")"),"#N/A")</f>
        <v>#N/A</v>
      </c>
      <c r="D1415" s="11" t="str">
        <f ca="1">IFERROR(__xludf.DUMMYFUNCTION("GOOGLEFINANCE(A1415,""HIGH"")"),"#N/A")</f>
        <v>#N/A</v>
      </c>
      <c r="E1415" s="11" t="str">
        <f ca="1">IFERROR(__xludf.DUMMYFUNCTION("GOOGLEFINANCE(A1415,""LOW"")"),"#N/A")</f>
        <v>#N/A</v>
      </c>
      <c r="F1415" s="12" t="str">
        <f t="shared" ca="1" si="42"/>
        <v>SELL</v>
      </c>
      <c r="G1415" s="13" t="str">
        <f ca="1">IFERROR(__xludf.DUMMYFUNCTION("GOOGLEFINANCE(A1415,""CLOSEYEST"")"),"#N/A")</f>
        <v>#N/A</v>
      </c>
      <c r="H1415" s="14" t="e">
        <f t="shared" ca="1" si="48"/>
        <v>#VALUE!</v>
      </c>
      <c r="I1415" s="15" t="e">
        <f t="shared" ca="1" si="43"/>
        <v>#VALUE!</v>
      </c>
      <c r="J1415" s="16" t="e">
        <f t="shared" ca="1" si="44"/>
        <v>#VALUE!</v>
      </c>
      <c r="K1415" s="16"/>
      <c r="L1415" s="16" t="e">
        <f t="shared" ca="1" si="45"/>
        <v>#VALUE!</v>
      </c>
      <c r="M1415" s="16" t="e">
        <f t="shared" ca="1" si="46"/>
        <v>#VALUE!</v>
      </c>
      <c r="N1415" s="16" t="e">
        <f t="shared" ca="1" si="47"/>
        <v>#VALUE!</v>
      </c>
    </row>
    <row r="1416" spans="1:14" ht="24.75" customHeight="1" x14ac:dyDescent="0.8">
      <c r="A1416" s="18" t="s">
        <v>1379</v>
      </c>
      <c r="B1416" s="10">
        <f ca="1">IFERROR(__xludf.DUMMYFUNCTION("GOOGLEFINANCE(A1416,""PRICE"")"),14.9)</f>
        <v>14.9</v>
      </c>
      <c r="C1416" s="11">
        <f ca="1">IFERROR(__xludf.DUMMYFUNCTION("GOOGLEFINANCE(A1416,""PRICEOPEN"")"),14)</f>
        <v>14</v>
      </c>
      <c r="D1416" s="11">
        <f ca="1">IFERROR(__xludf.DUMMYFUNCTION("GOOGLEFINANCE(A1416,""HIGH"")"),15.49)</f>
        <v>15.49</v>
      </c>
      <c r="E1416" s="11">
        <f ca="1">IFERROR(__xludf.DUMMYFUNCTION("GOOGLEFINANCE(A1416,""LOW"")"),14)</f>
        <v>14</v>
      </c>
      <c r="F1416" s="12" t="str">
        <f t="shared" ca="1" si="42"/>
        <v>BUY</v>
      </c>
      <c r="G1416" s="13">
        <f ca="1">IFERROR(__xludf.DUMMYFUNCTION("GOOGLEFINANCE(A1416,""CLOSEYEST"")"),13.94)</f>
        <v>13.94</v>
      </c>
      <c r="H1416" s="14" t="str">
        <f t="shared" ca="1" si="48"/>
        <v/>
      </c>
      <c r="I1416" s="15">
        <f t="shared" ca="1" si="43"/>
        <v>14.476666666666667</v>
      </c>
      <c r="J1416" s="16">
        <f t="shared" ca="1" si="44"/>
        <v>14.953333333333333</v>
      </c>
      <c r="K1416" s="16"/>
      <c r="L1416" s="16">
        <f t="shared" ca="1" si="45"/>
        <v>13.463333333333333</v>
      </c>
      <c r="M1416" s="16">
        <f t="shared" ca="1" si="46"/>
        <v>15.966666666666667</v>
      </c>
      <c r="N1416" s="16">
        <f t="shared" ca="1" si="47"/>
        <v>12.986666666666666</v>
      </c>
    </row>
    <row r="1417" spans="1:14" ht="24.75" customHeight="1" x14ac:dyDescent="0.8">
      <c r="A1417" s="18" t="s">
        <v>1380</v>
      </c>
      <c r="B1417" s="10">
        <f ca="1">IFERROR(__xludf.DUMMYFUNCTION("GOOGLEFINANCE(A1417,""PRICE"")"),78.6)</f>
        <v>78.599999999999994</v>
      </c>
      <c r="C1417" s="11">
        <f ca="1">IFERROR(__xludf.DUMMYFUNCTION("GOOGLEFINANCE(A1417,""PRICEOPEN"")"),77)</f>
        <v>77</v>
      </c>
      <c r="D1417" s="11">
        <f ca="1">IFERROR(__xludf.DUMMYFUNCTION("GOOGLEFINANCE(A1417,""HIGH"")"),78.8)</f>
        <v>78.8</v>
      </c>
      <c r="E1417" s="11">
        <f ca="1">IFERROR(__xludf.DUMMYFUNCTION("GOOGLEFINANCE(A1417,""LOW"")"),76.6)</f>
        <v>76.599999999999994</v>
      </c>
      <c r="F1417" s="12" t="str">
        <f t="shared" ca="1" si="42"/>
        <v/>
      </c>
      <c r="G1417" s="13">
        <f ca="1">IFERROR(__xludf.DUMMYFUNCTION("GOOGLEFINANCE(A1417,""CLOSEYEST"")"),77.4)</f>
        <v>77.400000000000006</v>
      </c>
      <c r="H1417" s="14" t="str">
        <f t="shared" ca="1" si="48"/>
        <v/>
      </c>
      <c r="I1417" s="15">
        <f t="shared" ca="1" si="43"/>
        <v>77.599999999999994</v>
      </c>
      <c r="J1417" s="16">
        <f t="shared" ca="1" si="44"/>
        <v>78.599999999999994</v>
      </c>
      <c r="K1417" s="16"/>
      <c r="L1417" s="16">
        <f t="shared" ca="1" si="45"/>
        <v>76.399999999999991</v>
      </c>
      <c r="M1417" s="16">
        <f t="shared" ca="1" si="46"/>
        <v>79.8</v>
      </c>
      <c r="N1417" s="16">
        <f t="shared" ca="1" si="47"/>
        <v>75.399999999999991</v>
      </c>
    </row>
    <row r="1418" spans="1:14" ht="24.75" customHeight="1" x14ac:dyDescent="0.8">
      <c r="A1418" s="18" t="s">
        <v>1381</v>
      </c>
      <c r="B1418" s="10">
        <f ca="1">IFERROR(__xludf.DUMMYFUNCTION("GOOGLEFINANCE(A1418,""PRICE"")"),50.17)</f>
        <v>50.17</v>
      </c>
      <c r="C1418" s="11">
        <f ca="1">IFERROR(__xludf.DUMMYFUNCTION("GOOGLEFINANCE(A1418,""PRICEOPEN"")"),46.2)</f>
        <v>46.2</v>
      </c>
      <c r="D1418" s="11">
        <f ca="1">IFERROR(__xludf.DUMMYFUNCTION("GOOGLEFINANCE(A1418,""HIGH"")"),50.17)</f>
        <v>50.17</v>
      </c>
      <c r="E1418" s="11">
        <f ca="1">IFERROR(__xludf.DUMMYFUNCTION("GOOGLEFINANCE(A1418,""LOW"")"),46.2)</f>
        <v>46.2</v>
      </c>
      <c r="F1418" s="12" t="str">
        <f t="shared" ca="1" si="42"/>
        <v>BUY</v>
      </c>
      <c r="G1418" s="13">
        <f ca="1">IFERROR(__xludf.DUMMYFUNCTION("GOOGLEFINANCE(A1418,""CLOSEYEST"")"),47.79)</f>
        <v>47.79</v>
      </c>
      <c r="H1418" s="14" t="str">
        <f t="shared" ca="1" si="48"/>
        <v>GAP DOWN</v>
      </c>
      <c r="I1418" s="15">
        <f t="shared" ca="1" si="43"/>
        <v>48.053333333333335</v>
      </c>
      <c r="J1418" s="16">
        <f t="shared" ca="1" si="44"/>
        <v>49.906666666666666</v>
      </c>
      <c r="K1418" s="16"/>
      <c r="L1418" s="16">
        <f t="shared" ca="1" si="45"/>
        <v>45.936666666666667</v>
      </c>
      <c r="M1418" s="16">
        <f t="shared" ca="1" si="46"/>
        <v>52.023333333333333</v>
      </c>
      <c r="N1418" s="16">
        <f t="shared" ca="1" si="47"/>
        <v>44.083333333333336</v>
      </c>
    </row>
    <row r="1419" spans="1:14" ht="24.75" customHeight="1" x14ac:dyDescent="0.8">
      <c r="A1419" s="18" t="s">
        <v>1382</v>
      </c>
      <c r="B1419" s="10">
        <f ca="1">IFERROR(__xludf.DUMMYFUNCTION("GOOGLEFINANCE(A1419,""PRICE"")"),0.05)</f>
        <v>0.05</v>
      </c>
      <c r="C1419" s="11">
        <f ca="1">IFERROR(__xludf.DUMMYFUNCTION("GOOGLEFINANCE(A1419,""PRICEOPEN"")"),0.05)</f>
        <v>0.05</v>
      </c>
      <c r="D1419" s="11">
        <f ca="1">IFERROR(__xludf.DUMMYFUNCTION("GOOGLEFINANCE(A1419,""HIGH"")"),0.05)</f>
        <v>0.05</v>
      </c>
      <c r="E1419" s="11">
        <f ca="1">IFERROR(__xludf.DUMMYFUNCTION("GOOGLEFINANCE(A1419,""LOW"")"),0.05)</f>
        <v>0.05</v>
      </c>
      <c r="F1419" s="12" t="str">
        <f t="shared" ca="1" si="42"/>
        <v>SELL</v>
      </c>
      <c r="G1419" s="13">
        <f ca="1">IFERROR(__xludf.DUMMYFUNCTION("GOOGLEFINANCE(A1419,""CLOSEYEST"")"),0.04)</f>
        <v>0.04</v>
      </c>
      <c r="H1419" s="14" t="str">
        <f t="shared" ca="1" si="48"/>
        <v>GAP UP</v>
      </c>
      <c r="I1419" s="15">
        <f t="shared" ca="1" si="43"/>
        <v>4.6666666666666669E-2</v>
      </c>
      <c r="J1419" s="16">
        <f t="shared" ca="1" si="44"/>
        <v>4.3333333333333335E-2</v>
      </c>
      <c r="K1419" s="16"/>
      <c r="L1419" s="16">
        <f t="shared" ca="1" si="45"/>
        <v>4.3333333333333335E-2</v>
      </c>
      <c r="M1419" s="16">
        <f t="shared" ca="1" si="46"/>
        <v>4.6666666666666669E-2</v>
      </c>
      <c r="N1419" s="16">
        <f t="shared" ca="1" si="47"/>
        <v>4.6666666666666669E-2</v>
      </c>
    </row>
    <row r="1420" spans="1:14" ht="24.75" customHeight="1" x14ac:dyDescent="0.8">
      <c r="A1420" s="18" t="s">
        <v>1383</v>
      </c>
      <c r="B1420" s="10">
        <f ca="1">IFERROR(__xludf.DUMMYFUNCTION("GOOGLEFINANCE(A1420,""PRICE"")"),1170.6)</f>
        <v>1170.5999999999999</v>
      </c>
      <c r="C1420" s="11">
        <f ca="1">IFERROR(__xludf.DUMMYFUNCTION("GOOGLEFINANCE(A1420,""PRICEOPEN"")"),1177.3)</f>
        <v>1177.3</v>
      </c>
      <c r="D1420" s="11">
        <f ca="1">IFERROR(__xludf.DUMMYFUNCTION("GOOGLEFINANCE(A1420,""HIGH"")"),1210.9)</f>
        <v>1210.9000000000001</v>
      </c>
      <c r="E1420" s="11">
        <f ca="1">IFERROR(__xludf.DUMMYFUNCTION("GOOGLEFINANCE(A1420,""LOW"")"),1154.2)</f>
        <v>1154.2</v>
      </c>
      <c r="F1420" s="12" t="str">
        <f t="shared" ca="1" si="42"/>
        <v/>
      </c>
      <c r="G1420" s="13">
        <f ca="1">IFERROR(__xludf.DUMMYFUNCTION("GOOGLEFINANCE(A1420,""CLOSEYEST"")"),1177.3)</f>
        <v>1177.3</v>
      </c>
      <c r="H1420" s="14" t="str">
        <f t="shared" ca="1" si="48"/>
        <v/>
      </c>
      <c r="I1420" s="15">
        <f t="shared" ca="1" si="43"/>
        <v>1180.8000000000002</v>
      </c>
      <c r="J1420" s="16">
        <f t="shared" ca="1" si="44"/>
        <v>1207.4000000000003</v>
      </c>
      <c r="K1420" s="16"/>
      <c r="L1420" s="16">
        <f t="shared" ca="1" si="45"/>
        <v>1150.7000000000003</v>
      </c>
      <c r="M1420" s="16">
        <f t="shared" ca="1" si="46"/>
        <v>1237.5000000000002</v>
      </c>
      <c r="N1420" s="16">
        <f t="shared" ca="1" si="47"/>
        <v>1124.1000000000001</v>
      </c>
    </row>
    <row r="1421" spans="1:14" ht="24.75" customHeight="1" x14ac:dyDescent="0.8">
      <c r="A1421" s="18" t="s">
        <v>1384</v>
      </c>
      <c r="B1421" s="10">
        <f ca="1">IFERROR(__xludf.DUMMYFUNCTION("GOOGLEFINANCE(A1421,""PRICE"")"),48.35)</f>
        <v>48.35</v>
      </c>
      <c r="C1421" s="11">
        <f ca="1">IFERROR(__xludf.DUMMYFUNCTION("GOOGLEFINANCE(A1421,""PRICEOPEN"")"),46.3)</f>
        <v>46.3</v>
      </c>
      <c r="D1421" s="11">
        <f ca="1">IFERROR(__xludf.DUMMYFUNCTION("GOOGLEFINANCE(A1421,""HIGH"")"),48.51)</f>
        <v>48.51</v>
      </c>
      <c r="E1421" s="11">
        <f ca="1">IFERROR(__xludf.DUMMYFUNCTION("GOOGLEFINANCE(A1421,""LOW"")"),46.3)</f>
        <v>46.3</v>
      </c>
      <c r="F1421" s="12" t="str">
        <f t="shared" ca="1" si="42"/>
        <v>BUY</v>
      </c>
      <c r="G1421" s="13">
        <f ca="1">IFERROR(__xludf.DUMMYFUNCTION("GOOGLEFINANCE(A1421,""CLOSEYEST"")"),46.2)</f>
        <v>46.2</v>
      </c>
      <c r="H1421" s="14" t="str">
        <f t="shared" ca="1" si="48"/>
        <v/>
      </c>
      <c r="I1421" s="15">
        <f t="shared" ca="1" si="43"/>
        <v>47.00333333333333</v>
      </c>
      <c r="J1421" s="16">
        <f t="shared" ca="1" si="44"/>
        <v>47.706666666666663</v>
      </c>
      <c r="K1421" s="16"/>
      <c r="L1421" s="16">
        <f t="shared" ca="1" si="45"/>
        <v>45.496666666666663</v>
      </c>
      <c r="M1421" s="16">
        <f t="shared" ca="1" si="46"/>
        <v>49.213333333333331</v>
      </c>
      <c r="N1421" s="16">
        <f t="shared" ca="1" si="47"/>
        <v>44.793333333333329</v>
      </c>
    </row>
    <row r="1422" spans="1:14" ht="24.75" customHeight="1" x14ac:dyDescent="0.8">
      <c r="A1422" s="18" t="s">
        <v>1385</v>
      </c>
      <c r="B1422" s="10">
        <f ca="1">IFERROR(__xludf.DUMMYFUNCTION("GOOGLEFINANCE(A1422,""PRICE"")"),26.74)</f>
        <v>26.74</v>
      </c>
      <c r="C1422" s="11" t="str">
        <f ca="1">IFERROR(__xludf.DUMMYFUNCTION("GOOGLEFINANCE(A1422,""PRICEOPEN"")"),"#N/A")</f>
        <v>#N/A</v>
      </c>
      <c r="D1422" s="11" t="str">
        <f ca="1">IFERROR(__xludf.DUMMYFUNCTION("GOOGLEFINANCE(A1422,""HIGH"")"),"#N/A")</f>
        <v>#N/A</v>
      </c>
      <c r="E1422" s="11" t="str">
        <f ca="1">IFERROR(__xludf.DUMMYFUNCTION("GOOGLEFINANCE(A1422,""LOW"")"),"#N/A")</f>
        <v>#N/A</v>
      </c>
      <c r="F1422" s="12" t="str">
        <f t="shared" ca="1" si="42"/>
        <v>SELL</v>
      </c>
      <c r="G1422" s="13">
        <f ca="1">IFERROR(__xludf.DUMMYFUNCTION("GOOGLEFINANCE(A1422,""CLOSEYEST"")"),27.15)</f>
        <v>27.15</v>
      </c>
      <c r="H1422" s="14" t="str">
        <f t="shared" ca="1" si="48"/>
        <v>GAP UP</v>
      </c>
      <c r="I1422" s="15" t="e">
        <f t="shared" ca="1" si="43"/>
        <v>#VALUE!</v>
      </c>
      <c r="J1422" s="16" t="e">
        <f t="shared" ca="1" si="44"/>
        <v>#VALUE!</v>
      </c>
      <c r="K1422" s="16"/>
      <c r="L1422" s="16" t="e">
        <f t="shared" ca="1" si="45"/>
        <v>#VALUE!</v>
      </c>
      <c r="M1422" s="16" t="e">
        <f t="shared" ca="1" si="46"/>
        <v>#VALUE!</v>
      </c>
      <c r="N1422" s="16" t="e">
        <f t="shared" ca="1" si="47"/>
        <v>#VALUE!</v>
      </c>
    </row>
    <row r="1423" spans="1:14" ht="24.75" customHeight="1" x14ac:dyDescent="0.8">
      <c r="A1423" s="18" t="s">
        <v>1386</v>
      </c>
      <c r="B1423" s="10">
        <f ca="1">IFERROR(__xludf.DUMMYFUNCTION("GOOGLEFINANCE(A1423,""PRICE"")"),468)</f>
        <v>468</v>
      </c>
      <c r="C1423" s="11">
        <f ca="1">IFERROR(__xludf.DUMMYFUNCTION("GOOGLEFINANCE(A1423,""PRICEOPEN"")"),461)</f>
        <v>461</v>
      </c>
      <c r="D1423" s="11">
        <f ca="1">IFERROR(__xludf.DUMMYFUNCTION("GOOGLEFINANCE(A1423,""HIGH"")"),469)</f>
        <v>469</v>
      </c>
      <c r="E1423" s="11">
        <f ca="1">IFERROR(__xludf.DUMMYFUNCTION("GOOGLEFINANCE(A1423,""LOW"")"),461)</f>
        <v>461</v>
      </c>
      <c r="F1423" s="12" t="str">
        <f t="shared" ca="1" si="42"/>
        <v>BUY</v>
      </c>
      <c r="G1423" s="13">
        <f ca="1">IFERROR(__xludf.DUMMYFUNCTION("GOOGLEFINANCE(A1423,""CLOSEYEST"")"),460.3)</f>
        <v>460.3</v>
      </c>
      <c r="H1423" s="14" t="str">
        <f t="shared" ca="1" si="48"/>
        <v/>
      </c>
      <c r="I1423" s="15">
        <f t="shared" ca="1" si="43"/>
        <v>463.43333333333334</v>
      </c>
      <c r="J1423" s="16">
        <f t="shared" ca="1" si="44"/>
        <v>465.86666666666667</v>
      </c>
      <c r="K1423" s="16"/>
      <c r="L1423" s="16">
        <f t="shared" ca="1" si="45"/>
        <v>457.86666666666667</v>
      </c>
      <c r="M1423" s="16">
        <f t="shared" ca="1" si="46"/>
        <v>471.43333333333334</v>
      </c>
      <c r="N1423" s="16">
        <f t="shared" ca="1" si="47"/>
        <v>455.43333333333334</v>
      </c>
    </row>
    <row r="1424" spans="1:14" ht="24.75" customHeight="1" x14ac:dyDescent="0.8">
      <c r="A1424" s="18" t="s">
        <v>1387</v>
      </c>
      <c r="B1424" s="10">
        <f ca="1">IFERROR(__xludf.DUMMYFUNCTION("GOOGLEFINANCE(A1424,""PRICE"")"),310.65)</f>
        <v>310.64999999999998</v>
      </c>
      <c r="C1424" s="11">
        <f ca="1">IFERROR(__xludf.DUMMYFUNCTION("GOOGLEFINANCE(A1424,""PRICEOPEN"")"),304.95)</f>
        <v>304.95</v>
      </c>
      <c r="D1424" s="11">
        <f ca="1">IFERROR(__xludf.DUMMYFUNCTION("GOOGLEFINANCE(A1424,""HIGH"")"),313.95)</f>
        <v>313.95</v>
      </c>
      <c r="E1424" s="11">
        <f ca="1">IFERROR(__xludf.DUMMYFUNCTION("GOOGLEFINANCE(A1424,""LOW"")"),300.65)</f>
        <v>300.64999999999998</v>
      </c>
      <c r="F1424" s="12" t="str">
        <f t="shared" ca="1" si="42"/>
        <v/>
      </c>
      <c r="G1424" s="13">
        <f ca="1">IFERROR(__xludf.DUMMYFUNCTION("GOOGLEFINANCE(A1424,""CLOSEYEST"")"),307.15)</f>
        <v>307.14999999999998</v>
      </c>
      <c r="H1424" s="14" t="str">
        <f t="shared" ca="1" si="48"/>
        <v/>
      </c>
      <c r="I1424" s="15">
        <f t="shared" ca="1" si="43"/>
        <v>307.24999999999994</v>
      </c>
      <c r="J1424" s="16">
        <f t="shared" ca="1" si="44"/>
        <v>313.84999999999991</v>
      </c>
      <c r="K1424" s="16"/>
      <c r="L1424" s="16">
        <f t="shared" ca="1" si="45"/>
        <v>300.5499999999999</v>
      </c>
      <c r="M1424" s="16">
        <f t="shared" ca="1" si="46"/>
        <v>320.54999999999995</v>
      </c>
      <c r="N1424" s="16">
        <f t="shared" ca="1" si="47"/>
        <v>293.94999999999993</v>
      </c>
    </row>
    <row r="1425" spans="1:14" ht="24.75" customHeight="1" x14ac:dyDescent="0.8">
      <c r="A1425" s="18" t="s">
        <v>1388</v>
      </c>
      <c r="B1425" s="10">
        <f ca="1">IFERROR(__xludf.DUMMYFUNCTION("GOOGLEFINANCE(A1425,""PRICE"")"),34.09)</f>
        <v>34.090000000000003</v>
      </c>
      <c r="C1425" s="11">
        <f ca="1">IFERROR(__xludf.DUMMYFUNCTION("GOOGLEFINANCE(A1425,""PRICEOPEN"")"),34.19)</f>
        <v>34.19</v>
      </c>
      <c r="D1425" s="11">
        <f ca="1">IFERROR(__xludf.DUMMYFUNCTION("GOOGLEFINANCE(A1425,""HIGH"")"),34.51)</f>
        <v>34.51</v>
      </c>
      <c r="E1425" s="11">
        <f ca="1">IFERROR(__xludf.DUMMYFUNCTION("GOOGLEFINANCE(A1425,""LOW"")"),33.76)</f>
        <v>33.76</v>
      </c>
      <c r="F1425" s="12" t="str">
        <f t="shared" ca="1" si="42"/>
        <v/>
      </c>
      <c r="G1425" s="13">
        <f ca="1">IFERROR(__xludf.DUMMYFUNCTION("GOOGLEFINANCE(A1425,""CLOSEYEST"")"),33.98)</f>
        <v>33.979999999999997</v>
      </c>
      <c r="H1425" s="14" t="str">
        <f t="shared" ca="1" si="48"/>
        <v/>
      </c>
      <c r="I1425" s="15">
        <f t="shared" ca="1" si="43"/>
        <v>34.083333333333336</v>
      </c>
      <c r="J1425" s="16">
        <f t="shared" ca="1" si="44"/>
        <v>34.406666666666673</v>
      </c>
      <c r="K1425" s="16"/>
      <c r="L1425" s="16">
        <f t="shared" ca="1" si="45"/>
        <v>33.656666666666673</v>
      </c>
      <c r="M1425" s="16">
        <f t="shared" ca="1" si="46"/>
        <v>34.833333333333336</v>
      </c>
      <c r="N1425" s="16">
        <f t="shared" ca="1" si="47"/>
        <v>33.333333333333336</v>
      </c>
    </row>
    <row r="1426" spans="1:14" ht="24.75" customHeight="1" x14ac:dyDescent="0.8">
      <c r="A1426" s="18" t="s">
        <v>1389</v>
      </c>
      <c r="B1426" s="10">
        <f ca="1">IFERROR(__xludf.DUMMYFUNCTION("GOOGLEFINANCE(A1426,""PRICE"")"),1347.3)</f>
        <v>1347.3</v>
      </c>
      <c r="C1426" s="11">
        <f ca="1">IFERROR(__xludf.DUMMYFUNCTION("GOOGLEFINANCE(A1426,""PRICEOPEN"")"),1364.1)</f>
        <v>1364.1</v>
      </c>
      <c r="D1426" s="11">
        <f ca="1">IFERROR(__xludf.DUMMYFUNCTION("GOOGLEFINANCE(A1426,""HIGH"")"),1369.7)</f>
        <v>1369.7</v>
      </c>
      <c r="E1426" s="11">
        <f ca="1">IFERROR(__xludf.DUMMYFUNCTION("GOOGLEFINANCE(A1426,""LOW"")"),1344.6)</f>
        <v>1344.6</v>
      </c>
      <c r="F1426" s="12" t="str">
        <f t="shared" ca="1" si="42"/>
        <v/>
      </c>
      <c r="G1426" s="13">
        <f ca="1">IFERROR(__xludf.DUMMYFUNCTION("GOOGLEFINANCE(A1426,""CLOSEYEST"")"),1341.4)</f>
        <v>1341.4</v>
      </c>
      <c r="H1426" s="14" t="str">
        <f t="shared" ca="1" si="48"/>
        <v>GAP UP</v>
      </c>
      <c r="I1426" s="15">
        <f t="shared" ca="1" si="43"/>
        <v>1351.9</v>
      </c>
      <c r="J1426" s="16">
        <f t="shared" ca="1" si="44"/>
        <v>1359.2000000000003</v>
      </c>
      <c r="K1426" s="16"/>
      <c r="L1426" s="16">
        <f t="shared" ca="1" si="45"/>
        <v>1334.1000000000001</v>
      </c>
      <c r="M1426" s="16">
        <f t="shared" ca="1" si="46"/>
        <v>1377.0000000000002</v>
      </c>
      <c r="N1426" s="16">
        <f t="shared" ca="1" si="47"/>
        <v>1326.8</v>
      </c>
    </row>
    <row r="1427" spans="1:14" ht="24.75" customHeight="1" x14ac:dyDescent="0.8">
      <c r="A1427" s="18" t="s">
        <v>1390</v>
      </c>
      <c r="B1427" s="10">
        <f ca="1">IFERROR(__xludf.DUMMYFUNCTION("GOOGLEFINANCE(A1427,""PRICE"")"),150.5)</f>
        <v>150.5</v>
      </c>
      <c r="C1427" s="11">
        <f ca="1">IFERROR(__xludf.DUMMYFUNCTION("GOOGLEFINANCE(A1427,""PRICEOPEN"")"),146.6)</f>
        <v>146.6</v>
      </c>
      <c r="D1427" s="11">
        <f ca="1">IFERROR(__xludf.DUMMYFUNCTION("GOOGLEFINANCE(A1427,""HIGH"")"),150.95)</f>
        <v>150.94999999999999</v>
      </c>
      <c r="E1427" s="11">
        <f ca="1">IFERROR(__xludf.DUMMYFUNCTION("GOOGLEFINANCE(A1427,""LOW"")"),142.1)</f>
        <v>142.1</v>
      </c>
      <c r="F1427" s="12" t="str">
        <f t="shared" ca="1" si="42"/>
        <v/>
      </c>
      <c r="G1427" s="13">
        <f ca="1">IFERROR(__xludf.DUMMYFUNCTION("GOOGLEFINANCE(A1427,""CLOSEYEST"")"),148.86)</f>
        <v>148.86000000000001</v>
      </c>
      <c r="H1427" s="14" t="str">
        <f t="shared" ca="1" si="48"/>
        <v>GAP DOWN</v>
      </c>
      <c r="I1427" s="15">
        <f t="shared" ca="1" si="43"/>
        <v>147.30333333333331</v>
      </c>
      <c r="J1427" s="16">
        <f t="shared" ca="1" si="44"/>
        <v>152.50666666666663</v>
      </c>
      <c r="K1427" s="16"/>
      <c r="L1427" s="16">
        <f t="shared" ca="1" si="45"/>
        <v>143.65666666666664</v>
      </c>
      <c r="M1427" s="16">
        <f t="shared" ca="1" si="46"/>
        <v>156.15333333333331</v>
      </c>
      <c r="N1427" s="16">
        <f t="shared" ca="1" si="47"/>
        <v>138.45333333333332</v>
      </c>
    </row>
    <row r="1428" spans="1:14" ht="24.75" customHeight="1" x14ac:dyDescent="0.8">
      <c r="A1428" s="18" t="s">
        <v>1391</v>
      </c>
      <c r="B1428" s="10">
        <f ca="1">IFERROR(__xludf.DUMMYFUNCTION("GOOGLEFINANCE(A1428,""PRICE"")"),374)</f>
        <v>374</v>
      </c>
      <c r="C1428" s="11">
        <f ca="1">IFERROR(__xludf.DUMMYFUNCTION("GOOGLEFINANCE(A1428,""PRICEOPEN"")"),377.75)</f>
        <v>377.75</v>
      </c>
      <c r="D1428" s="11">
        <f ca="1">IFERROR(__xludf.DUMMYFUNCTION("GOOGLEFINANCE(A1428,""HIGH"")"),379.15)</f>
        <v>379.15</v>
      </c>
      <c r="E1428" s="11">
        <f ca="1">IFERROR(__xludf.DUMMYFUNCTION("GOOGLEFINANCE(A1428,""LOW"")"),366.5)</f>
        <v>366.5</v>
      </c>
      <c r="F1428" s="12" t="str">
        <f t="shared" ca="1" si="42"/>
        <v/>
      </c>
      <c r="G1428" s="13">
        <f ca="1">IFERROR(__xludf.DUMMYFUNCTION("GOOGLEFINANCE(A1428,""CLOSEYEST"")"),375.95)</f>
        <v>375.95</v>
      </c>
      <c r="H1428" s="14" t="str">
        <f t="shared" ca="1" si="48"/>
        <v/>
      </c>
      <c r="I1428" s="15">
        <f t="shared" ca="1" si="43"/>
        <v>373.86666666666662</v>
      </c>
      <c r="J1428" s="16">
        <f t="shared" ca="1" si="44"/>
        <v>381.23333333333323</v>
      </c>
      <c r="K1428" s="16"/>
      <c r="L1428" s="16">
        <f t="shared" ca="1" si="45"/>
        <v>368.58333333333326</v>
      </c>
      <c r="M1428" s="16">
        <f t="shared" ca="1" si="46"/>
        <v>386.51666666666659</v>
      </c>
      <c r="N1428" s="16">
        <f t="shared" ca="1" si="47"/>
        <v>361.21666666666664</v>
      </c>
    </row>
    <row r="1429" spans="1:14" ht="24.75" customHeight="1" x14ac:dyDescent="0.8">
      <c r="A1429" s="18" t="s">
        <v>1392</v>
      </c>
      <c r="B1429" s="10">
        <f ca="1">IFERROR(__xludf.DUMMYFUNCTION("GOOGLEFINANCE(A1429,""PRICE"")"),3.6)</f>
        <v>3.6</v>
      </c>
      <c r="C1429" s="11">
        <f ca="1">IFERROR(__xludf.DUMMYFUNCTION("GOOGLEFINANCE(A1429,""PRICEOPEN"")"),3.52)</f>
        <v>3.52</v>
      </c>
      <c r="D1429" s="11">
        <f ca="1">IFERROR(__xludf.DUMMYFUNCTION("GOOGLEFINANCE(A1429,""HIGH"")"),3.66)</f>
        <v>3.66</v>
      </c>
      <c r="E1429" s="11">
        <f ca="1">IFERROR(__xludf.DUMMYFUNCTION("GOOGLEFINANCE(A1429,""LOW"")"),3.51)</f>
        <v>3.51</v>
      </c>
      <c r="F1429" s="12" t="str">
        <f t="shared" ca="1" si="42"/>
        <v/>
      </c>
      <c r="G1429" s="13">
        <f ca="1">IFERROR(__xludf.DUMMYFUNCTION("GOOGLEFINANCE(A1429,""CLOSEYEST"")"),3.56)</f>
        <v>3.56</v>
      </c>
      <c r="H1429" s="14" t="str">
        <f t="shared" ca="1" si="48"/>
        <v>GAP DOWN</v>
      </c>
      <c r="I1429" s="15">
        <f t="shared" ca="1" si="43"/>
        <v>3.5766666666666667</v>
      </c>
      <c r="J1429" s="16">
        <f t="shared" ca="1" si="44"/>
        <v>3.6433333333333335</v>
      </c>
      <c r="K1429" s="16"/>
      <c r="L1429" s="16">
        <f t="shared" ca="1" si="45"/>
        <v>3.4933333333333332</v>
      </c>
      <c r="M1429" s="16">
        <f t="shared" ca="1" si="46"/>
        <v>3.726666666666667</v>
      </c>
      <c r="N1429" s="16">
        <f t="shared" ca="1" si="47"/>
        <v>3.4266666666666663</v>
      </c>
    </row>
    <row r="1430" spans="1:14" ht="24.75" customHeight="1" x14ac:dyDescent="0.8">
      <c r="A1430" s="18" t="s">
        <v>1393</v>
      </c>
      <c r="B1430" s="10">
        <f ca="1">IFERROR(__xludf.DUMMYFUNCTION("GOOGLEFINANCE(A1430,""PRICE"")"),73.3)</f>
        <v>73.3</v>
      </c>
      <c r="C1430" s="11">
        <f ca="1">IFERROR(__xludf.DUMMYFUNCTION("GOOGLEFINANCE(A1430,""PRICEOPEN"")"),72.4)</f>
        <v>72.400000000000006</v>
      </c>
      <c r="D1430" s="11">
        <f ca="1">IFERROR(__xludf.DUMMYFUNCTION("GOOGLEFINANCE(A1430,""HIGH"")"),73.9)</f>
        <v>73.900000000000006</v>
      </c>
      <c r="E1430" s="11">
        <f ca="1">IFERROR(__xludf.DUMMYFUNCTION("GOOGLEFINANCE(A1430,""LOW"")"),70.6)</f>
        <v>70.599999999999994</v>
      </c>
      <c r="F1430" s="12" t="str">
        <f t="shared" ca="1" si="42"/>
        <v/>
      </c>
      <c r="G1430" s="13">
        <f ca="1">IFERROR(__xludf.DUMMYFUNCTION("GOOGLEFINANCE(A1430,""CLOSEYEST"")"),71.46)</f>
        <v>71.459999999999994</v>
      </c>
      <c r="H1430" s="14" t="str">
        <f t="shared" ca="1" si="48"/>
        <v>GAP UP</v>
      </c>
      <c r="I1430" s="15">
        <f t="shared" ca="1" si="43"/>
        <v>71.986666666666665</v>
      </c>
      <c r="J1430" s="16">
        <f t="shared" ca="1" si="44"/>
        <v>73.373333333333335</v>
      </c>
      <c r="K1430" s="16"/>
      <c r="L1430" s="16">
        <f t="shared" ca="1" si="45"/>
        <v>70.073333333333323</v>
      </c>
      <c r="M1430" s="16">
        <f t="shared" ca="1" si="46"/>
        <v>75.286666666666676</v>
      </c>
      <c r="N1430" s="16">
        <f t="shared" ca="1" si="47"/>
        <v>68.686666666666653</v>
      </c>
    </row>
    <row r="1431" spans="1:14" ht="24.75" customHeight="1" x14ac:dyDescent="0.8">
      <c r="A1431" s="18" t="s">
        <v>1394</v>
      </c>
      <c r="B1431" s="10">
        <f ca="1">IFERROR(__xludf.DUMMYFUNCTION("GOOGLEFINANCE(A1431,""PRICE"")"),4.19)</f>
        <v>4.1900000000000004</v>
      </c>
      <c r="C1431" s="11">
        <f ca="1">IFERROR(__xludf.DUMMYFUNCTION("GOOGLEFINANCE(A1431,""PRICEOPEN"")"),4.26)</f>
        <v>4.26</v>
      </c>
      <c r="D1431" s="11">
        <f ca="1">IFERROR(__xludf.DUMMYFUNCTION("GOOGLEFINANCE(A1431,""HIGH"")"),4.29)</f>
        <v>4.29</v>
      </c>
      <c r="E1431" s="11">
        <f ca="1">IFERROR(__xludf.DUMMYFUNCTION("GOOGLEFINANCE(A1431,""LOW"")"),4.1)</f>
        <v>4.0999999999999996</v>
      </c>
      <c r="F1431" s="12" t="str">
        <f t="shared" ca="1" si="42"/>
        <v/>
      </c>
      <c r="G1431" s="13">
        <f ca="1">IFERROR(__xludf.DUMMYFUNCTION("GOOGLEFINANCE(A1431,""CLOSEYEST"")"),4.19)</f>
        <v>4.1900000000000004</v>
      </c>
      <c r="H1431" s="14" t="str">
        <f t="shared" ca="1" si="48"/>
        <v>GAP UP</v>
      </c>
      <c r="I1431" s="15">
        <f t="shared" ca="1" si="43"/>
        <v>4.1933333333333342</v>
      </c>
      <c r="J1431" s="16">
        <f t="shared" ca="1" si="44"/>
        <v>4.2866666666666688</v>
      </c>
      <c r="K1431" s="16"/>
      <c r="L1431" s="16">
        <f t="shared" ca="1" si="45"/>
        <v>4.0966666666666685</v>
      </c>
      <c r="M1431" s="16">
        <f t="shared" ca="1" si="46"/>
        <v>4.3833333333333346</v>
      </c>
      <c r="N1431" s="16">
        <f t="shared" ca="1" si="47"/>
        <v>4.0033333333333339</v>
      </c>
    </row>
    <row r="1432" spans="1:14" ht="24.75" customHeight="1" x14ac:dyDescent="0.8">
      <c r="A1432" s="18" t="s">
        <v>1395</v>
      </c>
      <c r="B1432" s="10">
        <f ca="1">IFERROR(__xludf.DUMMYFUNCTION("GOOGLEFINANCE(A1432,""PRICE"")"),4.84)</f>
        <v>4.84</v>
      </c>
      <c r="C1432" s="11">
        <f ca="1">IFERROR(__xludf.DUMMYFUNCTION("GOOGLEFINANCE(A1432,""PRICEOPEN"")"),4.71)</f>
        <v>4.71</v>
      </c>
      <c r="D1432" s="11">
        <f ca="1">IFERROR(__xludf.DUMMYFUNCTION("GOOGLEFINANCE(A1432,""HIGH"")"),4.89)</f>
        <v>4.8899999999999997</v>
      </c>
      <c r="E1432" s="11">
        <f ca="1">IFERROR(__xludf.DUMMYFUNCTION("GOOGLEFINANCE(A1432,""LOW"")"),4.66)</f>
        <v>4.66</v>
      </c>
      <c r="F1432" s="12" t="str">
        <f t="shared" ca="1" si="42"/>
        <v/>
      </c>
      <c r="G1432" s="13">
        <f ca="1">IFERROR(__xludf.DUMMYFUNCTION("GOOGLEFINANCE(A1432,""CLOSEYEST"")"),4.71)</f>
        <v>4.71</v>
      </c>
      <c r="H1432" s="14" t="str">
        <f t="shared" ca="1" si="48"/>
        <v/>
      </c>
      <c r="I1432" s="15">
        <f t="shared" ca="1" si="43"/>
        <v>4.7533333333333339</v>
      </c>
      <c r="J1432" s="16">
        <f t="shared" ca="1" si="44"/>
        <v>4.8466666666666676</v>
      </c>
      <c r="K1432" s="16"/>
      <c r="L1432" s="16">
        <f t="shared" ca="1" si="45"/>
        <v>4.616666666666668</v>
      </c>
      <c r="M1432" s="16">
        <f t="shared" ca="1" si="46"/>
        <v>4.9833333333333334</v>
      </c>
      <c r="N1432" s="16">
        <f t="shared" ca="1" si="47"/>
        <v>4.5233333333333343</v>
      </c>
    </row>
    <row r="1433" spans="1:14" ht="24.75" customHeight="1" x14ac:dyDescent="0.8">
      <c r="A1433" s="18" t="s">
        <v>1396</v>
      </c>
      <c r="B1433" s="10">
        <f ca="1">IFERROR(__xludf.DUMMYFUNCTION("GOOGLEFINANCE(A1433,""PRICE"")"),146.6)</f>
        <v>146.6</v>
      </c>
      <c r="C1433" s="11">
        <f ca="1">IFERROR(__xludf.DUMMYFUNCTION("GOOGLEFINANCE(A1433,""PRICEOPEN"")"),145.99)</f>
        <v>145.99</v>
      </c>
      <c r="D1433" s="11">
        <f ca="1">IFERROR(__xludf.DUMMYFUNCTION("GOOGLEFINANCE(A1433,""HIGH"")"),151.25)</f>
        <v>151.25</v>
      </c>
      <c r="E1433" s="11">
        <f ca="1">IFERROR(__xludf.DUMMYFUNCTION("GOOGLEFINANCE(A1433,""LOW"")"),144.78)</f>
        <v>144.78</v>
      </c>
      <c r="F1433" s="12" t="str">
        <f t="shared" ca="1" si="42"/>
        <v/>
      </c>
      <c r="G1433" s="13">
        <f ca="1">IFERROR(__xludf.DUMMYFUNCTION("GOOGLEFINANCE(A1433,""CLOSEYEST"")"),146.57)</f>
        <v>146.57</v>
      </c>
      <c r="H1433" s="14" t="str">
        <f t="shared" ca="1" si="48"/>
        <v/>
      </c>
      <c r="I1433" s="15">
        <f t="shared" ca="1" si="43"/>
        <v>147.53333333333333</v>
      </c>
      <c r="J1433" s="16">
        <f t="shared" ca="1" si="44"/>
        <v>150.28666666666666</v>
      </c>
      <c r="K1433" s="16"/>
      <c r="L1433" s="16">
        <f t="shared" ca="1" si="45"/>
        <v>143.81666666666666</v>
      </c>
      <c r="M1433" s="16">
        <f t="shared" ca="1" si="46"/>
        <v>154.00333333333333</v>
      </c>
      <c r="N1433" s="16">
        <f t="shared" ca="1" si="47"/>
        <v>141.06333333333333</v>
      </c>
    </row>
    <row r="1434" spans="1:14" ht="24.75" customHeight="1" x14ac:dyDescent="0.8">
      <c r="A1434" s="18" t="s">
        <v>1397</v>
      </c>
      <c r="B1434" s="10">
        <f ca="1">IFERROR(__xludf.DUMMYFUNCTION("GOOGLEFINANCE(A1434,""PRICE"")"),195.5)</f>
        <v>195.5</v>
      </c>
      <c r="C1434" s="11">
        <f ca="1">IFERROR(__xludf.DUMMYFUNCTION("GOOGLEFINANCE(A1434,""PRICEOPEN"")"),199.9)</f>
        <v>199.9</v>
      </c>
      <c r="D1434" s="11">
        <f ca="1">IFERROR(__xludf.DUMMYFUNCTION("GOOGLEFINANCE(A1434,""HIGH"")"),199.9)</f>
        <v>199.9</v>
      </c>
      <c r="E1434" s="11">
        <f ca="1">IFERROR(__xludf.DUMMYFUNCTION("GOOGLEFINANCE(A1434,""LOW"")"),191.91)</f>
        <v>191.91</v>
      </c>
      <c r="F1434" s="12" t="str">
        <f t="shared" ca="1" si="42"/>
        <v>SELL</v>
      </c>
      <c r="G1434" s="13">
        <f ca="1">IFERROR(__xludf.DUMMYFUNCTION("GOOGLEFINANCE(A1434,""CLOSEYEST"")"),195.12)</f>
        <v>195.12</v>
      </c>
      <c r="H1434" s="14" t="str">
        <f t="shared" ca="1" si="48"/>
        <v>GAP UP</v>
      </c>
      <c r="I1434" s="15">
        <f t="shared" ca="1" si="43"/>
        <v>195.64333333333335</v>
      </c>
      <c r="J1434" s="16">
        <f t="shared" ca="1" si="44"/>
        <v>199.37666666666669</v>
      </c>
      <c r="K1434" s="16"/>
      <c r="L1434" s="16">
        <f t="shared" ca="1" si="45"/>
        <v>191.38666666666668</v>
      </c>
      <c r="M1434" s="16">
        <f t="shared" ca="1" si="46"/>
        <v>203.63333333333335</v>
      </c>
      <c r="N1434" s="16">
        <f t="shared" ca="1" si="47"/>
        <v>187.65333333333334</v>
      </c>
    </row>
    <row r="1435" spans="1:14" ht="24.75" customHeight="1" x14ac:dyDescent="0.8">
      <c r="A1435" s="18" t="s">
        <v>1398</v>
      </c>
      <c r="B1435" s="10">
        <f ca="1">IFERROR(__xludf.DUMMYFUNCTION("GOOGLEFINANCE(A1435,""PRICE"")"),33.05)</f>
        <v>33.049999999999997</v>
      </c>
      <c r="C1435" s="11">
        <f ca="1">IFERROR(__xludf.DUMMYFUNCTION("GOOGLEFINANCE(A1435,""PRICEOPEN"")"),32.19)</f>
        <v>32.19</v>
      </c>
      <c r="D1435" s="11">
        <f ca="1">IFERROR(__xludf.DUMMYFUNCTION("GOOGLEFINANCE(A1435,""HIGH"")"),33.7)</f>
        <v>33.700000000000003</v>
      </c>
      <c r="E1435" s="11">
        <f ca="1">IFERROR(__xludf.DUMMYFUNCTION("GOOGLEFINANCE(A1435,""LOW"")"),32.19)</f>
        <v>32.19</v>
      </c>
      <c r="F1435" s="12" t="str">
        <f t="shared" ca="1" si="42"/>
        <v>BUY</v>
      </c>
      <c r="G1435" s="13">
        <f ca="1">IFERROR(__xludf.DUMMYFUNCTION("GOOGLEFINANCE(A1435,""CLOSEYEST"")"),32.19)</f>
        <v>32.19</v>
      </c>
      <c r="H1435" s="14" t="str">
        <f t="shared" ca="1" si="48"/>
        <v/>
      </c>
      <c r="I1435" s="15">
        <f t="shared" ca="1" si="43"/>
        <v>32.693333333333335</v>
      </c>
      <c r="J1435" s="16">
        <f t="shared" ca="1" si="44"/>
        <v>33.196666666666673</v>
      </c>
      <c r="K1435" s="16"/>
      <c r="L1435" s="16">
        <f t="shared" ca="1" si="45"/>
        <v>31.686666666666667</v>
      </c>
      <c r="M1435" s="16">
        <f t="shared" ca="1" si="46"/>
        <v>34.20333333333334</v>
      </c>
      <c r="N1435" s="16">
        <f t="shared" ca="1" si="47"/>
        <v>31.18333333333333</v>
      </c>
    </row>
    <row r="1436" spans="1:14" ht="24.75" customHeight="1" x14ac:dyDescent="0.8">
      <c r="A1436" s="18" t="s">
        <v>1399</v>
      </c>
      <c r="B1436" s="10">
        <f ca="1">IFERROR(__xludf.DUMMYFUNCTION("GOOGLEFINANCE(A1436,""PRICE"")"),11.79)</f>
        <v>11.79</v>
      </c>
      <c r="C1436" s="11">
        <f ca="1">IFERROR(__xludf.DUMMYFUNCTION("GOOGLEFINANCE(A1436,""PRICEOPEN"")"),11.8)</f>
        <v>11.8</v>
      </c>
      <c r="D1436" s="11">
        <f ca="1">IFERROR(__xludf.DUMMYFUNCTION("GOOGLEFINANCE(A1436,""HIGH"")"),11.8)</f>
        <v>11.8</v>
      </c>
      <c r="E1436" s="11">
        <f ca="1">IFERROR(__xludf.DUMMYFUNCTION("GOOGLEFINANCE(A1436,""LOW"")"),11.7)</f>
        <v>11.7</v>
      </c>
      <c r="F1436" s="12" t="str">
        <f t="shared" ca="1" si="42"/>
        <v>SELL</v>
      </c>
      <c r="G1436" s="13">
        <f ca="1">IFERROR(__xludf.DUMMYFUNCTION("GOOGLEFINANCE(A1436,""CLOSEYEST"")"),11.8)</f>
        <v>11.8</v>
      </c>
      <c r="H1436" s="14" t="str">
        <f t="shared" ca="1" si="48"/>
        <v/>
      </c>
      <c r="I1436" s="15">
        <f t="shared" ca="1" si="43"/>
        <v>11.766666666666666</v>
      </c>
      <c r="J1436" s="16">
        <f t="shared" ca="1" si="44"/>
        <v>11.833333333333332</v>
      </c>
      <c r="K1436" s="16"/>
      <c r="L1436" s="16">
        <f t="shared" ca="1" si="45"/>
        <v>11.733333333333331</v>
      </c>
      <c r="M1436" s="16">
        <f t="shared" ca="1" si="46"/>
        <v>11.866666666666667</v>
      </c>
      <c r="N1436" s="16">
        <f t="shared" ca="1" si="47"/>
        <v>11.666666666666664</v>
      </c>
    </row>
    <row r="1437" spans="1:14" ht="24.75" customHeight="1" x14ac:dyDescent="0.8">
      <c r="A1437" s="18" t="s">
        <v>1400</v>
      </c>
      <c r="B1437" s="10">
        <f ca="1">IFERROR(__xludf.DUMMYFUNCTION("GOOGLEFINANCE(A1437,""PRICE"")"),4.6)</f>
        <v>4.5999999999999996</v>
      </c>
      <c r="C1437" s="11">
        <f ca="1">IFERROR(__xludf.DUMMYFUNCTION("GOOGLEFINANCE(A1437,""PRICEOPEN"")"),4.58)</f>
        <v>4.58</v>
      </c>
      <c r="D1437" s="11">
        <f ca="1">IFERROR(__xludf.DUMMYFUNCTION("GOOGLEFINANCE(A1437,""HIGH"")"),4.7)</f>
        <v>4.7</v>
      </c>
      <c r="E1437" s="11">
        <f ca="1">IFERROR(__xludf.DUMMYFUNCTION("GOOGLEFINANCE(A1437,""LOW"")"),4.54)</f>
        <v>4.54</v>
      </c>
      <c r="F1437" s="12" t="str">
        <f t="shared" ca="1" si="42"/>
        <v/>
      </c>
      <c r="G1437" s="13">
        <f ca="1">IFERROR(__xludf.DUMMYFUNCTION("GOOGLEFINANCE(A1437,""CLOSEYEST"")"),4.64)</f>
        <v>4.6399999999999997</v>
      </c>
      <c r="H1437" s="14" t="str">
        <f t="shared" ca="1" si="48"/>
        <v>GAP DOWN</v>
      </c>
      <c r="I1437" s="15">
        <f t="shared" ca="1" si="43"/>
        <v>4.626666666666666</v>
      </c>
      <c r="J1437" s="16">
        <f t="shared" ca="1" si="44"/>
        <v>4.713333333333332</v>
      </c>
      <c r="K1437" s="16"/>
      <c r="L1437" s="16">
        <f t="shared" ca="1" si="45"/>
        <v>4.5533333333333319</v>
      </c>
      <c r="M1437" s="16">
        <f t="shared" ca="1" si="46"/>
        <v>4.7866666666666662</v>
      </c>
      <c r="N1437" s="16">
        <f t="shared" ca="1" si="47"/>
        <v>4.4666666666666659</v>
      </c>
    </row>
    <row r="1438" spans="1:14" ht="24.75" customHeight="1" x14ac:dyDescent="0.8">
      <c r="A1438" s="18" t="s">
        <v>1401</v>
      </c>
      <c r="B1438" s="10">
        <f ca="1">IFERROR(__xludf.DUMMYFUNCTION("GOOGLEFINANCE(A1438,""PRICE"")"),174.98)</f>
        <v>174.98</v>
      </c>
      <c r="C1438" s="11">
        <f ca="1">IFERROR(__xludf.DUMMYFUNCTION("GOOGLEFINANCE(A1438,""PRICEOPEN"")"),168.6)</f>
        <v>168.6</v>
      </c>
      <c r="D1438" s="11">
        <f ca="1">IFERROR(__xludf.DUMMYFUNCTION("GOOGLEFINANCE(A1438,""HIGH"")"),177.8)</f>
        <v>177.8</v>
      </c>
      <c r="E1438" s="11">
        <f ca="1">IFERROR(__xludf.DUMMYFUNCTION("GOOGLEFINANCE(A1438,""LOW"")"),168.31)</f>
        <v>168.31</v>
      </c>
      <c r="F1438" s="12" t="str">
        <f t="shared" ca="1" si="42"/>
        <v/>
      </c>
      <c r="G1438" s="13">
        <f ca="1">IFERROR(__xludf.DUMMYFUNCTION("GOOGLEFINANCE(A1438,""CLOSEYEST"")"),168.95)</f>
        <v>168.95</v>
      </c>
      <c r="H1438" s="14" t="str">
        <f t="shared" ca="1" si="48"/>
        <v/>
      </c>
      <c r="I1438" s="15">
        <f t="shared" ca="1" si="43"/>
        <v>171.68666666666664</v>
      </c>
      <c r="J1438" s="16">
        <f t="shared" ca="1" si="44"/>
        <v>175.06333333333328</v>
      </c>
      <c r="K1438" s="16"/>
      <c r="L1438" s="16">
        <f t="shared" ca="1" si="45"/>
        <v>165.57333333333327</v>
      </c>
      <c r="M1438" s="16">
        <f t="shared" ca="1" si="46"/>
        <v>181.17666666666665</v>
      </c>
      <c r="N1438" s="16">
        <f t="shared" ca="1" si="47"/>
        <v>162.19666666666663</v>
      </c>
    </row>
    <row r="1439" spans="1:14" ht="24.75" customHeight="1" x14ac:dyDescent="0.8">
      <c r="A1439" s="18" t="s">
        <v>1402</v>
      </c>
      <c r="B1439" s="10">
        <f ca="1">IFERROR(__xludf.DUMMYFUNCTION("GOOGLEFINANCE(A1439,""PRICE"")"),15.89)</f>
        <v>15.89</v>
      </c>
      <c r="C1439" s="11">
        <f ca="1">IFERROR(__xludf.DUMMYFUNCTION("GOOGLEFINANCE(A1439,""PRICEOPEN"")"),15.7)</f>
        <v>15.7</v>
      </c>
      <c r="D1439" s="11">
        <f ca="1">IFERROR(__xludf.DUMMYFUNCTION("GOOGLEFINANCE(A1439,""HIGH"")"),15.91)</f>
        <v>15.91</v>
      </c>
      <c r="E1439" s="11">
        <f ca="1">IFERROR(__xludf.DUMMYFUNCTION("GOOGLEFINANCE(A1439,""LOW"")"),15.63)</f>
        <v>15.63</v>
      </c>
      <c r="F1439" s="12" t="str">
        <f t="shared" ca="1" si="42"/>
        <v/>
      </c>
      <c r="G1439" s="13">
        <f ca="1">IFERROR(__xludf.DUMMYFUNCTION("GOOGLEFINANCE(A1439,""CLOSEYEST"")"),15.67)</f>
        <v>15.67</v>
      </c>
      <c r="H1439" s="14" t="str">
        <f t="shared" ca="1" si="48"/>
        <v/>
      </c>
      <c r="I1439" s="15">
        <f t="shared" ca="1" si="43"/>
        <v>15.736666666666666</v>
      </c>
      <c r="J1439" s="16">
        <f t="shared" ca="1" si="44"/>
        <v>15.843333333333332</v>
      </c>
      <c r="K1439" s="16"/>
      <c r="L1439" s="16">
        <f t="shared" ca="1" si="45"/>
        <v>15.563333333333333</v>
      </c>
      <c r="M1439" s="16">
        <f t="shared" ca="1" si="46"/>
        <v>16.016666666666666</v>
      </c>
      <c r="N1439" s="16">
        <f t="shared" ca="1" si="47"/>
        <v>15.456666666666667</v>
      </c>
    </row>
    <row r="1440" spans="1:14" ht="24.75" customHeight="1" x14ac:dyDescent="0.8">
      <c r="A1440" s="18" t="s">
        <v>1403</v>
      </c>
      <c r="B1440" s="10">
        <f ca="1">IFERROR(__xludf.DUMMYFUNCTION("GOOGLEFINANCE(A1440,""PRICE"")"),21.92)</f>
        <v>21.92</v>
      </c>
      <c r="C1440" s="11">
        <f ca="1">IFERROR(__xludf.DUMMYFUNCTION("GOOGLEFINANCE(A1440,""PRICEOPEN"")"),21.64)</f>
        <v>21.64</v>
      </c>
      <c r="D1440" s="11">
        <f ca="1">IFERROR(__xludf.DUMMYFUNCTION("GOOGLEFINANCE(A1440,""HIGH"")"),21.92)</f>
        <v>21.92</v>
      </c>
      <c r="E1440" s="11">
        <f ca="1">IFERROR(__xludf.DUMMYFUNCTION("GOOGLEFINANCE(A1440,""LOW"")"),20)</f>
        <v>20</v>
      </c>
      <c r="F1440" s="12" t="str">
        <f t="shared" ca="1" si="42"/>
        <v/>
      </c>
      <c r="G1440" s="13">
        <f ca="1">IFERROR(__xludf.DUMMYFUNCTION("GOOGLEFINANCE(A1440,""CLOSEYEST"")"),21.22)</f>
        <v>21.22</v>
      </c>
      <c r="H1440" s="14" t="str">
        <f t="shared" ca="1" si="48"/>
        <v>GAP UP</v>
      </c>
      <c r="I1440" s="15">
        <f t="shared" ca="1" si="43"/>
        <v>21.046666666666667</v>
      </c>
      <c r="J1440" s="16">
        <f t="shared" ca="1" si="44"/>
        <v>22.093333333333334</v>
      </c>
      <c r="K1440" s="16"/>
      <c r="L1440" s="16">
        <f t="shared" ca="1" si="45"/>
        <v>20.173333333333332</v>
      </c>
      <c r="M1440" s="16">
        <f t="shared" ca="1" si="46"/>
        <v>22.966666666666669</v>
      </c>
      <c r="N1440" s="16">
        <f t="shared" ca="1" si="47"/>
        <v>19.126666666666665</v>
      </c>
    </row>
    <row r="1441" spans="1:14" ht="24.75" customHeight="1" x14ac:dyDescent="0.8">
      <c r="A1441" s="18" t="s">
        <v>1404</v>
      </c>
      <c r="B1441" s="10">
        <f ca="1">IFERROR(__xludf.DUMMYFUNCTION("GOOGLEFINANCE(A1441,""PRICE"")"),36)</f>
        <v>36</v>
      </c>
      <c r="C1441" s="11">
        <f ca="1">IFERROR(__xludf.DUMMYFUNCTION("GOOGLEFINANCE(A1441,""PRICEOPEN"")"),34.96)</f>
        <v>34.96</v>
      </c>
      <c r="D1441" s="11">
        <f ca="1">IFERROR(__xludf.DUMMYFUNCTION("GOOGLEFINANCE(A1441,""HIGH"")"),36.5)</f>
        <v>36.5</v>
      </c>
      <c r="E1441" s="11">
        <f ca="1">IFERROR(__xludf.DUMMYFUNCTION("GOOGLEFINANCE(A1441,""LOW"")"),34.25)</f>
        <v>34.25</v>
      </c>
      <c r="F1441" s="12" t="str">
        <f t="shared" ca="1" si="42"/>
        <v/>
      </c>
      <c r="G1441" s="13">
        <f ca="1">IFERROR(__xludf.DUMMYFUNCTION("GOOGLEFINANCE(A1441,""CLOSEYEST"")"),34.96)</f>
        <v>34.96</v>
      </c>
      <c r="H1441" s="14" t="str">
        <f t="shared" ca="1" si="48"/>
        <v/>
      </c>
      <c r="I1441" s="15">
        <f t="shared" ca="1" si="43"/>
        <v>35.236666666666672</v>
      </c>
      <c r="J1441" s="16">
        <f t="shared" ca="1" si="44"/>
        <v>36.223333333333343</v>
      </c>
      <c r="K1441" s="16"/>
      <c r="L1441" s="16">
        <f t="shared" ca="1" si="45"/>
        <v>33.973333333333343</v>
      </c>
      <c r="M1441" s="16">
        <f t="shared" ca="1" si="46"/>
        <v>37.486666666666672</v>
      </c>
      <c r="N1441" s="16">
        <f t="shared" ca="1" si="47"/>
        <v>32.986666666666672</v>
      </c>
    </row>
    <row r="1442" spans="1:14" ht="24.75" customHeight="1" x14ac:dyDescent="0.8">
      <c r="A1442" s="18" t="s">
        <v>1405</v>
      </c>
      <c r="B1442" s="10">
        <f ca="1">IFERROR(__xludf.DUMMYFUNCTION("GOOGLEFINANCE(A1442,""PRICE"")"),1815)</f>
        <v>1815</v>
      </c>
      <c r="C1442" s="11">
        <f ca="1">IFERROR(__xludf.DUMMYFUNCTION("GOOGLEFINANCE(A1442,""PRICEOPEN"")"),1815.8)</f>
        <v>1815.8</v>
      </c>
      <c r="D1442" s="11">
        <f ca="1">IFERROR(__xludf.DUMMYFUNCTION("GOOGLEFINANCE(A1442,""HIGH"")"),1838.9)</f>
        <v>1838.9</v>
      </c>
      <c r="E1442" s="11">
        <f ca="1">IFERROR(__xludf.DUMMYFUNCTION("GOOGLEFINANCE(A1442,""LOW"")"),1796.3)</f>
        <v>1796.3</v>
      </c>
      <c r="F1442" s="12" t="str">
        <f t="shared" ca="1" si="42"/>
        <v/>
      </c>
      <c r="G1442" s="13">
        <f ca="1">IFERROR(__xludf.DUMMYFUNCTION("GOOGLEFINANCE(A1442,""CLOSEYEST"")"),1808.7)</f>
        <v>1808.7</v>
      </c>
      <c r="H1442" s="14" t="str">
        <f t="shared" ca="1" si="48"/>
        <v/>
      </c>
      <c r="I1442" s="15">
        <f t="shared" ca="1" si="43"/>
        <v>1814.6333333333332</v>
      </c>
      <c r="J1442" s="16">
        <f t="shared" ca="1" si="44"/>
        <v>1832.9666666666665</v>
      </c>
      <c r="K1442" s="16"/>
      <c r="L1442" s="16">
        <f t="shared" ca="1" si="45"/>
        <v>1790.3666666666663</v>
      </c>
      <c r="M1442" s="16">
        <f t="shared" ca="1" si="46"/>
        <v>1857.2333333333333</v>
      </c>
      <c r="N1442" s="16">
        <f t="shared" ca="1" si="47"/>
        <v>1772.0333333333331</v>
      </c>
    </row>
    <row r="1443" spans="1:14" ht="24.75" customHeight="1" x14ac:dyDescent="0.8">
      <c r="A1443" s="18" t="s">
        <v>1406</v>
      </c>
      <c r="B1443" s="10">
        <f ca="1">IFERROR(__xludf.DUMMYFUNCTION("GOOGLEFINANCE(A1443,""PRICE"")"),21.9)</f>
        <v>21.9</v>
      </c>
      <c r="C1443" s="11">
        <f ca="1">IFERROR(__xludf.DUMMYFUNCTION("GOOGLEFINANCE(A1443,""PRICEOPEN"")"),22.06)</f>
        <v>22.06</v>
      </c>
      <c r="D1443" s="11">
        <f ca="1">IFERROR(__xludf.DUMMYFUNCTION("GOOGLEFINANCE(A1443,""HIGH"")"),22.49)</f>
        <v>22.49</v>
      </c>
      <c r="E1443" s="11">
        <f ca="1">IFERROR(__xludf.DUMMYFUNCTION("GOOGLEFINANCE(A1443,""LOW"")"),21.5)</f>
        <v>21.5</v>
      </c>
      <c r="F1443" s="12" t="str">
        <f t="shared" ca="1" si="42"/>
        <v/>
      </c>
      <c r="G1443" s="13">
        <f ca="1">IFERROR(__xludf.DUMMYFUNCTION("GOOGLEFINANCE(A1443,""CLOSEYEST"")"),22.01)</f>
        <v>22.01</v>
      </c>
      <c r="H1443" s="14" t="str">
        <f t="shared" ca="1" si="48"/>
        <v/>
      </c>
      <c r="I1443" s="15">
        <f t="shared" ca="1" si="43"/>
        <v>22</v>
      </c>
      <c r="J1443" s="16">
        <f t="shared" ca="1" si="44"/>
        <v>22.5</v>
      </c>
      <c r="K1443" s="16"/>
      <c r="L1443" s="16">
        <f t="shared" ca="1" si="45"/>
        <v>21.51</v>
      </c>
      <c r="M1443" s="16">
        <f t="shared" ca="1" si="46"/>
        <v>22.99</v>
      </c>
      <c r="N1443" s="16">
        <f t="shared" ca="1" si="47"/>
        <v>21.01</v>
      </c>
    </row>
    <row r="1444" spans="1:14" ht="24.75" customHeight="1" x14ac:dyDescent="0.8">
      <c r="A1444" s="18" t="s">
        <v>1407</v>
      </c>
      <c r="B1444" s="10">
        <f ca="1">IFERROR(__xludf.DUMMYFUNCTION("GOOGLEFINANCE(A1444,""PRICE"")"),36.5)</f>
        <v>36.5</v>
      </c>
      <c r="C1444" s="11">
        <f ca="1">IFERROR(__xludf.DUMMYFUNCTION("GOOGLEFINANCE(A1444,""PRICEOPEN"")"),36.5)</f>
        <v>36.5</v>
      </c>
      <c r="D1444" s="11">
        <f ca="1">IFERROR(__xludf.DUMMYFUNCTION("GOOGLEFINANCE(A1444,""HIGH"")"),38.39)</f>
        <v>38.39</v>
      </c>
      <c r="E1444" s="11">
        <f ca="1">IFERROR(__xludf.DUMMYFUNCTION("GOOGLEFINANCE(A1444,""LOW"")"),36.12)</f>
        <v>36.119999999999997</v>
      </c>
      <c r="F1444" s="12" t="str">
        <f t="shared" ca="1" si="42"/>
        <v/>
      </c>
      <c r="G1444" s="13">
        <f ca="1">IFERROR(__xludf.DUMMYFUNCTION("GOOGLEFINANCE(A1444,""CLOSEYEST"")"),36.58)</f>
        <v>36.58</v>
      </c>
      <c r="H1444" s="14" t="str">
        <f t="shared" ca="1" si="48"/>
        <v/>
      </c>
      <c r="I1444" s="15">
        <f t="shared" ca="1" si="43"/>
        <v>37.029999999999994</v>
      </c>
      <c r="J1444" s="16">
        <f t="shared" ca="1" si="44"/>
        <v>37.939999999999991</v>
      </c>
      <c r="K1444" s="16"/>
      <c r="L1444" s="16">
        <f t="shared" ca="1" si="45"/>
        <v>35.669999999999987</v>
      </c>
      <c r="M1444" s="16">
        <f t="shared" ca="1" si="46"/>
        <v>39.299999999999997</v>
      </c>
      <c r="N1444" s="16">
        <f t="shared" ca="1" si="47"/>
        <v>34.759999999999991</v>
      </c>
    </row>
    <row r="1445" spans="1:14" ht="24.75" customHeight="1" x14ac:dyDescent="0.8">
      <c r="A1445" s="18" t="s">
        <v>1408</v>
      </c>
      <c r="B1445" s="10">
        <f ca="1">IFERROR(__xludf.DUMMYFUNCTION("GOOGLEFINANCE(A1445,""PRICE"")"),126.93)</f>
        <v>126.93</v>
      </c>
      <c r="C1445" s="11">
        <f ca="1">IFERROR(__xludf.DUMMYFUNCTION("GOOGLEFINANCE(A1445,""PRICEOPEN"")"),125.25)</f>
        <v>125.25</v>
      </c>
      <c r="D1445" s="11">
        <f ca="1">IFERROR(__xludf.DUMMYFUNCTION("GOOGLEFINANCE(A1445,""HIGH"")"),126.99)</f>
        <v>126.99</v>
      </c>
      <c r="E1445" s="11">
        <f ca="1">IFERROR(__xludf.DUMMYFUNCTION("GOOGLEFINANCE(A1445,""LOW"")"),123.85)</f>
        <v>123.85</v>
      </c>
      <c r="F1445" s="12" t="str">
        <f t="shared" ca="1" si="42"/>
        <v/>
      </c>
      <c r="G1445" s="13">
        <f ca="1">IFERROR(__xludf.DUMMYFUNCTION("GOOGLEFINANCE(A1445,""CLOSEYEST"")"),124.7)</f>
        <v>124.7</v>
      </c>
      <c r="H1445" s="14" t="str">
        <f t="shared" ca="1" si="48"/>
        <v/>
      </c>
      <c r="I1445" s="15">
        <f t="shared" ca="1" si="43"/>
        <v>125.17999999999999</v>
      </c>
      <c r="J1445" s="16">
        <f t="shared" ca="1" si="44"/>
        <v>126.50999999999999</v>
      </c>
      <c r="K1445" s="16"/>
      <c r="L1445" s="16">
        <f t="shared" ca="1" si="45"/>
        <v>123.36999999999999</v>
      </c>
      <c r="M1445" s="16">
        <f t="shared" ca="1" si="46"/>
        <v>128.32</v>
      </c>
      <c r="N1445" s="16">
        <f t="shared" ca="1" si="47"/>
        <v>122.03999999999999</v>
      </c>
    </row>
    <row r="1446" spans="1:14" ht="24.75" customHeight="1" x14ac:dyDescent="0.8">
      <c r="A1446" s="18" t="s">
        <v>1409</v>
      </c>
      <c r="B1446" s="10" t="str">
        <f ca="1">IFERROR(__xludf.DUMMYFUNCTION("GOOGLEFINANCE(A1446,""PRICE"")"),"#N/A")</f>
        <v>#N/A</v>
      </c>
      <c r="C1446" s="11" t="str">
        <f ca="1">IFERROR(__xludf.DUMMYFUNCTION("GOOGLEFINANCE(A1446,""PRICEOPEN"")"),"#N/A")</f>
        <v>#N/A</v>
      </c>
      <c r="D1446" s="11" t="str">
        <f ca="1">IFERROR(__xludf.DUMMYFUNCTION("GOOGLEFINANCE(A1446,""HIGH"")"),"#N/A")</f>
        <v>#N/A</v>
      </c>
      <c r="E1446" s="11" t="str">
        <f ca="1">IFERROR(__xludf.DUMMYFUNCTION("GOOGLEFINANCE(A1446,""LOW"")"),"#N/A")</f>
        <v>#N/A</v>
      </c>
      <c r="F1446" s="12" t="str">
        <f t="shared" ca="1" si="42"/>
        <v>SELL</v>
      </c>
      <c r="G1446" s="13" t="str">
        <f ca="1">IFERROR(__xludf.DUMMYFUNCTION("GOOGLEFINANCE(A1446,""CLOSEYEST"")"),"#N/A")</f>
        <v>#N/A</v>
      </c>
      <c r="H1446" s="14" t="e">
        <f t="shared" ca="1" si="48"/>
        <v>#VALUE!</v>
      </c>
      <c r="I1446" s="15" t="e">
        <f t="shared" ca="1" si="43"/>
        <v>#VALUE!</v>
      </c>
      <c r="J1446" s="16" t="e">
        <f t="shared" ca="1" si="44"/>
        <v>#VALUE!</v>
      </c>
      <c r="K1446" s="16"/>
      <c r="L1446" s="16" t="e">
        <f t="shared" ca="1" si="45"/>
        <v>#VALUE!</v>
      </c>
      <c r="M1446" s="16" t="e">
        <f t="shared" ca="1" si="46"/>
        <v>#VALUE!</v>
      </c>
      <c r="N1446" s="16" t="e">
        <f t="shared" ca="1" si="47"/>
        <v>#VALUE!</v>
      </c>
    </row>
    <row r="1447" spans="1:14" ht="24.75" customHeight="1" x14ac:dyDescent="0.8">
      <c r="A1447" s="18" t="s">
        <v>1410</v>
      </c>
      <c r="B1447" s="10">
        <f ca="1">IFERROR(__xludf.DUMMYFUNCTION("GOOGLEFINANCE(A1447,""PRICE"")"),7.5)</f>
        <v>7.5</v>
      </c>
      <c r="C1447" s="11">
        <f ca="1">IFERROR(__xludf.DUMMYFUNCTION("GOOGLEFINANCE(A1447,""PRICEOPEN"")"),7.67)</f>
        <v>7.67</v>
      </c>
      <c r="D1447" s="11">
        <f ca="1">IFERROR(__xludf.DUMMYFUNCTION("GOOGLEFINANCE(A1447,""HIGH"")"),7.67)</f>
        <v>7.67</v>
      </c>
      <c r="E1447" s="11">
        <f ca="1">IFERROR(__xludf.DUMMYFUNCTION("GOOGLEFINANCE(A1447,""LOW"")"),7.45)</f>
        <v>7.45</v>
      </c>
      <c r="F1447" s="12" t="str">
        <f t="shared" ca="1" si="42"/>
        <v>SELL</v>
      </c>
      <c r="G1447" s="13">
        <f ca="1">IFERROR(__xludf.DUMMYFUNCTION("GOOGLEFINANCE(A1447,""CLOSEYEST"")"),7.55)</f>
        <v>7.55</v>
      </c>
      <c r="H1447" s="14" t="str">
        <f t="shared" ca="1" si="48"/>
        <v>GAP UP</v>
      </c>
      <c r="I1447" s="15">
        <f t="shared" ca="1" si="43"/>
        <v>7.5566666666666675</v>
      </c>
      <c r="J1447" s="16">
        <f t="shared" ca="1" si="44"/>
        <v>7.6633333333333349</v>
      </c>
      <c r="K1447" s="16"/>
      <c r="L1447" s="16">
        <f t="shared" ca="1" si="45"/>
        <v>7.4433333333333351</v>
      </c>
      <c r="M1447" s="16">
        <f t="shared" ca="1" si="46"/>
        <v>7.7766666666666673</v>
      </c>
      <c r="N1447" s="16">
        <f t="shared" ca="1" si="47"/>
        <v>7.3366666666666678</v>
      </c>
    </row>
    <row r="1448" spans="1:14" ht="24.75" customHeight="1" x14ac:dyDescent="0.8">
      <c r="A1448" s="18" t="s">
        <v>1411</v>
      </c>
      <c r="B1448" s="10">
        <f ca="1">IFERROR(__xludf.DUMMYFUNCTION("GOOGLEFINANCE(A1448,""PRICE"")"),2154.9)</f>
        <v>2154.9</v>
      </c>
      <c r="C1448" s="11">
        <f ca="1">IFERROR(__xludf.DUMMYFUNCTION("GOOGLEFINANCE(A1448,""PRICEOPEN"")"),2229.9)</f>
        <v>2229.9</v>
      </c>
      <c r="D1448" s="11">
        <f ca="1">IFERROR(__xludf.DUMMYFUNCTION("GOOGLEFINANCE(A1448,""HIGH"")"),2250)</f>
        <v>2250</v>
      </c>
      <c r="E1448" s="11">
        <f ca="1">IFERROR(__xludf.DUMMYFUNCTION("GOOGLEFINANCE(A1448,""LOW"")"),2151.9)</f>
        <v>2151.9</v>
      </c>
      <c r="F1448" s="12" t="str">
        <f t="shared" ca="1" si="42"/>
        <v/>
      </c>
      <c r="G1448" s="13">
        <f ca="1">IFERROR(__xludf.DUMMYFUNCTION("GOOGLEFINANCE(A1448,""CLOSEYEST"")"),2199.8)</f>
        <v>2199.8000000000002</v>
      </c>
      <c r="H1448" s="14" t="str">
        <f t="shared" ca="1" si="48"/>
        <v>GAP UP</v>
      </c>
      <c r="I1448" s="15">
        <f t="shared" ca="1" si="43"/>
        <v>2200.5666666666666</v>
      </c>
      <c r="J1448" s="16">
        <f t="shared" ca="1" si="44"/>
        <v>2249.2333333333331</v>
      </c>
      <c r="K1448" s="16"/>
      <c r="L1448" s="16">
        <f t="shared" ca="1" si="45"/>
        <v>2151.1333333333332</v>
      </c>
      <c r="M1448" s="16">
        <f t="shared" ca="1" si="46"/>
        <v>2298.6666666666665</v>
      </c>
      <c r="N1448" s="16">
        <f t="shared" ca="1" si="47"/>
        <v>2102.4666666666667</v>
      </c>
    </row>
    <row r="1449" spans="1:14" ht="24.75" customHeight="1" x14ac:dyDescent="0.8">
      <c r="A1449" s="18" t="s">
        <v>1412</v>
      </c>
      <c r="B1449" s="10">
        <f ca="1">IFERROR(__xludf.DUMMYFUNCTION("GOOGLEFINANCE(A1449,""PRICE"")"),173.25)</f>
        <v>173.25</v>
      </c>
      <c r="C1449" s="11">
        <f ca="1">IFERROR(__xludf.DUMMYFUNCTION("GOOGLEFINANCE(A1449,""PRICEOPEN"")"),177.95)</f>
        <v>177.95</v>
      </c>
      <c r="D1449" s="11">
        <f ca="1">IFERROR(__xludf.DUMMYFUNCTION("GOOGLEFINANCE(A1449,""HIGH"")"),177.95)</f>
        <v>177.95</v>
      </c>
      <c r="E1449" s="11">
        <f ca="1">IFERROR(__xludf.DUMMYFUNCTION("GOOGLEFINANCE(A1449,""LOW"")"),173)</f>
        <v>173</v>
      </c>
      <c r="F1449" s="12" t="str">
        <f t="shared" ca="1" si="42"/>
        <v>SELL</v>
      </c>
      <c r="G1449" s="13">
        <f ca="1">IFERROR(__xludf.DUMMYFUNCTION("GOOGLEFINANCE(A1449,""CLOSEYEST"")"),177.24)</f>
        <v>177.24</v>
      </c>
      <c r="H1449" s="14" t="str">
        <f t="shared" ca="1" si="48"/>
        <v/>
      </c>
      <c r="I1449" s="15">
        <f t="shared" ca="1" si="43"/>
        <v>176.06333333333336</v>
      </c>
      <c r="J1449" s="16">
        <f t="shared" ca="1" si="44"/>
        <v>179.12666666666672</v>
      </c>
      <c r="K1449" s="16"/>
      <c r="L1449" s="16">
        <f t="shared" ca="1" si="45"/>
        <v>174.17666666666673</v>
      </c>
      <c r="M1449" s="16">
        <f t="shared" ca="1" si="46"/>
        <v>181.01333333333335</v>
      </c>
      <c r="N1449" s="16">
        <f t="shared" ca="1" si="47"/>
        <v>171.11333333333337</v>
      </c>
    </row>
    <row r="1450" spans="1:14" ht="24.75" customHeight="1" x14ac:dyDescent="0.8">
      <c r="A1450" s="18" t="s">
        <v>1413</v>
      </c>
      <c r="B1450" s="10">
        <f ca="1">IFERROR(__xludf.DUMMYFUNCTION("GOOGLEFINANCE(A1450,""PRICE"")"),147.25)</f>
        <v>147.25</v>
      </c>
      <c r="C1450" s="11">
        <f ca="1">IFERROR(__xludf.DUMMYFUNCTION("GOOGLEFINANCE(A1450,""PRICEOPEN"")"),148.9)</f>
        <v>148.9</v>
      </c>
      <c r="D1450" s="11">
        <f ca="1">IFERROR(__xludf.DUMMYFUNCTION("GOOGLEFINANCE(A1450,""HIGH"")"),150.95)</f>
        <v>150.94999999999999</v>
      </c>
      <c r="E1450" s="11">
        <f ca="1">IFERROR(__xludf.DUMMYFUNCTION("GOOGLEFINANCE(A1450,""LOW"")"),147)</f>
        <v>147</v>
      </c>
      <c r="F1450" s="12" t="str">
        <f t="shared" ca="1" si="42"/>
        <v/>
      </c>
      <c r="G1450" s="13">
        <f ca="1">IFERROR(__xludf.DUMMYFUNCTION("GOOGLEFINANCE(A1450,""CLOSEYEST"")"),148.82)</f>
        <v>148.82</v>
      </c>
      <c r="H1450" s="14" t="str">
        <f t="shared" ca="1" si="48"/>
        <v/>
      </c>
      <c r="I1450" s="15">
        <f t="shared" ca="1" si="43"/>
        <v>148.92333333333332</v>
      </c>
      <c r="J1450" s="16">
        <f t="shared" ca="1" si="44"/>
        <v>150.84666666666664</v>
      </c>
      <c r="K1450" s="16"/>
      <c r="L1450" s="16">
        <f t="shared" ca="1" si="45"/>
        <v>146.89666666666665</v>
      </c>
      <c r="M1450" s="16">
        <f t="shared" ca="1" si="46"/>
        <v>152.87333333333331</v>
      </c>
      <c r="N1450" s="16">
        <f t="shared" ca="1" si="47"/>
        <v>144.97333333333333</v>
      </c>
    </row>
    <row r="1451" spans="1:14" ht="24.75" customHeight="1" x14ac:dyDescent="0.8">
      <c r="A1451" s="18" t="s">
        <v>1414</v>
      </c>
      <c r="B1451" s="10">
        <f ca="1">IFERROR(__xludf.DUMMYFUNCTION("GOOGLEFINANCE(A1451,""PRICE"")"),43.86)</f>
        <v>43.86</v>
      </c>
      <c r="C1451" s="11">
        <f ca="1">IFERROR(__xludf.DUMMYFUNCTION("GOOGLEFINANCE(A1451,""PRICEOPEN"")"),42.8)</f>
        <v>42.8</v>
      </c>
      <c r="D1451" s="11">
        <f ca="1">IFERROR(__xludf.DUMMYFUNCTION("GOOGLEFINANCE(A1451,""HIGH"")"),44.6)</f>
        <v>44.6</v>
      </c>
      <c r="E1451" s="11">
        <f ca="1">IFERROR(__xludf.DUMMYFUNCTION("GOOGLEFINANCE(A1451,""LOW"")"),42.8)</f>
        <v>42.8</v>
      </c>
      <c r="F1451" s="12" t="str">
        <f t="shared" ca="1" si="42"/>
        <v>BUY</v>
      </c>
      <c r="G1451" s="13">
        <f ca="1">IFERROR(__xludf.DUMMYFUNCTION("GOOGLEFINANCE(A1451,""CLOSEYEST"")"),43.01)</f>
        <v>43.01</v>
      </c>
      <c r="H1451" s="14" t="str">
        <f t="shared" ca="1" si="48"/>
        <v/>
      </c>
      <c r="I1451" s="15">
        <f t="shared" ca="1" si="43"/>
        <v>43.47</v>
      </c>
      <c r="J1451" s="16">
        <f t="shared" ca="1" si="44"/>
        <v>44.14</v>
      </c>
      <c r="K1451" s="16"/>
      <c r="L1451" s="16">
        <f t="shared" ca="1" si="45"/>
        <v>42.339999999999996</v>
      </c>
      <c r="M1451" s="16">
        <f t="shared" ca="1" si="46"/>
        <v>45.27</v>
      </c>
      <c r="N1451" s="16">
        <f t="shared" ca="1" si="47"/>
        <v>41.669999999999995</v>
      </c>
    </row>
    <row r="1452" spans="1:14" ht="24.75" customHeight="1" x14ac:dyDescent="0.8">
      <c r="A1452" s="18" t="s">
        <v>1415</v>
      </c>
      <c r="B1452" s="10">
        <f ca="1">IFERROR(__xludf.DUMMYFUNCTION("GOOGLEFINANCE(A1452,""PRICE"")"),126)</f>
        <v>126</v>
      </c>
      <c r="C1452" s="11">
        <f ca="1">IFERROR(__xludf.DUMMYFUNCTION("GOOGLEFINANCE(A1452,""PRICEOPEN"")"),128.45)</f>
        <v>128.44999999999999</v>
      </c>
      <c r="D1452" s="11">
        <f ca="1">IFERROR(__xludf.DUMMYFUNCTION("GOOGLEFINANCE(A1452,""HIGH"")"),128.45)</f>
        <v>128.44999999999999</v>
      </c>
      <c r="E1452" s="11">
        <f ca="1">IFERROR(__xludf.DUMMYFUNCTION("GOOGLEFINANCE(A1452,""LOW"")"),120)</f>
        <v>120</v>
      </c>
      <c r="F1452" s="12" t="str">
        <f t="shared" ca="1" si="42"/>
        <v>SELL</v>
      </c>
      <c r="G1452" s="13">
        <f ca="1">IFERROR(__xludf.DUMMYFUNCTION("GOOGLEFINANCE(A1452,""CLOSEYEST"")"),122.72)</f>
        <v>122.72</v>
      </c>
      <c r="H1452" s="14" t="str">
        <f t="shared" ca="1" si="48"/>
        <v>GAP UP</v>
      </c>
      <c r="I1452" s="15">
        <f t="shared" ca="1" si="43"/>
        <v>123.72333333333331</v>
      </c>
      <c r="J1452" s="16">
        <f t="shared" ca="1" si="44"/>
        <v>127.44666666666663</v>
      </c>
      <c r="K1452" s="16"/>
      <c r="L1452" s="16">
        <f t="shared" ca="1" si="45"/>
        <v>118.99666666666664</v>
      </c>
      <c r="M1452" s="16">
        <f t="shared" ca="1" si="46"/>
        <v>132.17333333333329</v>
      </c>
      <c r="N1452" s="16">
        <f t="shared" ca="1" si="47"/>
        <v>115.27333333333333</v>
      </c>
    </row>
    <row r="1453" spans="1:14" ht="24.75" customHeight="1" x14ac:dyDescent="0.8">
      <c r="A1453" s="18" t="s">
        <v>1416</v>
      </c>
      <c r="B1453" s="10">
        <f ca="1">IFERROR(__xludf.DUMMYFUNCTION("GOOGLEFINANCE(A1453,""PRICE"")"),116.11)</f>
        <v>116.11</v>
      </c>
      <c r="C1453" s="11">
        <f ca="1">IFERROR(__xludf.DUMMYFUNCTION("GOOGLEFINANCE(A1453,""PRICEOPEN"")"),120)</f>
        <v>120</v>
      </c>
      <c r="D1453" s="11">
        <f ca="1">IFERROR(__xludf.DUMMYFUNCTION("GOOGLEFINANCE(A1453,""HIGH"")"),120)</f>
        <v>120</v>
      </c>
      <c r="E1453" s="11">
        <f ca="1">IFERROR(__xludf.DUMMYFUNCTION("GOOGLEFINANCE(A1453,""LOW"")"),114.4)</f>
        <v>114.4</v>
      </c>
      <c r="F1453" s="12" t="str">
        <f t="shared" ca="1" si="42"/>
        <v>SELL</v>
      </c>
      <c r="G1453" s="13">
        <f ca="1">IFERROR(__xludf.DUMMYFUNCTION("GOOGLEFINANCE(A1453,""CLOSEYEST"")"),115.33)</f>
        <v>115.33</v>
      </c>
      <c r="H1453" s="14" t="str">
        <f t="shared" ca="1" si="48"/>
        <v>GAP UP</v>
      </c>
      <c r="I1453" s="15">
        <f t="shared" ca="1" si="43"/>
        <v>116.57666666666667</v>
      </c>
      <c r="J1453" s="16">
        <f t="shared" ca="1" si="44"/>
        <v>118.75333333333333</v>
      </c>
      <c r="K1453" s="16"/>
      <c r="L1453" s="16">
        <f t="shared" ca="1" si="45"/>
        <v>113.15333333333334</v>
      </c>
      <c r="M1453" s="16">
        <f t="shared" ca="1" si="46"/>
        <v>122.17666666666666</v>
      </c>
      <c r="N1453" s="16">
        <f t="shared" ca="1" si="47"/>
        <v>110.97666666666667</v>
      </c>
    </row>
    <row r="1454" spans="1:14" ht="24.75" customHeight="1" x14ac:dyDescent="0.8">
      <c r="A1454" s="18" t="s">
        <v>1417</v>
      </c>
      <c r="B1454" s="10">
        <f ca="1">IFERROR(__xludf.DUMMYFUNCTION("GOOGLEFINANCE(A1454,""PRICE"")"),54.89)</f>
        <v>54.89</v>
      </c>
      <c r="C1454" s="11">
        <f ca="1">IFERROR(__xludf.DUMMYFUNCTION("GOOGLEFINANCE(A1454,""PRICEOPEN"")"),52.5)</f>
        <v>52.5</v>
      </c>
      <c r="D1454" s="11">
        <f ca="1">IFERROR(__xludf.DUMMYFUNCTION("GOOGLEFINANCE(A1454,""HIGH"")"),56)</f>
        <v>56</v>
      </c>
      <c r="E1454" s="11">
        <f ca="1">IFERROR(__xludf.DUMMYFUNCTION("GOOGLEFINANCE(A1454,""LOW"")"),52.5)</f>
        <v>52.5</v>
      </c>
      <c r="F1454" s="12" t="str">
        <f t="shared" ca="1" si="42"/>
        <v>BUY</v>
      </c>
      <c r="G1454" s="13">
        <f ca="1">IFERROR(__xludf.DUMMYFUNCTION("GOOGLEFINANCE(A1454,""CLOSEYEST"")"),53.96)</f>
        <v>53.96</v>
      </c>
      <c r="H1454" s="14" t="str">
        <f t="shared" ca="1" si="48"/>
        <v>GAP DOWN</v>
      </c>
      <c r="I1454" s="15">
        <f t="shared" ca="1" si="43"/>
        <v>54.153333333333336</v>
      </c>
      <c r="J1454" s="16">
        <f t="shared" ca="1" si="44"/>
        <v>55.806666666666672</v>
      </c>
      <c r="K1454" s="16"/>
      <c r="L1454" s="16">
        <f t="shared" ca="1" si="45"/>
        <v>52.306666666666672</v>
      </c>
      <c r="M1454" s="16">
        <f t="shared" ca="1" si="46"/>
        <v>57.653333333333336</v>
      </c>
      <c r="N1454" s="16">
        <f t="shared" ca="1" si="47"/>
        <v>50.653333333333336</v>
      </c>
    </row>
    <row r="1455" spans="1:14" ht="24.75" customHeight="1" x14ac:dyDescent="0.8">
      <c r="A1455" s="18" t="s">
        <v>1418</v>
      </c>
      <c r="B1455" s="10">
        <f ca="1">IFERROR(__xludf.DUMMYFUNCTION("GOOGLEFINANCE(A1455,""PRICE"")"),45.8)</f>
        <v>45.8</v>
      </c>
      <c r="C1455" s="11">
        <f ca="1">IFERROR(__xludf.DUMMYFUNCTION("GOOGLEFINANCE(A1455,""PRICEOPEN"")"),46.8)</f>
        <v>46.8</v>
      </c>
      <c r="D1455" s="11">
        <f ca="1">IFERROR(__xludf.DUMMYFUNCTION("GOOGLEFINANCE(A1455,""HIGH"")"),47.98)</f>
        <v>47.98</v>
      </c>
      <c r="E1455" s="11">
        <f ca="1">IFERROR(__xludf.DUMMYFUNCTION("GOOGLEFINANCE(A1455,""LOW"")"),45.2)</f>
        <v>45.2</v>
      </c>
      <c r="F1455" s="12" t="str">
        <f t="shared" ca="1" si="42"/>
        <v/>
      </c>
      <c r="G1455" s="13">
        <f ca="1">IFERROR(__xludf.DUMMYFUNCTION("GOOGLEFINANCE(A1455,""CLOSEYEST"")"),45.52)</f>
        <v>45.52</v>
      </c>
      <c r="H1455" s="14" t="str">
        <f t="shared" ca="1" si="48"/>
        <v>GAP UP</v>
      </c>
      <c r="I1455" s="15">
        <f t="shared" ca="1" si="43"/>
        <v>46.233333333333341</v>
      </c>
      <c r="J1455" s="16">
        <f t="shared" ca="1" si="44"/>
        <v>47.26666666666668</v>
      </c>
      <c r="K1455" s="16"/>
      <c r="L1455" s="16">
        <f t="shared" ca="1" si="45"/>
        <v>44.486666666666686</v>
      </c>
      <c r="M1455" s="16">
        <f t="shared" ca="1" si="46"/>
        <v>49.013333333333335</v>
      </c>
      <c r="N1455" s="16">
        <f t="shared" ca="1" si="47"/>
        <v>43.453333333333347</v>
      </c>
    </row>
    <row r="1456" spans="1:14" ht="24.75" customHeight="1" x14ac:dyDescent="0.8">
      <c r="A1456" s="18" t="s">
        <v>1419</v>
      </c>
      <c r="B1456" s="10">
        <f ca="1">IFERROR(__xludf.DUMMYFUNCTION("GOOGLEFINANCE(A1456,""PRICE"")"),196.43)</f>
        <v>196.43</v>
      </c>
      <c r="C1456" s="11">
        <f ca="1">IFERROR(__xludf.DUMMYFUNCTION("GOOGLEFINANCE(A1456,""PRICEOPEN"")"),204)</f>
        <v>204</v>
      </c>
      <c r="D1456" s="11">
        <f ca="1">IFERROR(__xludf.DUMMYFUNCTION("GOOGLEFINANCE(A1456,""HIGH"")"),204.43)</f>
        <v>204.43</v>
      </c>
      <c r="E1456" s="11">
        <f ca="1">IFERROR(__xludf.DUMMYFUNCTION("GOOGLEFINANCE(A1456,""LOW"")"),195.15)</f>
        <v>195.15</v>
      </c>
      <c r="F1456" s="12" t="str">
        <f t="shared" ca="1" si="42"/>
        <v/>
      </c>
      <c r="G1456" s="13">
        <f ca="1">IFERROR(__xludf.DUMMYFUNCTION("GOOGLEFINANCE(A1456,""CLOSEYEST"")"),202.41)</f>
        <v>202.41</v>
      </c>
      <c r="H1456" s="14" t="str">
        <f t="shared" ca="1" si="48"/>
        <v/>
      </c>
      <c r="I1456" s="15">
        <f t="shared" ca="1" si="43"/>
        <v>200.66333333333333</v>
      </c>
      <c r="J1456" s="16">
        <f t="shared" ca="1" si="44"/>
        <v>206.17666666666665</v>
      </c>
      <c r="K1456" s="16"/>
      <c r="L1456" s="16">
        <f t="shared" ca="1" si="45"/>
        <v>196.89666666666665</v>
      </c>
      <c r="M1456" s="16">
        <f t="shared" ca="1" si="46"/>
        <v>209.94333333333333</v>
      </c>
      <c r="N1456" s="16">
        <f t="shared" ca="1" si="47"/>
        <v>191.38333333333333</v>
      </c>
    </row>
    <row r="1457" spans="1:14" ht="24.75" customHeight="1" x14ac:dyDescent="0.8">
      <c r="A1457" s="18" t="s">
        <v>1420</v>
      </c>
      <c r="B1457" s="10" t="str">
        <f ca="1">IFERROR(__xludf.DUMMYFUNCTION("GOOGLEFINANCE(A1457,""PRICE"")"),"#N/A")</f>
        <v>#N/A</v>
      </c>
      <c r="C1457" s="11" t="str">
        <f ca="1">IFERROR(__xludf.DUMMYFUNCTION("GOOGLEFINANCE(A1457,""PRICEOPEN"")"),"#N/A")</f>
        <v>#N/A</v>
      </c>
      <c r="D1457" s="11" t="str">
        <f ca="1">IFERROR(__xludf.DUMMYFUNCTION("GOOGLEFINANCE(A1457,""HIGH"")"),"#N/A")</f>
        <v>#N/A</v>
      </c>
      <c r="E1457" s="11" t="str">
        <f ca="1">IFERROR(__xludf.DUMMYFUNCTION("GOOGLEFINANCE(A1457,""LOW"")"),"#N/A")</f>
        <v>#N/A</v>
      </c>
      <c r="F1457" s="12" t="str">
        <f t="shared" ca="1" si="42"/>
        <v>SELL</v>
      </c>
      <c r="G1457" s="13" t="str">
        <f ca="1">IFERROR(__xludf.DUMMYFUNCTION("GOOGLEFINANCE(A1457,""CLOSEYEST"")"),"#N/A")</f>
        <v>#N/A</v>
      </c>
      <c r="H1457" s="14" t="e">
        <f t="shared" ca="1" si="48"/>
        <v>#VALUE!</v>
      </c>
      <c r="I1457" s="15" t="e">
        <f t="shared" ca="1" si="43"/>
        <v>#VALUE!</v>
      </c>
      <c r="J1457" s="16" t="e">
        <f t="shared" ca="1" si="44"/>
        <v>#VALUE!</v>
      </c>
      <c r="K1457" s="16"/>
      <c r="L1457" s="16" t="e">
        <f t="shared" ca="1" si="45"/>
        <v>#VALUE!</v>
      </c>
      <c r="M1457" s="16" t="e">
        <f t="shared" ca="1" si="46"/>
        <v>#VALUE!</v>
      </c>
      <c r="N1457" s="16" t="e">
        <f t="shared" ca="1" si="47"/>
        <v>#VALUE!</v>
      </c>
    </row>
    <row r="1458" spans="1:14" ht="24.75" customHeight="1" x14ac:dyDescent="0.8">
      <c r="A1458" s="18" t="s">
        <v>1421</v>
      </c>
      <c r="B1458" s="10">
        <f ca="1">IFERROR(__xludf.DUMMYFUNCTION("GOOGLEFINANCE(A1458,""PRICE"")"),30.09)</f>
        <v>30.09</v>
      </c>
      <c r="C1458" s="11">
        <f ca="1">IFERROR(__xludf.DUMMYFUNCTION("GOOGLEFINANCE(A1458,""PRICEOPEN"")"),30.05)</f>
        <v>30.05</v>
      </c>
      <c r="D1458" s="11">
        <f ca="1">IFERROR(__xludf.DUMMYFUNCTION("GOOGLEFINANCE(A1458,""HIGH"")"),30.69)</f>
        <v>30.69</v>
      </c>
      <c r="E1458" s="11">
        <f ca="1">IFERROR(__xludf.DUMMYFUNCTION("GOOGLEFINANCE(A1458,""LOW"")"),29.72)</f>
        <v>29.72</v>
      </c>
      <c r="F1458" s="12" t="str">
        <f t="shared" ca="1" si="42"/>
        <v/>
      </c>
      <c r="G1458" s="13">
        <f ca="1">IFERROR(__xludf.DUMMYFUNCTION("GOOGLEFINANCE(A1458,""CLOSEYEST"")"),30.7)</f>
        <v>30.7</v>
      </c>
      <c r="H1458" s="14" t="str">
        <f t="shared" ca="1" si="48"/>
        <v>GAP DOWN</v>
      </c>
      <c r="I1458" s="15">
        <f t="shared" ca="1" si="43"/>
        <v>30.37</v>
      </c>
      <c r="J1458" s="16">
        <f t="shared" ca="1" si="44"/>
        <v>31.020000000000003</v>
      </c>
      <c r="K1458" s="16"/>
      <c r="L1458" s="16">
        <f t="shared" ca="1" si="45"/>
        <v>30.05</v>
      </c>
      <c r="M1458" s="16">
        <f t="shared" ca="1" si="46"/>
        <v>31.340000000000003</v>
      </c>
      <c r="N1458" s="16">
        <f t="shared" ca="1" si="47"/>
        <v>29.4</v>
      </c>
    </row>
    <row r="1459" spans="1:14" ht="24.75" customHeight="1" x14ac:dyDescent="0.8">
      <c r="A1459" s="18" t="s">
        <v>1422</v>
      </c>
      <c r="B1459" s="10" t="str">
        <f ca="1">IFERROR(__xludf.DUMMYFUNCTION("GOOGLEFINANCE(A1459,""PRICE"")"),"#N/A")</f>
        <v>#N/A</v>
      </c>
      <c r="C1459" s="11" t="str">
        <f ca="1">IFERROR(__xludf.DUMMYFUNCTION("GOOGLEFINANCE(A1459,""PRICEOPEN"")"),"#N/A")</f>
        <v>#N/A</v>
      </c>
      <c r="D1459" s="11" t="str">
        <f ca="1">IFERROR(__xludf.DUMMYFUNCTION("GOOGLEFINANCE(A1459,""HIGH"")"),"#N/A")</f>
        <v>#N/A</v>
      </c>
      <c r="E1459" s="11" t="str">
        <f ca="1">IFERROR(__xludf.DUMMYFUNCTION("GOOGLEFINANCE(A1459,""LOW"")"),"#N/A")</f>
        <v>#N/A</v>
      </c>
      <c r="F1459" s="12" t="str">
        <f t="shared" ca="1" si="42"/>
        <v>SELL</v>
      </c>
      <c r="G1459" s="13" t="str">
        <f ca="1">IFERROR(__xludf.DUMMYFUNCTION("GOOGLEFINANCE(A1459,""CLOSEYEST"")"),"#N/A")</f>
        <v>#N/A</v>
      </c>
      <c r="H1459" s="14" t="e">
        <f t="shared" ca="1" si="48"/>
        <v>#VALUE!</v>
      </c>
      <c r="I1459" s="15" t="e">
        <f t="shared" ca="1" si="43"/>
        <v>#VALUE!</v>
      </c>
      <c r="J1459" s="16" t="e">
        <f t="shared" ca="1" si="44"/>
        <v>#VALUE!</v>
      </c>
      <c r="K1459" s="16"/>
      <c r="L1459" s="16" t="e">
        <f t="shared" ca="1" si="45"/>
        <v>#VALUE!</v>
      </c>
      <c r="M1459" s="16" t="e">
        <f t="shared" ca="1" si="46"/>
        <v>#VALUE!</v>
      </c>
      <c r="N1459" s="16" t="e">
        <f t="shared" ca="1" si="47"/>
        <v>#VALUE!</v>
      </c>
    </row>
    <row r="1460" spans="1:14" ht="24.75" customHeight="1" x14ac:dyDescent="0.8">
      <c r="A1460" s="18" t="s">
        <v>1423</v>
      </c>
      <c r="B1460" s="10">
        <f ca="1">IFERROR(__xludf.DUMMYFUNCTION("GOOGLEFINANCE(A1460,""PRICE"")"),4.11)</f>
        <v>4.1100000000000003</v>
      </c>
      <c r="C1460" s="11">
        <f ca="1">IFERROR(__xludf.DUMMYFUNCTION("GOOGLEFINANCE(A1460,""PRICEOPEN"")"),4.15)</f>
        <v>4.1500000000000004</v>
      </c>
      <c r="D1460" s="11">
        <f ca="1">IFERROR(__xludf.DUMMYFUNCTION("GOOGLEFINANCE(A1460,""HIGH"")"),4.15)</f>
        <v>4.1500000000000004</v>
      </c>
      <c r="E1460" s="11">
        <f ca="1">IFERROR(__xludf.DUMMYFUNCTION("GOOGLEFINANCE(A1460,""LOW"")"),3.77)</f>
        <v>3.77</v>
      </c>
      <c r="F1460" s="12" t="str">
        <f t="shared" ca="1" si="42"/>
        <v>SELL</v>
      </c>
      <c r="G1460" s="13">
        <f ca="1">IFERROR(__xludf.DUMMYFUNCTION("GOOGLEFINANCE(A1460,""CLOSEYEST"")"),3.97)</f>
        <v>3.97</v>
      </c>
      <c r="H1460" s="14" t="str">
        <f t="shared" ca="1" si="48"/>
        <v>GAP UP</v>
      </c>
      <c r="I1460" s="15">
        <f t="shared" ca="1" si="43"/>
        <v>3.9633333333333334</v>
      </c>
      <c r="J1460" s="16">
        <f t="shared" ca="1" si="44"/>
        <v>4.1566666666666663</v>
      </c>
      <c r="K1460" s="16"/>
      <c r="L1460" s="16">
        <f t="shared" ca="1" si="45"/>
        <v>3.7766666666666664</v>
      </c>
      <c r="M1460" s="16">
        <f t="shared" ca="1" si="46"/>
        <v>4.3433333333333337</v>
      </c>
      <c r="N1460" s="16">
        <f t="shared" ca="1" si="47"/>
        <v>3.5833333333333335</v>
      </c>
    </row>
    <row r="1461" spans="1:14" ht="24.75" customHeight="1" x14ac:dyDescent="0.8">
      <c r="A1461" s="18" t="s">
        <v>1424</v>
      </c>
      <c r="B1461" s="10">
        <f ca="1">IFERROR(__xludf.DUMMYFUNCTION("GOOGLEFINANCE(A1461,""PRICE"")"),102.94)</f>
        <v>102.94</v>
      </c>
      <c r="C1461" s="11">
        <f ca="1">IFERROR(__xludf.DUMMYFUNCTION("GOOGLEFINANCE(A1461,""PRICEOPEN"")"),102.39)</f>
        <v>102.39</v>
      </c>
      <c r="D1461" s="11">
        <f ca="1">IFERROR(__xludf.DUMMYFUNCTION("GOOGLEFINANCE(A1461,""HIGH"")"),102.94)</f>
        <v>102.94</v>
      </c>
      <c r="E1461" s="11">
        <f ca="1">IFERROR(__xludf.DUMMYFUNCTION("GOOGLEFINANCE(A1461,""LOW"")"),100.65)</f>
        <v>100.65</v>
      </c>
      <c r="F1461" s="12" t="str">
        <f t="shared" ca="1" si="42"/>
        <v/>
      </c>
      <c r="G1461" s="13">
        <f ca="1">IFERROR(__xludf.DUMMYFUNCTION("GOOGLEFINANCE(A1461,""CLOSEYEST"")"),102.39)</f>
        <v>102.39</v>
      </c>
      <c r="H1461" s="14" t="str">
        <f t="shared" ca="1" si="48"/>
        <v/>
      </c>
      <c r="I1461" s="15">
        <f t="shared" ca="1" si="43"/>
        <v>101.99333333333334</v>
      </c>
      <c r="J1461" s="16">
        <f t="shared" ca="1" si="44"/>
        <v>103.33666666666667</v>
      </c>
      <c r="K1461" s="16"/>
      <c r="L1461" s="16">
        <f t="shared" ca="1" si="45"/>
        <v>101.04666666666668</v>
      </c>
      <c r="M1461" s="16">
        <f t="shared" ca="1" si="46"/>
        <v>104.28333333333333</v>
      </c>
      <c r="N1461" s="16">
        <f t="shared" ca="1" si="47"/>
        <v>99.703333333333347</v>
      </c>
    </row>
    <row r="1462" spans="1:14" ht="24.75" customHeight="1" x14ac:dyDescent="0.8">
      <c r="A1462" s="18" t="s">
        <v>1425</v>
      </c>
      <c r="B1462" s="10">
        <f ca="1">IFERROR(__xludf.DUMMYFUNCTION("GOOGLEFINANCE(A1462,""PRICE"")"),820)</f>
        <v>820</v>
      </c>
      <c r="C1462" s="11">
        <f ca="1">IFERROR(__xludf.DUMMYFUNCTION("GOOGLEFINANCE(A1462,""PRICEOPEN"")"),836)</f>
        <v>836</v>
      </c>
      <c r="D1462" s="11">
        <f ca="1">IFERROR(__xludf.DUMMYFUNCTION("GOOGLEFINANCE(A1462,""HIGH"")"),844.05)</f>
        <v>844.05</v>
      </c>
      <c r="E1462" s="11">
        <f ca="1">IFERROR(__xludf.DUMMYFUNCTION("GOOGLEFINANCE(A1462,""LOW"")"),815)</f>
        <v>815</v>
      </c>
      <c r="F1462" s="12" t="str">
        <f t="shared" ca="1" si="42"/>
        <v/>
      </c>
      <c r="G1462" s="13">
        <f ca="1">IFERROR(__xludf.DUMMYFUNCTION("GOOGLEFINANCE(A1462,""CLOSEYEST"")"),835.75)</f>
        <v>835.75</v>
      </c>
      <c r="H1462" s="14" t="str">
        <f t="shared" ca="1" si="48"/>
        <v/>
      </c>
      <c r="I1462" s="15">
        <f t="shared" ca="1" si="43"/>
        <v>831.6</v>
      </c>
      <c r="J1462" s="16">
        <f t="shared" ca="1" si="44"/>
        <v>848.2</v>
      </c>
      <c r="K1462" s="16"/>
      <c r="L1462" s="16">
        <f t="shared" ca="1" si="45"/>
        <v>819.15000000000009</v>
      </c>
      <c r="M1462" s="16">
        <f t="shared" ca="1" si="46"/>
        <v>860.65</v>
      </c>
      <c r="N1462" s="16">
        <f t="shared" ca="1" si="47"/>
        <v>802.55000000000007</v>
      </c>
    </row>
    <row r="1463" spans="1:14" ht="24.75" customHeight="1" x14ac:dyDescent="0.8">
      <c r="A1463" s="18" t="s">
        <v>1426</v>
      </c>
      <c r="B1463" s="10">
        <f ca="1">IFERROR(__xludf.DUMMYFUNCTION("GOOGLEFINANCE(A1463,""PRICE"")"),151.05)</f>
        <v>151.05000000000001</v>
      </c>
      <c r="C1463" s="11">
        <f ca="1">IFERROR(__xludf.DUMMYFUNCTION("GOOGLEFINANCE(A1463,""PRICEOPEN"")"),145)</f>
        <v>145</v>
      </c>
      <c r="D1463" s="11">
        <f ca="1">IFERROR(__xludf.DUMMYFUNCTION("GOOGLEFINANCE(A1463,""HIGH"")"),151.98)</f>
        <v>151.97999999999999</v>
      </c>
      <c r="E1463" s="11">
        <f ca="1">IFERROR(__xludf.DUMMYFUNCTION("GOOGLEFINANCE(A1463,""LOW"")"),142.9)</f>
        <v>142.9</v>
      </c>
      <c r="F1463" s="12" t="str">
        <f t="shared" ca="1" si="42"/>
        <v/>
      </c>
      <c r="G1463" s="13">
        <f ca="1">IFERROR(__xludf.DUMMYFUNCTION("GOOGLEFINANCE(A1463,""CLOSEYEST"")"),144.3)</f>
        <v>144.30000000000001</v>
      </c>
      <c r="H1463" s="14" t="str">
        <f t="shared" ca="1" si="48"/>
        <v/>
      </c>
      <c r="I1463" s="15">
        <f t="shared" ca="1" si="43"/>
        <v>146.39333333333335</v>
      </c>
      <c r="J1463" s="16">
        <f t="shared" ca="1" si="44"/>
        <v>149.88666666666668</v>
      </c>
      <c r="K1463" s="16"/>
      <c r="L1463" s="16">
        <f t="shared" ca="1" si="45"/>
        <v>140.8066666666667</v>
      </c>
      <c r="M1463" s="16">
        <f t="shared" ca="1" si="46"/>
        <v>155.47333333333333</v>
      </c>
      <c r="N1463" s="16">
        <f t="shared" ca="1" si="47"/>
        <v>137.31333333333336</v>
      </c>
    </row>
    <row r="1464" spans="1:14" ht="24.75" customHeight="1" x14ac:dyDescent="0.8">
      <c r="A1464" s="18" t="s">
        <v>1427</v>
      </c>
      <c r="B1464" s="10">
        <f ca="1">IFERROR(__xludf.DUMMYFUNCTION("GOOGLEFINANCE(A1464,""PRICE"")"),249.9)</f>
        <v>249.9</v>
      </c>
      <c r="C1464" s="11">
        <f ca="1">IFERROR(__xludf.DUMMYFUNCTION("GOOGLEFINANCE(A1464,""PRICEOPEN"")"),245)</f>
        <v>245</v>
      </c>
      <c r="D1464" s="11">
        <f ca="1">IFERROR(__xludf.DUMMYFUNCTION("GOOGLEFINANCE(A1464,""HIGH"")"),249.9)</f>
        <v>249.9</v>
      </c>
      <c r="E1464" s="11">
        <f ca="1">IFERROR(__xludf.DUMMYFUNCTION("GOOGLEFINANCE(A1464,""LOW"")"),244.18)</f>
        <v>244.18</v>
      </c>
      <c r="F1464" s="12" t="str">
        <f t="shared" ca="1" si="42"/>
        <v/>
      </c>
      <c r="G1464" s="13">
        <f ca="1">IFERROR(__xludf.DUMMYFUNCTION("GOOGLEFINANCE(A1464,""CLOSEYEST"")"),246.67)</f>
        <v>246.67</v>
      </c>
      <c r="H1464" s="14" t="str">
        <f t="shared" ca="1" si="48"/>
        <v/>
      </c>
      <c r="I1464" s="15">
        <f t="shared" ca="1" si="43"/>
        <v>246.91666666666666</v>
      </c>
      <c r="J1464" s="16">
        <f t="shared" ca="1" si="44"/>
        <v>249.65333333333331</v>
      </c>
      <c r="K1464" s="16"/>
      <c r="L1464" s="16">
        <f t="shared" ca="1" si="45"/>
        <v>243.93333333333331</v>
      </c>
      <c r="M1464" s="16">
        <f t="shared" ca="1" si="46"/>
        <v>252.63666666666666</v>
      </c>
      <c r="N1464" s="16">
        <f t="shared" ca="1" si="47"/>
        <v>241.19666666666666</v>
      </c>
    </row>
    <row r="1465" spans="1:14" ht="24.75" customHeight="1" x14ac:dyDescent="0.8">
      <c r="A1465" s="18" t="s">
        <v>1428</v>
      </c>
      <c r="B1465" s="10" t="str">
        <f ca="1">IFERROR(__xludf.DUMMYFUNCTION("GOOGLEFINANCE(A1465,""PRICE"")"),"#N/A")</f>
        <v>#N/A</v>
      </c>
      <c r="C1465" s="11" t="str">
        <f ca="1">IFERROR(__xludf.DUMMYFUNCTION("GOOGLEFINANCE(A1465,""PRICEOPEN"")"),"#N/A")</f>
        <v>#N/A</v>
      </c>
      <c r="D1465" s="11" t="str">
        <f ca="1">IFERROR(__xludf.DUMMYFUNCTION("GOOGLEFINANCE(A1465,""HIGH"")"),"#N/A")</f>
        <v>#N/A</v>
      </c>
      <c r="E1465" s="11" t="str">
        <f ca="1">IFERROR(__xludf.DUMMYFUNCTION("GOOGLEFINANCE(A1465,""LOW"")"),"#N/A")</f>
        <v>#N/A</v>
      </c>
      <c r="F1465" s="12" t="str">
        <f t="shared" ca="1" si="42"/>
        <v>SELL</v>
      </c>
      <c r="G1465" s="13" t="str">
        <f ca="1">IFERROR(__xludf.DUMMYFUNCTION("GOOGLEFINANCE(A1465,""CLOSEYEST"")"),"#N/A")</f>
        <v>#N/A</v>
      </c>
      <c r="H1465" s="14" t="e">
        <f t="shared" ca="1" si="48"/>
        <v>#VALUE!</v>
      </c>
      <c r="I1465" s="15" t="e">
        <f t="shared" ca="1" si="43"/>
        <v>#VALUE!</v>
      </c>
      <c r="J1465" s="16" t="e">
        <f t="shared" ca="1" si="44"/>
        <v>#VALUE!</v>
      </c>
      <c r="K1465" s="16"/>
      <c r="L1465" s="16" t="e">
        <f t="shared" ca="1" si="45"/>
        <v>#VALUE!</v>
      </c>
      <c r="M1465" s="16" t="e">
        <f t="shared" ca="1" si="46"/>
        <v>#VALUE!</v>
      </c>
      <c r="N1465" s="16" t="e">
        <f t="shared" ca="1" si="47"/>
        <v>#VALUE!</v>
      </c>
    </row>
    <row r="1466" spans="1:14" ht="24.75" customHeight="1" x14ac:dyDescent="0.8">
      <c r="A1466" s="18" t="s">
        <v>1429</v>
      </c>
      <c r="B1466" s="10" t="str">
        <f ca="1">IFERROR(__xludf.DUMMYFUNCTION("GOOGLEFINANCE(A1466,""PRICE"")"),"#N/A")</f>
        <v>#N/A</v>
      </c>
      <c r="C1466" s="11" t="str">
        <f ca="1">IFERROR(__xludf.DUMMYFUNCTION("GOOGLEFINANCE(A1466,""PRICEOPEN"")"),"#N/A")</f>
        <v>#N/A</v>
      </c>
      <c r="D1466" s="11" t="str">
        <f ca="1">IFERROR(__xludf.DUMMYFUNCTION("GOOGLEFINANCE(A1466,""HIGH"")"),"#N/A")</f>
        <v>#N/A</v>
      </c>
      <c r="E1466" s="11" t="str">
        <f ca="1">IFERROR(__xludf.DUMMYFUNCTION("GOOGLEFINANCE(A1466,""LOW"")"),"#N/A")</f>
        <v>#N/A</v>
      </c>
      <c r="F1466" s="12" t="str">
        <f t="shared" ca="1" si="42"/>
        <v>SELL</v>
      </c>
      <c r="G1466" s="13" t="str">
        <f ca="1">IFERROR(__xludf.DUMMYFUNCTION("GOOGLEFINANCE(A1466,""CLOSEYEST"")"),"#N/A")</f>
        <v>#N/A</v>
      </c>
      <c r="H1466" s="14" t="e">
        <f t="shared" ca="1" si="48"/>
        <v>#VALUE!</v>
      </c>
      <c r="I1466" s="15" t="e">
        <f t="shared" ca="1" si="43"/>
        <v>#VALUE!</v>
      </c>
      <c r="J1466" s="16" t="e">
        <f t="shared" ca="1" si="44"/>
        <v>#VALUE!</v>
      </c>
      <c r="K1466" s="16"/>
      <c r="L1466" s="16" t="e">
        <f t="shared" ca="1" si="45"/>
        <v>#VALUE!</v>
      </c>
      <c r="M1466" s="16" t="e">
        <f t="shared" ca="1" si="46"/>
        <v>#VALUE!</v>
      </c>
      <c r="N1466" s="16" t="e">
        <f t="shared" ca="1" si="47"/>
        <v>#VALUE!</v>
      </c>
    </row>
    <row r="1467" spans="1:14" ht="24.75" customHeight="1" x14ac:dyDescent="0.8">
      <c r="A1467" s="18" t="s">
        <v>1430</v>
      </c>
      <c r="B1467" s="10">
        <f ca="1">IFERROR(__xludf.DUMMYFUNCTION("GOOGLEFINANCE(A1467,""PRICE"")"),577)</f>
        <v>577</v>
      </c>
      <c r="C1467" s="11">
        <f ca="1">IFERROR(__xludf.DUMMYFUNCTION("GOOGLEFINANCE(A1467,""PRICEOPEN"")"),580)</f>
        <v>580</v>
      </c>
      <c r="D1467" s="11">
        <f ca="1">IFERROR(__xludf.DUMMYFUNCTION("GOOGLEFINANCE(A1467,""HIGH"")"),580)</f>
        <v>580</v>
      </c>
      <c r="E1467" s="11">
        <f ca="1">IFERROR(__xludf.DUMMYFUNCTION("GOOGLEFINANCE(A1467,""LOW"")"),572)</f>
        <v>572</v>
      </c>
      <c r="F1467" s="12" t="str">
        <f t="shared" ca="1" si="42"/>
        <v>SELL</v>
      </c>
      <c r="G1467" s="13">
        <f ca="1">IFERROR(__xludf.DUMMYFUNCTION("GOOGLEFINANCE(A1467,""CLOSEYEST"")"),572.3)</f>
        <v>572.29999999999995</v>
      </c>
      <c r="H1467" s="14" t="str">
        <f t="shared" ca="1" si="48"/>
        <v>GAP UP</v>
      </c>
      <c r="I1467" s="15">
        <f t="shared" ca="1" si="43"/>
        <v>574.76666666666665</v>
      </c>
      <c r="J1467" s="16">
        <f t="shared" ca="1" si="44"/>
        <v>577.5333333333333</v>
      </c>
      <c r="K1467" s="16"/>
      <c r="L1467" s="16">
        <f t="shared" ca="1" si="45"/>
        <v>569.5333333333333</v>
      </c>
      <c r="M1467" s="16">
        <f t="shared" ca="1" si="46"/>
        <v>582.76666666666665</v>
      </c>
      <c r="N1467" s="16">
        <f t="shared" ca="1" si="47"/>
        <v>566.76666666666665</v>
      </c>
    </row>
    <row r="1468" spans="1:14" ht="24.75" customHeight="1" x14ac:dyDescent="0.8">
      <c r="A1468" s="18" t="s">
        <v>1431</v>
      </c>
      <c r="B1468" s="10">
        <f ca="1">IFERROR(__xludf.DUMMYFUNCTION("GOOGLEFINANCE(A1468,""PRICE"")"),1090.4)</f>
        <v>1090.4000000000001</v>
      </c>
      <c r="C1468" s="11">
        <f ca="1">IFERROR(__xludf.DUMMYFUNCTION("GOOGLEFINANCE(A1468,""PRICEOPEN"")"),1068)</f>
        <v>1068</v>
      </c>
      <c r="D1468" s="11">
        <f ca="1">IFERROR(__xludf.DUMMYFUNCTION("GOOGLEFINANCE(A1468,""HIGH"")"),1090.4)</f>
        <v>1090.4000000000001</v>
      </c>
      <c r="E1468" s="11">
        <f ca="1">IFERROR(__xludf.DUMMYFUNCTION("GOOGLEFINANCE(A1468,""LOW"")"),1035)</f>
        <v>1035</v>
      </c>
      <c r="F1468" s="12" t="str">
        <f t="shared" ca="1" si="42"/>
        <v/>
      </c>
      <c r="G1468" s="13">
        <f ca="1">IFERROR(__xludf.DUMMYFUNCTION("GOOGLEFINANCE(A1468,""CLOSEYEST"")"),1038.5)</f>
        <v>1038.5</v>
      </c>
      <c r="H1468" s="14" t="str">
        <f t="shared" ca="1" si="48"/>
        <v>GAP UP</v>
      </c>
      <c r="I1468" s="15">
        <f t="shared" ca="1" si="43"/>
        <v>1054.6333333333334</v>
      </c>
      <c r="J1468" s="16">
        <f t="shared" ca="1" si="44"/>
        <v>1074.2666666666669</v>
      </c>
      <c r="K1468" s="16"/>
      <c r="L1468" s="16">
        <f t="shared" ca="1" si="45"/>
        <v>1018.8666666666668</v>
      </c>
      <c r="M1468" s="16">
        <f t="shared" ca="1" si="46"/>
        <v>1110.0333333333335</v>
      </c>
      <c r="N1468" s="16">
        <f t="shared" ca="1" si="47"/>
        <v>999.23333333333335</v>
      </c>
    </row>
    <row r="1469" spans="1:14" ht="24.75" customHeight="1" x14ac:dyDescent="0.8">
      <c r="A1469" s="18" t="s">
        <v>1432</v>
      </c>
      <c r="B1469" s="10">
        <f ca="1">IFERROR(__xludf.DUMMYFUNCTION("GOOGLEFINANCE(A1469,""PRICE"")"),155.3)</f>
        <v>155.30000000000001</v>
      </c>
      <c r="C1469" s="11">
        <f ca="1">IFERROR(__xludf.DUMMYFUNCTION("GOOGLEFINANCE(A1469,""PRICEOPEN"")"),158.63)</f>
        <v>158.63</v>
      </c>
      <c r="D1469" s="11">
        <f ca="1">IFERROR(__xludf.DUMMYFUNCTION("GOOGLEFINANCE(A1469,""HIGH"")"),158.63)</f>
        <v>158.63</v>
      </c>
      <c r="E1469" s="11">
        <f ca="1">IFERROR(__xludf.DUMMYFUNCTION("GOOGLEFINANCE(A1469,""LOW"")"),152.98)</f>
        <v>152.97999999999999</v>
      </c>
      <c r="F1469" s="12" t="str">
        <f t="shared" ca="1" si="42"/>
        <v>SELL</v>
      </c>
      <c r="G1469" s="13">
        <f ca="1">IFERROR(__xludf.DUMMYFUNCTION("GOOGLEFINANCE(A1469,""CLOSEYEST"")"),154.76)</f>
        <v>154.76</v>
      </c>
      <c r="H1469" s="14" t="str">
        <f t="shared" ca="1" si="48"/>
        <v>GAP UP</v>
      </c>
      <c r="I1469" s="15">
        <f t="shared" ca="1" si="43"/>
        <v>155.45666666666668</v>
      </c>
      <c r="J1469" s="16">
        <f t="shared" ca="1" si="44"/>
        <v>157.93333333333337</v>
      </c>
      <c r="K1469" s="16"/>
      <c r="L1469" s="16">
        <f t="shared" ca="1" si="45"/>
        <v>152.28333333333336</v>
      </c>
      <c r="M1469" s="16">
        <f t="shared" ca="1" si="46"/>
        <v>161.10666666666668</v>
      </c>
      <c r="N1469" s="16">
        <f t="shared" ca="1" si="47"/>
        <v>149.80666666666667</v>
      </c>
    </row>
    <row r="1470" spans="1:14" ht="24.75" customHeight="1" x14ac:dyDescent="0.8">
      <c r="A1470" s="18" t="s">
        <v>1433</v>
      </c>
      <c r="B1470" s="10" t="str">
        <f ca="1">IFERROR(__xludf.DUMMYFUNCTION("GOOGLEFINANCE(A1470,""PRICE"")"),"#N/A")</f>
        <v>#N/A</v>
      </c>
      <c r="C1470" s="11" t="str">
        <f ca="1">IFERROR(__xludf.DUMMYFUNCTION("GOOGLEFINANCE(A1470,""PRICEOPEN"")"),"#N/A")</f>
        <v>#N/A</v>
      </c>
      <c r="D1470" s="11" t="str">
        <f ca="1">IFERROR(__xludf.DUMMYFUNCTION("GOOGLEFINANCE(A1470,""HIGH"")"),"#N/A")</f>
        <v>#N/A</v>
      </c>
      <c r="E1470" s="11" t="str">
        <f ca="1">IFERROR(__xludf.DUMMYFUNCTION("GOOGLEFINANCE(A1470,""LOW"")"),"#N/A")</f>
        <v>#N/A</v>
      </c>
      <c r="F1470" s="12" t="str">
        <f t="shared" ca="1" si="42"/>
        <v>SELL</v>
      </c>
      <c r="G1470" s="13" t="str">
        <f ca="1">IFERROR(__xludf.DUMMYFUNCTION("GOOGLEFINANCE(A1470,""CLOSEYEST"")"),"#N/A")</f>
        <v>#N/A</v>
      </c>
      <c r="H1470" s="14" t="e">
        <f t="shared" ca="1" si="48"/>
        <v>#VALUE!</v>
      </c>
      <c r="I1470" s="15" t="e">
        <f t="shared" ca="1" si="43"/>
        <v>#VALUE!</v>
      </c>
      <c r="J1470" s="16" t="e">
        <f t="shared" ca="1" si="44"/>
        <v>#VALUE!</v>
      </c>
      <c r="K1470" s="16"/>
      <c r="L1470" s="16" t="e">
        <f t="shared" ca="1" si="45"/>
        <v>#VALUE!</v>
      </c>
      <c r="M1470" s="16" t="e">
        <f t="shared" ca="1" si="46"/>
        <v>#VALUE!</v>
      </c>
      <c r="N1470" s="16" t="e">
        <f t="shared" ca="1" si="47"/>
        <v>#VALUE!</v>
      </c>
    </row>
    <row r="1471" spans="1:14" ht="24.75" customHeight="1" x14ac:dyDescent="0.8">
      <c r="A1471" s="18" t="s">
        <v>1434</v>
      </c>
      <c r="B1471" s="10">
        <f ca="1">IFERROR(__xludf.DUMMYFUNCTION("GOOGLEFINANCE(A1471,""PRICE"")"),0.84)</f>
        <v>0.84</v>
      </c>
      <c r="C1471" s="11" t="str">
        <f ca="1">IFERROR(__xludf.DUMMYFUNCTION("GOOGLEFINANCE(A1471,""PRICEOPEN"")"),"#N/A")</f>
        <v>#N/A</v>
      </c>
      <c r="D1471" s="11" t="str">
        <f ca="1">IFERROR(__xludf.DUMMYFUNCTION("GOOGLEFINANCE(A1471,""HIGH"")"),"#N/A")</f>
        <v>#N/A</v>
      </c>
      <c r="E1471" s="11" t="str">
        <f ca="1">IFERROR(__xludf.DUMMYFUNCTION("GOOGLEFINANCE(A1471,""LOW"")"),"#N/A")</f>
        <v>#N/A</v>
      </c>
      <c r="F1471" s="12" t="str">
        <f t="shared" ca="1" si="42"/>
        <v>SELL</v>
      </c>
      <c r="G1471" s="13">
        <f ca="1">IFERROR(__xludf.DUMMYFUNCTION("GOOGLEFINANCE(A1471,""CLOSEYEST"")"),0.84)</f>
        <v>0.84</v>
      </c>
      <c r="H1471" s="14" t="str">
        <f t="shared" ca="1" si="48"/>
        <v>GAP UP</v>
      </c>
      <c r="I1471" s="15" t="e">
        <f t="shared" ca="1" si="43"/>
        <v>#VALUE!</v>
      </c>
      <c r="J1471" s="16" t="e">
        <f t="shared" ca="1" si="44"/>
        <v>#VALUE!</v>
      </c>
      <c r="K1471" s="16"/>
      <c r="L1471" s="16" t="e">
        <f t="shared" ca="1" si="45"/>
        <v>#VALUE!</v>
      </c>
      <c r="M1471" s="16" t="e">
        <f t="shared" ca="1" si="46"/>
        <v>#VALUE!</v>
      </c>
      <c r="N1471" s="16" t="e">
        <f t="shared" ca="1" si="47"/>
        <v>#VALUE!</v>
      </c>
    </row>
    <row r="1472" spans="1:14" ht="24.75" customHeight="1" x14ac:dyDescent="0.8">
      <c r="A1472" s="18" t="s">
        <v>1435</v>
      </c>
      <c r="B1472" s="10">
        <f ca="1">IFERROR(__xludf.DUMMYFUNCTION("GOOGLEFINANCE(A1472,""PRICE"")"),115.7)</f>
        <v>115.7</v>
      </c>
      <c r="C1472" s="11">
        <f ca="1">IFERROR(__xludf.DUMMYFUNCTION("GOOGLEFINANCE(A1472,""PRICEOPEN"")"),115.96)</f>
        <v>115.96</v>
      </c>
      <c r="D1472" s="11">
        <f ca="1">IFERROR(__xludf.DUMMYFUNCTION("GOOGLEFINANCE(A1472,""HIGH"")"),117.27)</f>
        <v>117.27</v>
      </c>
      <c r="E1472" s="11">
        <f ca="1">IFERROR(__xludf.DUMMYFUNCTION("GOOGLEFINANCE(A1472,""LOW"")"),113.99)</f>
        <v>113.99</v>
      </c>
      <c r="F1472" s="12" t="str">
        <f t="shared" ca="1" si="42"/>
        <v/>
      </c>
      <c r="G1472" s="13">
        <f ca="1">IFERROR(__xludf.DUMMYFUNCTION("GOOGLEFINANCE(A1472,""CLOSEYEST"")"),115.15)</f>
        <v>115.15</v>
      </c>
      <c r="H1472" s="14" t="str">
        <f t="shared" ca="1" si="48"/>
        <v/>
      </c>
      <c r="I1472" s="15">
        <f t="shared" ca="1" si="43"/>
        <v>115.46999999999998</v>
      </c>
      <c r="J1472" s="16">
        <f t="shared" ca="1" si="44"/>
        <v>116.94999999999997</v>
      </c>
      <c r="K1472" s="16"/>
      <c r="L1472" s="16">
        <f t="shared" ca="1" si="45"/>
        <v>113.66999999999997</v>
      </c>
      <c r="M1472" s="16">
        <f t="shared" ca="1" si="46"/>
        <v>118.74999999999999</v>
      </c>
      <c r="N1472" s="16">
        <f t="shared" ca="1" si="47"/>
        <v>112.18999999999998</v>
      </c>
    </row>
    <row r="1473" spans="1:14" ht="24.75" customHeight="1" x14ac:dyDescent="0.8">
      <c r="A1473" s="18" t="s">
        <v>1436</v>
      </c>
      <c r="B1473" s="10">
        <f ca="1">IFERROR(__xludf.DUMMYFUNCTION("GOOGLEFINANCE(A1473,""PRICE"")"),259.4)</f>
        <v>259.39999999999998</v>
      </c>
      <c r="C1473" s="11">
        <f ca="1">IFERROR(__xludf.DUMMYFUNCTION("GOOGLEFINANCE(A1473,""PRICEOPEN"")"),262)</f>
        <v>262</v>
      </c>
      <c r="D1473" s="11">
        <f ca="1">IFERROR(__xludf.DUMMYFUNCTION("GOOGLEFINANCE(A1473,""HIGH"")"),268)</f>
        <v>268</v>
      </c>
      <c r="E1473" s="11">
        <f ca="1">IFERROR(__xludf.DUMMYFUNCTION("GOOGLEFINANCE(A1473,""LOW"")"),259.05)</f>
        <v>259.05</v>
      </c>
      <c r="F1473" s="12" t="str">
        <f t="shared" ca="1" si="42"/>
        <v/>
      </c>
      <c r="G1473" s="13">
        <f ca="1">IFERROR(__xludf.DUMMYFUNCTION("GOOGLEFINANCE(A1473,""CLOSEYEST"")"),259.85)</f>
        <v>259.85000000000002</v>
      </c>
      <c r="H1473" s="14" t="str">
        <f t="shared" ca="1" si="48"/>
        <v/>
      </c>
      <c r="I1473" s="15">
        <f t="shared" ca="1" si="43"/>
        <v>262.3</v>
      </c>
      <c r="J1473" s="16">
        <f t="shared" ca="1" si="44"/>
        <v>265.55</v>
      </c>
      <c r="K1473" s="16"/>
      <c r="L1473" s="16">
        <f t="shared" ca="1" si="45"/>
        <v>256.60000000000002</v>
      </c>
      <c r="M1473" s="16">
        <f t="shared" ca="1" si="46"/>
        <v>271.25</v>
      </c>
      <c r="N1473" s="16">
        <f t="shared" ca="1" si="47"/>
        <v>253.35000000000002</v>
      </c>
    </row>
    <row r="1474" spans="1:14" ht="24.75" customHeight="1" x14ac:dyDescent="0.8">
      <c r="A1474" s="18" t="s">
        <v>1437</v>
      </c>
      <c r="B1474" s="10">
        <f ca="1">IFERROR(__xludf.DUMMYFUNCTION("GOOGLEFINANCE(A1474,""PRICE"")"),30.3)</f>
        <v>30.3</v>
      </c>
      <c r="C1474" s="11">
        <f ca="1">IFERROR(__xludf.DUMMYFUNCTION("GOOGLEFINANCE(A1474,""PRICEOPEN"")"),30.85)</f>
        <v>30.85</v>
      </c>
      <c r="D1474" s="11">
        <f ca="1">IFERROR(__xludf.DUMMYFUNCTION("GOOGLEFINANCE(A1474,""HIGH"")"),32)</f>
        <v>32</v>
      </c>
      <c r="E1474" s="11">
        <f ca="1">IFERROR(__xludf.DUMMYFUNCTION("GOOGLEFINANCE(A1474,""LOW"")"),29.97)</f>
        <v>29.97</v>
      </c>
      <c r="F1474" s="12" t="str">
        <f t="shared" ca="1" si="42"/>
        <v/>
      </c>
      <c r="G1474" s="13">
        <f ca="1">IFERROR(__xludf.DUMMYFUNCTION("GOOGLEFINANCE(A1474,""CLOSEYEST"")"),31.55)</f>
        <v>31.55</v>
      </c>
      <c r="H1474" s="14" t="str">
        <f t="shared" ca="1" si="48"/>
        <v>GAP DOWN</v>
      </c>
      <c r="I1474" s="15">
        <f t="shared" ca="1" si="43"/>
        <v>31.173333333333332</v>
      </c>
      <c r="J1474" s="16">
        <f t="shared" ca="1" si="44"/>
        <v>32.376666666666665</v>
      </c>
      <c r="K1474" s="16"/>
      <c r="L1474" s="16">
        <f t="shared" ca="1" si="45"/>
        <v>30.346666666666664</v>
      </c>
      <c r="M1474" s="16">
        <f t="shared" ca="1" si="46"/>
        <v>33.203333333333333</v>
      </c>
      <c r="N1474" s="16">
        <f t="shared" ca="1" si="47"/>
        <v>29.143333333333331</v>
      </c>
    </row>
    <row r="1475" spans="1:14" ht="24.75" customHeight="1" x14ac:dyDescent="0.8">
      <c r="A1475" s="18" t="s">
        <v>1438</v>
      </c>
      <c r="B1475" s="10" t="str">
        <f ca="1">IFERROR(__xludf.DUMMYFUNCTION("GOOGLEFINANCE(A1475,""PRICE"")"),"#N/A")</f>
        <v>#N/A</v>
      </c>
      <c r="C1475" s="11" t="str">
        <f ca="1">IFERROR(__xludf.DUMMYFUNCTION("GOOGLEFINANCE(A1475,""PRICEOPEN"")"),"#N/A")</f>
        <v>#N/A</v>
      </c>
      <c r="D1475" s="11" t="str">
        <f ca="1">IFERROR(__xludf.DUMMYFUNCTION("GOOGLEFINANCE(A1475,""HIGH"")"),"#N/A")</f>
        <v>#N/A</v>
      </c>
      <c r="E1475" s="11" t="str">
        <f ca="1">IFERROR(__xludf.DUMMYFUNCTION("GOOGLEFINANCE(A1475,""LOW"")"),"#N/A")</f>
        <v>#N/A</v>
      </c>
      <c r="F1475" s="12" t="str">
        <f t="shared" ca="1" si="42"/>
        <v>SELL</v>
      </c>
      <c r="G1475" s="13" t="str">
        <f ca="1">IFERROR(__xludf.DUMMYFUNCTION("GOOGLEFINANCE(A1475,""CLOSEYEST"")"),"#N/A")</f>
        <v>#N/A</v>
      </c>
      <c r="H1475" s="14" t="e">
        <f t="shared" ca="1" si="48"/>
        <v>#VALUE!</v>
      </c>
      <c r="I1475" s="15" t="e">
        <f t="shared" ca="1" si="43"/>
        <v>#VALUE!</v>
      </c>
      <c r="J1475" s="16" t="e">
        <f t="shared" ca="1" si="44"/>
        <v>#VALUE!</v>
      </c>
      <c r="K1475" s="16"/>
      <c r="L1475" s="16" t="e">
        <f t="shared" ca="1" si="45"/>
        <v>#VALUE!</v>
      </c>
      <c r="M1475" s="16" t="e">
        <f t="shared" ca="1" si="46"/>
        <v>#VALUE!</v>
      </c>
      <c r="N1475" s="16" t="e">
        <f t="shared" ca="1" si="47"/>
        <v>#VALUE!</v>
      </c>
    </row>
    <row r="1476" spans="1:14" ht="24.75" customHeight="1" x14ac:dyDescent="0.8">
      <c r="A1476" s="18" t="s">
        <v>1439</v>
      </c>
      <c r="B1476" s="10">
        <f ca="1">IFERROR(__xludf.DUMMYFUNCTION("GOOGLEFINANCE(A1476,""PRICE"")"),133.2)</f>
        <v>133.19999999999999</v>
      </c>
      <c r="C1476" s="11">
        <f ca="1">IFERROR(__xludf.DUMMYFUNCTION("GOOGLEFINANCE(A1476,""PRICEOPEN"")"),130.8)</f>
        <v>130.80000000000001</v>
      </c>
      <c r="D1476" s="11">
        <f ca="1">IFERROR(__xludf.DUMMYFUNCTION("GOOGLEFINANCE(A1476,""HIGH"")"),137.2)</f>
        <v>137.19999999999999</v>
      </c>
      <c r="E1476" s="11">
        <f ca="1">IFERROR(__xludf.DUMMYFUNCTION("GOOGLEFINANCE(A1476,""LOW"")"),126)</f>
        <v>126</v>
      </c>
      <c r="F1476" s="12" t="str">
        <f t="shared" ca="1" si="42"/>
        <v/>
      </c>
      <c r="G1476" s="13">
        <f ca="1">IFERROR(__xludf.DUMMYFUNCTION("GOOGLEFINANCE(A1476,""CLOSEYEST"")"),132.41)</f>
        <v>132.41</v>
      </c>
      <c r="H1476" s="14" t="str">
        <f t="shared" ca="1" si="48"/>
        <v>GAP DOWN</v>
      </c>
      <c r="I1476" s="15">
        <f t="shared" ca="1" si="43"/>
        <v>131.87</v>
      </c>
      <c r="J1476" s="16">
        <f t="shared" ca="1" si="44"/>
        <v>137.74</v>
      </c>
      <c r="K1476" s="16"/>
      <c r="L1476" s="16">
        <f t="shared" ca="1" si="45"/>
        <v>126.54000000000002</v>
      </c>
      <c r="M1476" s="16">
        <f t="shared" ca="1" si="46"/>
        <v>143.07</v>
      </c>
      <c r="N1476" s="16">
        <f t="shared" ca="1" si="47"/>
        <v>120.67000000000002</v>
      </c>
    </row>
    <row r="1477" spans="1:14" ht="24.75" customHeight="1" x14ac:dyDescent="0.8">
      <c r="A1477" s="18" t="s">
        <v>1440</v>
      </c>
      <c r="B1477" s="10">
        <f ca="1">IFERROR(__xludf.DUMMYFUNCTION("GOOGLEFINANCE(A1477,""PRICE"")"),1.93)</f>
        <v>1.93</v>
      </c>
      <c r="C1477" s="11">
        <f ca="1">IFERROR(__xludf.DUMMYFUNCTION("GOOGLEFINANCE(A1477,""PRICEOPEN"")"),1.93)</f>
        <v>1.93</v>
      </c>
      <c r="D1477" s="11">
        <f ca="1">IFERROR(__xludf.DUMMYFUNCTION("GOOGLEFINANCE(A1477,""HIGH"")"),1.97)</f>
        <v>1.97</v>
      </c>
      <c r="E1477" s="11">
        <f ca="1">IFERROR(__xludf.DUMMYFUNCTION("GOOGLEFINANCE(A1477,""LOW"")"),1.91)</f>
        <v>1.91</v>
      </c>
      <c r="F1477" s="12" t="str">
        <f t="shared" ca="1" si="42"/>
        <v/>
      </c>
      <c r="G1477" s="13">
        <f ca="1">IFERROR(__xludf.DUMMYFUNCTION("GOOGLEFINANCE(A1477,""CLOSEYEST"")"),1.93)</f>
        <v>1.93</v>
      </c>
      <c r="H1477" s="14" t="str">
        <f t="shared" ca="1" si="48"/>
        <v/>
      </c>
      <c r="I1477" s="15">
        <f t="shared" ca="1" si="43"/>
        <v>1.9366666666666665</v>
      </c>
      <c r="J1477" s="16">
        <f t="shared" ca="1" si="44"/>
        <v>1.9633333333333332</v>
      </c>
      <c r="K1477" s="16"/>
      <c r="L1477" s="16">
        <f t="shared" ca="1" si="45"/>
        <v>1.9033333333333331</v>
      </c>
      <c r="M1477" s="16">
        <f t="shared" ca="1" si="46"/>
        <v>1.9966666666666666</v>
      </c>
      <c r="N1477" s="16">
        <f t="shared" ca="1" si="47"/>
        <v>1.8766666666666665</v>
      </c>
    </row>
    <row r="1478" spans="1:14" ht="24.75" customHeight="1" x14ac:dyDescent="0.8">
      <c r="A1478" s="18" t="s">
        <v>1441</v>
      </c>
      <c r="B1478" s="10">
        <f ca="1">IFERROR(__xludf.DUMMYFUNCTION("GOOGLEFINANCE(A1478,""PRICE"")"),1125.8)</f>
        <v>1125.8</v>
      </c>
      <c r="C1478" s="11">
        <f ca="1">IFERROR(__xludf.DUMMYFUNCTION("GOOGLEFINANCE(A1478,""PRICEOPEN"")"),1085)</f>
        <v>1085</v>
      </c>
      <c r="D1478" s="11">
        <f ca="1">IFERROR(__xludf.DUMMYFUNCTION("GOOGLEFINANCE(A1478,""HIGH"")"),1125.8)</f>
        <v>1125.8</v>
      </c>
      <c r="E1478" s="11">
        <f ca="1">IFERROR(__xludf.DUMMYFUNCTION("GOOGLEFINANCE(A1478,""LOW"")"),1075.2)</f>
        <v>1075.2</v>
      </c>
      <c r="F1478" s="12" t="str">
        <f t="shared" ca="1" si="42"/>
        <v/>
      </c>
      <c r="G1478" s="13">
        <f ca="1">IFERROR(__xludf.DUMMYFUNCTION("GOOGLEFINANCE(A1478,""CLOSEYEST"")"),1072.2)</f>
        <v>1072.2</v>
      </c>
      <c r="H1478" s="14" t="str">
        <f t="shared" ca="1" si="48"/>
        <v>GAP UP</v>
      </c>
      <c r="I1478" s="15">
        <f t="shared" ca="1" si="43"/>
        <v>1091.0666666666666</v>
      </c>
      <c r="J1478" s="16">
        <f t="shared" ca="1" si="44"/>
        <v>1106.9333333333332</v>
      </c>
      <c r="K1478" s="16"/>
      <c r="L1478" s="16">
        <f t="shared" ca="1" si="45"/>
        <v>1056.3333333333333</v>
      </c>
      <c r="M1478" s="16">
        <f t="shared" ca="1" si="46"/>
        <v>1141.6666666666665</v>
      </c>
      <c r="N1478" s="16">
        <f t="shared" ca="1" si="47"/>
        <v>1040.4666666666667</v>
      </c>
    </row>
    <row r="1479" spans="1:14" ht="24.75" customHeight="1" x14ac:dyDescent="0.8">
      <c r="A1479" s="18" t="s">
        <v>1442</v>
      </c>
      <c r="B1479" s="10">
        <f ca="1">IFERROR(__xludf.DUMMYFUNCTION("GOOGLEFINANCE(A1479,""PRICE"")"),60.69)</f>
        <v>60.69</v>
      </c>
      <c r="C1479" s="11">
        <f ca="1">IFERROR(__xludf.DUMMYFUNCTION("GOOGLEFINANCE(A1479,""PRICEOPEN"")"),60)</f>
        <v>60</v>
      </c>
      <c r="D1479" s="11">
        <f ca="1">IFERROR(__xludf.DUMMYFUNCTION("GOOGLEFINANCE(A1479,""HIGH"")"),61.68)</f>
        <v>61.68</v>
      </c>
      <c r="E1479" s="11">
        <f ca="1">IFERROR(__xludf.DUMMYFUNCTION("GOOGLEFINANCE(A1479,""LOW"")"),59.75)</f>
        <v>59.75</v>
      </c>
      <c r="F1479" s="12" t="str">
        <f t="shared" ca="1" si="42"/>
        <v/>
      </c>
      <c r="G1479" s="13">
        <f ca="1">IFERROR(__xludf.DUMMYFUNCTION("GOOGLEFINANCE(A1479,""CLOSEYEST"")"),60.63)</f>
        <v>60.63</v>
      </c>
      <c r="H1479" s="14" t="str">
        <f t="shared" ca="1" si="48"/>
        <v>GAP DOWN</v>
      </c>
      <c r="I1479" s="15">
        <f t="shared" ca="1" si="43"/>
        <v>60.686666666666667</v>
      </c>
      <c r="J1479" s="16">
        <f t="shared" ca="1" si="44"/>
        <v>61.623333333333335</v>
      </c>
      <c r="K1479" s="16"/>
      <c r="L1479" s="16">
        <f t="shared" ca="1" si="45"/>
        <v>59.693333333333335</v>
      </c>
      <c r="M1479" s="16">
        <f t="shared" ca="1" si="46"/>
        <v>62.616666666666667</v>
      </c>
      <c r="N1479" s="16">
        <f t="shared" ca="1" si="47"/>
        <v>58.756666666666668</v>
      </c>
    </row>
    <row r="1480" spans="1:14" ht="24.75" customHeight="1" x14ac:dyDescent="0.8">
      <c r="A1480" s="18" t="s">
        <v>1443</v>
      </c>
      <c r="B1480" s="10">
        <f ca="1">IFERROR(__xludf.DUMMYFUNCTION("GOOGLEFINANCE(A1480,""PRICE"")"),16.8)</f>
        <v>16.8</v>
      </c>
      <c r="C1480" s="11">
        <f ca="1">IFERROR(__xludf.DUMMYFUNCTION("GOOGLEFINANCE(A1480,""PRICEOPEN"")"),16.9)</f>
        <v>16.899999999999999</v>
      </c>
      <c r="D1480" s="11">
        <f ca="1">IFERROR(__xludf.DUMMYFUNCTION("GOOGLEFINANCE(A1480,""HIGH"")"),16.9)</f>
        <v>16.899999999999999</v>
      </c>
      <c r="E1480" s="11">
        <f ca="1">IFERROR(__xludf.DUMMYFUNCTION("GOOGLEFINANCE(A1480,""LOW"")"),16.11)</f>
        <v>16.11</v>
      </c>
      <c r="F1480" s="12" t="str">
        <f t="shared" ca="1" si="42"/>
        <v>SELL</v>
      </c>
      <c r="G1480" s="13">
        <f ca="1">IFERROR(__xludf.DUMMYFUNCTION("GOOGLEFINANCE(A1480,""CLOSEYEST"")"),16.1)</f>
        <v>16.100000000000001</v>
      </c>
      <c r="H1480" s="14" t="str">
        <f t="shared" ca="1" si="48"/>
        <v>GAP UP</v>
      </c>
      <c r="I1480" s="15">
        <f t="shared" ca="1" si="43"/>
        <v>16.37</v>
      </c>
      <c r="J1480" s="16">
        <f t="shared" ca="1" si="44"/>
        <v>16.630000000000003</v>
      </c>
      <c r="K1480" s="16"/>
      <c r="L1480" s="16">
        <f t="shared" ca="1" si="45"/>
        <v>15.840000000000003</v>
      </c>
      <c r="M1480" s="16">
        <f t="shared" ca="1" si="46"/>
        <v>17.16</v>
      </c>
      <c r="N1480" s="16">
        <f t="shared" ca="1" si="47"/>
        <v>15.580000000000002</v>
      </c>
    </row>
    <row r="1481" spans="1:14" ht="24.75" customHeight="1" x14ac:dyDescent="0.8">
      <c r="A1481" s="18" t="s">
        <v>1444</v>
      </c>
      <c r="B1481" s="10">
        <f ca="1">IFERROR(__xludf.DUMMYFUNCTION("GOOGLEFINANCE(A1481,""PRICE"")"),84.45)</f>
        <v>84.45</v>
      </c>
      <c r="C1481" s="11">
        <f ca="1">IFERROR(__xludf.DUMMYFUNCTION("GOOGLEFINANCE(A1481,""PRICEOPEN"")"),84.89)</f>
        <v>84.89</v>
      </c>
      <c r="D1481" s="11">
        <f ca="1">IFERROR(__xludf.DUMMYFUNCTION("GOOGLEFINANCE(A1481,""HIGH"")"),84.89)</f>
        <v>84.89</v>
      </c>
      <c r="E1481" s="11">
        <f ca="1">IFERROR(__xludf.DUMMYFUNCTION("GOOGLEFINANCE(A1481,""LOW"")"),83)</f>
        <v>83</v>
      </c>
      <c r="F1481" s="12" t="str">
        <f t="shared" ca="1" si="42"/>
        <v>SELL</v>
      </c>
      <c r="G1481" s="13">
        <f ca="1">IFERROR(__xludf.DUMMYFUNCTION("GOOGLEFINANCE(A1481,""CLOSEYEST"")"),83.67)</f>
        <v>83.67</v>
      </c>
      <c r="H1481" s="14" t="str">
        <f t="shared" ca="1" si="48"/>
        <v>GAP UP</v>
      </c>
      <c r="I1481" s="15">
        <f t="shared" ca="1" si="43"/>
        <v>83.853333333333339</v>
      </c>
      <c r="J1481" s="16">
        <f t="shared" ca="1" si="44"/>
        <v>84.706666666666678</v>
      </c>
      <c r="K1481" s="16"/>
      <c r="L1481" s="16">
        <f t="shared" ca="1" si="45"/>
        <v>82.816666666666677</v>
      </c>
      <c r="M1481" s="16">
        <f t="shared" ca="1" si="46"/>
        <v>85.743333333333339</v>
      </c>
      <c r="N1481" s="16">
        <f t="shared" ca="1" si="47"/>
        <v>81.963333333333338</v>
      </c>
    </row>
    <row r="1482" spans="1:14" ht="24.75" customHeight="1" x14ac:dyDescent="0.8">
      <c r="A1482" s="18" t="s">
        <v>1445</v>
      </c>
      <c r="B1482" s="10">
        <f ca="1">IFERROR(__xludf.DUMMYFUNCTION("GOOGLEFINANCE(A1482,""PRICE"")"),88.3)</f>
        <v>88.3</v>
      </c>
      <c r="C1482" s="11">
        <f ca="1">IFERROR(__xludf.DUMMYFUNCTION("GOOGLEFINANCE(A1482,""PRICEOPEN"")"),88.05)</f>
        <v>88.05</v>
      </c>
      <c r="D1482" s="11">
        <f ca="1">IFERROR(__xludf.DUMMYFUNCTION("GOOGLEFINANCE(A1482,""HIGH"")"),90.67)</f>
        <v>90.67</v>
      </c>
      <c r="E1482" s="11">
        <f ca="1">IFERROR(__xludf.DUMMYFUNCTION("GOOGLEFINANCE(A1482,""LOW"")"),87.44)</f>
        <v>87.44</v>
      </c>
      <c r="F1482" s="12" t="str">
        <f t="shared" ca="1" si="42"/>
        <v/>
      </c>
      <c r="G1482" s="13">
        <f ca="1">IFERROR(__xludf.DUMMYFUNCTION("GOOGLEFINANCE(A1482,""CLOSEYEST"")"),88.84)</f>
        <v>88.84</v>
      </c>
      <c r="H1482" s="14" t="str">
        <f t="shared" ca="1" si="48"/>
        <v/>
      </c>
      <c r="I1482" s="15">
        <f t="shared" ca="1" si="43"/>
        <v>88.983333333333348</v>
      </c>
      <c r="J1482" s="16">
        <f t="shared" ca="1" si="44"/>
        <v>90.526666666666699</v>
      </c>
      <c r="K1482" s="16"/>
      <c r="L1482" s="16">
        <f t="shared" ca="1" si="45"/>
        <v>87.296666666666695</v>
      </c>
      <c r="M1482" s="16">
        <f t="shared" ca="1" si="46"/>
        <v>92.213333333333352</v>
      </c>
      <c r="N1482" s="16">
        <f t="shared" ca="1" si="47"/>
        <v>85.753333333333345</v>
      </c>
    </row>
    <row r="1483" spans="1:14" ht="24.75" customHeight="1" x14ac:dyDescent="0.8">
      <c r="A1483" s="18" t="s">
        <v>1446</v>
      </c>
      <c r="B1483" s="10">
        <f ca="1">IFERROR(__xludf.DUMMYFUNCTION("GOOGLEFINANCE(A1483,""PRICE"")"),377.9)</f>
        <v>377.9</v>
      </c>
      <c r="C1483" s="11">
        <f ca="1">IFERROR(__xludf.DUMMYFUNCTION("GOOGLEFINANCE(A1483,""PRICEOPEN"")"),349.9)</f>
        <v>349.9</v>
      </c>
      <c r="D1483" s="11">
        <f ca="1">IFERROR(__xludf.DUMMYFUNCTION("GOOGLEFINANCE(A1483,""HIGH"")"),404.9)</f>
        <v>404.9</v>
      </c>
      <c r="E1483" s="11">
        <f ca="1">IFERROR(__xludf.DUMMYFUNCTION("GOOGLEFINANCE(A1483,""LOW"")"),349.9)</f>
        <v>349.9</v>
      </c>
      <c r="F1483" s="12" t="str">
        <f t="shared" ca="1" si="42"/>
        <v>BUY</v>
      </c>
      <c r="G1483" s="13">
        <f ca="1">IFERROR(__xludf.DUMMYFUNCTION("GOOGLEFINANCE(A1483,""CLOSEYEST"")"),347.45)</f>
        <v>347.45</v>
      </c>
      <c r="H1483" s="14" t="str">
        <f t="shared" ca="1" si="48"/>
        <v/>
      </c>
      <c r="I1483" s="15">
        <f t="shared" ca="1" si="43"/>
        <v>367.41666666666669</v>
      </c>
      <c r="J1483" s="16">
        <f t="shared" ca="1" si="44"/>
        <v>384.93333333333339</v>
      </c>
      <c r="K1483" s="16"/>
      <c r="L1483" s="16">
        <f t="shared" ca="1" si="45"/>
        <v>329.93333333333339</v>
      </c>
      <c r="M1483" s="16">
        <f t="shared" ca="1" si="46"/>
        <v>422.41666666666669</v>
      </c>
      <c r="N1483" s="16">
        <f t="shared" ca="1" si="47"/>
        <v>312.41666666666669</v>
      </c>
    </row>
    <row r="1484" spans="1:14" ht="24.75" customHeight="1" x14ac:dyDescent="0.8">
      <c r="A1484" s="18" t="s">
        <v>1447</v>
      </c>
      <c r="B1484" s="10">
        <f ca="1">IFERROR(__xludf.DUMMYFUNCTION("GOOGLEFINANCE(A1484,""PRICE"")"),5.34)</f>
        <v>5.34</v>
      </c>
      <c r="C1484" s="11">
        <f ca="1">IFERROR(__xludf.DUMMYFUNCTION("GOOGLEFINANCE(A1484,""PRICEOPEN"")"),5.18)</f>
        <v>5.18</v>
      </c>
      <c r="D1484" s="11">
        <f ca="1">IFERROR(__xludf.DUMMYFUNCTION("GOOGLEFINANCE(A1484,""HIGH"")"),5.4)</f>
        <v>5.4</v>
      </c>
      <c r="E1484" s="11">
        <f ca="1">IFERROR(__xludf.DUMMYFUNCTION("GOOGLEFINANCE(A1484,""LOW"")"),5.18)</f>
        <v>5.18</v>
      </c>
      <c r="F1484" s="12" t="str">
        <f t="shared" ca="1" si="42"/>
        <v>BUY</v>
      </c>
      <c r="G1484" s="13">
        <f ca="1">IFERROR(__xludf.DUMMYFUNCTION("GOOGLEFINANCE(A1484,""CLOSEYEST"")"),5.26)</f>
        <v>5.26</v>
      </c>
      <c r="H1484" s="14" t="str">
        <f t="shared" ca="1" si="48"/>
        <v>GAP DOWN</v>
      </c>
      <c r="I1484" s="15">
        <f t="shared" ca="1" si="43"/>
        <v>5.28</v>
      </c>
      <c r="J1484" s="16">
        <f t="shared" ca="1" si="44"/>
        <v>5.3800000000000008</v>
      </c>
      <c r="K1484" s="16"/>
      <c r="L1484" s="16">
        <f t="shared" ca="1" si="45"/>
        <v>5.16</v>
      </c>
      <c r="M1484" s="16">
        <f t="shared" ca="1" si="46"/>
        <v>5.5000000000000009</v>
      </c>
      <c r="N1484" s="16">
        <f t="shared" ca="1" si="47"/>
        <v>5.0599999999999996</v>
      </c>
    </row>
    <row r="1485" spans="1:14" ht="24.75" customHeight="1" x14ac:dyDescent="0.8">
      <c r="A1485" s="18" t="s">
        <v>1448</v>
      </c>
      <c r="B1485" s="10">
        <f ca="1">IFERROR(__xludf.DUMMYFUNCTION("GOOGLEFINANCE(A1485,""PRICE"")"),25.66)</f>
        <v>25.66</v>
      </c>
      <c r="C1485" s="11">
        <f ca="1">IFERROR(__xludf.DUMMYFUNCTION("GOOGLEFINANCE(A1485,""PRICEOPEN"")"),25.39)</f>
        <v>25.39</v>
      </c>
      <c r="D1485" s="11">
        <f ca="1">IFERROR(__xludf.DUMMYFUNCTION("GOOGLEFINANCE(A1485,""HIGH"")"),28.38)</f>
        <v>28.38</v>
      </c>
      <c r="E1485" s="11">
        <f ca="1">IFERROR(__xludf.DUMMYFUNCTION("GOOGLEFINANCE(A1485,""LOW"")"),25.39)</f>
        <v>25.39</v>
      </c>
      <c r="F1485" s="12" t="str">
        <f t="shared" ca="1" si="42"/>
        <v>BUY</v>
      </c>
      <c r="G1485" s="13">
        <f ca="1">IFERROR(__xludf.DUMMYFUNCTION("GOOGLEFINANCE(A1485,""CLOSEYEST"")"),25.38)</f>
        <v>25.38</v>
      </c>
      <c r="H1485" s="14" t="str">
        <f t="shared" ca="1" si="48"/>
        <v/>
      </c>
      <c r="I1485" s="15">
        <f t="shared" ca="1" si="43"/>
        <v>26.383333333333329</v>
      </c>
      <c r="J1485" s="16">
        <f t="shared" ca="1" si="44"/>
        <v>27.376666666666658</v>
      </c>
      <c r="K1485" s="16"/>
      <c r="L1485" s="16">
        <f t="shared" ca="1" si="45"/>
        <v>24.38666666666666</v>
      </c>
      <c r="M1485" s="16">
        <f t="shared" ca="1" si="46"/>
        <v>29.373333333333328</v>
      </c>
      <c r="N1485" s="16">
        <f t="shared" ca="1" si="47"/>
        <v>23.393333333333331</v>
      </c>
    </row>
    <row r="1486" spans="1:14" ht="24.75" customHeight="1" x14ac:dyDescent="0.8">
      <c r="A1486" s="18" t="s">
        <v>1449</v>
      </c>
      <c r="B1486" s="10">
        <f ca="1">IFERROR(__xludf.DUMMYFUNCTION("GOOGLEFINANCE(A1486,""PRICE"")"),18.95)</f>
        <v>18.95</v>
      </c>
      <c r="C1486" s="11">
        <f ca="1">IFERROR(__xludf.DUMMYFUNCTION("GOOGLEFINANCE(A1486,""PRICEOPEN"")"),18.95)</f>
        <v>18.95</v>
      </c>
      <c r="D1486" s="11">
        <f ca="1">IFERROR(__xludf.DUMMYFUNCTION("GOOGLEFINANCE(A1486,""HIGH"")"),19.4)</f>
        <v>19.399999999999999</v>
      </c>
      <c r="E1486" s="11">
        <f ca="1">IFERROR(__xludf.DUMMYFUNCTION("GOOGLEFINANCE(A1486,""LOW"")"),18.9)</f>
        <v>18.899999999999999</v>
      </c>
      <c r="F1486" s="12" t="str">
        <f t="shared" ca="1" si="42"/>
        <v/>
      </c>
      <c r="G1486" s="13">
        <f ca="1">IFERROR(__xludf.DUMMYFUNCTION("GOOGLEFINANCE(A1486,""CLOSEYEST"")"),19.23)</f>
        <v>19.23</v>
      </c>
      <c r="H1486" s="14" t="str">
        <f t="shared" ca="1" si="48"/>
        <v>GAP DOWN</v>
      </c>
      <c r="I1486" s="15">
        <f t="shared" ca="1" si="43"/>
        <v>19.176666666666666</v>
      </c>
      <c r="J1486" s="16">
        <f t="shared" ca="1" si="44"/>
        <v>19.453333333333333</v>
      </c>
      <c r="K1486" s="16"/>
      <c r="L1486" s="16">
        <f t="shared" ca="1" si="45"/>
        <v>18.953333333333333</v>
      </c>
      <c r="M1486" s="16">
        <f t="shared" ca="1" si="46"/>
        <v>19.676666666666666</v>
      </c>
      <c r="N1486" s="16">
        <f t="shared" ca="1" si="47"/>
        <v>18.676666666666666</v>
      </c>
    </row>
    <row r="1487" spans="1:14" ht="24.75" customHeight="1" x14ac:dyDescent="0.8">
      <c r="A1487" s="18" t="s">
        <v>1450</v>
      </c>
      <c r="B1487" s="10">
        <f ca="1">IFERROR(__xludf.DUMMYFUNCTION("GOOGLEFINANCE(A1487,""PRICE"")"),17.13)</f>
        <v>17.13</v>
      </c>
      <c r="C1487" s="11">
        <f ca="1">IFERROR(__xludf.DUMMYFUNCTION("GOOGLEFINANCE(A1487,""PRICEOPEN"")"),17.39)</f>
        <v>17.39</v>
      </c>
      <c r="D1487" s="11">
        <f ca="1">IFERROR(__xludf.DUMMYFUNCTION("GOOGLEFINANCE(A1487,""HIGH"")"),17.4)</f>
        <v>17.399999999999999</v>
      </c>
      <c r="E1487" s="11">
        <f ca="1">IFERROR(__xludf.DUMMYFUNCTION("GOOGLEFINANCE(A1487,""LOW"")"),16.95)</f>
        <v>16.95</v>
      </c>
      <c r="F1487" s="12" t="str">
        <f t="shared" ca="1" si="42"/>
        <v/>
      </c>
      <c r="G1487" s="13">
        <f ca="1">IFERROR(__xludf.DUMMYFUNCTION("GOOGLEFINANCE(A1487,""CLOSEYEST"")"),17.13)</f>
        <v>17.13</v>
      </c>
      <c r="H1487" s="14" t="str">
        <f t="shared" ca="1" si="48"/>
        <v>GAP UP</v>
      </c>
      <c r="I1487" s="15">
        <f t="shared" ca="1" si="43"/>
        <v>17.159999999999997</v>
      </c>
      <c r="J1487" s="16">
        <f t="shared" ca="1" si="44"/>
        <v>17.369999999999994</v>
      </c>
      <c r="K1487" s="16"/>
      <c r="L1487" s="16">
        <f t="shared" ca="1" si="45"/>
        <v>16.919999999999995</v>
      </c>
      <c r="M1487" s="16">
        <f t="shared" ca="1" si="46"/>
        <v>17.609999999999996</v>
      </c>
      <c r="N1487" s="16">
        <f t="shared" ca="1" si="47"/>
        <v>16.709999999999997</v>
      </c>
    </row>
    <row r="1488" spans="1:14" ht="24.75" customHeight="1" x14ac:dyDescent="0.8">
      <c r="A1488" s="18" t="s">
        <v>1451</v>
      </c>
      <c r="B1488" s="10">
        <f ca="1">IFERROR(__xludf.DUMMYFUNCTION("GOOGLEFINANCE(A1488,""PRICE"")"),16.45)</f>
        <v>16.45</v>
      </c>
      <c r="C1488" s="11">
        <f ca="1">IFERROR(__xludf.DUMMYFUNCTION("GOOGLEFINANCE(A1488,""PRICEOPEN"")"),16.95)</f>
        <v>16.95</v>
      </c>
      <c r="D1488" s="11">
        <f ca="1">IFERROR(__xludf.DUMMYFUNCTION("GOOGLEFINANCE(A1488,""HIGH"")"),16.97)</f>
        <v>16.97</v>
      </c>
      <c r="E1488" s="11">
        <f ca="1">IFERROR(__xludf.DUMMYFUNCTION("GOOGLEFINANCE(A1488,""LOW"")"),16.39)</f>
        <v>16.39</v>
      </c>
      <c r="F1488" s="12" t="str">
        <f t="shared" ca="1" si="42"/>
        <v/>
      </c>
      <c r="G1488" s="13">
        <f ca="1">IFERROR(__xludf.DUMMYFUNCTION("GOOGLEFINANCE(A1488,""CLOSEYEST"")"),16.97)</f>
        <v>16.97</v>
      </c>
      <c r="H1488" s="14" t="str">
        <f t="shared" ca="1" si="48"/>
        <v/>
      </c>
      <c r="I1488" s="15">
        <f t="shared" ca="1" si="43"/>
        <v>16.776666666666667</v>
      </c>
      <c r="J1488" s="16">
        <f t="shared" ca="1" si="44"/>
        <v>17.163333333333334</v>
      </c>
      <c r="K1488" s="16"/>
      <c r="L1488" s="16">
        <f t="shared" ca="1" si="45"/>
        <v>16.583333333333336</v>
      </c>
      <c r="M1488" s="16">
        <f t="shared" ca="1" si="46"/>
        <v>17.356666666666666</v>
      </c>
      <c r="N1488" s="16">
        <f t="shared" ca="1" si="47"/>
        <v>16.196666666666669</v>
      </c>
    </row>
    <row r="1489" spans="1:14" ht="24.75" customHeight="1" x14ac:dyDescent="0.8">
      <c r="A1489" s="18" t="s">
        <v>1452</v>
      </c>
      <c r="B1489" s="10" t="str">
        <f ca="1">IFERROR(__xludf.DUMMYFUNCTION("GOOGLEFINANCE(A1489,""PRICE"")"),"#N/A")</f>
        <v>#N/A</v>
      </c>
      <c r="C1489" s="11" t="str">
        <f ca="1">IFERROR(__xludf.DUMMYFUNCTION("GOOGLEFINANCE(A1489,""PRICEOPEN"")"),"#N/A")</f>
        <v>#N/A</v>
      </c>
      <c r="D1489" s="11" t="str">
        <f ca="1">IFERROR(__xludf.DUMMYFUNCTION("GOOGLEFINANCE(A1489,""HIGH"")"),"#N/A")</f>
        <v>#N/A</v>
      </c>
      <c r="E1489" s="11" t="str">
        <f ca="1">IFERROR(__xludf.DUMMYFUNCTION("GOOGLEFINANCE(A1489,""LOW"")"),"#N/A")</f>
        <v>#N/A</v>
      </c>
      <c r="F1489" s="12" t="str">
        <f t="shared" ca="1" si="42"/>
        <v>SELL</v>
      </c>
      <c r="G1489" s="13" t="str">
        <f ca="1">IFERROR(__xludf.DUMMYFUNCTION("GOOGLEFINANCE(A1489,""CLOSEYEST"")"),"#N/A")</f>
        <v>#N/A</v>
      </c>
      <c r="H1489" s="14" t="e">
        <f t="shared" ca="1" si="48"/>
        <v>#VALUE!</v>
      </c>
      <c r="I1489" s="15" t="e">
        <f t="shared" ca="1" si="43"/>
        <v>#VALUE!</v>
      </c>
      <c r="J1489" s="16" t="e">
        <f t="shared" ca="1" si="44"/>
        <v>#VALUE!</v>
      </c>
      <c r="K1489" s="16"/>
      <c r="L1489" s="16" t="e">
        <f t="shared" ca="1" si="45"/>
        <v>#VALUE!</v>
      </c>
      <c r="M1489" s="16" t="e">
        <f t="shared" ca="1" si="46"/>
        <v>#VALUE!</v>
      </c>
      <c r="N1489" s="16" t="e">
        <f t="shared" ca="1" si="47"/>
        <v>#VALUE!</v>
      </c>
    </row>
    <row r="1490" spans="1:14" ht="24.75" customHeight="1" x14ac:dyDescent="0.8">
      <c r="A1490" s="18" t="s">
        <v>1453</v>
      </c>
      <c r="B1490" s="10">
        <f ca="1">IFERROR(__xludf.DUMMYFUNCTION("GOOGLEFINANCE(A1490,""PRICE"")"),47.2)</f>
        <v>47.2</v>
      </c>
      <c r="C1490" s="11">
        <f ca="1">IFERROR(__xludf.DUMMYFUNCTION("GOOGLEFINANCE(A1490,""PRICEOPEN"")"),45.08)</f>
        <v>45.08</v>
      </c>
      <c r="D1490" s="11">
        <f ca="1">IFERROR(__xludf.DUMMYFUNCTION("GOOGLEFINANCE(A1490,""HIGH"")"),48.36)</f>
        <v>48.36</v>
      </c>
      <c r="E1490" s="11">
        <f ca="1">IFERROR(__xludf.DUMMYFUNCTION("GOOGLEFINANCE(A1490,""LOW"")"),44.3)</f>
        <v>44.3</v>
      </c>
      <c r="F1490" s="12" t="str">
        <f t="shared" ca="1" si="42"/>
        <v/>
      </c>
      <c r="G1490" s="13">
        <f ca="1">IFERROR(__xludf.DUMMYFUNCTION("GOOGLEFINANCE(A1490,""CLOSEYEST"")"),45.08)</f>
        <v>45.08</v>
      </c>
      <c r="H1490" s="14" t="str">
        <f t="shared" ca="1" si="48"/>
        <v/>
      </c>
      <c r="I1490" s="15">
        <f t="shared" ca="1" si="43"/>
        <v>45.913333333333334</v>
      </c>
      <c r="J1490" s="16">
        <f t="shared" ca="1" si="44"/>
        <v>47.526666666666671</v>
      </c>
      <c r="K1490" s="16"/>
      <c r="L1490" s="16">
        <f t="shared" ca="1" si="45"/>
        <v>43.466666666666669</v>
      </c>
      <c r="M1490" s="16">
        <f t="shared" ca="1" si="46"/>
        <v>49.973333333333336</v>
      </c>
      <c r="N1490" s="16">
        <f t="shared" ca="1" si="47"/>
        <v>41.853333333333332</v>
      </c>
    </row>
    <row r="1491" spans="1:14" ht="24.75" customHeight="1" x14ac:dyDescent="0.8">
      <c r="A1491" s="18" t="s">
        <v>1454</v>
      </c>
      <c r="B1491" s="10">
        <f ca="1">IFERROR(__xludf.DUMMYFUNCTION("GOOGLEFINANCE(A1491,""PRICE"")"),229)</f>
        <v>229</v>
      </c>
      <c r="C1491" s="11">
        <f ca="1">IFERROR(__xludf.DUMMYFUNCTION("GOOGLEFINANCE(A1491,""PRICEOPEN"")"),223.92)</f>
        <v>223.92</v>
      </c>
      <c r="D1491" s="11">
        <f ca="1">IFERROR(__xludf.DUMMYFUNCTION("GOOGLEFINANCE(A1491,""HIGH"")"),229.8)</f>
        <v>229.8</v>
      </c>
      <c r="E1491" s="11">
        <f ca="1">IFERROR(__xludf.DUMMYFUNCTION("GOOGLEFINANCE(A1491,""LOW"")"),221)</f>
        <v>221</v>
      </c>
      <c r="F1491" s="12" t="str">
        <f t="shared" ca="1" si="42"/>
        <v/>
      </c>
      <c r="G1491" s="13">
        <f ca="1">IFERROR(__xludf.DUMMYFUNCTION("GOOGLEFINANCE(A1491,""CLOSEYEST"")"),222.52)</f>
        <v>222.52</v>
      </c>
      <c r="H1491" s="14" t="str">
        <f t="shared" ca="1" si="48"/>
        <v/>
      </c>
      <c r="I1491" s="15">
        <f t="shared" ca="1" si="43"/>
        <v>224.44000000000003</v>
      </c>
      <c r="J1491" s="16">
        <f t="shared" ca="1" si="44"/>
        <v>227.88000000000005</v>
      </c>
      <c r="K1491" s="16"/>
      <c r="L1491" s="16">
        <f t="shared" ca="1" si="45"/>
        <v>219.08000000000004</v>
      </c>
      <c r="M1491" s="16">
        <f t="shared" ca="1" si="46"/>
        <v>233.24000000000004</v>
      </c>
      <c r="N1491" s="16">
        <f t="shared" ca="1" si="47"/>
        <v>215.64000000000001</v>
      </c>
    </row>
    <row r="1492" spans="1:14" ht="24.75" customHeight="1" x14ac:dyDescent="0.8">
      <c r="A1492" s="18" t="s">
        <v>1455</v>
      </c>
      <c r="B1492" s="10" t="str">
        <f ca="1">IFERROR(__xludf.DUMMYFUNCTION("GOOGLEFINANCE(A1492,""PRICE"")"),"#N/A")</f>
        <v>#N/A</v>
      </c>
      <c r="C1492" s="11" t="str">
        <f ca="1">IFERROR(__xludf.DUMMYFUNCTION("GOOGLEFINANCE(A1492,""PRICEOPEN"")"),"#N/A")</f>
        <v>#N/A</v>
      </c>
      <c r="D1492" s="11" t="str">
        <f ca="1">IFERROR(__xludf.DUMMYFUNCTION("GOOGLEFINANCE(A1492,""HIGH"")"),"#N/A")</f>
        <v>#N/A</v>
      </c>
      <c r="E1492" s="11" t="str">
        <f ca="1">IFERROR(__xludf.DUMMYFUNCTION("GOOGLEFINANCE(A1492,""LOW"")"),"#N/A")</f>
        <v>#N/A</v>
      </c>
      <c r="F1492" s="12" t="str">
        <f t="shared" ca="1" si="42"/>
        <v>SELL</v>
      </c>
      <c r="G1492" s="13" t="str">
        <f ca="1">IFERROR(__xludf.DUMMYFUNCTION("GOOGLEFINANCE(A1492,""CLOSEYEST"")"),"#N/A")</f>
        <v>#N/A</v>
      </c>
      <c r="H1492" s="14" t="e">
        <f t="shared" ca="1" si="48"/>
        <v>#VALUE!</v>
      </c>
      <c r="I1492" s="15" t="e">
        <f t="shared" ca="1" si="43"/>
        <v>#VALUE!</v>
      </c>
      <c r="J1492" s="16" t="e">
        <f t="shared" ca="1" si="44"/>
        <v>#VALUE!</v>
      </c>
      <c r="K1492" s="16"/>
      <c r="L1492" s="16" t="e">
        <f t="shared" ca="1" si="45"/>
        <v>#VALUE!</v>
      </c>
      <c r="M1492" s="16" t="e">
        <f t="shared" ca="1" si="46"/>
        <v>#VALUE!</v>
      </c>
      <c r="N1492" s="16" t="e">
        <f t="shared" ca="1" si="47"/>
        <v>#VALUE!</v>
      </c>
    </row>
    <row r="1493" spans="1:14" ht="24.75" customHeight="1" x14ac:dyDescent="0.8">
      <c r="A1493" s="18" t="s">
        <v>1456</v>
      </c>
      <c r="B1493" s="10">
        <f ca="1">IFERROR(__xludf.DUMMYFUNCTION("GOOGLEFINANCE(A1493,""PRICE"")"),25.8)</f>
        <v>25.8</v>
      </c>
      <c r="C1493" s="11">
        <f ca="1">IFERROR(__xludf.DUMMYFUNCTION("GOOGLEFINANCE(A1493,""PRICEOPEN"")"),24.93)</f>
        <v>24.93</v>
      </c>
      <c r="D1493" s="11">
        <f ca="1">IFERROR(__xludf.DUMMYFUNCTION("GOOGLEFINANCE(A1493,""HIGH"")"),26)</f>
        <v>26</v>
      </c>
      <c r="E1493" s="11">
        <f ca="1">IFERROR(__xludf.DUMMYFUNCTION("GOOGLEFINANCE(A1493,""LOW"")"),24.93)</f>
        <v>24.93</v>
      </c>
      <c r="F1493" s="12" t="str">
        <f t="shared" ca="1" si="42"/>
        <v>BUY</v>
      </c>
      <c r="G1493" s="13">
        <f ca="1">IFERROR(__xludf.DUMMYFUNCTION("GOOGLEFINANCE(A1493,""CLOSEYEST"")"),24.94)</f>
        <v>24.94</v>
      </c>
      <c r="H1493" s="14" t="str">
        <f t="shared" ca="1" si="48"/>
        <v/>
      </c>
      <c r="I1493" s="15">
        <f t="shared" ca="1" si="43"/>
        <v>25.290000000000003</v>
      </c>
      <c r="J1493" s="16">
        <f t="shared" ca="1" si="44"/>
        <v>25.650000000000006</v>
      </c>
      <c r="K1493" s="16"/>
      <c r="L1493" s="16">
        <f t="shared" ca="1" si="45"/>
        <v>24.580000000000005</v>
      </c>
      <c r="M1493" s="16">
        <f t="shared" ca="1" si="46"/>
        <v>26.360000000000003</v>
      </c>
      <c r="N1493" s="16">
        <f t="shared" ca="1" si="47"/>
        <v>24.220000000000002</v>
      </c>
    </row>
    <row r="1494" spans="1:14" ht="24.75" customHeight="1" x14ac:dyDescent="0.8">
      <c r="A1494" s="18" t="s">
        <v>1457</v>
      </c>
      <c r="B1494" s="10">
        <f ca="1">IFERROR(__xludf.DUMMYFUNCTION("GOOGLEFINANCE(A1494,""PRICE"")"),91)</f>
        <v>91</v>
      </c>
      <c r="C1494" s="11">
        <f ca="1">IFERROR(__xludf.DUMMYFUNCTION("GOOGLEFINANCE(A1494,""PRICEOPEN"")"),90.15)</f>
        <v>90.15</v>
      </c>
      <c r="D1494" s="11">
        <f ca="1">IFERROR(__xludf.DUMMYFUNCTION("GOOGLEFINANCE(A1494,""HIGH"")"),92)</f>
        <v>92</v>
      </c>
      <c r="E1494" s="11">
        <f ca="1">IFERROR(__xludf.DUMMYFUNCTION("GOOGLEFINANCE(A1494,""LOW"")"),89)</f>
        <v>89</v>
      </c>
      <c r="F1494" s="12" t="str">
        <f t="shared" ca="1" si="42"/>
        <v/>
      </c>
      <c r="G1494" s="13">
        <f ca="1">IFERROR(__xludf.DUMMYFUNCTION("GOOGLEFINANCE(A1494,""CLOSEYEST"")"),91.96)</f>
        <v>91.96</v>
      </c>
      <c r="H1494" s="14" t="str">
        <f t="shared" ca="1" si="48"/>
        <v>GAP DOWN</v>
      </c>
      <c r="I1494" s="15">
        <f t="shared" ca="1" si="43"/>
        <v>90.986666666666665</v>
      </c>
      <c r="J1494" s="16">
        <f t="shared" ca="1" si="44"/>
        <v>92.973333333333329</v>
      </c>
      <c r="K1494" s="16"/>
      <c r="L1494" s="16">
        <f t="shared" ca="1" si="45"/>
        <v>89.973333333333329</v>
      </c>
      <c r="M1494" s="16">
        <f t="shared" ca="1" si="46"/>
        <v>93.986666666666665</v>
      </c>
      <c r="N1494" s="16">
        <f t="shared" ca="1" si="47"/>
        <v>87.986666666666665</v>
      </c>
    </row>
    <row r="1495" spans="1:14" ht="24.75" customHeight="1" x14ac:dyDescent="0.8">
      <c r="A1495" s="18" t="s">
        <v>1458</v>
      </c>
      <c r="B1495" s="10">
        <f ca="1">IFERROR(__xludf.DUMMYFUNCTION("GOOGLEFINANCE(A1495,""PRICE"")"),95.9)</f>
        <v>95.9</v>
      </c>
      <c r="C1495" s="11">
        <f ca="1">IFERROR(__xludf.DUMMYFUNCTION("GOOGLEFINANCE(A1495,""PRICEOPEN"")"),94.95)</f>
        <v>94.95</v>
      </c>
      <c r="D1495" s="11">
        <f ca="1">IFERROR(__xludf.DUMMYFUNCTION("GOOGLEFINANCE(A1495,""HIGH"")"),96)</f>
        <v>96</v>
      </c>
      <c r="E1495" s="11">
        <f ca="1">IFERROR(__xludf.DUMMYFUNCTION("GOOGLEFINANCE(A1495,""LOW"")"),92.55)</f>
        <v>92.55</v>
      </c>
      <c r="F1495" s="12" t="str">
        <f t="shared" ca="1" si="42"/>
        <v/>
      </c>
      <c r="G1495" s="13">
        <f ca="1">IFERROR(__xludf.DUMMYFUNCTION("GOOGLEFINANCE(A1495,""CLOSEYEST"")"),94.62)</f>
        <v>94.62</v>
      </c>
      <c r="H1495" s="14" t="str">
        <f t="shared" ca="1" si="48"/>
        <v/>
      </c>
      <c r="I1495" s="15">
        <f t="shared" ca="1" si="43"/>
        <v>94.39</v>
      </c>
      <c r="J1495" s="16">
        <f t="shared" ca="1" si="44"/>
        <v>96.23</v>
      </c>
      <c r="K1495" s="16"/>
      <c r="L1495" s="16">
        <f t="shared" ca="1" si="45"/>
        <v>92.78</v>
      </c>
      <c r="M1495" s="16">
        <f t="shared" ca="1" si="46"/>
        <v>97.84</v>
      </c>
      <c r="N1495" s="16">
        <f t="shared" ca="1" si="47"/>
        <v>90.94</v>
      </c>
    </row>
    <row r="1496" spans="1:14" ht="24.75" customHeight="1" x14ac:dyDescent="0.8">
      <c r="A1496" s="18" t="s">
        <v>1459</v>
      </c>
      <c r="B1496" s="10">
        <f ca="1">IFERROR(__xludf.DUMMYFUNCTION("GOOGLEFINANCE(A1496,""PRICE"")"),110.92)</f>
        <v>110.92</v>
      </c>
      <c r="C1496" s="11">
        <f ca="1">IFERROR(__xludf.DUMMYFUNCTION("GOOGLEFINANCE(A1496,""PRICEOPEN"")"),106)</f>
        <v>106</v>
      </c>
      <c r="D1496" s="11">
        <f ca="1">IFERROR(__xludf.DUMMYFUNCTION("GOOGLEFINANCE(A1496,""HIGH"")"),110.92)</f>
        <v>110.92</v>
      </c>
      <c r="E1496" s="11">
        <f ca="1">IFERROR(__xludf.DUMMYFUNCTION("GOOGLEFINANCE(A1496,""LOW"")"),106)</f>
        <v>106</v>
      </c>
      <c r="F1496" s="12" t="str">
        <f t="shared" ca="1" si="42"/>
        <v>BUY</v>
      </c>
      <c r="G1496" s="13">
        <f ca="1">IFERROR(__xludf.DUMMYFUNCTION("GOOGLEFINANCE(A1496,""CLOSEYEST"")"),105.64)</f>
        <v>105.64</v>
      </c>
      <c r="H1496" s="14" t="str">
        <f t="shared" ca="1" si="48"/>
        <v/>
      </c>
      <c r="I1496" s="15">
        <f t="shared" ca="1" si="43"/>
        <v>107.52</v>
      </c>
      <c r="J1496" s="16">
        <f t="shared" ca="1" si="44"/>
        <v>109.03999999999999</v>
      </c>
      <c r="K1496" s="16"/>
      <c r="L1496" s="16">
        <f t="shared" ca="1" si="45"/>
        <v>104.11999999999999</v>
      </c>
      <c r="M1496" s="16">
        <f t="shared" ca="1" si="46"/>
        <v>112.44</v>
      </c>
      <c r="N1496" s="16">
        <f t="shared" ca="1" si="47"/>
        <v>102.6</v>
      </c>
    </row>
    <row r="1497" spans="1:14" ht="24.75" customHeight="1" x14ac:dyDescent="0.8">
      <c r="A1497" s="18" t="s">
        <v>1460</v>
      </c>
      <c r="B1497" s="10">
        <f ca="1">IFERROR(__xludf.DUMMYFUNCTION("GOOGLEFINANCE(A1497,""PRICE"")"),34.45)</f>
        <v>34.450000000000003</v>
      </c>
      <c r="C1497" s="11">
        <f ca="1">IFERROR(__xludf.DUMMYFUNCTION("GOOGLEFINANCE(A1497,""PRICEOPEN"")"),34.7)</f>
        <v>34.700000000000003</v>
      </c>
      <c r="D1497" s="11">
        <f ca="1">IFERROR(__xludf.DUMMYFUNCTION("GOOGLEFINANCE(A1497,""HIGH"")"),35.77)</f>
        <v>35.770000000000003</v>
      </c>
      <c r="E1497" s="11">
        <f ca="1">IFERROR(__xludf.DUMMYFUNCTION("GOOGLEFINANCE(A1497,""LOW"")"),33.75)</f>
        <v>33.75</v>
      </c>
      <c r="F1497" s="12" t="str">
        <f t="shared" ca="1" si="42"/>
        <v/>
      </c>
      <c r="G1497" s="13">
        <f ca="1">IFERROR(__xludf.DUMMYFUNCTION("GOOGLEFINANCE(A1497,""CLOSEYEST"")"),35.06)</f>
        <v>35.06</v>
      </c>
      <c r="H1497" s="14" t="str">
        <f t="shared" ca="1" si="48"/>
        <v>GAP DOWN</v>
      </c>
      <c r="I1497" s="15">
        <f t="shared" ca="1" si="43"/>
        <v>34.860000000000007</v>
      </c>
      <c r="J1497" s="16">
        <f t="shared" ca="1" si="44"/>
        <v>35.970000000000013</v>
      </c>
      <c r="K1497" s="16"/>
      <c r="L1497" s="16">
        <f t="shared" ca="1" si="45"/>
        <v>33.95000000000001</v>
      </c>
      <c r="M1497" s="16">
        <f t="shared" ca="1" si="46"/>
        <v>36.88000000000001</v>
      </c>
      <c r="N1497" s="16">
        <f t="shared" ca="1" si="47"/>
        <v>32.840000000000003</v>
      </c>
    </row>
    <row r="1498" spans="1:14" ht="24.75" customHeight="1" x14ac:dyDescent="0.8">
      <c r="A1498" s="18" t="s">
        <v>1461</v>
      </c>
      <c r="B1498" s="10">
        <f ca="1">IFERROR(__xludf.DUMMYFUNCTION("GOOGLEFINANCE(A1498,""PRICE"")"),127.51)</f>
        <v>127.51</v>
      </c>
      <c r="C1498" s="11">
        <f ca="1">IFERROR(__xludf.DUMMYFUNCTION("GOOGLEFINANCE(A1498,""PRICEOPEN"")"),128.8)</f>
        <v>128.80000000000001</v>
      </c>
      <c r="D1498" s="11">
        <f ca="1">IFERROR(__xludf.DUMMYFUNCTION("GOOGLEFINANCE(A1498,""HIGH"")"),130.09)</f>
        <v>130.09</v>
      </c>
      <c r="E1498" s="11">
        <f ca="1">IFERROR(__xludf.DUMMYFUNCTION("GOOGLEFINANCE(A1498,""LOW"")"),126.52)</f>
        <v>126.52</v>
      </c>
      <c r="F1498" s="12" t="str">
        <f t="shared" ca="1" si="42"/>
        <v/>
      </c>
      <c r="G1498" s="13">
        <f ca="1">IFERROR(__xludf.DUMMYFUNCTION("GOOGLEFINANCE(A1498,""CLOSEYEST"")"),127.32)</f>
        <v>127.32</v>
      </c>
      <c r="H1498" s="14" t="str">
        <f t="shared" ca="1" si="48"/>
        <v>GAP UP</v>
      </c>
      <c r="I1498" s="15">
        <f t="shared" ca="1" si="43"/>
        <v>127.97666666666667</v>
      </c>
      <c r="J1498" s="16">
        <f t="shared" ca="1" si="44"/>
        <v>129.43333333333334</v>
      </c>
      <c r="K1498" s="16"/>
      <c r="L1498" s="16">
        <f t="shared" ca="1" si="45"/>
        <v>125.86333333333334</v>
      </c>
      <c r="M1498" s="16">
        <f t="shared" ca="1" si="46"/>
        <v>131.54666666666668</v>
      </c>
      <c r="N1498" s="16">
        <f t="shared" ca="1" si="47"/>
        <v>124.40666666666668</v>
      </c>
    </row>
    <row r="1499" spans="1:14" ht="24.75" customHeight="1" x14ac:dyDescent="0.8">
      <c r="A1499" s="18" t="s">
        <v>1462</v>
      </c>
      <c r="B1499" s="10">
        <f ca="1">IFERROR(__xludf.DUMMYFUNCTION("GOOGLEFINANCE(A1499,""PRICE"")"),156.05)</f>
        <v>156.05000000000001</v>
      </c>
      <c r="C1499" s="11">
        <f ca="1">IFERROR(__xludf.DUMMYFUNCTION("GOOGLEFINANCE(A1499,""PRICEOPEN"")"),156)</f>
        <v>156</v>
      </c>
      <c r="D1499" s="11">
        <f ca="1">IFERROR(__xludf.DUMMYFUNCTION("GOOGLEFINANCE(A1499,""HIGH"")"),160)</f>
        <v>160</v>
      </c>
      <c r="E1499" s="11">
        <f ca="1">IFERROR(__xludf.DUMMYFUNCTION("GOOGLEFINANCE(A1499,""LOW"")"),152.11)</f>
        <v>152.11000000000001</v>
      </c>
      <c r="F1499" s="12" t="str">
        <f t="shared" ca="1" si="42"/>
        <v/>
      </c>
      <c r="G1499" s="13">
        <f ca="1">IFERROR(__xludf.DUMMYFUNCTION("GOOGLEFINANCE(A1499,""CLOSEYEST"")"),153.31)</f>
        <v>153.31</v>
      </c>
      <c r="H1499" s="14" t="str">
        <f t="shared" ca="1" si="48"/>
        <v>GAP UP</v>
      </c>
      <c r="I1499" s="15">
        <f t="shared" ca="1" si="43"/>
        <v>155.14000000000001</v>
      </c>
      <c r="J1499" s="16">
        <f t="shared" ca="1" si="44"/>
        <v>158.17000000000002</v>
      </c>
      <c r="K1499" s="16"/>
      <c r="L1499" s="16">
        <f t="shared" ca="1" si="45"/>
        <v>150.28000000000003</v>
      </c>
      <c r="M1499" s="16">
        <f t="shared" ca="1" si="46"/>
        <v>163.03</v>
      </c>
      <c r="N1499" s="16">
        <f t="shared" ca="1" si="47"/>
        <v>147.25000000000003</v>
      </c>
    </row>
    <row r="1500" spans="1:14" ht="24.75" customHeight="1" x14ac:dyDescent="0.8">
      <c r="A1500" s="18" t="s">
        <v>1463</v>
      </c>
      <c r="B1500" s="10">
        <f ca="1">IFERROR(__xludf.DUMMYFUNCTION("GOOGLEFINANCE(A1500,""PRICE"")"),72.9)</f>
        <v>72.900000000000006</v>
      </c>
      <c r="C1500" s="11">
        <f ca="1">IFERROR(__xludf.DUMMYFUNCTION("GOOGLEFINANCE(A1500,""PRICEOPEN"")"),73.05)</f>
        <v>73.05</v>
      </c>
      <c r="D1500" s="11">
        <f ca="1">IFERROR(__xludf.DUMMYFUNCTION("GOOGLEFINANCE(A1500,""HIGH"")"),74.4)</f>
        <v>74.400000000000006</v>
      </c>
      <c r="E1500" s="11">
        <f ca="1">IFERROR(__xludf.DUMMYFUNCTION("GOOGLEFINANCE(A1500,""LOW"")"),72.01)</f>
        <v>72.010000000000005</v>
      </c>
      <c r="F1500" s="12" t="str">
        <f t="shared" ca="1" si="42"/>
        <v/>
      </c>
      <c r="G1500" s="13">
        <f ca="1">IFERROR(__xludf.DUMMYFUNCTION("GOOGLEFINANCE(A1500,""CLOSEYEST"")"),73.86)</f>
        <v>73.86</v>
      </c>
      <c r="H1500" s="14" t="str">
        <f t="shared" ca="1" si="48"/>
        <v>GAP DOWN</v>
      </c>
      <c r="I1500" s="15">
        <f t="shared" ca="1" si="43"/>
        <v>73.423333333333346</v>
      </c>
      <c r="J1500" s="16">
        <f t="shared" ca="1" si="44"/>
        <v>74.836666666666687</v>
      </c>
      <c r="K1500" s="16"/>
      <c r="L1500" s="16">
        <f t="shared" ca="1" si="45"/>
        <v>72.446666666666687</v>
      </c>
      <c r="M1500" s="16">
        <f t="shared" ca="1" si="46"/>
        <v>75.813333333333347</v>
      </c>
      <c r="N1500" s="16">
        <f t="shared" ca="1" si="47"/>
        <v>71.033333333333346</v>
      </c>
    </row>
    <row r="1501" spans="1:14" ht="24.75" customHeight="1" x14ac:dyDescent="0.8">
      <c r="A1501" s="18" t="s">
        <v>1464</v>
      </c>
      <c r="B1501" s="10">
        <f ca="1">IFERROR(__xludf.DUMMYFUNCTION("GOOGLEFINANCE(A1501,""PRICE"")"),756)</f>
        <v>756</v>
      </c>
      <c r="C1501" s="11">
        <f ca="1">IFERROR(__xludf.DUMMYFUNCTION("GOOGLEFINANCE(A1501,""PRICEOPEN"")"),755.4)</f>
        <v>755.4</v>
      </c>
      <c r="D1501" s="11">
        <f ca="1">IFERROR(__xludf.DUMMYFUNCTION("GOOGLEFINANCE(A1501,""HIGH"")"),764.9)</f>
        <v>764.9</v>
      </c>
      <c r="E1501" s="11">
        <f ca="1">IFERROR(__xludf.DUMMYFUNCTION("GOOGLEFINANCE(A1501,""LOW"")"),751.45)</f>
        <v>751.45</v>
      </c>
      <c r="F1501" s="12" t="str">
        <f t="shared" ca="1" si="42"/>
        <v/>
      </c>
      <c r="G1501" s="13">
        <f ca="1">IFERROR(__xludf.DUMMYFUNCTION("GOOGLEFINANCE(A1501,""CLOSEYEST"")"),751.45)</f>
        <v>751.45</v>
      </c>
      <c r="H1501" s="14" t="str">
        <f t="shared" ca="1" si="48"/>
        <v/>
      </c>
      <c r="I1501" s="15">
        <f t="shared" ca="1" si="43"/>
        <v>755.93333333333339</v>
      </c>
      <c r="J1501" s="16">
        <f t="shared" ca="1" si="44"/>
        <v>760.41666666666674</v>
      </c>
      <c r="K1501" s="16"/>
      <c r="L1501" s="16">
        <f t="shared" ca="1" si="45"/>
        <v>746.96666666666681</v>
      </c>
      <c r="M1501" s="16">
        <f t="shared" ca="1" si="46"/>
        <v>769.38333333333333</v>
      </c>
      <c r="N1501" s="16">
        <f t="shared" ca="1" si="47"/>
        <v>742.48333333333346</v>
      </c>
    </row>
    <row r="1502" spans="1:14" ht="24.75" customHeight="1" x14ac:dyDescent="0.8">
      <c r="A1502" s="18" t="s">
        <v>1465</v>
      </c>
      <c r="B1502" s="10">
        <f ca="1">IFERROR(__xludf.DUMMYFUNCTION("GOOGLEFINANCE(A1502,""PRICE"")"),325)</f>
        <v>325</v>
      </c>
      <c r="C1502" s="11">
        <f ca="1">IFERROR(__xludf.DUMMYFUNCTION("GOOGLEFINANCE(A1502,""PRICEOPEN"")"),324.4)</f>
        <v>324.39999999999998</v>
      </c>
      <c r="D1502" s="11">
        <f ca="1">IFERROR(__xludf.DUMMYFUNCTION("GOOGLEFINANCE(A1502,""HIGH"")"),330)</f>
        <v>330</v>
      </c>
      <c r="E1502" s="11">
        <f ca="1">IFERROR(__xludf.DUMMYFUNCTION("GOOGLEFINANCE(A1502,""LOW"")"),320.25)</f>
        <v>320.25</v>
      </c>
      <c r="F1502" s="12" t="str">
        <f t="shared" ca="1" si="42"/>
        <v/>
      </c>
      <c r="G1502" s="13">
        <f ca="1">IFERROR(__xludf.DUMMYFUNCTION("GOOGLEFINANCE(A1502,""CLOSEYEST"")"),327.25)</f>
        <v>327.25</v>
      </c>
      <c r="H1502" s="14" t="str">
        <f t="shared" ca="1" si="48"/>
        <v/>
      </c>
      <c r="I1502" s="15">
        <f t="shared" ca="1" si="43"/>
        <v>325.83333333333331</v>
      </c>
      <c r="J1502" s="16">
        <f t="shared" ca="1" si="44"/>
        <v>331.41666666666663</v>
      </c>
      <c r="K1502" s="16"/>
      <c r="L1502" s="16">
        <f t="shared" ca="1" si="45"/>
        <v>321.66666666666663</v>
      </c>
      <c r="M1502" s="16">
        <f t="shared" ca="1" si="46"/>
        <v>335.58333333333331</v>
      </c>
      <c r="N1502" s="16">
        <f t="shared" ca="1" si="47"/>
        <v>316.08333333333331</v>
      </c>
    </row>
    <row r="1503" spans="1:14" ht="24.75" customHeight="1" x14ac:dyDescent="0.8">
      <c r="A1503" s="18" t="s">
        <v>1466</v>
      </c>
      <c r="B1503" s="10">
        <f ca="1">IFERROR(__xludf.DUMMYFUNCTION("GOOGLEFINANCE(A1503,""PRICE"")"),21.11)</f>
        <v>21.11</v>
      </c>
      <c r="C1503" s="11">
        <f ca="1">IFERROR(__xludf.DUMMYFUNCTION("GOOGLEFINANCE(A1503,""PRICEOPEN"")"),21)</f>
        <v>21</v>
      </c>
      <c r="D1503" s="11">
        <f ca="1">IFERROR(__xludf.DUMMYFUNCTION("GOOGLEFINANCE(A1503,""HIGH"")"),21.49)</f>
        <v>21.49</v>
      </c>
      <c r="E1503" s="11">
        <f ca="1">IFERROR(__xludf.DUMMYFUNCTION("GOOGLEFINANCE(A1503,""LOW"")"),20.36)</f>
        <v>20.36</v>
      </c>
      <c r="F1503" s="12" t="str">
        <f t="shared" ca="1" si="42"/>
        <v/>
      </c>
      <c r="G1503" s="13">
        <f ca="1">IFERROR(__xludf.DUMMYFUNCTION("GOOGLEFINANCE(A1503,""CLOSEYEST"")"),20.5)</f>
        <v>20.5</v>
      </c>
      <c r="H1503" s="14" t="str">
        <f t="shared" ca="1" si="48"/>
        <v>GAP UP</v>
      </c>
      <c r="I1503" s="15">
        <f t="shared" ca="1" si="43"/>
        <v>20.783333333333331</v>
      </c>
      <c r="J1503" s="16">
        <f t="shared" ca="1" si="44"/>
        <v>21.206666666666663</v>
      </c>
      <c r="K1503" s="16"/>
      <c r="L1503" s="16">
        <f t="shared" ca="1" si="45"/>
        <v>20.076666666666664</v>
      </c>
      <c r="M1503" s="16">
        <f t="shared" ca="1" si="46"/>
        <v>21.91333333333333</v>
      </c>
      <c r="N1503" s="16">
        <f t="shared" ca="1" si="47"/>
        <v>19.653333333333332</v>
      </c>
    </row>
    <row r="1504" spans="1:14" ht="24.75" customHeight="1" x14ac:dyDescent="0.8">
      <c r="A1504" s="18" t="s">
        <v>1467</v>
      </c>
      <c r="B1504" s="10">
        <f ca="1">IFERROR(__xludf.DUMMYFUNCTION("GOOGLEFINANCE(A1504,""PRICE"")"),75.5)</f>
        <v>75.5</v>
      </c>
      <c r="C1504" s="11">
        <f ca="1">IFERROR(__xludf.DUMMYFUNCTION("GOOGLEFINANCE(A1504,""PRICEOPEN"")"),74.16)</f>
        <v>74.16</v>
      </c>
      <c r="D1504" s="11">
        <f ca="1">IFERROR(__xludf.DUMMYFUNCTION("GOOGLEFINANCE(A1504,""HIGH"")"),75.5)</f>
        <v>75.5</v>
      </c>
      <c r="E1504" s="11">
        <f ca="1">IFERROR(__xludf.DUMMYFUNCTION("GOOGLEFINANCE(A1504,""LOW"")"),74.01)</f>
        <v>74.010000000000005</v>
      </c>
      <c r="F1504" s="12" t="str">
        <f t="shared" ca="1" si="42"/>
        <v/>
      </c>
      <c r="G1504" s="13">
        <f ca="1">IFERROR(__xludf.DUMMYFUNCTION("GOOGLEFINANCE(A1504,""CLOSEYEST"")"),74.18)</f>
        <v>74.180000000000007</v>
      </c>
      <c r="H1504" s="14" t="str">
        <f t="shared" ca="1" si="48"/>
        <v/>
      </c>
      <c r="I1504" s="15">
        <f t="shared" ca="1" si="43"/>
        <v>74.563333333333333</v>
      </c>
      <c r="J1504" s="16">
        <f t="shared" ca="1" si="44"/>
        <v>75.11666666666666</v>
      </c>
      <c r="K1504" s="16"/>
      <c r="L1504" s="16">
        <f t="shared" ca="1" si="45"/>
        <v>73.626666666666665</v>
      </c>
      <c r="M1504" s="16">
        <f t="shared" ca="1" si="46"/>
        <v>76.053333333333327</v>
      </c>
      <c r="N1504" s="16">
        <f t="shared" ca="1" si="47"/>
        <v>73.073333333333338</v>
      </c>
    </row>
    <row r="1505" spans="1:14" ht="24.75" customHeight="1" x14ac:dyDescent="0.8">
      <c r="A1505" s="18" t="s">
        <v>1468</v>
      </c>
      <c r="B1505" s="10">
        <f ca="1">IFERROR(__xludf.DUMMYFUNCTION("GOOGLEFINANCE(A1505,""PRICE"")"),39)</f>
        <v>39</v>
      </c>
      <c r="C1505" s="11">
        <f ca="1">IFERROR(__xludf.DUMMYFUNCTION("GOOGLEFINANCE(A1505,""PRICEOPEN"")"),40.38)</f>
        <v>40.380000000000003</v>
      </c>
      <c r="D1505" s="11">
        <f ca="1">IFERROR(__xludf.DUMMYFUNCTION("GOOGLEFINANCE(A1505,""HIGH"")"),41.99)</f>
        <v>41.99</v>
      </c>
      <c r="E1505" s="11">
        <f ca="1">IFERROR(__xludf.DUMMYFUNCTION("GOOGLEFINANCE(A1505,""LOW"")"),38.26)</f>
        <v>38.26</v>
      </c>
      <c r="F1505" s="12" t="str">
        <f t="shared" ca="1" si="42"/>
        <v/>
      </c>
      <c r="G1505" s="13">
        <f ca="1">IFERROR(__xludf.DUMMYFUNCTION("GOOGLEFINANCE(A1505,""CLOSEYEST"")"),38.69)</f>
        <v>38.69</v>
      </c>
      <c r="H1505" s="14" t="str">
        <f t="shared" ca="1" si="48"/>
        <v>GAP UP</v>
      </c>
      <c r="I1505" s="15">
        <f t="shared" ca="1" si="43"/>
        <v>39.646666666666668</v>
      </c>
      <c r="J1505" s="16">
        <f t="shared" ca="1" si="44"/>
        <v>41.033333333333339</v>
      </c>
      <c r="K1505" s="16"/>
      <c r="L1505" s="16">
        <f t="shared" ca="1" si="45"/>
        <v>37.303333333333335</v>
      </c>
      <c r="M1505" s="16">
        <f t="shared" ca="1" si="46"/>
        <v>43.376666666666672</v>
      </c>
      <c r="N1505" s="16">
        <f t="shared" ca="1" si="47"/>
        <v>35.916666666666664</v>
      </c>
    </row>
    <row r="1506" spans="1:14" ht="24.75" customHeight="1" x14ac:dyDescent="0.8">
      <c r="A1506" s="18" t="s">
        <v>1469</v>
      </c>
      <c r="B1506" s="10">
        <f ca="1">IFERROR(__xludf.DUMMYFUNCTION("GOOGLEFINANCE(A1506,""PRICE"")"),63.4)</f>
        <v>63.4</v>
      </c>
      <c r="C1506" s="11">
        <f ca="1">IFERROR(__xludf.DUMMYFUNCTION("GOOGLEFINANCE(A1506,""PRICEOPEN"")"),62.01)</f>
        <v>62.01</v>
      </c>
      <c r="D1506" s="11">
        <f ca="1">IFERROR(__xludf.DUMMYFUNCTION("GOOGLEFINANCE(A1506,""HIGH"")"),63.83)</f>
        <v>63.83</v>
      </c>
      <c r="E1506" s="11">
        <f ca="1">IFERROR(__xludf.DUMMYFUNCTION("GOOGLEFINANCE(A1506,""LOW"")"),62)</f>
        <v>62</v>
      </c>
      <c r="F1506" s="12" t="str">
        <f t="shared" ca="1" si="42"/>
        <v/>
      </c>
      <c r="G1506" s="13">
        <f ca="1">IFERROR(__xludf.DUMMYFUNCTION("GOOGLEFINANCE(A1506,""CLOSEYEST"")"),63.1)</f>
        <v>63.1</v>
      </c>
      <c r="H1506" s="14" t="str">
        <f t="shared" ca="1" si="48"/>
        <v>GAP DOWN</v>
      </c>
      <c r="I1506" s="15">
        <f t="shared" ca="1" si="43"/>
        <v>62.976666666666667</v>
      </c>
      <c r="J1506" s="16">
        <f t="shared" ca="1" si="44"/>
        <v>63.953333333333333</v>
      </c>
      <c r="K1506" s="16"/>
      <c r="L1506" s="16">
        <f t="shared" ca="1" si="45"/>
        <v>62.123333333333335</v>
      </c>
      <c r="M1506" s="16">
        <f t="shared" ca="1" si="46"/>
        <v>64.806666666666672</v>
      </c>
      <c r="N1506" s="16">
        <f t="shared" ca="1" si="47"/>
        <v>61.146666666666668</v>
      </c>
    </row>
    <row r="1507" spans="1:14" ht="24.75" customHeight="1" x14ac:dyDescent="0.8">
      <c r="A1507" s="18" t="s">
        <v>1470</v>
      </c>
      <c r="B1507" s="10">
        <f ca="1">IFERROR(__xludf.DUMMYFUNCTION("GOOGLEFINANCE(A1507,""PRICE"")"),1011)</f>
        <v>1011</v>
      </c>
      <c r="C1507" s="11">
        <f ca="1">IFERROR(__xludf.DUMMYFUNCTION("GOOGLEFINANCE(A1507,""PRICEOPEN"")"),1065.3)</f>
        <v>1065.3</v>
      </c>
      <c r="D1507" s="11">
        <f ca="1">IFERROR(__xludf.DUMMYFUNCTION("GOOGLEFINANCE(A1507,""HIGH"")"),1099.4)</f>
        <v>1099.4000000000001</v>
      </c>
      <c r="E1507" s="11">
        <f ca="1">IFERROR(__xludf.DUMMYFUNCTION("GOOGLEFINANCE(A1507,""LOW"")"),1006.1)</f>
        <v>1006.1</v>
      </c>
      <c r="F1507" s="12" t="str">
        <f t="shared" ca="1" si="42"/>
        <v/>
      </c>
      <c r="G1507" s="13">
        <f ca="1">IFERROR(__xludf.DUMMYFUNCTION("GOOGLEFINANCE(A1507,""CLOSEYEST"")"),1085)</f>
        <v>1085</v>
      </c>
      <c r="H1507" s="14" t="str">
        <f t="shared" ca="1" si="48"/>
        <v>GAP DOWN</v>
      </c>
      <c r="I1507" s="15">
        <f t="shared" ca="1" si="43"/>
        <v>1063.5</v>
      </c>
      <c r="J1507" s="16">
        <f t="shared" ca="1" si="44"/>
        <v>1120.9000000000001</v>
      </c>
      <c r="K1507" s="16"/>
      <c r="L1507" s="16">
        <f t="shared" ca="1" si="45"/>
        <v>1027.5999999999999</v>
      </c>
      <c r="M1507" s="16">
        <f t="shared" ca="1" si="46"/>
        <v>1156.8000000000002</v>
      </c>
      <c r="N1507" s="16">
        <f t="shared" ca="1" si="47"/>
        <v>970.19999999999982</v>
      </c>
    </row>
    <row r="1508" spans="1:14" ht="24.75" customHeight="1" x14ac:dyDescent="0.8">
      <c r="A1508" s="18" t="s">
        <v>1471</v>
      </c>
      <c r="B1508" s="10">
        <f ca="1">IFERROR(__xludf.DUMMYFUNCTION("GOOGLEFINANCE(A1508,""PRICE"")"),42.49)</f>
        <v>42.49</v>
      </c>
      <c r="C1508" s="11">
        <f ca="1">IFERROR(__xludf.DUMMYFUNCTION("GOOGLEFINANCE(A1508,""PRICEOPEN"")"),42.85)</f>
        <v>42.85</v>
      </c>
      <c r="D1508" s="11">
        <f ca="1">IFERROR(__xludf.DUMMYFUNCTION("GOOGLEFINANCE(A1508,""HIGH"")"),42.85)</f>
        <v>42.85</v>
      </c>
      <c r="E1508" s="11">
        <f ca="1">IFERROR(__xludf.DUMMYFUNCTION("GOOGLEFINANCE(A1508,""LOW"")"),41.5)</f>
        <v>41.5</v>
      </c>
      <c r="F1508" s="12" t="str">
        <f t="shared" ca="1" si="42"/>
        <v>SELL</v>
      </c>
      <c r="G1508" s="13">
        <f ca="1">IFERROR(__xludf.DUMMYFUNCTION("GOOGLEFINANCE(A1508,""CLOSEYEST"")"),42.46)</f>
        <v>42.46</v>
      </c>
      <c r="H1508" s="14" t="str">
        <f t="shared" ca="1" si="48"/>
        <v/>
      </c>
      <c r="I1508" s="15">
        <f t="shared" ca="1" si="43"/>
        <v>42.27</v>
      </c>
      <c r="J1508" s="16">
        <f t="shared" ca="1" si="44"/>
        <v>43.040000000000006</v>
      </c>
      <c r="K1508" s="16"/>
      <c r="L1508" s="16">
        <f t="shared" ca="1" si="45"/>
        <v>41.690000000000005</v>
      </c>
      <c r="M1508" s="16">
        <f t="shared" ca="1" si="46"/>
        <v>43.620000000000005</v>
      </c>
      <c r="N1508" s="16">
        <f t="shared" ca="1" si="47"/>
        <v>40.92</v>
      </c>
    </row>
    <row r="1509" spans="1:14" ht="24.75" customHeight="1" x14ac:dyDescent="0.8">
      <c r="A1509" s="18" t="s">
        <v>1472</v>
      </c>
      <c r="B1509" s="10" t="str">
        <f ca="1">IFERROR(__xludf.DUMMYFUNCTION("GOOGLEFINANCE(A1509,""PRICE"")"),"#N/A")</f>
        <v>#N/A</v>
      </c>
      <c r="C1509" s="11" t="str">
        <f ca="1">IFERROR(__xludf.DUMMYFUNCTION("GOOGLEFINANCE(A1509,""PRICEOPEN"")"),"#N/A")</f>
        <v>#N/A</v>
      </c>
      <c r="D1509" s="11" t="str">
        <f ca="1">IFERROR(__xludf.DUMMYFUNCTION("GOOGLEFINANCE(A1509,""HIGH"")"),"#N/A")</f>
        <v>#N/A</v>
      </c>
      <c r="E1509" s="11" t="str">
        <f ca="1">IFERROR(__xludf.DUMMYFUNCTION("GOOGLEFINANCE(A1509,""LOW"")"),"#N/A")</f>
        <v>#N/A</v>
      </c>
      <c r="F1509" s="12" t="str">
        <f t="shared" ca="1" si="42"/>
        <v>SELL</v>
      </c>
      <c r="G1509" s="13" t="str">
        <f ca="1">IFERROR(__xludf.DUMMYFUNCTION("GOOGLEFINANCE(A1509,""CLOSEYEST"")"),"#N/A")</f>
        <v>#N/A</v>
      </c>
      <c r="H1509" s="14" t="e">
        <f t="shared" ca="1" si="48"/>
        <v>#VALUE!</v>
      </c>
      <c r="I1509" s="15" t="e">
        <f t="shared" ca="1" si="43"/>
        <v>#VALUE!</v>
      </c>
      <c r="J1509" s="16" t="e">
        <f t="shared" ca="1" si="44"/>
        <v>#VALUE!</v>
      </c>
      <c r="K1509" s="16"/>
      <c r="L1509" s="16" t="e">
        <f t="shared" ca="1" si="45"/>
        <v>#VALUE!</v>
      </c>
      <c r="M1509" s="16" t="e">
        <f t="shared" ca="1" si="46"/>
        <v>#VALUE!</v>
      </c>
      <c r="N1509" s="16" t="e">
        <f t="shared" ca="1" si="47"/>
        <v>#VALUE!</v>
      </c>
    </row>
    <row r="1510" spans="1:14" ht="24.75" customHeight="1" x14ac:dyDescent="0.8">
      <c r="A1510" s="18" t="s">
        <v>1473</v>
      </c>
      <c r="B1510" s="10">
        <f ca="1">IFERROR(__xludf.DUMMYFUNCTION("GOOGLEFINANCE(A1510,""PRICE"")"),45.55)</f>
        <v>45.55</v>
      </c>
      <c r="C1510" s="11">
        <f ca="1">IFERROR(__xludf.DUMMYFUNCTION("GOOGLEFINANCE(A1510,""PRICEOPEN"")"),48.79)</f>
        <v>48.79</v>
      </c>
      <c r="D1510" s="11">
        <f ca="1">IFERROR(__xludf.DUMMYFUNCTION("GOOGLEFINANCE(A1510,""HIGH"")"),48.79)</f>
        <v>48.79</v>
      </c>
      <c r="E1510" s="11">
        <f ca="1">IFERROR(__xludf.DUMMYFUNCTION("GOOGLEFINANCE(A1510,""LOW"")"),45.55)</f>
        <v>45.55</v>
      </c>
      <c r="F1510" s="12" t="str">
        <f t="shared" ca="1" si="42"/>
        <v>SELL</v>
      </c>
      <c r="G1510" s="13">
        <f ca="1">IFERROR(__xludf.DUMMYFUNCTION("GOOGLEFINANCE(A1510,""CLOSEYEST"")"),46.98)</f>
        <v>46.98</v>
      </c>
      <c r="H1510" s="14" t="str">
        <f t="shared" ca="1" si="48"/>
        <v>GAP UP</v>
      </c>
      <c r="I1510" s="15">
        <f t="shared" ca="1" si="43"/>
        <v>47.106666666666662</v>
      </c>
      <c r="J1510" s="16">
        <f t="shared" ca="1" si="44"/>
        <v>48.663333333333327</v>
      </c>
      <c r="K1510" s="16"/>
      <c r="L1510" s="16">
        <f t="shared" ca="1" si="45"/>
        <v>45.423333333333325</v>
      </c>
      <c r="M1510" s="16">
        <f t="shared" ca="1" si="46"/>
        <v>50.346666666666664</v>
      </c>
      <c r="N1510" s="16">
        <f t="shared" ca="1" si="47"/>
        <v>43.86666666666666</v>
      </c>
    </row>
    <row r="1511" spans="1:14" ht="24.75" customHeight="1" x14ac:dyDescent="0.8">
      <c r="A1511" s="18" t="s">
        <v>1474</v>
      </c>
      <c r="B1511" s="10" t="str">
        <f ca="1">IFERROR(__xludf.DUMMYFUNCTION("GOOGLEFINANCE(A1511,""PRICE"")"),"#N/A")</f>
        <v>#N/A</v>
      </c>
      <c r="C1511" s="11" t="str">
        <f ca="1">IFERROR(__xludf.DUMMYFUNCTION("GOOGLEFINANCE(A1511,""PRICEOPEN"")"),"#N/A")</f>
        <v>#N/A</v>
      </c>
      <c r="D1511" s="11" t="str">
        <f ca="1">IFERROR(__xludf.DUMMYFUNCTION("GOOGLEFINANCE(A1511,""HIGH"")"),"#N/A")</f>
        <v>#N/A</v>
      </c>
      <c r="E1511" s="11" t="str">
        <f ca="1">IFERROR(__xludf.DUMMYFUNCTION("GOOGLEFINANCE(A1511,""LOW"")"),"#N/A")</f>
        <v>#N/A</v>
      </c>
      <c r="F1511" s="12" t="str">
        <f t="shared" ca="1" si="42"/>
        <v>SELL</v>
      </c>
      <c r="G1511" s="13" t="str">
        <f ca="1">IFERROR(__xludf.DUMMYFUNCTION("GOOGLEFINANCE(A1511,""CLOSEYEST"")"),"#N/A")</f>
        <v>#N/A</v>
      </c>
      <c r="H1511" s="14" t="e">
        <f t="shared" ca="1" si="48"/>
        <v>#VALUE!</v>
      </c>
      <c r="I1511" s="15" t="e">
        <f t="shared" ca="1" si="43"/>
        <v>#VALUE!</v>
      </c>
      <c r="J1511" s="16" t="e">
        <f t="shared" ca="1" si="44"/>
        <v>#VALUE!</v>
      </c>
      <c r="K1511" s="16"/>
      <c r="L1511" s="16" t="e">
        <f t="shared" ca="1" si="45"/>
        <v>#VALUE!</v>
      </c>
      <c r="M1511" s="16" t="e">
        <f t="shared" ca="1" si="46"/>
        <v>#VALUE!</v>
      </c>
      <c r="N1511" s="16" t="e">
        <f t="shared" ca="1" si="47"/>
        <v>#VALUE!</v>
      </c>
    </row>
    <row r="1512" spans="1:14" ht="24.75" customHeight="1" x14ac:dyDescent="0.8">
      <c r="A1512" s="18" t="s">
        <v>1475</v>
      </c>
      <c r="B1512" s="10">
        <f ca="1">IFERROR(__xludf.DUMMYFUNCTION("GOOGLEFINANCE(A1512,""PRICE"")"),55.6)</f>
        <v>55.6</v>
      </c>
      <c r="C1512" s="11">
        <f ca="1">IFERROR(__xludf.DUMMYFUNCTION("GOOGLEFINANCE(A1512,""PRICEOPEN"")"),54.27)</f>
        <v>54.27</v>
      </c>
      <c r="D1512" s="11">
        <f ca="1">IFERROR(__xludf.DUMMYFUNCTION("GOOGLEFINANCE(A1512,""HIGH"")"),56)</f>
        <v>56</v>
      </c>
      <c r="E1512" s="11">
        <f ca="1">IFERROR(__xludf.DUMMYFUNCTION("GOOGLEFINANCE(A1512,""LOW"")"),53.99)</f>
        <v>53.99</v>
      </c>
      <c r="F1512" s="12" t="str">
        <f t="shared" ca="1" si="42"/>
        <v/>
      </c>
      <c r="G1512" s="13">
        <f ca="1">IFERROR(__xludf.DUMMYFUNCTION("GOOGLEFINANCE(A1512,""CLOSEYEST"")"),54.27)</f>
        <v>54.27</v>
      </c>
      <c r="H1512" s="14" t="str">
        <f t="shared" ca="1" si="48"/>
        <v/>
      </c>
      <c r="I1512" s="15">
        <f t="shared" ca="1" si="43"/>
        <v>54.753333333333337</v>
      </c>
      <c r="J1512" s="16">
        <f t="shared" ca="1" si="44"/>
        <v>55.516666666666673</v>
      </c>
      <c r="K1512" s="16"/>
      <c r="L1512" s="16">
        <f t="shared" ca="1" si="45"/>
        <v>53.506666666666675</v>
      </c>
      <c r="M1512" s="16">
        <f t="shared" ca="1" si="46"/>
        <v>56.763333333333335</v>
      </c>
      <c r="N1512" s="16">
        <f t="shared" ca="1" si="47"/>
        <v>52.743333333333339</v>
      </c>
    </row>
    <row r="1513" spans="1:14" ht="24.75" customHeight="1" x14ac:dyDescent="0.8">
      <c r="A1513" s="18" t="s">
        <v>1476</v>
      </c>
      <c r="B1513" s="10">
        <f ca="1">IFERROR(__xludf.DUMMYFUNCTION("GOOGLEFINANCE(A1513,""PRICE"")"),41.1)</f>
        <v>41.1</v>
      </c>
      <c r="C1513" s="11">
        <f ca="1">IFERROR(__xludf.DUMMYFUNCTION("GOOGLEFINANCE(A1513,""PRICEOPEN"")"),41.5)</f>
        <v>41.5</v>
      </c>
      <c r="D1513" s="11">
        <f ca="1">IFERROR(__xludf.DUMMYFUNCTION("GOOGLEFINANCE(A1513,""HIGH"")"),42.4)</f>
        <v>42.4</v>
      </c>
      <c r="E1513" s="11">
        <f ca="1">IFERROR(__xludf.DUMMYFUNCTION("GOOGLEFINANCE(A1513,""LOW"")"),40.3)</f>
        <v>40.299999999999997</v>
      </c>
      <c r="F1513" s="12" t="str">
        <f t="shared" ca="1" si="42"/>
        <v/>
      </c>
      <c r="G1513" s="13">
        <f ca="1">IFERROR(__xludf.DUMMYFUNCTION("GOOGLEFINANCE(A1513,""CLOSEYEST"")"),41.49)</f>
        <v>41.49</v>
      </c>
      <c r="H1513" s="14" t="str">
        <f t="shared" ca="1" si="48"/>
        <v/>
      </c>
      <c r="I1513" s="15">
        <f t="shared" ca="1" si="43"/>
        <v>41.396666666666668</v>
      </c>
      <c r="J1513" s="16">
        <f t="shared" ca="1" si="44"/>
        <v>42.493333333333339</v>
      </c>
      <c r="K1513" s="16"/>
      <c r="L1513" s="16">
        <f t="shared" ca="1" si="45"/>
        <v>40.393333333333338</v>
      </c>
      <c r="M1513" s="16">
        <f t="shared" ca="1" si="46"/>
        <v>43.49666666666667</v>
      </c>
      <c r="N1513" s="16">
        <f t="shared" ca="1" si="47"/>
        <v>39.296666666666667</v>
      </c>
    </row>
    <row r="1514" spans="1:14" ht="24.75" customHeight="1" x14ac:dyDescent="0.8">
      <c r="A1514" s="18" t="s">
        <v>1477</v>
      </c>
      <c r="B1514" s="10">
        <f ca="1">IFERROR(__xludf.DUMMYFUNCTION("GOOGLEFINANCE(A1514,""PRICE"")"),243.53)</f>
        <v>243.53</v>
      </c>
      <c r="C1514" s="11">
        <f ca="1">IFERROR(__xludf.DUMMYFUNCTION("GOOGLEFINANCE(A1514,""PRICEOPEN"")"),241)</f>
        <v>241</v>
      </c>
      <c r="D1514" s="11">
        <f ca="1">IFERROR(__xludf.DUMMYFUNCTION("GOOGLEFINANCE(A1514,""HIGH"")"),248)</f>
        <v>248</v>
      </c>
      <c r="E1514" s="11">
        <f ca="1">IFERROR(__xludf.DUMMYFUNCTION("GOOGLEFINANCE(A1514,""LOW"")"),240.22)</f>
        <v>240.22</v>
      </c>
      <c r="F1514" s="12" t="str">
        <f t="shared" ca="1" si="42"/>
        <v/>
      </c>
      <c r="G1514" s="13">
        <f ca="1">IFERROR(__xludf.DUMMYFUNCTION("GOOGLEFINANCE(A1514,""CLOSEYEST"")"),239.25)</f>
        <v>239.25</v>
      </c>
      <c r="H1514" s="14" t="str">
        <f t="shared" ca="1" si="48"/>
        <v/>
      </c>
      <c r="I1514" s="15">
        <f t="shared" ca="1" si="43"/>
        <v>242.49</v>
      </c>
      <c r="J1514" s="16">
        <f t="shared" ca="1" si="44"/>
        <v>244.76000000000002</v>
      </c>
      <c r="K1514" s="16"/>
      <c r="L1514" s="16">
        <f t="shared" ca="1" si="45"/>
        <v>236.98000000000002</v>
      </c>
      <c r="M1514" s="16">
        <f t="shared" ca="1" si="46"/>
        <v>250.27</v>
      </c>
      <c r="N1514" s="16">
        <f t="shared" ca="1" si="47"/>
        <v>234.71</v>
      </c>
    </row>
    <row r="1515" spans="1:14" ht="24.75" customHeight="1" x14ac:dyDescent="0.8">
      <c r="A1515" s="18" t="s">
        <v>1478</v>
      </c>
      <c r="B1515" s="10">
        <f ca="1">IFERROR(__xludf.DUMMYFUNCTION("GOOGLEFINANCE(A1515,""PRICE"")"),6.43)</f>
        <v>6.43</v>
      </c>
      <c r="C1515" s="11">
        <f ca="1">IFERROR(__xludf.DUMMYFUNCTION("GOOGLEFINANCE(A1515,""PRICEOPEN"")"),6.25)</f>
        <v>6.25</v>
      </c>
      <c r="D1515" s="11">
        <f ca="1">IFERROR(__xludf.DUMMYFUNCTION("GOOGLEFINANCE(A1515,""HIGH"")"),6.49)</f>
        <v>6.49</v>
      </c>
      <c r="E1515" s="11">
        <f ca="1">IFERROR(__xludf.DUMMYFUNCTION("GOOGLEFINANCE(A1515,""LOW"")"),6.23)</f>
        <v>6.23</v>
      </c>
      <c r="F1515" s="12" t="str">
        <f t="shared" ca="1" si="42"/>
        <v/>
      </c>
      <c r="G1515" s="13">
        <f ca="1">IFERROR(__xludf.DUMMYFUNCTION("GOOGLEFINANCE(A1515,""CLOSEYEST"")"),6.27)</f>
        <v>6.27</v>
      </c>
      <c r="H1515" s="14" t="str">
        <f t="shared" ca="1" si="48"/>
        <v/>
      </c>
      <c r="I1515" s="15">
        <f t="shared" ca="1" si="43"/>
        <v>6.330000000000001</v>
      </c>
      <c r="J1515" s="16">
        <f t="shared" ca="1" si="44"/>
        <v>6.4300000000000015</v>
      </c>
      <c r="K1515" s="16"/>
      <c r="L1515" s="16">
        <f t="shared" ca="1" si="45"/>
        <v>6.1700000000000017</v>
      </c>
      <c r="M1515" s="16">
        <f t="shared" ca="1" si="46"/>
        <v>6.5900000000000007</v>
      </c>
      <c r="N1515" s="16">
        <f t="shared" ca="1" si="47"/>
        <v>6.0700000000000012</v>
      </c>
    </row>
    <row r="1516" spans="1:14" ht="24.75" customHeight="1" x14ac:dyDescent="0.8">
      <c r="A1516" s="18" t="s">
        <v>1479</v>
      </c>
      <c r="B1516" s="10">
        <f ca="1">IFERROR(__xludf.DUMMYFUNCTION("GOOGLEFINANCE(A1516,""PRICE"")"),18.1)</f>
        <v>18.100000000000001</v>
      </c>
      <c r="C1516" s="11">
        <f ca="1">IFERROR(__xludf.DUMMYFUNCTION("GOOGLEFINANCE(A1516,""PRICEOPEN"")"),17.72)</f>
        <v>17.72</v>
      </c>
      <c r="D1516" s="11">
        <f ca="1">IFERROR(__xludf.DUMMYFUNCTION("GOOGLEFINANCE(A1516,""HIGH"")"),18.21)</f>
        <v>18.21</v>
      </c>
      <c r="E1516" s="11">
        <f ca="1">IFERROR(__xludf.DUMMYFUNCTION("GOOGLEFINANCE(A1516,""LOW"")"),17.53)</f>
        <v>17.53</v>
      </c>
      <c r="F1516" s="12" t="str">
        <f t="shared" ca="1" si="42"/>
        <v/>
      </c>
      <c r="G1516" s="13">
        <f ca="1">IFERROR(__xludf.DUMMYFUNCTION("GOOGLEFINANCE(A1516,""CLOSEYEST"")"),17.55)</f>
        <v>17.55</v>
      </c>
      <c r="H1516" s="14" t="str">
        <f t="shared" ca="1" si="48"/>
        <v/>
      </c>
      <c r="I1516" s="15">
        <f t="shared" ca="1" si="43"/>
        <v>17.763333333333335</v>
      </c>
      <c r="J1516" s="16">
        <f t="shared" ca="1" si="44"/>
        <v>17.99666666666667</v>
      </c>
      <c r="K1516" s="16"/>
      <c r="L1516" s="16">
        <f t="shared" ca="1" si="45"/>
        <v>17.31666666666667</v>
      </c>
      <c r="M1516" s="16">
        <f t="shared" ca="1" si="46"/>
        <v>18.443333333333335</v>
      </c>
      <c r="N1516" s="16">
        <f t="shared" ca="1" si="47"/>
        <v>17.083333333333336</v>
      </c>
    </row>
    <row r="1517" spans="1:14" ht="24.75" customHeight="1" x14ac:dyDescent="0.8">
      <c r="A1517" s="18" t="s">
        <v>1480</v>
      </c>
      <c r="B1517" s="10">
        <f ca="1">IFERROR(__xludf.DUMMYFUNCTION("GOOGLEFINANCE(A1517,""PRICE"")"),3950)</f>
        <v>3950</v>
      </c>
      <c r="C1517" s="11">
        <f ca="1">IFERROR(__xludf.DUMMYFUNCTION("GOOGLEFINANCE(A1517,""PRICEOPEN"")"),3899)</f>
        <v>3899</v>
      </c>
      <c r="D1517" s="11">
        <f ca="1">IFERROR(__xludf.DUMMYFUNCTION("GOOGLEFINANCE(A1517,""HIGH"")"),3989.8)</f>
        <v>3989.8</v>
      </c>
      <c r="E1517" s="11">
        <f ca="1">IFERROR(__xludf.DUMMYFUNCTION("GOOGLEFINANCE(A1517,""LOW"")"),3806)</f>
        <v>3806</v>
      </c>
      <c r="F1517" s="12" t="str">
        <f t="shared" ca="1" si="42"/>
        <v/>
      </c>
      <c r="G1517" s="13">
        <f ca="1">IFERROR(__xludf.DUMMYFUNCTION("GOOGLEFINANCE(A1517,""CLOSEYEST"")"),3893.6)</f>
        <v>3893.6</v>
      </c>
      <c r="H1517" s="14" t="str">
        <f t="shared" ca="1" si="48"/>
        <v/>
      </c>
      <c r="I1517" s="15">
        <f t="shared" ca="1" si="43"/>
        <v>3896.4666666666667</v>
      </c>
      <c r="J1517" s="16">
        <f t="shared" ca="1" si="44"/>
        <v>3986.9333333333334</v>
      </c>
      <c r="K1517" s="16"/>
      <c r="L1517" s="16">
        <f t="shared" ca="1" si="45"/>
        <v>3803.1333333333332</v>
      </c>
      <c r="M1517" s="16">
        <f t="shared" ca="1" si="46"/>
        <v>4080.2666666666669</v>
      </c>
      <c r="N1517" s="16">
        <f t="shared" ca="1" si="47"/>
        <v>3712.6666666666665</v>
      </c>
    </row>
    <row r="1518" spans="1:14" ht="24.75" customHeight="1" x14ac:dyDescent="0.8">
      <c r="A1518" s="18" t="s">
        <v>1481</v>
      </c>
      <c r="B1518" s="10">
        <f ca="1">IFERROR(__xludf.DUMMYFUNCTION("GOOGLEFINANCE(A1518,""PRICE"")"),101)</f>
        <v>101</v>
      </c>
      <c r="C1518" s="11">
        <f ca="1">IFERROR(__xludf.DUMMYFUNCTION("GOOGLEFINANCE(A1518,""PRICEOPEN"")"),98.66)</f>
        <v>98.66</v>
      </c>
      <c r="D1518" s="11">
        <f ca="1">IFERROR(__xludf.DUMMYFUNCTION("GOOGLEFINANCE(A1518,""HIGH"")"),102)</f>
        <v>102</v>
      </c>
      <c r="E1518" s="11">
        <f ca="1">IFERROR(__xludf.DUMMYFUNCTION("GOOGLEFINANCE(A1518,""LOW"")"),98.13)</f>
        <v>98.13</v>
      </c>
      <c r="F1518" s="12" t="str">
        <f t="shared" ca="1" si="42"/>
        <v/>
      </c>
      <c r="G1518" s="13">
        <f ca="1">IFERROR(__xludf.DUMMYFUNCTION("GOOGLEFINANCE(A1518,""CLOSEYEST"")"),99.75)</f>
        <v>99.75</v>
      </c>
      <c r="H1518" s="14" t="str">
        <f t="shared" ca="1" si="48"/>
        <v>GAP DOWN</v>
      </c>
      <c r="I1518" s="15">
        <f t="shared" ca="1" si="43"/>
        <v>99.96</v>
      </c>
      <c r="J1518" s="16">
        <f t="shared" ca="1" si="44"/>
        <v>101.78999999999999</v>
      </c>
      <c r="K1518" s="16"/>
      <c r="L1518" s="16">
        <f t="shared" ca="1" si="45"/>
        <v>97.919999999999987</v>
      </c>
      <c r="M1518" s="16">
        <f t="shared" ca="1" si="46"/>
        <v>103.83</v>
      </c>
      <c r="N1518" s="16">
        <f t="shared" ca="1" si="47"/>
        <v>96.089999999999989</v>
      </c>
    </row>
    <row r="1519" spans="1:14" ht="24.75" customHeight="1" x14ac:dyDescent="0.8">
      <c r="A1519" s="18" t="s">
        <v>1482</v>
      </c>
      <c r="B1519" s="10">
        <f ca="1">IFERROR(__xludf.DUMMYFUNCTION("GOOGLEFINANCE(A1519,""PRICE"")"),118.5)</f>
        <v>118.5</v>
      </c>
      <c r="C1519" s="11">
        <f ca="1">IFERROR(__xludf.DUMMYFUNCTION("GOOGLEFINANCE(A1519,""PRICEOPEN"")"),116.06)</f>
        <v>116.06</v>
      </c>
      <c r="D1519" s="11">
        <f ca="1">IFERROR(__xludf.DUMMYFUNCTION("GOOGLEFINANCE(A1519,""HIGH"")"),118.58)</f>
        <v>118.58</v>
      </c>
      <c r="E1519" s="11">
        <f ca="1">IFERROR(__xludf.DUMMYFUNCTION("GOOGLEFINANCE(A1519,""LOW"")"),116.06)</f>
        <v>116.06</v>
      </c>
      <c r="F1519" s="12" t="str">
        <f t="shared" ca="1" si="42"/>
        <v>BUY</v>
      </c>
      <c r="G1519" s="13">
        <f ca="1">IFERROR(__xludf.DUMMYFUNCTION("GOOGLEFINANCE(A1519,""CLOSEYEST"")"),116.32)</f>
        <v>116.32</v>
      </c>
      <c r="H1519" s="14" t="str">
        <f t="shared" ca="1" si="48"/>
        <v/>
      </c>
      <c r="I1519" s="15">
        <f t="shared" ca="1" si="43"/>
        <v>116.98666666666666</v>
      </c>
      <c r="J1519" s="16">
        <f t="shared" ca="1" si="44"/>
        <v>117.91333333333333</v>
      </c>
      <c r="K1519" s="16"/>
      <c r="L1519" s="16">
        <f t="shared" ca="1" si="45"/>
        <v>115.39333333333333</v>
      </c>
      <c r="M1519" s="16">
        <f t="shared" ca="1" si="46"/>
        <v>119.50666666666666</v>
      </c>
      <c r="N1519" s="16">
        <f t="shared" ca="1" si="47"/>
        <v>114.46666666666667</v>
      </c>
    </row>
    <row r="1520" spans="1:14" ht="24.75" customHeight="1" x14ac:dyDescent="0.8">
      <c r="A1520" s="18" t="s">
        <v>1483</v>
      </c>
      <c r="B1520" s="10">
        <f ca="1">IFERROR(__xludf.DUMMYFUNCTION("GOOGLEFINANCE(A1520,""PRICE"")"),0.33)</f>
        <v>0.33</v>
      </c>
      <c r="C1520" s="11">
        <f ca="1">IFERROR(__xludf.DUMMYFUNCTION("GOOGLEFINANCE(A1520,""PRICEOPEN"")"),0.32)</f>
        <v>0.32</v>
      </c>
      <c r="D1520" s="11">
        <f ca="1">IFERROR(__xludf.DUMMYFUNCTION("GOOGLEFINANCE(A1520,""HIGH"")"),0.33)</f>
        <v>0.33</v>
      </c>
      <c r="E1520" s="11">
        <f ca="1">IFERROR(__xludf.DUMMYFUNCTION("GOOGLEFINANCE(A1520,""LOW"")"),0.32)</f>
        <v>0.32</v>
      </c>
      <c r="F1520" s="12" t="str">
        <f t="shared" ca="1" si="42"/>
        <v>BUY</v>
      </c>
      <c r="G1520" s="13">
        <f ca="1">IFERROR(__xludf.DUMMYFUNCTION("GOOGLEFINANCE(A1520,""CLOSEYEST"")"),0.32)</f>
        <v>0.32</v>
      </c>
      <c r="H1520" s="14" t="str">
        <f t="shared" ca="1" si="48"/>
        <v/>
      </c>
      <c r="I1520" s="15">
        <f t="shared" ca="1" si="43"/>
        <v>0.32333333333333331</v>
      </c>
      <c r="J1520" s="16">
        <f t="shared" ca="1" si="44"/>
        <v>0.32666666666666661</v>
      </c>
      <c r="K1520" s="16"/>
      <c r="L1520" s="16">
        <f t="shared" ca="1" si="45"/>
        <v>0.3166666666666666</v>
      </c>
      <c r="M1520" s="16">
        <f t="shared" ca="1" si="46"/>
        <v>0.33333333333333331</v>
      </c>
      <c r="N1520" s="16">
        <f t="shared" ca="1" si="47"/>
        <v>0.3133333333333333</v>
      </c>
    </row>
    <row r="1521" spans="1:14" ht="24.75" customHeight="1" x14ac:dyDescent="0.8">
      <c r="A1521" s="18" t="s">
        <v>1484</v>
      </c>
      <c r="B1521" s="10">
        <f ca="1">IFERROR(__xludf.DUMMYFUNCTION("GOOGLEFINANCE(A1521,""PRICE"")"),17.45)</f>
        <v>17.45</v>
      </c>
      <c r="C1521" s="11">
        <f ca="1">IFERROR(__xludf.DUMMYFUNCTION("GOOGLEFINANCE(A1521,""PRICEOPEN"")"),17.99)</f>
        <v>17.989999999999998</v>
      </c>
      <c r="D1521" s="11">
        <f ca="1">IFERROR(__xludf.DUMMYFUNCTION("GOOGLEFINANCE(A1521,""HIGH"")"),17.99)</f>
        <v>17.989999999999998</v>
      </c>
      <c r="E1521" s="11">
        <f ca="1">IFERROR(__xludf.DUMMYFUNCTION("GOOGLEFINANCE(A1521,""LOW"")"),17.06)</f>
        <v>17.059999999999999</v>
      </c>
      <c r="F1521" s="12" t="str">
        <f t="shared" ca="1" si="42"/>
        <v>SELL</v>
      </c>
      <c r="G1521" s="13">
        <f ca="1">IFERROR(__xludf.DUMMYFUNCTION("GOOGLEFINANCE(A1521,""CLOSEYEST"")"),17.77)</f>
        <v>17.77</v>
      </c>
      <c r="H1521" s="14" t="str">
        <f t="shared" ca="1" si="48"/>
        <v>GAP UP</v>
      </c>
      <c r="I1521" s="15">
        <f t="shared" ca="1" si="43"/>
        <v>17.606666666666666</v>
      </c>
      <c r="J1521" s="16">
        <f t="shared" ca="1" si="44"/>
        <v>18.153333333333332</v>
      </c>
      <c r="K1521" s="16"/>
      <c r="L1521" s="16">
        <f t="shared" ca="1" si="45"/>
        <v>17.223333333333333</v>
      </c>
      <c r="M1521" s="16">
        <f t="shared" ca="1" si="46"/>
        <v>18.536666666666665</v>
      </c>
      <c r="N1521" s="16">
        <f t="shared" ca="1" si="47"/>
        <v>16.676666666666666</v>
      </c>
    </row>
    <row r="1522" spans="1:14" ht="24.75" customHeight="1" x14ac:dyDescent="0.8">
      <c r="A1522" s="18" t="s">
        <v>1485</v>
      </c>
      <c r="B1522" s="10">
        <f ca="1">IFERROR(__xludf.DUMMYFUNCTION("GOOGLEFINANCE(A1522,""PRICE"")"),253)</f>
        <v>253</v>
      </c>
      <c r="C1522" s="11">
        <f ca="1">IFERROR(__xludf.DUMMYFUNCTION("GOOGLEFINANCE(A1522,""PRICEOPEN"")"),250.5)</f>
        <v>250.5</v>
      </c>
      <c r="D1522" s="11">
        <f ca="1">IFERROR(__xludf.DUMMYFUNCTION("GOOGLEFINANCE(A1522,""HIGH"")"),254.5)</f>
        <v>254.5</v>
      </c>
      <c r="E1522" s="11">
        <f ca="1">IFERROR(__xludf.DUMMYFUNCTION("GOOGLEFINANCE(A1522,""LOW"")"),250)</f>
        <v>250</v>
      </c>
      <c r="F1522" s="12" t="str">
        <f t="shared" ca="1" si="42"/>
        <v/>
      </c>
      <c r="G1522" s="13">
        <f ca="1">IFERROR(__xludf.DUMMYFUNCTION("GOOGLEFINANCE(A1522,""CLOSEYEST"")"),250.5)</f>
        <v>250.5</v>
      </c>
      <c r="H1522" s="14" t="str">
        <f t="shared" ca="1" si="48"/>
        <v/>
      </c>
      <c r="I1522" s="15">
        <f t="shared" ca="1" si="43"/>
        <v>251.66666666666666</v>
      </c>
      <c r="J1522" s="16">
        <f t="shared" ca="1" si="44"/>
        <v>253.33333333333331</v>
      </c>
      <c r="K1522" s="16"/>
      <c r="L1522" s="16">
        <f t="shared" ca="1" si="45"/>
        <v>248.83333333333331</v>
      </c>
      <c r="M1522" s="16">
        <f t="shared" ca="1" si="46"/>
        <v>256.16666666666663</v>
      </c>
      <c r="N1522" s="16">
        <f t="shared" ca="1" si="47"/>
        <v>247.16666666666666</v>
      </c>
    </row>
    <row r="1523" spans="1:14" ht="24.75" customHeight="1" x14ac:dyDescent="0.8">
      <c r="A1523" s="18" t="s">
        <v>1486</v>
      </c>
      <c r="B1523" s="10" t="str">
        <f ca="1">IFERROR(__xludf.DUMMYFUNCTION("GOOGLEFINANCE(A1523,""PRICE"")"),"#N/A")</f>
        <v>#N/A</v>
      </c>
      <c r="C1523" s="11" t="str">
        <f ca="1">IFERROR(__xludf.DUMMYFUNCTION("GOOGLEFINANCE(A1523,""PRICEOPEN"")"),"#N/A")</f>
        <v>#N/A</v>
      </c>
      <c r="D1523" s="11" t="str">
        <f ca="1">IFERROR(__xludf.DUMMYFUNCTION("GOOGLEFINANCE(A1523,""HIGH"")"),"#N/A")</f>
        <v>#N/A</v>
      </c>
      <c r="E1523" s="11" t="str">
        <f ca="1">IFERROR(__xludf.DUMMYFUNCTION("GOOGLEFINANCE(A1523,""LOW"")"),"#N/A")</f>
        <v>#N/A</v>
      </c>
      <c r="F1523" s="12" t="str">
        <f t="shared" ca="1" si="42"/>
        <v>SELL</v>
      </c>
      <c r="G1523" s="13" t="str">
        <f ca="1">IFERROR(__xludf.DUMMYFUNCTION("GOOGLEFINANCE(A1523,""CLOSEYEST"")"),"#N/A")</f>
        <v>#N/A</v>
      </c>
      <c r="H1523" s="14" t="e">
        <f t="shared" ca="1" si="48"/>
        <v>#VALUE!</v>
      </c>
      <c r="I1523" s="15" t="e">
        <f t="shared" ca="1" si="43"/>
        <v>#VALUE!</v>
      </c>
      <c r="J1523" s="16" t="e">
        <f t="shared" ca="1" si="44"/>
        <v>#VALUE!</v>
      </c>
      <c r="K1523" s="16"/>
      <c r="L1523" s="16" t="e">
        <f t="shared" ca="1" si="45"/>
        <v>#VALUE!</v>
      </c>
      <c r="M1523" s="16" t="e">
        <f t="shared" ca="1" si="46"/>
        <v>#VALUE!</v>
      </c>
      <c r="N1523" s="16" t="e">
        <f t="shared" ca="1" si="47"/>
        <v>#VALUE!</v>
      </c>
    </row>
    <row r="1524" spans="1:14" ht="24.75" customHeight="1" x14ac:dyDescent="0.8">
      <c r="A1524" s="18" t="s">
        <v>1487</v>
      </c>
      <c r="B1524" s="10">
        <f ca="1">IFERROR(__xludf.DUMMYFUNCTION("GOOGLEFINANCE(A1524,""PRICE"")"),29.32)</f>
        <v>29.32</v>
      </c>
      <c r="C1524" s="11">
        <f ca="1">IFERROR(__xludf.DUMMYFUNCTION("GOOGLEFINANCE(A1524,""PRICEOPEN"")"),27.35)</f>
        <v>27.35</v>
      </c>
      <c r="D1524" s="11">
        <f ca="1">IFERROR(__xludf.DUMMYFUNCTION("GOOGLEFINANCE(A1524,""HIGH"")"),29.32)</f>
        <v>29.32</v>
      </c>
      <c r="E1524" s="11">
        <f ca="1">IFERROR(__xludf.DUMMYFUNCTION("GOOGLEFINANCE(A1524,""LOW"")"),27.25)</f>
        <v>27.25</v>
      </c>
      <c r="F1524" s="12" t="str">
        <f t="shared" ca="1" si="42"/>
        <v/>
      </c>
      <c r="G1524" s="13">
        <f ca="1">IFERROR(__xludf.DUMMYFUNCTION("GOOGLEFINANCE(A1524,""CLOSEYEST"")"),27.93)</f>
        <v>27.93</v>
      </c>
      <c r="H1524" s="14" t="str">
        <f t="shared" ca="1" si="48"/>
        <v>GAP DOWN</v>
      </c>
      <c r="I1524" s="15">
        <f t="shared" ca="1" si="43"/>
        <v>28.166666666666668</v>
      </c>
      <c r="J1524" s="16">
        <f t="shared" ca="1" si="44"/>
        <v>29.083333333333336</v>
      </c>
      <c r="K1524" s="16"/>
      <c r="L1524" s="16">
        <f t="shared" ca="1" si="45"/>
        <v>27.013333333333335</v>
      </c>
      <c r="M1524" s="16">
        <f t="shared" ca="1" si="46"/>
        <v>30.236666666666668</v>
      </c>
      <c r="N1524" s="16">
        <f t="shared" ca="1" si="47"/>
        <v>26.096666666666668</v>
      </c>
    </row>
    <row r="1525" spans="1:14" ht="24.75" customHeight="1" x14ac:dyDescent="0.8">
      <c r="A1525" s="18" t="s">
        <v>1488</v>
      </c>
      <c r="B1525" s="10" t="str">
        <f ca="1">IFERROR(__xludf.DUMMYFUNCTION("GOOGLEFINANCE(A1525,""PRICE"")"),"#N/A")</f>
        <v>#N/A</v>
      </c>
      <c r="C1525" s="11" t="str">
        <f ca="1">IFERROR(__xludf.DUMMYFUNCTION("GOOGLEFINANCE(A1525,""PRICEOPEN"")"),"#N/A")</f>
        <v>#N/A</v>
      </c>
      <c r="D1525" s="11" t="str">
        <f ca="1">IFERROR(__xludf.DUMMYFUNCTION("GOOGLEFINANCE(A1525,""HIGH"")"),"#N/A")</f>
        <v>#N/A</v>
      </c>
      <c r="E1525" s="11" t="str">
        <f ca="1">IFERROR(__xludf.DUMMYFUNCTION("GOOGLEFINANCE(A1525,""LOW"")"),"#N/A")</f>
        <v>#N/A</v>
      </c>
      <c r="F1525" s="12" t="str">
        <f t="shared" ca="1" si="42"/>
        <v>SELL</v>
      </c>
      <c r="G1525" s="13" t="str">
        <f ca="1">IFERROR(__xludf.DUMMYFUNCTION("GOOGLEFINANCE(A1525,""CLOSEYEST"")"),"#N/A")</f>
        <v>#N/A</v>
      </c>
      <c r="H1525" s="14" t="e">
        <f t="shared" ca="1" si="48"/>
        <v>#VALUE!</v>
      </c>
      <c r="I1525" s="15" t="e">
        <f t="shared" ca="1" si="43"/>
        <v>#VALUE!</v>
      </c>
      <c r="J1525" s="16" t="e">
        <f t="shared" ca="1" si="44"/>
        <v>#VALUE!</v>
      </c>
      <c r="K1525" s="16"/>
      <c r="L1525" s="16" t="e">
        <f t="shared" ca="1" si="45"/>
        <v>#VALUE!</v>
      </c>
      <c r="M1525" s="16" t="e">
        <f t="shared" ca="1" si="46"/>
        <v>#VALUE!</v>
      </c>
      <c r="N1525" s="16" t="e">
        <f t="shared" ca="1" si="47"/>
        <v>#VALUE!</v>
      </c>
    </row>
    <row r="1526" spans="1:14" ht="24.75" customHeight="1" x14ac:dyDescent="0.8">
      <c r="A1526" s="18" t="s">
        <v>1489</v>
      </c>
      <c r="B1526" s="10">
        <f ca="1">IFERROR(__xludf.DUMMYFUNCTION("GOOGLEFINANCE(A1526,""PRICE"")"),70.27)</f>
        <v>70.27</v>
      </c>
      <c r="C1526" s="11">
        <f ca="1">IFERROR(__xludf.DUMMYFUNCTION("GOOGLEFINANCE(A1526,""PRICEOPEN"")"),71.59)</f>
        <v>71.59</v>
      </c>
      <c r="D1526" s="11">
        <f ca="1">IFERROR(__xludf.DUMMYFUNCTION("GOOGLEFINANCE(A1526,""HIGH"")"),72.94)</f>
        <v>72.94</v>
      </c>
      <c r="E1526" s="11">
        <f ca="1">IFERROR(__xludf.DUMMYFUNCTION("GOOGLEFINANCE(A1526,""LOW"")"),70.02)</f>
        <v>70.02</v>
      </c>
      <c r="F1526" s="12" t="str">
        <f t="shared" ca="1" si="42"/>
        <v/>
      </c>
      <c r="G1526" s="13">
        <f ca="1">IFERROR(__xludf.DUMMYFUNCTION("GOOGLEFINANCE(A1526,""CLOSEYEST"")"),71.53)</f>
        <v>71.53</v>
      </c>
      <c r="H1526" s="14" t="str">
        <f t="shared" ca="1" si="48"/>
        <v/>
      </c>
      <c r="I1526" s="15">
        <f t="shared" ca="1" si="43"/>
        <v>71.496666666666655</v>
      </c>
      <c r="J1526" s="16">
        <f t="shared" ca="1" si="44"/>
        <v>72.973333333333315</v>
      </c>
      <c r="K1526" s="16"/>
      <c r="L1526" s="16">
        <f t="shared" ca="1" si="45"/>
        <v>70.053333333333313</v>
      </c>
      <c r="M1526" s="16">
        <f t="shared" ca="1" si="46"/>
        <v>74.416666666666657</v>
      </c>
      <c r="N1526" s="16">
        <f t="shared" ca="1" si="47"/>
        <v>68.576666666666654</v>
      </c>
    </row>
    <row r="1527" spans="1:14" ht="24.75" customHeight="1" x14ac:dyDescent="0.8">
      <c r="A1527" s="18" t="s">
        <v>1490</v>
      </c>
      <c r="B1527" s="10">
        <f ca="1">IFERROR(__xludf.DUMMYFUNCTION("GOOGLEFINANCE(A1527,""PRICE"")"),192.6)</f>
        <v>192.6</v>
      </c>
      <c r="C1527" s="11">
        <f ca="1">IFERROR(__xludf.DUMMYFUNCTION("GOOGLEFINANCE(A1527,""PRICEOPEN"")"),190)</f>
        <v>190</v>
      </c>
      <c r="D1527" s="11">
        <f ca="1">IFERROR(__xludf.DUMMYFUNCTION("GOOGLEFINANCE(A1527,""HIGH"")"),198.69)</f>
        <v>198.69</v>
      </c>
      <c r="E1527" s="11">
        <f ca="1">IFERROR(__xludf.DUMMYFUNCTION("GOOGLEFINANCE(A1527,""LOW"")"),188.1)</f>
        <v>188.1</v>
      </c>
      <c r="F1527" s="12" t="str">
        <f t="shared" ca="1" si="42"/>
        <v/>
      </c>
      <c r="G1527" s="13">
        <f ca="1">IFERROR(__xludf.DUMMYFUNCTION("GOOGLEFINANCE(A1527,""CLOSEYEST"")"),191.41)</f>
        <v>191.41</v>
      </c>
      <c r="H1527" s="14" t="str">
        <f t="shared" ca="1" si="48"/>
        <v/>
      </c>
      <c r="I1527" s="15">
        <f t="shared" ca="1" si="43"/>
        <v>192.73333333333332</v>
      </c>
      <c r="J1527" s="16">
        <f t="shared" ca="1" si="44"/>
        <v>197.36666666666665</v>
      </c>
      <c r="K1527" s="16"/>
      <c r="L1527" s="16">
        <f t="shared" ca="1" si="45"/>
        <v>186.77666666666664</v>
      </c>
      <c r="M1527" s="16">
        <f t="shared" ca="1" si="46"/>
        <v>203.32333333333332</v>
      </c>
      <c r="N1527" s="16">
        <f t="shared" ca="1" si="47"/>
        <v>182.14333333333332</v>
      </c>
    </row>
    <row r="1528" spans="1:14" ht="24.75" customHeight="1" x14ac:dyDescent="0.8">
      <c r="A1528" s="18" t="s">
        <v>1491</v>
      </c>
      <c r="B1528" s="10">
        <f ca="1">IFERROR(__xludf.DUMMYFUNCTION("GOOGLEFINANCE(A1528,""PRICE"")"),33.99)</f>
        <v>33.99</v>
      </c>
      <c r="C1528" s="11">
        <f ca="1">IFERROR(__xludf.DUMMYFUNCTION("GOOGLEFINANCE(A1528,""PRICEOPEN"")"),34)</f>
        <v>34</v>
      </c>
      <c r="D1528" s="11">
        <f ca="1">IFERROR(__xludf.DUMMYFUNCTION("GOOGLEFINANCE(A1528,""HIGH"")"),34)</f>
        <v>34</v>
      </c>
      <c r="E1528" s="11">
        <f ca="1">IFERROR(__xludf.DUMMYFUNCTION("GOOGLEFINANCE(A1528,""LOW"")"),33.2)</f>
        <v>33.200000000000003</v>
      </c>
      <c r="F1528" s="12" t="str">
        <f t="shared" ca="1" si="42"/>
        <v>SELL</v>
      </c>
      <c r="G1528" s="13">
        <f ca="1">IFERROR(__xludf.DUMMYFUNCTION("GOOGLEFINANCE(A1528,""CLOSEYEST"")"),33.99)</f>
        <v>33.99</v>
      </c>
      <c r="H1528" s="14" t="str">
        <f t="shared" ca="1" si="48"/>
        <v/>
      </c>
      <c r="I1528" s="15">
        <f t="shared" ca="1" si="43"/>
        <v>33.729999999999997</v>
      </c>
      <c r="J1528" s="16">
        <f t="shared" ca="1" si="44"/>
        <v>34.259999999999991</v>
      </c>
      <c r="K1528" s="16"/>
      <c r="L1528" s="16">
        <f t="shared" ca="1" si="45"/>
        <v>33.459999999999994</v>
      </c>
      <c r="M1528" s="16">
        <f t="shared" ca="1" si="46"/>
        <v>34.529999999999994</v>
      </c>
      <c r="N1528" s="16">
        <f t="shared" ca="1" si="47"/>
        <v>32.93</v>
      </c>
    </row>
    <row r="1529" spans="1:14" ht="24.75" customHeight="1" x14ac:dyDescent="0.8">
      <c r="A1529" s="18" t="s">
        <v>1492</v>
      </c>
      <c r="B1529" s="10">
        <f ca="1">IFERROR(__xludf.DUMMYFUNCTION("GOOGLEFINANCE(A1529,""PRICE"")"),120)</f>
        <v>120</v>
      </c>
      <c r="C1529" s="11">
        <f ca="1">IFERROR(__xludf.DUMMYFUNCTION("GOOGLEFINANCE(A1529,""PRICEOPEN"")"),124.29)</f>
        <v>124.29</v>
      </c>
      <c r="D1529" s="11">
        <f ca="1">IFERROR(__xludf.DUMMYFUNCTION("GOOGLEFINANCE(A1529,""HIGH"")"),124.99)</f>
        <v>124.99</v>
      </c>
      <c r="E1529" s="11">
        <f ca="1">IFERROR(__xludf.DUMMYFUNCTION("GOOGLEFINANCE(A1529,""LOW"")"),120)</f>
        <v>120</v>
      </c>
      <c r="F1529" s="12" t="str">
        <f t="shared" ca="1" si="42"/>
        <v/>
      </c>
      <c r="G1529" s="13">
        <f ca="1">IFERROR(__xludf.DUMMYFUNCTION("GOOGLEFINANCE(A1529,""CLOSEYEST"")"),122.81)</f>
        <v>122.81</v>
      </c>
      <c r="H1529" s="14" t="str">
        <f t="shared" ca="1" si="48"/>
        <v>GAP UP</v>
      </c>
      <c r="I1529" s="15">
        <f t="shared" ca="1" si="43"/>
        <v>122.60000000000001</v>
      </c>
      <c r="J1529" s="16">
        <f t="shared" ca="1" si="44"/>
        <v>125.20000000000002</v>
      </c>
      <c r="K1529" s="16"/>
      <c r="L1529" s="16">
        <f t="shared" ca="1" si="45"/>
        <v>120.21000000000002</v>
      </c>
      <c r="M1529" s="16">
        <f t="shared" ca="1" si="46"/>
        <v>127.59</v>
      </c>
      <c r="N1529" s="16">
        <f t="shared" ca="1" si="47"/>
        <v>117.61000000000001</v>
      </c>
    </row>
    <row r="1530" spans="1:14" ht="24.75" customHeight="1" x14ac:dyDescent="0.8">
      <c r="A1530" s="18" t="s">
        <v>1493</v>
      </c>
      <c r="B1530" s="10">
        <f ca="1">IFERROR(__xludf.DUMMYFUNCTION("GOOGLEFINANCE(A1530,""PRICE"")"),37.4)</f>
        <v>37.4</v>
      </c>
      <c r="C1530" s="11">
        <f ca="1">IFERROR(__xludf.DUMMYFUNCTION("GOOGLEFINANCE(A1530,""PRICEOPEN"")"),36)</f>
        <v>36</v>
      </c>
      <c r="D1530" s="11">
        <f ca="1">IFERROR(__xludf.DUMMYFUNCTION("GOOGLEFINANCE(A1530,""HIGH"")"),37.4)</f>
        <v>37.4</v>
      </c>
      <c r="E1530" s="11">
        <f ca="1">IFERROR(__xludf.DUMMYFUNCTION("GOOGLEFINANCE(A1530,""LOW"")"),35.76)</f>
        <v>35.76</v>
      </c>
      <c r="F1530" s="12" t="str">
        <f t="shared" ca="1" si="42"/>
        <v/>
      </c>
      <c r="G1530" s="13">
        <f ca="1">IFERROR(__xludf.DUMMYFUNCTION("GOOGLEFINANCE(A1530,""CLOSEYEST"")"),35.75)</f>
        <v>35.75</v>
      </c>
      <c r="H1530" s="14" t="str">
        <f t="shared" ca="1" si="48"/>
        <v/>
      </c>
      <c r="I1530" s="15">
        <f t="shared" ca="1" si="43"/>
        <v>36.303333333333335</v>
      </c>
      <c r="J1530" s="16">
        <f t="shared" ca="1" si="44"/>
        <v>36.846666666666671</v>
      </c>
      <c r="K1530" s="16"/>
      <c r="L1530" s="16">
        <f t="shared" ca="1" si="45"/>
        <v>35.206666666666671</v>
      </c>
      <c r="M1530" s="16">
        <f t="shared" ca="1" si="46"/>
        <v>37.943333333333335</v>
      </c>
      <c r="N1530" s="16">
        <f t="shared" ca="1" si="47"/>
        <v>34.663333333333334</v>
      </c>
    </row>
    <row r="1531" spans="1:14" ht="24.75" customHeight="1" x14ac:dyDescent="0.8">
      <c r="A1531" s="18" t="s">
        <v>1494</v>
      </c>
      <c r="B1531" s="10">
        <f ca="1">IFERROR(__xludf.DUMMYFUNCTION("GOOGLEFINANCE(A1531,""PRICE"")"),27.74)</f>
        <v>27.74</v>
      </c>
      <c r="C1531" s="11">
        <f ca="1">IFERROR(__xludf.DUMMYFUNCTION("GOOGLEFINANCE(A1531,""PRICEOPEN"")"),29.2)</f>
        <v>29.2</v>
      </c>
      <c r="D1531" s="11">
        <f ca="1">IFERROR(__xludf.DUMMYFUNCTION("GOOGLEFINANCE(A1531,""HIGH"")"),29.5)</f>
        <v>29.5</v>
      </c>
      <c r="E1531" s="11">
        <f ca="1">IFERROR(__xludf.DUMMYFUNCTION("GOOGLEFINANCE(A1531,""LOW"")"),27.74)</f>
        <v>27.74</v>
      </c>
      <c r="F1531" s="12" t="str">
        <f t="shared" ca="1" si="42"/>
        <v/>
      </c>
      <c r="G1531" s="13">
        <f ca="1">IFERROR(__xludf.DUMMYFUNCTION("GOOGLEFINANCE(A1531,""CLOSEYEST"")"),29.2)</f>
        <v>29.2</v>
      </c>
      <c r="H1531" s="14" t="str">
        <f t="shared" ca="1" si="48"/>
        <v/>
      </c>
      <c r="I1531" s="15">
        <f t="shared" ca="1" si="43"/>
        <v>28.813333333333333</v>
      </c>
      <c r="J1531" s="16">
        <f t="shared" ca="1" si="44"/>
        <v>29.886666666666667</v>
      </c>
      <c r="K1531" s="16"/>
      <c r="L1531" s="16">
        <f t="shared" ca="1" si="45"/>
        <v>28.126666666666665</v>
      </c>
      <c r="M1531" s="16">
        <f t="shared" ca="1" si="46"/>
        <v>30.573333333333334</v>
      </c>
      <c r="N1531" s="16">
        <f t="shared" ca="1" si="47"/>
        <v>27.053333333333331</v>
      </c>
    </row>
    <row r="1532" spans="1:14" ht="24.75" customHeight="1" x14ac:dyDescent="0.8">
      <c r="A1532" s="18" t="s">
        <v>1495</v>
      </c>
      <c r="B1532" s="10">
        <f ca="1">IFERROR(__xludf.DUMMYFUNCTION("GOOGLEFINANCE(A1532,""PRICE"")"),1025)</f>
        <v>1025</v>
      </c>
      <c r="C1532" s="11">
        <f ca="1">IFERROR(__xludf.DUMMYFUNCTION("GOOGLEFINANCE(A1532,""PRICEOPEN"")"),1039.5)</f>
        <v>1039.5</v>
      </c>
      <c r="D1532" s="11">
        <f ca="1">IFERROR(__xludf.DUMMYFUNCTION("GOOGLEFINANCE(A1532,""HIGH"")"),1039.5)</f>
        <v>1039.5</v>
      </c>
      <c r="E1532" s="11">
        <f ca="1">IFERROR(__xludf.DUMMYFUNCTION("GOOGLEFINANCE(A1532,""LOW"")"),1025)</f>
        <v>1025</v>
      </c>
      <c r="F1532" s="12" t="str">
        <f t="shared" ca="1" si="42"/>
        <v>SELL</v>
      </c>
      <c r="G1532" s="13">
        <f ca="1">IFERROR(__xludf.DUMMYFUNCTION("GOOGLEFINANCE(A1532,""CLOSEYEST"")"),1039.5)</f>
        <v>1039.5</v>
      </c>
      <c r="H1532" s="14" t="str">
        <f t="shared" ca="1" si="48"/>
        <v/>
      </c>
      <c r="I1532" s="15">
        <f t="shared" ca="1" si="43"/>
        <v>1034.6666666666667</v>
      </c>
      <c r="J1532" s="16">
        <f t="shared" ca="1" si="44"/>
        <v>1044.3333333333335</v>
      </c>
      <c r="K1532" s="16"/>
      <c r="L1532" s="16">
        <f t="shared" ca="1" si="45"/>
        <v>1029.8333333333335</v>
      </c>
      <c r="M1532" s="16">
        <f t="shared" ca="1" si="46"/>
        <v>1049.1666666666667</v>
      </c>
      <c r="N1532" s="16">
        <f t="shared" ca="1" si="47"/>
        <v>1020.1666666666667</v>
      </c>
    </row>
    <row r="1533" spans="1:14" ht="24.75" customHeight="1" x14ac:dyDescent="0.8">
      <c r="A1533" s="18" t="s">
        <v>1496</v>
      </c>
      <c r="B1533" s="10">
        <f ca="1">IFERROR(__xludf.DUMMYFUNCTION("GOOGLEFINANCE(A1533,""PRICE"")"),82.22)</f>
        <v>82.22</v>
      </c>
      <c r="C1533" s="11">
        <f ca="1">IFERROR(__xludf.DUMMYFUNCTION("GOOGLEFINANCE(A1533,""PRICEOPEN"")"),83)</f>
        <v>83</v>
      </c>
      <c r="D1533" s="11">
        <f ca="1">IFERROR(__xludf.DUMMYFUNCTION("GOOGLEFINANCE(A1533,""HIGH"")"),83)</f>
        <v>83</v>
      </c>
      <c r="E1533" s="11">
        <f ca="1">IFERROR(__xludf.DUMMYFUNCTION("GOOGLEFINANCE(A1533,""LOW"")"),82.22)</f>
        <v>82.22</v>
      </c>
      <c r="F1533" s="12" t="str">
        <f t="shared" ca="1" si="42"/>
        <v>SELL</v>
      </c>
      <c r="G1533" s="13">
        <f ca="1">IFERROR(__xludf.DUMMYFUNCTION("GOOGLEFINANCE(A1533,""CLOSEYEST"")"),83.9)</f>
        <v>83.9</v>
      </c>
      <c r="H1533" s="14" t="str">
        <f t="shared" ca="1" si="48"/>
        <v>GAP DOWN</v>
      </c>
      <c r="I1533" s="15">
        <f t="shared" ca="1" si="43"/>
        <v>83.04</v>
      </c>
      <c r="J1533" s="16">
        <f t="shared" ca="1" si="44"/>
        <v>83.860000000000014</v>
      </c>
      <c r="K1533" s="16"/>
      <c r="L1533" s="16">
        <f t="shared" ca="1" si="45"/>
        <v>83.080000000000013</v>
      </c>
      <c r="M1533" s="16">
        <f t="shared" ca="1" si="46"/>
        <v>83.820000000000007</v>
      </c>
      <c r="N1533" s="16">
        <f t="shared" ca="1" si="47"/>
        <v>82.26</v>
      </c>
    </row>
    <row r="1534" spans="1:14" ht="24.75" customHeight="1" x14ac:dyDescent="0.8">
      <c r="A1534" s="18" t="s">
        <v>1497</v>
      </c>
      <c r="B1534" s="10">
        <f ca="1">IFERROR(__xludf.DUMMYFUNCTION("GOOGLEFINANCE(A1534,""PRICE"")"),47.16)</f>
        <v>47.16</v>
      </c>
      <c r="C1534" s="11">
        <f ca="1">IFERROR(__xludf.DUMMYFUNCTION("GOOGLEFINANCE(A1534,""PRICEOPEN"")"),47.1)</f>
        <v>47.1</v>
      </c>
      <c r="D1534" s="11">
        <f ca="1">IFERROR(__xludf.DUMMYFUNCTION("GOOGLEFINANCE(A1534,""HIGH"")"),49)</f>
        <v>49</v>
      </c>
      <c r="E1534" s="11">
        <f ca="1">IFERROR(__xludf.DUMMYFUNCTION("GOOGLEFINANCE(A1534,""LOW"")"),46)</f>
        <v>46</v>
      </c>
      <c r="F1534" s="12" t="str">
        <f t="shared" ca="1" si="42"/>
        <v/>
      </c>
      <c r="G1534" s="13">
        <f ca="1">IFERROR(__xludf.DUMMYFUNCTION("GOOGLEFINANCE(A1534,""CLOSEYEST"")"),46.4)</f>
        <v>46.4</v>
      </c>
      <c r="H1534" s="14" t="str">
        <f t="shared" ca="1" si="48"/>
        <v>GAP UP</v>
      </c>
      <c r="I1534" s="15">
        <f t="shared" ca="1" si="43"/>
        <v>47.133333333333333</v>
      </c>
      <c r="J1534" s="16">
        <f t="shared" ca="1" si="44"/>
        <v>48.266666666666666</v>
      </c>
      <c r="K1534" s="16"/>
      <c r="L1534" s="16">
        <f t="shared" ca="1" si="45"/>
        <v>45.266666666666666</v>
      </c>
      <c r="M1534" s="16">
        <f t="shared" ca="1" si="46"/>
        <v>50.133333333333333</v>
      </c>
      <c r="N1534" s="16">
        <f t="shared" ca="1" si="47"/>
        <v>44.133333333333333</v>
      </c>
    </row>
    <row r="1535" spans="1:14" ht="24.75" customHeight="1" x14ac:dyDescent="0.8">
      <c r="A1535" s="18" t="s">
        <v>1498</v>
      </c>
      <c r="B1535" s="10">
        <f ca="1">IFERROR(__xludf.DUMMYFUNCTION("GOOGLEFINANCE(A1535,""PRICE"")"),187)</f>
        <v>187</v>
      </c>
      <c r="C1535" s="11">
        <f ca="1">IFERROR(__xludf.DUMMYFUNCTION("GOOGLEFINANCE(A1535,""PRICEOPEN"")"),185.05)</f>
        <v>185.05</v>
      </c>
      <c r="D1535" s="11">
        <f ca="1">IFERROR(__xludf.DUMMYFUNCTION("GOOGLEFINANCE(A1535,""HIGH"")"),190.73)</f>
        <v>190.73</v>
      </c>
      <c r="E1535" s="11">
        <f ca="1">IFERROR(__xludf.DUMMYFUNCTION("GOOGLEFINANCE(A1535,""LOW"")"),185.05)</f>
        <v>185.05</v>
      </c>
      <c r="F1535" s="12" t="str">
        <f t="shared" ca="1" si="42"/>
        <v>BUY</v>
      </c>
      <c r="G1535" s="13">
        <f ca="1">IFERROR(__xludf.DUMMYFUNCTION("GOOGLEFINANCE(A1535,""CLOSEYEST"")"),186.01)</f>
        <v>186.01</v>
      </c>
      <c r="H1535" s="14" t="str">
        <f t="shared" ca="1" si="48"/>
        <v/>
      </c>
      <c r="I1535" s="15">
        <f t="shared" ca="1" si="43"/>
        <v>187.26333333333332</v>
      </c>
      <c r="J1535" s="16">
        <f t="shared" ca="1" si="44"/>
        <v>189.47666666666663</v>
      </c>
      <c r="K1535" s="16"/>
      <c r="L1535" s="16">
        <f t="shared" ca="1" si="45"/>
        <v>183.79666666666665</v>
      </c>
      <c r="M1535" s="16">
        <f t="shared" ca="1" si="46"/>
        <v>192.9433333333333</v>
      </c>
      <c r="N1535" s="16">
        <f t="shared" ca="1" si="47"/>
        <v>181.58333333333334</v>
      </c>
    </row>
    <row r="1536" spans="1:14" ht="24.75" customHeight="1" x14ac:dyDescent="0.8">
      <c r="A1536" s="18" t="s">
        <v>1499</v>
      </c>
      <c r="B1536" s="10">
        <f ca="1">IFERROR(__xludf.DUMMYFUNCTION("GOOGLEFINANCE(A1536,""PRICE"")"),36.9)</f>
        <v>36.9</v>
      </c>
      <c r="C1536" s="11">
        <f ca="1">IFERROR(__xludf.DUMMYFUNCTION("GOOGLEFINANCE(A1536,""PRICEOPEN"")"),35.49)</f>
        <v>35.49</v>
      </c>
      <c r="D1536" s="11">
        <f ca="1">IFERROR(__xludf.DUMMYFUNCTION("GOOGLEFINANCE(A1536,""HIGH"")"),37.47)</f>
        <v>37.47</v>
      </c>
      <c r="E1536" s="11">
        <f ca="1">IFERROR(__xludf.DUMMYFUNCTION("GOOGLEFINANCE(A1536,""LOW"")"),34.22)</f>
        <v>34.22</v>
      </c>
      <c r="F1536" s="12" t="str">
        <f t="shared" ca="1" si="42"/>
        <v/>
      </c>
      <c r="G1536" s="13">
        <f ca="1">IFERROR(__xludf.DUMMYFUNCTION("GOOGLEFINANCE(A1536,""CLOSEYEST"")"),35.69)</f>
        <v>35.69</v>
      </c>
      <c r="H1536" s="14" t="str">
        <f t="shared" ca="1" si="48"/>
        <v/>
      </c>
      <c r="I1536" s="15">
        <f t="shared" ca="1" si="43"/>
        <v>35.793333333333329</v>
      </c>
      <c r="J1536" s="16">
        <f t="shared" ca="1" si="44"/>
        <v>37.36666666666666</v>
      </c>
      <c r="K1536" s="16"/>
      <c r="L1536" s="16">
        <f t="shared" ca="1" si="45"/>
        <v>34.11666666666666</v>
      </c>
      <c r="M1536" s="16">
        <f t="shared" ca="1" si="46"/>
        <v>39.043333333333329</v>
      </c>
      <c r="N1536" s="16">
        <f t="shared" ca="1" si="47"/>
        <v>32.543333333333329</v>
      </c>
    </row>
    <row r="1537" spans="1:14" ht="24.75" customHeight="1" x14ac:dyDescent="0.8">
      <c r="A1537" s="18" t="s">
        <v>1500</v>
      </c>
      <c r="B1537" s="10">
        <f ca="1">IFERROR(__xludf.DUMMYFUNCTION("GOOGLEFINANCE(A1537,""PRICE"")"),129.65)</f>
        <v>129.65</v>
      </c>
      <c r="C1537" s="11">
        <f ca="1">IFERROR(__xludf.DUMMYFUNCTION("GOOGLEFINANCE(A1537,""PRICEOPEN"")"),123.1)</f>
        <v>123.1</v>
      </c>
      <c r="D1537" s="11">
        <f ca="1">IFERROR(__xludf.DUMMYFUNCTION("GOOGLEFINANCE(A1537,""HIGH"")"),129.75)</f>
        <v>129.75</v>
      </c>
      <c r="E1537" s="11">
        <f ca="1">IFERROR(__xludf.DUMMYFUNCTION("GOOGLEFINANCE(A1537,""LOW"")"),122.9)</f>
        <v>122.9</v>
      </c>
      <c r="F1537" s="12" t="str">
        <f t="shared" ca="1" si="42"/>
        <v/>
      </c>
      <c r="G1537" s="13">
        <f ca="1">IFERROR(__xludf.DUMMYFUNCTION("GOOGLEFINANCE(A1537,""CLOSEYEST"")"),121.86)</f>
        <v>121.86</v>
      </c>
      <c r="H1537" s="14" t="str">
        <f t="shared" ca="1" si="48"/>
        <v>GAP UP</v>
      </c>
      <c r="I1537" s="15">
        <f t="shared" ca="1" si="43"/>
        <v>124.83666666666666</v>
      </c>
      <c r="J1537" s="16">
        <f t="shared" ca="1" si="44"/>
        <v>126.77333333333331</v>
      </c>
      <c r="K1537" s="16"/>
      <c r="L1537" s="16">
        <f t="shared" ca="1" si="45"/>
        <v>119.92333333333332</v>
      </c>
      <c r="M1537" s="16">
        <f t="shared" ca="1" si="46"/>
        <v>131.68666666666667</v>
      </c>
      <c r="N1537" s="16">
        <f t="shared" ca="1" si="47"/>
        <v>117.98666666666666</v>
      </c>
    </row>
    <row r="1538" spans="1:14" ht="24.75" customHeight="1" x14ac:dyDescent="0.8">
      <c r="A1538" s="18" t="s">
        <v>1501</v>
      </c>
      <c r="B1538" s="10">
        <f ca="1">IFERROR(__xludf.DUMMYFUNCTION("GOOGLEFINANCE(A1538,""PRICE"")"),53.1)</f>
        <v>53.1</v>
      </c>
      <c r="C1538" s="11">
        <f ca="1">IFERROR(__xludf.DUMMYFUNCTION("GOOGLEFINANCE(A1538,""PRICEOPEN"")"),51.88)</f>
        <v>51.88</v>
      </c>
      <c r="D1538" s="11">
        <f ca="1">IFERROR(__xludf.DUMMYFUNCTION("GOOGLEFINANCE(A1538,""HIGH"")"),53.1)</f>
        <v>53.1</v>
      </c>
      <c r="E1538" s="11">
        <f ca="1">IFERROR(__xludf.DUMMYFUNCTION("GOOGLEFINANCE(A1538,""LOW"")"),51.23)</f>
        <v>51.23</v>
      </c>
      <c r="F1538" s="12" t="str">
        <f t="shared" ca="1" si="42"/>
        <v/>
      </c>
      <c r="G1538" s="13">
        <f ca="1">IFERROR(__xludf.DUMMYFUNCTION("GOOGLEFINANCE(A1538,""CLOSEYEST"")"),52.23)</f>
        <v>52.23</v>
      </c>
      <c r="H1538" s="14" t="str">
        <f t="shared" ca="1" si="48"/>
        <v/>
      </c>
      <c r="I1538" s="15">
        <f t="shared" ca="1" si="43"/>
        <v>52.186666666666667</v>
      </c>
      <c r="J1538" s="16">
        <f t="shared" ca="1" si="44"/>
        <v>53.143333333333338</v>
      </c>
      <c r="K1538" s="16"/>
      <c r="L1538" s="16">
        <f t="shared" ca="1" si="45"/>
        <v>51.273333333333333</v>
      </c>
      <c r="M1538" s="16">
        <f t="shared" ca="1" si="46"/>
        <v>54.056666666666672</v>
      </c>
      <c r="N1538" s="16">
        <f t="shared" ca="1" si="47"/>
        <v>50.316666666666663</v>
      </c>
    </row>
    <row r="1539" spans="1:14" ht="24.75" customHeight="1" x14ac:dyDescent="0.8">
      <c r="A1539" s="18" t="s">
        <v>1502</v>
      </c>
      <c r="B1539" s="10">
        <f ca="1">IFERROR(__xludf.DUMMYFUNCTION("GOOGLEFINANCE(A1539,""PRICE"")"),1)</f>
        <v>1</v>
      </c>
      <c r="C1539" s="11">
        <f ca="1">IFERROR(__xludf.DUMMYFUNCTION("GOOGLEFINANCE(A1539,""PRICEOPEN"")"),1)</f>
        <v>1</v>
      </c>
      <c r="D1539" s="11">
        <f ca="1">IFERROR(__xludf.DUMMYFUNCTION("GOOGLEFINANCE(A1539,""HIGH"")"),1.06)</f>
        <v>1.06</v>
      </c>
      <c r="E1539" s="11">
        <f ca="1">IFERROR(__xludf.DUMMYFUNCTION("GOOGLEFINANCE(A1539,""LOW"")"),0.97)</f>
        <v>0.97</v>
      </c>
      <c r="F1539" s="12" t="str">
        <f t="shared" ca="1" si="42"/>
        <v/>
      </c>
      <c r="G1539" s="13">
        <f ca="1">IFERROR(__xludf.DUMMYFUNCTION("GOOGLEFINANCE(A1539,""CLOSEYEST"")"),0.99)</f>
        <v>0.99</v>
      </c>
      <c r="H1539" s="14" t="str">
        <f t="shared" ca="1" si="48"/>
        <v>GAP UP</v>
      </c>
      <c r="I1539" s="15">
        <f t="shared" ca="1" si="43"/>
        <v>1.0066666666666668</v>
      </c>
      <c r="J1539" s="16">
        <f t="shared" ca="1" si="44"/>
        <v>1.0433333333333337</v>
      </c>
      <c r="K1539" s="16"/>
      <c r="L1539" s="16">
        <f t="shared" ca="1" si="45"/>
        <v>0.95333333333333359</v>
      </c>
      <c r="M1539" s="16">
        <f t="shared" ca="1" si="46"/>
        <v>1.0966666666666669</v>
      </c>
      <c r="N1539" s="16">
        <f t="shared" ca="1" si="47"/>
        <v>0.91666666666666674</v>
      </c>
    </row>
    <row r="1540" spans="1:14" ht="24.75" customHeight="1" x14ac:dyDescent="0.8">
      <c r="A1540" s="18" t="s">
        <v>1503</v>
      </c>
      <c r="B1540" s="10">
        <f ca="1">IFERROR(__xludf.DUMMYFUNCTION("GOOGLEFINANCE(A1540,""PRICE"")"),73.08)</f>
        <v>73.08</v>
      </c>
      <c r="C1540" s="11">
        <f ca="1">IFERROR(__xludf.DUMMYFUNCTION("GOOGLEFINANCE(A1540,""PRICEOPEN"")"),72.25)</f>
        <v>72.25</v>
      </c>
      <c r="D1540" s="11">
        <f ca="1">IFERROR(__xludf.DUMMYFUNCTION("GOOGLEFINANCE(A1540,""HIGH"")"),73.08)</f>
        <v>73.08</v>
      </c>
      <c r="E1540" s="11">
        <f ca="1">IFERROR(__xludf.DUMMYFUNCTION("GOOGLEFINANCE(A1540,""LOW"")"),71.55)</f>
        <v>71.55</v>
      </c>
      <c r="F1540" s="12" t="str">
        <f t="shared" ca="1" si="42"/>
        <v/>
      </c>
      <c r="G1540" s="13">
        <f ca="1">IFERROR(__xludf.DUMMYFUNCTION("GOOGLEFINANCE(A1540,""CLOSEYEST"")"),72.22)</f>
        <v>72.22</v>
      </c>
      <c r="H1540" s="14" t="str">
        <f t="shared" ca="1" si="48"/>
        <v/>
      </c>
      <c r="I1540" s="15">
        <f t="shared" ca="1" si="43"/>
        <v>72.283333333333331</v>
      </c>
      <c r="J1540" s="16">
        <f t="shared" ca="1" si="44"/>
        <v>73.016666666666666</v>
      </c>
      <c r="K1540" s="16"/>
      <c r="L1540" s="16">
        <f t="shared" ca="1" si="45"/>
        <v>71.486666666666665</v>
      </c>
      <c r="M1540" s="16">
        <f t="shared" ca="1" si="46"/>
        <v>73.813333333333333</v>
      </c>
      <c r="N1540" s="16">
        <f t="shared" ca="1" si="47"/>
        <v>70.75333333333333</v>
      </c>
    </row>
    <row r="1541" spans="1:14" ht="24.75" customHeight="1" x14ac:dyDescent="0.8">
      <c r="A1541" s="18" t="s">
        <v>1504</v>
      </c>
      <c r="B1541" s="10">
        <f ca="1">IFERROR(__xludf.DUMMYFUNCTION("GOOGLEFINANCE(A1541,""PRICE"")"),71.4)</f>
        <v>71.400000000000006</v>
      </c>
      <c r="C1541" s="11">
        <f ca="1">IFERROR(__xludf.DUMMYFUNCTION("GOOGLEFINANCE(A1541,""PRICEOPEN"")"),69.85)</f>
        <v>69.849999999999994</v>
      </c>
      <c r="D1541" s="11">
        <f ca="1">IFERROR(__xludf.DUMMYFUNCTION("GOOGLEFINANCE(A1541,""HIGH"")"),72)</f>
        <v>72</v>
      </c>
      <c r="E1541" s="11">
        <f ca="1">IFERROR(__xludf.DUMMYFUNCTION("GOOGLEFINANCE(A1541,""LOW"")"),69.52)</f>
        <v>69.52</v>
      </c>
      <c r="F1541" s="12" t="str">
        <f t="shared" ca="1" si="42"/>
        <v/>
      </c>
      <c r="G1541" s="13">
        <f ca="1">IFERROR(__xludf.DUMMYFUNCTION("GOOGLEFINANCE(A1541,""CLOSEYEST"")"),69.85)</f>
        <v>69.849999999999994</v>
      </c>
      <c r="H1541" s="14" t="str">
        <f t="shared" ca="1" si="48"/>
        <v/>
      </c>
      <c r="I1541" s="15">
        <f t="shared" ca="1" si="43"/>
        <v>70.456666666666663</v>
      </c>
      <c r="J1541" s="16">
        <f t="shared" ca="1" si="44"/>
        <v>71.393333333333331</v>
      </c>
      <c r="K1541" s="16"/>
      <c r="L1541" s="16">
        <f t="shared" ca="1" si="45"/>
        <v>68.913333333333327</v>
      </c>
      <c r="M1541" s="16">
        <f t="shared" ca="1" si="46"/>
        <v>72.936666666666667</v>
      </c>
      <c r="N1541" s="16">
        <f t="shared" ca="1" si="47"/>
        <v>67.976666666666659</v>
      </c>
    </row>
    <row r="1542" spans="1:14" ht="24.75" customHeight="1" x14ac:dyDescent="0.8">
      <c r="A1542" s="18" t="s">
        <v>1505</v>
      </c>
      <c r="B1542" s="10" t="str">
        <f ca="1">IFERROR(__xludf.DUMMYFUNCTION("GOOGLEFINANCE(A1542,""PRICE"")"),"#N/A")</f>
        <v>#N/A</v>
      </c>
      <c r="C1542" s="11" t="str">
        <f ca="1">IFERROR(__xludf.DUMMYFUNCTION("GOOGLEFINANCE(A1542,""PRICEOPEN"")"),"#N/A")</f>
        <v>#N/A</v>
      </c>
      <c r="D1542" s="11" t="str">
        <f ca="1">IFERROR(__xludf.DUMMYFUNCTION("GOOGLEFINANCE(A1542,""HIGH"")"),"#N/A")</f>
        <v>#N/A</v>
      </c>
      <c r="E1542" s="11" t="str">
        <f ca="1">IFERROR(__xludf.DUMMYFUNCTION("GOOGLEFINANCE(A1542,""LOW"")"),"#N/A")</f>
        <v>#N/A</v>
      </c>
      <c r="F1542" s="12" t="str">
        <f t="shared" ca="1" si="42"/>
        <v>SELL</v>
      </c>
      <c r="G1542" s="13" t="str">
        <f ca="1">IFERROR(__xludf.DUMMYFUNCTION("GOOGLEFINANCE(A1542,""CLOSEYEST"")"),"#N/A")</f>
        <v>#N/A</v>
      </c>
      <c r="H1542" s="14" t="e">
        <f t="shared" ca="1" si="48"/>
        <v>#VALUE!</v>
      </c>
      <c r="I1542" s="15" t="e">
        <f t="shared" ca="1" si="43"/>
        <v>#VALUE!</v>
      </c>
      <c r="J1542" s="16" t="e">
        <f t="shared" ca="1" si="44"/>
        <v>#VALUE!</v>
      </c>
      <c r="K1542" s="16"/>
      <c r="L1542" s="16" t="e">
        <f t="shared" ca="1" si="45"/>
        <v>#VALUE!</v>
      </c>
      <c r="M1542" s="16" t="e">
        <f t="shared" ca="1" si="46"/>
        <v>#VALUE!</v>
      </c>
      <c r="N1542" s="16" t="e">
        <f t="shared" ca="1" si="47"/>
        <v>#VALUE!</v>
      </c>
    </row>
    <row r="1543" spans="1:14" ht="24.75" customHeight="1" x14ac:dyDescent="0.8">
      <c r="A1543" s="18" t="s">
        <v>1506</v>
      </c>
      <c r="B1543" s="10">
        <f ca="1">IFERROR(__xludf.DUMMYFUNCTION("GOOGLEFINANCE(A1543,""PRICE"")"),14.01)</f>
        <v>14.01</v>
      </c>
      <c r="C1543" s="11">
        <f ca="1">IFERROR(__xludf.DUMMYFUNCTION("GOOGLEFINANCE(A1543,""PRICEOPEN"")"),13.95)</f>
        <v>13.95</v>
      </c>
      <c r="D1543" s="11">
        <f ca="1">IFERROR(__xludf.DUMMYFUNCTION("GOOGLEFINANCE(A1543,""HIGH"")"),14.04)</f>
        <v>14.04</v>
      </c>
      <c r="E1543" s="11">
        <f ca="1">IFERROR(__xludf.DUMMYFUNCTION("GOOGLEFINANCE(A1543,""LOW"")"),13.95)</f>
        <v>13.95</v>
      </c>
      <c r="F1543" s="12" t="str">
        <f t="shared" ca="1" si="42"/>
        <v>BUY</v>
      </c>
      <c r="G1543" s="13">
        <f ca="1">IFERROR(__xludf.DUMMYFUNCTION("GOOGLEFINANCE(A1543,""CLOSEYEST"")"),14)</f>
        <v>14</v>
      </c>
      <c r="H1543" s="14" t="str">
        <f t="shared" ca="1" si="48"/>
        <v/>
      </c>
      <c r="I1543" s="15">
        <f t="shared" ca="1" si="43"/>
        <v>13.996666666666664</v>
      </c>
      <c r="J1543" s="16">
        <f t="shared" ca="1" si="44"/>
        <v>14.043333333333329</v>
      </c>
      <c r="K1543" s="16"/>
      <c r="L1543" s="16">
        <f t="shared" ca="1" si="45"/>
        <v>13.95333333333333</v>
      </c>
      <c r="M1543" s="16">
        <f t="shared" ca="1" si="46"/>
        <v>14.086666666666664</v>
      </c>
      <c r="N1543" s="16">
        <f t="shared" ca="1" si="47"/>
        <v>13.906666666666665</v>
      </c>
    </row>
    <row r="1544" spans="1:14" ht="24.75" customHeight="1" x14ac:dyDescent="0.8">
      <c r="A1544" s="18" t="s">
        <v>1507</v>
      </c>
      <c r="B1544" s="10">
        <f ca="1">IFERROR(__xludf.DUMMYFUNCTION("GOOGLEFINANCE(A1544,""PRICE"")"),38.9)</f>
        <v>38.9</v>
      </c>
      <c r="C1544" s="11">
        <f ca="1">IFERROR(__xludf.DUMMYFUNCTION("GOOGLEFINANCE(A1544,""PRICEOPEN"")"),37.32)</f>
        <v>37.32</v>
      </c>
      <c r="D1544" s="11">
        <f ca="1">IFERROR(__xludf.DUMMYFUNCTION("GOOGLEFINANCE(A1544,""HIGH"")"),40)</f>
        <v>40</v>
      </c>
      <c r="E1544" s="11">
        <f ca="1">IFERROR(__xludf.DUMMYFUNCTION("GOOGLEFINANCE(A1544,""LOW"")"),37.32)</f>
        <v>37.32</v>
      </c>
      <c r="F1544" s="12" t="str">
        <f t="shared" ca="1" si="42"/>
        <v>BUY</v>
      </c>
      <c r="G1544" s="13">
        <f ca="1">IFERROR(__xludf.DUMMYFUNCTION("GOOGLEFINANCE(A1544,""CLOSEYEST"")"),37.31)</f>
        <v>37.31</v>
      </c>
      <c r="H1544" s="14" t="str">
        <f t="shared" ca="1" si="48"/>
        <v/>
      </c>
      <c r="I1544" s="15">
        <f t="shared" ca="1" si="43"/>
        <v>38.21</v>
      </c>
      <c r="J1544" s="16">
        <f t="shared" ca="1" si="44"/>
        <v>39.1</v>
      </c>
      <c r="K1544" s="16"/>
      <c r="L1544" s="16">
        <f t="shared" ca="1" si="45"/>
        <v>36.42</v>
      </c>
      <c r="M1544" s="16">
        <f t="shared" ca="1" si="46"/>
        <v>40.89</v>
      </c>
      <c r="N1544" s="16">
        <f t="shared" ca="1" si="47"/>
        <v>35.53</v>
      </c>
    </row>
    <row r="1545" spans="1:14" ht="24.75" customHeight="1" x14ac:dyDescent="0.8">
      <c r="A1545" s="18" t="s">
        <v>1508</v>
      </c>
      <c r="B1545" s="10">
        <f ca="1">IFERROR(__xludf.DUMMYFUNCTION("GOOGLEFINANCE(A1545,""PRICE"")"),49.31)</f>
        <v>49.31</v>
      </c>
      <c r="C1545" s="11">
        <f ca="1">IFERROR(__xludf.DUMMYFUNCTION("GOOGLEFINANCE(A1545,""PRICEOPEN"")"),49.48)</f>
        <v>49.48</v>
      </c>
      <c r="D1545" s="11">
        <f ca="1">IFERROR(__xludf.DUMMYFUNCTION("GOOGLEFINANCE(A1545,""HIGH"")"),49.48)</f>
        <v>49.48</v>
      </c>
      <c r="E1545" s="11">
        <f ca="1">IFERROR(__xludf.DUMMYFUNCTION("GOOGLEFINANCE(A1545,""LOW"")"),49.48)</f>
        <v>49.48</v>
      </c>
      <c r="F1545" s="12" t="str">
        <f t="shared" ca="1" si="42"/>
        <v>SELL</v>
      </c>
      <c r="G1545" s="13">
        <f ca="1">IFERROR(__xludf.DUMMYFUNCTION("GOOGLEFINANCE(A1545,""CLOSEYEST"")"),49.31)</f>
        <v>49.31</v>
      </c>
      <c r="H1545" s="14" t="str">
        <f t="shared" ca="1" si="48"/>
        <v/>
      </c>
      <c r="I1545" s="15">
        <f t="shared" ca="1" si="43"/>
        <v>49.423333333333325</v>
      </c>
      <c r="J1545" s="16">
        <f t="shared" ca="1" si="44"/>
        <v>49.366666666666653</v>
      </c>
      <c r="K1545" s="16"/>
      <c r="L1545" s="16">
        <f t="shared" ca="1" si="45"/>
        <v>49.366666666666653</v>
      </c>
      <c r="M1545" s="16">
        <f t="shared" ca="1" si="46"/>
        <v>49.423333333333325</v>
      </c>
      <c r="N1545" s="16">
        <f t="shared" ca="1" si="47"/>
        <v>49.423333333333325</v>
      </c>
    </row>
    <row r="1546" spans="1:14" ht="24.75" customHeight="1" x14ac:dyDescent="0.8">
      <c r="A1546" s="18" t="s">
        <v>1509</v>
      </c>
      <c r="B1546" s="10">
        <f ca="1">IFERROR(__xludf.DUMMYFUNCTION("GOOGLEFINANCE(A1546,""PRICE"")"),70.9)</f>
        <v>70.900000000000006</v>
      </c>
      <c r="C1546" s="11">
        <f ca="1">IFERROR(__xludf.DUMMYFUNCTION("GOOGLEFINANCE(A1546,""PRICEOPEN"")"),70.01)</f>
        <v>70.010000000000005</v>
      </c>
      <c r="D1546" s="11">
        <f ca="1">IFERROR(__xludf.DUMMYFUNCTION("GOOGLEFINANCE(A1546,""HIGH"")"),70.98)</f>
        <v>70.98</v>
      </c>
      <c r="E1546" s="11">
        <f ca="1">IFERROR(__xludf.DUMMYFUNCTION("GOOGLEFINANCE(A1546,""LOW"")"),70)</f>
        <v>70</v>
      </c>
      <c r="F1546" s="12" t="str">
        <f t="shared" ca="1" si="42"/>
        <v/>
      </c>
      <c r="G1546" s="13">
        <f ca="1">IFERROR(__xludf.DUMMYFUNCTION("GOOGLEFINANCE(A1546,""CLOSEYEST"")"),70)</f>
        <v>70</v>
      </c>
      <c r="H1546" s="14" t="str">
        <f t="shared" ca="1" si="48"/>
        <v/>
      </c>
      <c r="I1546" s="15">
        <f t="shared" ca="1" si="43"/>
        <v>70.326666666666668</v>
      </c>
      <c r="J1546" s="16">
        <f t="shared" ca="1" si="44"/>
        <v>70.653333333333336</v>
      </c>
      <c r="K1546" s="16"/>
      <c r="L1546" s="16">
        <f t="shared" ca="1" si="45"/>
        <v>69.673333333333332</v>
      </c>
      <c r="M1546" s="16">
        <f t="shared" ca="1" si="46"/>
        <v>71.306666666666672</v>
      </c>
      <c r="N1546" s="16">
        <f t="shared" ca="1" si="47"/>
        <v>69.346666666666664</v>
      </c>
    </row>
    <row r="1547" spans="1:14" ht="24.75" customHeight="1" x14ac:dyDescent="0.8">
      <c r="A1547" s="18" t="s">
        <v>1510</v>
      </c>
      <c r="B1547" s="10">
        <f ca="1">IFERROR(__xludf.DUMMYFUNCTION("GOOGLEFINANCE(A1547,""PRICE"")"),136.5)</f>
        <v>136.5</v>
      </c>
      <c r="C1547" s="11">
        <f ca="1">IFERROR(__xludf.DUMMYFUNCTION("GOOGLEFINANCE(A1547,""PRICEOPEN"")"),131.45)</f>
        <v>131.44999999999999</v>
      </c>
      <c r="D1547" s="11">
        <f ca="1">IFERROR(__xludf.DUMMYFUNCTION("GOOGLEFINANCE(A1547,""HIGH"")"),138.8)</f>
        <v>138.80000000000001</v>
      </c>
      <c r="E1547" s="11">
        <f ca="1">IFERROR(__xludf.DUMMYFUNCTION("GOOGLEFINANCE(A1547,""LOW"")"),131.45)</f>
        <v>131.44999999999999</v>
      </c>
      <c r="F1547" s="12" t="str">
        <f t="shared" ca="1" si="42"/>
        <v>BUY</v>
      </c>
      <c r="G1547" s="13">
        <f ca="1">IFERROR(__xludf.DUMMYFUNCTION("GOOGLEFINANCE(A1547,""CLOSEYEST"")"),132.23)</f>
        <v>132.22999999999999</v>
      </c>
      <c r="H1547" s="14" t="str">
        <f t="shared" ca="1" si="48"/>
        <v/>
      </c>
      <c r="I1547" s="15">
        <f t="shared" ca="1" si="43"/>
        <v>134.16</v>
      </c>
      <c r="J1547" s="16">
        <f t="shared" ca="1" si="44"/>
        <v>136.87</v>
      </c>
      <c r="K1547" s="16"/>
      <c r="L1547" s="16">
        <f t="shared" ca="1" si="45"/>
        <v>129.51999999999998</v>
      </c>
      <c r="M1547" s="16">
        <f t="shared" ca="1" si="46"/>
        <v>141.51000000000002</v>
      </c>
      <c r="N1547" s="16">
        <f t="shared" ca="1" si="47"/>
        <v>126.80999999999997</v>
      </c>
    </row>
    <row r="1548" spans="1:14" ht="24.75" customHeight="1" x14ac:dyDescent="0.8">
      <c r="A1548" s="18" t="s">
        <v>1511</v>
      </c>
      <c r="B1548" s="10" t="str">
        <f ca="1">IFERROR(__xludf.DUMMYFUNCTION("GOOGLEFINANCE(A1548,""PRICE"")"),"#N/A")</f>
        <v>#N/A</v>
      </c>
      <c r="C1548" s="11" t="str">
        <f ca="1">IFERROR(__xludf.DUMMYFUNCTION("GOOGLEFINANCE(A1548,""PRICEOPEN"")"),"#N/A")</f>
        <v>#N/A</v>
      </c>
      <c r="D1548" s="11" t="str">
        <f ca="1">IFERROR(__xludf.DUMMYFUNCTION("GOOGLEFINANCE(A1548,""HIGH"")"),"#N/A")</f>
        <v>#N/A</v>
      </c>
      <c r="E1548" s="11" t="str">
        <f ca="1">IFERROR(__xludf.DUMMYFUNCTION("GOOGLEFINANCE(A1548,""LOW"")"),"#N/A")</f>
        <v>#N/A</v>
      </c>
      <c r="F1548" s="12" t="str">
        <f t="shared" ca="1" si="42"/>
        <v>SELL</v>
      </c>
      <c r="G1548" s="13" t="str">
        <f ca="1">IFERROR(__xludf.DUMMYFUNCTION("GOOGLEFINANCE(A1548,""CLOSEYEST"")"),"#N/A")</f>
        <v>#N/A</v>
      </c>
      <c r="H1548" s="14" t="e">
        <f t="shared" ca="1" si="48"/>
        <v>#VALUE!</v>
      </c>
      <c r="I1548" s="15" t="e">
        <f t="shared" ca="1" si="43"/>
        <v>#VALUE!</v>
      </c>
      <c r="J1548" s="16" t="e">
        <f t="shared" ca="1" si="44"/>
        <v>#VALUE!</v>
      </c>
      <c r="K1548" s="16"/>
      <c r="L1548" s="16" t="e">
        <f t="shared" ca="1" si="45"/>
        <v>#VALUE!</v>
      </c>
      <c r="M1548" s="16" t="e">
        <f t="shared" ca="1" si="46"/>
        <v>#VALUE!</v>
      </c>
      <c r="N1548" s="16" t="e">
        <f t="shared" ca="1" si="47"/>
        <v>#VALUE!</v>
      </c>
    </row>
    <row r="1549" spans="1:14" ht="24.75" customHeight="1" x14ac:dyDescent="0.8">
      <c r="A1549" s="18" t="s">
        <v>1512</v>
      </c>
      <c r="B1549" s="10">
        <f ca="1">IFERROR(__xludf.DUMMYFUNCTION("GOOGLEFINANCE(A1549,""PRICE"")"),50.6)</f>
        <v>50.6</v>
      </c>
      <c r="C1549" s="11">
        <f ca="1">IFERROR(__xludf.DUMMYFUNCTION("GOOGLEFINANCE(A1549,""PRICEOPEN"")"),49.06)</f>
        <v>49.06</v>
      </c>
      <c r="D1549" s="11">
        <f ca="1">IFERROR(__xludf.DUMMYFUNCTION("GOOGLEFINANCE(A1549,""HIGH"")"),51.5)</f>
        <v>51.5</v>
      </c>
      <c r="E1549" s="11">
        <f ca="1">IFERROR(__xludf.DUMMYFUNCTION("GOOGLEFINANCE(A1549,""LOW"")"),49.06)</f>
        <v>49.06</v>
      </c>
      <c r="F1549" s="12" t="str">
        <f t="shared" ca="1" si="42"/>
        <v>BUY</v>
      </c>
      <c r="G1549" s="13">
        <f ca="1">IFERROR(__xludf.DUMMYFUNCTION("GOOGLEFINANCE(A1549,""CLOSEYEST"")"),49.65)</f>
        <v>49.65</v>
      </c>
      <c r="H1549" s="14" t="str">
        <f t="shared" ca="1" si="48"/>
        <v>GAP DOWN</v>
      </c>
      <c r="I1549" s="15">
        <f t="shared" ca="1" si="43"/>
        <v>50.07</v>
      </c>
      <c r="J1549" s="16">
        <f t="shared" ca="1" si="44"/>
        <v>51.08</v>
      </c>
      <c r="K1549" s="16"/>
      <c r="L1549" s="16">
        <f t="shared" ca="1" si="45"/>
        <v>48.64</v>
      </c>
      <c r="M1549" s="16">
        <f t="shared" ca="1" si="46"/>
        <v>52.51</v>
      </c>
      <c r="N1549" s="16">
        <f t="shared" ca="1" si="47"/>
        <v>47.63</v>
      </c>
    </row>
    <row r="1550" spans="1:14" ht="24.75" customHeight="1" x14ac:dyDescent="0.8">
      <c r="A1550" s="18" t="s">
        <v>1513</v>
      </c>
      <c r="B1550" s="10">
        <f ca="1">IFERROR(__xludf.DUMMYFUNCTION("GOOGLEFINANCE(A1550,""PRICE"")"),1098.7)</f>
        <v>1098.7</v>
      </c>
      <c r="C1550" s="11">
        <f ca="1">IFERROR(__xludf.DUMMYFUNCTION("GOOGLEFINANCE(A1550,""PRICEOPEN"")"),1098.7)</f>
        <v>1098.7</v>
      </c>
      <c r="D1550" s="11">
        <f ca="1">IFERROR(__xludf.DUMMYFUNCTION("GOOGLEFINANCE(A1550,""HIGH"")"),1098.7)</f>
        <v>1098.7</v>
      </c>
      <c r="E1550" s="11">
        <f ca="1">IFERROR(__xludf.DUMMYFUNCTION("GOOGLEFINANCE(A1550,""LOW"")"),1098.7)</f>
        <v>1098.7</v>
      </c>
      <c r="F1550" s="12" t="str">
        <f t="shared" ca="1" si="42"/>
        <v>SELL</v>
      </c>
      <c r="G1550" s="13">
        <f ca="1">IFERROR(__xludf.DUMMYFUNCTION("GOOGLEFINANCE(A1550,""CLOSEYEST"")"),1156.5)</f>
        <v>1156.5</v>
      </c>
      <c r="H1550" s="14" t="str">
        <f t="shared" ca="1" si="48"/>
        <v>GAP DOWN</v>
      </c>
      <c r="I1550" s="15">
        <f t="shared" ca="1" si="43"/>
        <v>1117.9666666666667</v>
      </c>
      <c r="J1550" s="16">
        <f t="shared" ca="1" si="44"/>
        <v>1137.2333333333333</v>
      </c>
      <c r="K1550" s="16"/>
      <c r="L1550" s="16">
        <f t="shared" ca="1" si="45"/>
        <v>1137.2333333333333</v>
      </c>
      <c r="M1550" s="16">
        <f t="shared" ca="1" si="46"/>
        <v>1117.9666666666667</v>
      </c>
      <c r="N1550" s="16">
        <f t="shared" ca="1" si="47"/>
        <v>1117.9666666666667</v>
      </c>
    </row>
    <row r="1551" spans="1:14" ht="24.75" customHeight="1" x14ac:dyDescent="0.8">
      <c r="A1551" s="18" t="s">
        <v>1514</v>
      </c>
      <c r="B1551" s="10">
        <f ca="1">IFERROR(__xludf.DUMMYFUNCTION("GOOGLEFINANCE(A1551,""PRICE"")"),1.72)</f>
        <v>1.72</v>
      </c>
      <c r="C1551" s="11">
        <f ca="1">IFERROR(__xludf.DUMMYFUNCTION("GOOGLEFINANCE(A1551,""PRICEOPEN"")"),1.72)</f>
        <v>1.72</v>
      </c>
      <c r="D1551" s="11">
        <f ca="1">IFERROR(__xludf.DUMMYFUNCTION("GOOGLEFINANCE(A1551,""HIGH"")"),1.72)</f>
        <v>1.72</v>
      </c>
      <c r="E1551" s="11">
        <f ca="1">IFERROR(__xludf.DUMMYFUNCTION("GOOGLEFINANCE(A1551,""LOW"")"),1.72)</f>
        <v>1.72</v>
      </c>
      <c r="F1551" s="12" t="str">
        <f t="shared" ca="1" si="42"/>
        <v>SELL</v>
      </c>
      <c r="G1551" s="13">
        <f ca="1">IFERROR(__xludf.DUMMYFUNCTION("GOOGLEFINANCE(A1551,""CLOSEYEST"")"),1.69)</f>
        <v>1.69</v>
      </c>
      <c r="H1551" s="14" t="str">
        <f t="shared" ca="1" si="48"/>
        <v>GAP UP</v>
      </c>
      <c r="I1551" s="15">
        <f t="shared" ca="1" si="43"/>
        <v>1.71</v>
      </c>
      <c r="J1551" s="16">
        <f t="shared" ca="1" si="44"/>
        <v>1.7</v>
      </c>
      <c r="K1551" s="16"/>
      <c r="L1551" s="16">
        <f t="shared" ca="1" si="45"/>
        <v>1.7</v>
      </c>
      <c r="M1551" s="16">
        <f t="shared" ca="1" si="46"/>
        <v>1.71</v>
      </c>
      <c r="N1551" s="16">
        <f t="shared" ca="1" si="47"/>
        <v>1.71</v>
      </c>
    </row>
    <row r="1552" spans="1:14" ht="24.75" customHeight="1" x14ac:dyDescent="0.8">
      <c r="A1552" s="18" t="s">
        <v>1515</v>
      </c>
      <c r="B1552" s="10">
        <f ca="1">IFERROR(__xludf.DUMMYFUNCTION("GOOGLEFINANCE(A1552,""PRICE"")"),1.94)</f>
        <v>1.94</v>
      </c>
      <c r="C1552" s="11">
        <f ca="1">IFERROR(__xludf.DUMMYFUNCTION("GOOGLEFINANCE(A1552,""PRICEOPEN"")"),1.96)</f>
        <v>1.96</v>
      </c>
      <c r="D1552" s="11">
        <f ca="1">IFERROR(__xludf.DUMMYFUNCTION("GOOGLEFINANCE(A1552,""HIGH"")"),1.96)</f>
        <v>1.96</v>
      </c>
      <c r="E1552" s="11">
        <f ca="1">IFERROR(__xludf.DUMMYFUNCTION("GOOGLEFINANCE(A1552,""LOW"")"),1.9)</f>
        <v>1.9</v>
      </c>
      <c r="F1552" s="12" t="str">
        <f t="shared" ca="1" si="42"/>
        <v>SELL</v>
      </c>
      <c r="G1552" s="13">
        <f ca="1">IFERROR(__xludf.DUMMYFUNCTION("GOOGLEFINANCE(A1552,""CLOSEYEST"")"),1.91)</f>
        <v>1.91</v>
      </c>
      <c r="H1552" s="14" t="str">
        <f t="shared" ca="1" si="48"/>
        <v>GAP UP</v>
      </c>
      <c r="I1552" s="15">
        <f t="shared" ca="1" si="43"/>
        <v>1.9233333333333331</v>
      </c>
      <c r="J1552" s="16">
        <f t="shared" ca="1" si="44"/>
        <v>1.9466666666666663</v>
      </c>
      <c r="K1552" s="16"/>
      <c r="L1552" s="16">
        <f t="shared" ca="1" si="45"/>
        <v>1.8866666666666663</v>
      </c>
      <c r="M1552" s="16">
        <f t="shared" ca="1" si="46"/>
        <v>1.9833333333333332</v>
      </c>
      <c r="N1552" s="16">
        <f t="shared" ca="1" si="47"/>
        <v>1.8633333333333331</v>
      </c>
    </row>
    <row r="1553" spans="1:14" ht="24.75" customHeight="1" x14ac:dyDescent="0.8">
      <c r="A1553" s="18" t="s">
        <v>1516</v>
      </c>
      <c r="B1553" s="10" t="str">
        <f ca="1">IFERROR(__xludf.DUMMYFUNCTION("GOOGLEFINANCE(A1553,""PRICE"")"),"#N/A")</f>
        <v>#N/A</v>
      </c>
      <c r="C1553" s="11" t="str">
        <f ca="1">IFERROR(__xludf.DUMMYFUNCTION("GOOGLEFINANCE(A1553,""PRICEOPEN"")"),"#N/A")</f>
        <v>#N/A</v>
      </c>
      <c r="D1553" s="11" t="str">
        <f ca="1">IFERROR(__xludf.DUMMYFUNCTION("GOOGLEFINANCE(A1553,""HIGH"")"),"#N/A")</f>
        <v>#N/A</v>
      </c>
      <c r="E1553" s="11" t="str">
        <f ca="1">IFERROR(__xludf.DUMMYFUNCTION("GOOGLEFINANCE(A1553,""LOW"")"),"#N/A")</f>
        <v>#N/A</v>
      </c>
      <c r="F1553" s="12" t="str">
        <f t="shared" ca="1" si="42"/>
        <v>SELL</v>
      </c>
      <c r="G1553" s="13" t="str">
        <f ca="1">IFERROR(__xludf.DUMMYFUNCTION("GOOGLEFINANCE(A1553,""CLOSEYEST"")"),"#N/A")</f>
        <v>#N/A</v>
      </c>
      <c r="H1553" s="14" t="e">
        <f t="shared" ca="1" si="48"/>
        <v>#VALUE!</v>
      </c>
      <c r="I1553" s="15" t="e">
        <f t="shared" ca="1" si="43"/>
        <v>#VALUE!</v>
      </c>
      <c r="J1553" s="16" t="e">
        <f t="shared" ca="1" si="44"/>
        <v>#VALUE!</v>
      </c>
      <c r="K1553" s="16"/>
      <c r="L1553" s="16" t="e">
        <f t="shared" ca="1" si="45"/>
        <v>#VALUE!</v>
      </c>
      <c r="M1553" s="16" t="e">
        <f t="shared" ca="1" si="46"/>
        <v>#VALUE!</v>
      </c>
      <c r="N1553" s="16" t="e">
        <f t="shared" ca="1" si="47"/>
        <v>#VALUE!</v>
      </c>
    </row>
    <row r="1554" spans="1:14" ht="24.75" customHeight="1" x14ac:dyDescent="0.8">
      <c r="A1554" s="18" t="s">
        <v>1517</v>
      </c>
      <c r="B1554" s="10">
        <f ca="1">IFERROR(__xludf.DUMMYFUNCTION("GOOGLEFINANCE(A1554,""PRICE"")"),7.09)</f>
        <v>7.09</v>
      </c>
      <c r="C1554" s="11">
        <f ca="1">IFERROR(__xludf.DUMMYFUNCTION("GOOGLEFINANCE(A1554,""PRICEOPEN"")"),7.14)</f>
        <v>7.14</v>
      </c>
      <c r="D1554" s="11">
        <f ca="1">IFERROR(__xludf.DUMMYFUNCTION("GOOGLEFINANCE(A1554,""HIGH"")"),7.14)</f>
        <v>7.14</v>
      </c>
      <c r="E1554" s="11">
        <f ca="1">IFERROR(__xludf.DUMMYFUNCTION("GOOGLEFINANCE(A1554,""LOW"")"),6.93)</f>
        <v>6.93</v>
      </c>
      <c r="F1554" s="12" t="str">
        <f t="shared" ref="F1554:F1592" ca="1" si="49">IF(C1554=D1554,"SELL",IF(C1554=E1554,"BUY", ""))</f>
        <v>SELL</v>
      </c>
      <c r="G1554" s="13">
        <f ca="1">IFERROR(__xludf.DUMMYFUNCTION("GOOGLEFINANCE(A1554,""CLOSEYEST"")"),7.02)</f>
        <v>7.02</v>
      </c>
      <c r="H1554" s="14" t="str">
        <f t="shared" ca="1" si="48"/>
        <v>GAP UP</v>
      </c>
      <c r="I1554" s="15">
        <f t="shared" ref="I1554:I1592" ca="1" si="50">(D1554+E1554+G1554)/3</f>
        <v>7.03</v>
      </c>
      <c r="J1554" s="16">
        <f t="shared" ref="J1554:J1592" ca="1" si="51">(I1554*2)-E1554</f>
        <v>7.1300000000000008</v>
      </c>
      <c r="K1554" s="16"/>
      <c r="L1554" s="16">
        <f t="shared" ref="L1554:L1592" ca="1" si="52">(I1554*2)-D1554</f>
        <v>6.9200000000000008</v>
      </c>
      <c r="M1554" s="16">
        <f t="shared" ref="M1554:M1592" ca="1" si="53">I1554+(J1554-L1554)</f>
        <v>7.24</v>
      </c>
      <c r="N1554" s="16">
        <f t="shared" ref="N1554:N1592" ca="1" si="54">I1554-(J1554-L1554)</f>
        <v>6.82</v>
      </c>
    </row>
    <row r="1555" spans="1:14" ht="24.75" customHeight="1" x14ac:dyDescent="0.8">
      <c r="A1555" s="18" t="s">
        <v>1518</v>
      </c>
      <c r="B1555" s="10">
        <f ca="1">IFERROR(__xludf.DUMMYFUNCTION("GOOGLEFINANCE(A1555,""PRICE"")"),59.53)</f>
        <v>59.53</v>
      </c>
      <c r="C1555" s="11">
        <f ca="1">IFERROR(__xludf.DUMMYFUNCTION("GOOGLEFINANCE(A1555,""PRICEOPEN"")"),59.68)</f>
        <v>59.68</v>
      </c>
      <c r="D1555" s="11">
        <f ca="1">IFERROR(__xludf.DUMMYFUNCTION("GOOGLEFINANCE(A1555,""HIGH"")"),62.2)</f>
        <v>62.2</v>
      </c>
      <c r="E1555" s="11">
        <f ca="1">IFERROR(__xludf.DUMMYFUNCTION("GOOGLEFINANCE(A1555,""LOW"")"),59)</f>
        <v>59</v>
      </c>
      <c r="F1555" s="12" t="str">
        <f t="shared" ca="1" si="49"/>
        <v/>
      </c>
      <c r="G1555" s="13">
        <f ca="1">IFERROR(__xludf.DUMMYFUNCTION("GOOGLEFINANCE(A1555,""CLOSEYEST"")"),59.7)</f>
        <v>59.7</v>
      </c>
      <c r="H1555" s="14" t="str">
        <f t="shared" ca="1" si="48"/>
        <v/>
      </c>
      <c r="I1555" s="15">
        <f t="shared" ca="1" si="50"/>
        <v>60.300000000000004</v>
      </c>
      <c r="J1555" s="16">
        <f t="shared" ca="1" si="51"/>
        <v>61.600000000000009</v>
      </c>
      <c r="K1555" s="16"/>
      <c r="L1555" s="16">
        <f t="shared" ca="1" si="52"/>
        <v>58.400000000000006</v>
      </c>
      <c r="M1555" s="16">
        <f t="shared" ca="1" si="53"/>
        <v>63.500000000000007</v>
      </c>
      <c r="N1555" s="16">
        <f t="shared" ca="1" si="54"/>
        <v>57.1</v>
      </c>
    </row>
    <row r="1556" spans="1:14" ht="24.75" customHeight="1" x14ac:dyDescent="0.8">
      <c r="A1556" s="18" t="s">
        <v>1519</v>
      </c>
      <c r="B1556" s="10">
        <f ca="1">IFERROR(__xludf.DUMMYFUNCTION("GOOGLEFINANCE(A1556,""PRICE"")"),67.85)</f>
        <v>67.849999999999994</v>
      </c>
      <c r="C1556" s="11">
        <f ca="1">IFERROR(__xludf.DUMMYFUNCTION("GOOGLEFINANCE(A1556,""PRICEOPEN"")"),67.14)</f>
        <v>67.14</v>
      </c>
      <c r="D1556" s="11">
        <f ca="1">IFERROR(__xludf.DUMMYFUNCTION("GOOGLEFINANCE(A1556,""HIGH"")"),67.85)</f>
        <v>67.849999999999994</v>
      </c>
      <c r="E1556" s="11">
        <f ca="1">IFERROR(__xludf.DUMMYFUNCTION("GOOGLEFINANCE(A1556,""LOW"")"),65.41)</f>
        <v>65.41</v>
      </c>
      <c r="F1556" s="12" t="str">
        <f t="shared" ca="1" si="49"/>
        <v/>
      </c>
      <c r="G1556" s="13">
        <f ca="1">IFERROR(__xludf.DUMMYFUNCTION("GOOGLEFINANCE(A1556,""CLOSEYEST"")"),65.25)</f>
        <v>65.25</v>
      </c>
      <c r="H1556" s="14" t="str">
        <f t="shared" ref="H1556:H1592" ca="1" si="55">IF(C1556&gt;=(G1556+(G1556*1%)),"GAP UP",IF(C1556&lt;=(G1556-(G1556*1%)),"GAP DOWN",""))</f>
        <v>GAP UP</v>
      </c>
      <c r="I1556" s="15">
        <f t="shared" ca="1" si="50"/>
        <v>66.17</v>
      </c>
      <c r="J1556" s="16">
        <f t="shared" ca="1" si="51"/>
        <v>66.930000000000007</v>
      </c>
      <c r="K1556" s="16"/>
      <c r="L1556" s="16">
        <f t="shared" ca="1" si="52"/>
        <v>64.490000000000009</v>
      </c>
      <c r="M1556" s="16">
        <f t="shared" ca="1" si="53"/>
        <v>68.61</v>
      </c>
      <c r="N1556" s="16">
        <f t="shared" ca="1" si="54"/>
        <v>63.730000000000004</v>
      </c>
    </row>
    <row r="1557" spans="1:14" ht="24.75" customHeight="1" x14ac:dyDescent="0.8">
      <c r="A1557" s="18" t="s">
        <v>1520</v>
      </c>
      <c r="B1557" s="10">
        <f ca="1">IFERROR(__xludf.DUMMYFUNCTION("GOOGLEFINANCE(A1557,""PRICE"")"),109.4)</f>
        <v>109.4</v>
      </c>
      <c r="C1557" s="11">
        <f ca="1">IFERROR(__xludf.DUMMYFUNCTION("GOOGLEFINANCE(A1557,""PRICEOPEN"")"),110.21)</f>
        <v>110.21</v>
      </c>
      <c r="D1557" s="11">
        <f ca="1">IFERROR(__xludf.DUMMYFUNCTION("GOOGLEFINANCE(A1557,""HIGH"")"),110.21)</f>
        <v>110.21</v>
      </c>
      <c r="E1557" s="11">
        <f ca="1">IFERROR(__xludf.DUMMYFUNCTION("GOOGLEFINANCE(A1557,""LOW"")"),107.04)</f>
        <v>107.04</v>
      </c>
      <c r="F1557" s="12" t="str">
        <f t="shared" ca="1" si="49"/>
        <v>SELL</v>
      </c>
      <c r="G1557" s="13">
        <f ca="1">IFERROR(__xludf.DUMMYFUNCTION("GOOGLEFINANCE(A1557,""CLOSEYEST"")"),109.12)</f>
        <v>109.12</v>
      </c>
      <c r="H1557" s="14" t="str">
        <f t="shared" ca="1" si="55"/>
        <v/>
      </c>
      <c r="I1557" s="15">
        <f t="shared" ca="1" si="50"/>
        <v>108.79</v>
      </c>
      <c r="J1557" s="16">
        <f t="shared" ca="1" si="51"/>
        <v>110.54</v>
      </c>
      <c r="K1557" s="16"/>
      <c r="L1557" s="16">
        <f t="shared" ca="1" si="52"/>
        <v>107.37000000000002</v>
      </c>
      <c r="M1557" s="16">
        <f t="shared" ca="1" si="53"/>
        <v>111.96</v>
      </c>
      <c r="N1557" s="16">
        <f t="shared" ca="1" si="54"/>
        <v>105.62000000000002</v>
      </c>
    </row>
    <row r="1558" spans="1:14" ht="24.75" customHeight="1" x14ac:dyDescent="0.8">
      <c r="A1558" s="18" t="s">
        <v>1521</v>
      </c>
      <c r="B1558" s="10">
        <f ca="1">IFERROR(__xludf.DUMMYFUNCTION("GOOGLEFINANCE(A1558,""PRICE"")"),265.25)</f>
        <v>265.25</v>
      </c>
      <c r="C1558" s="11">
        <f ca="1">IFERROR(__xludf.DUMMYFUNCTION("GOOGLEFINANCE(A1558,""PRICEOPEN"")"),263.85)</f>
        <v>263.85000000000002</v>
      </c>
      <c r="D1558" s="11">
        <f ca="1">IFERROR(__xludf.DUMMYFUNCTION("GOOGLEFINANCE(A1558,""HIGH"")"),267.9)</f>
        <v>267.89999999999998</v>
      </c>
      <c r="E1558" s="11">
        <f ca="1">IFERROR(__xludf.DUMMYFUNCTION("GOOGLEFINANCE(A1558,""LOW"")"),263.8)</f>
        <v>263.8</v>
      </c>
      <c r="F1558" s="12" t="str">
        <f t="shared" ca="1" si="49"/>
        <v/>
      </c>
      <c r="G1558" s="13">
        <f ca="1">IFERROR(__xludf.DUMMYFUNCTION("GOOGLEFINANCE(A1558,""CLOSEYEST"")"),263.75)</f>
        <v>263.75</v>
      </c>
      <c r="H1558" s="14" t="str">
        <f t="shared" ca="1" si="55"/>
        <v/>
      </c>
      <c r="I1558" s="15">
        <f t="shared" ca="1" si="50"/>
        <v>265.15000000000003</v>
      </c>
      <c r="J1558" s="16">
        <f t="shared" ca="1" si="51"/>
        <v>266.50000000000006</v>
      </c>
      <c r="K1558" s="16"/>
      <c r="L1558" s="16">
        <f t="shared" ca="1" si="52"/>
        <v>262.40000000000009</v>
      </c>
      <c r="M1558" s="16">
        <f t="shared" ca="1" si="53"/>
        <v>269.25</v>
      </c>
      <c r="N1558" s="16">
        <f t="shared" ca="1" si="54"/>
        <v>261.05000000000007</v>
      </c>
    </row>
    <row r="1559" spans="1:14" ht="24.75" customHeight="1" x14ac:dyDescent="0.8">
      <c r="A1559" s="18" t="s">
        <v>1522</v>
      </c>
      <c r="B1559" s="10">
        <f ca="1">IFERROR(__xludf.DUMMYFUNCTION("GOOGLEFINANCE(A1559,""PRICE"")"),457)</f>
        <v>457</v>
      </c>
      <c r="C1559" s="11">
        <f ca="1">IFERROR(__xludf.DUMMYFUNCTION("GOOGLEFINANCE(A1559,""PRICEOPEN"")"),454)</f>
        <v>454</v>
      </c>
      <c r="D1559" s="11">
        <f ca="1">IFERROR(__xludf.DUMMYFUNCTION("GOOGLEFINANCE(A1559,""HIGH"")"),468)</f>
        <v>468</v>
      </c>
      <c r="E1559" s="11">
        <f ca="1">IFERROR(__xludf.DUMMYFUNCTION("GOOGLEFINANCE(A1559,""LOW"")"),446)</f>
        <v>446</v>
      </c>
      <c r="F1559" s="12" t="str">
        <f t="shared" ca="1" si="49"/>
        <v/>
      </c>
      <c r="G1559" s="13">
        <f ca="1">IFERROR(__xludf.DUMMYFUNCTION("GOOGLEFINANCE(A1559,""CLOSEYEST"")"),454)</f>
        <v>454</v>
      </c>
      <c r="H1559" s="14" t="str">
        <f t="shared" ca="1" si="55"/>
        <v/>
      </c>
      <c r="I1559" s="15">
        <f t="shared" ca="1" si="50"/>
        <v>456</v>
      </c>
      <c r="J1559" s="16">
        <f t="shared" ca="1" si="51"/>
        <v>466</v>
      </c>
      <c r="K1559" s="16"/>
      <c r="L1559" s="16">
        <f t="shared" ca="1" si="52"/>
        <v>444</v>
      </c>
      <c r="M1559" s="16">
        <f t="shared" ca="1" si="53"/>
        <v>478</v>
      </c>
      <c r="N1559" s="16">
        <f t="shared" ca="1" si="54"/>
        <v>434</v>
      </c>
    </row>
    <row r="1560" spans="1:14" ht="24.75" customHeight="1" x14ac:dyDescent="0.8">
      <c r="A1560" s="18" t="s">
        <v>1523</v>
      </c>
      <c r="B1560" s="10" t="str">
        <f ca="1">IFERROR(__xludf.DUMMYFUNCTION("GOOGLEFINANCE(A1560,""PRICE"")"),"#N/A")</f>
        <v>#N/A</v>
      </c>
      <c r="C1560" s="11" t="str">
        <f ca="1">IFERROR(__xludf.DUMMYFUNCTION("GOOGLEFINANCE(A1560,""PRICEOPEN"")"),"#N/A")</f>
        <v>#N/A</v>
      </c>
      <c r="D1560" s="11" t="str">
        <f ca="1">IFERROR(__xludf.DUMMYFUNCTION("GOOGLEFINANCE(A1560,""HIGH"")"),"#N/A")</f>
        <v>#N/A</v>
      </c>
      <c r="E1560" s="11" t="str">
        <f ca="1">IFERROR(__xludf.DUMMYFUNCTION("GOOGLEFINANCE(A1560,""LOW"")"),"#N/A")</f>
        <v>#N/A</v>
      </c>
      <c r="F1560" s="12" t="str">
        <f t="shared" ca="1" si="49"/>
        <v>SELL</v>
      </c>
      <c r="G1560" s="13" t="str">
        <f ca="1">IFERROR(__xludf.DUMMYFUNCTION("GOOGLEFINANCE(A1560,""CLOSEYEST"")"),"#N/A")</f>
        <v>#N/A</v>
      </c>
      <c r="H1560" s="14" t="e">
        <f t="shared" ca="1" si="55"/>
        <v>#VALUE!</v>
      </c>
      <c r="I1560" s="15" t="e">
        <f t="shared" ca="1" si="50"/>
        <v>#VALUE!</v>
      </c>
      <c r="J1560" s="16" t="e">
        <f t="shared" ca="1" si="51"/>
        <v>#VALUE!</v>
      </c>
      <c r="K1560" s="16"/>
      <c r="L1560" s="16" t="e">
        <f t="shared" ca="1" si="52"/>
        <v>#VALUE!</v>
      </c>
      <c r="M1560" s="16" t="e">
        <f t="shared" ca="1" si="53"/>
        <v>#VALUE!</v>
      </c>
      <c r="N1560" s="16" t="e">
        <f t="shared" ca="1" si="54"/>
        <v>#VALUE!</v>
      </c>
    </row>
    <row r="1561" spans="1:14" ht="24.75" customHeight="1" x14ac:dyDescent="0.8">
      <c r="A1561" s="18" t="s">
        <v>1524</v>
      </c>
      <c r="B1561" s="10" t="str">
        <f ca="1">IFERROR(__xludf.DUMMYFUNCTION("GOOGLEFINANCE(A1561,""PRICE"")"),"#N/A")</f>
        <v>#N/A</v>
      </c>
      <c r="C1561" s="11" t="str">
        <f ca="1">IFERROR(__xludf.DUMMYFUNCTION("GOOGLEFINANCE(A1561,""PRICEOPEN"")"),"#N/A")</f>
        <v>#N/A</v>
      </c>
      <c r="D1561" s="11" t="str">
        <f ca="1">IFERROR(__xludf.DUMMYFUNCTION("GOOGLEFINANCE(A1561,""HIGH"")"),"#N/A")</f>
        <v>#N/A</v>
      </c>
      <c r="E1561" s="11" t="str">
        <f ca="1">IFERROR(__xludf.DUMMYFUNCTION("GOOGLEFINANCE(A1561,""LOW"")"),"#N/A")</f>
        <v>#N/A</v>
      </c>
      <c r="F1561" s="12" t="str">
        <f t="shared" ca="1" si="49"/>
        <v>SELL</v>
      </c>
      <c r="G1561" s="13" t="str">
        <f ca="1">IFERROR(__xludf.DUMMYFUNCTION("GOOGLEFINANCE(A1561,""CLOSEYEST"")"),"#N/A")</f>
        <v>#N/A</v>
      </c>
      <c r="H1561" s="14" t="e">
        <f t="shared" ca="1" si="55"/>
        <v>#VALUE!</v>
      </c>
      <c r="I1561" s="15" t="e">
        <f t="shared" ca="1" si="50"/>
        <v>#VALUE!</v>
      </c>
      <c r="J1561" s="16" t="e">
        <f t="shared" ca="1" si="51"/>
        <v>#VALUE!</v>
      </c>
      <c r="K1561" s="16"/>
      <c r="L1561" s="16" t="e">
        <f t="shared" ca="1" si="52"/>
        <v>#VALUE!</v>
      </c>
      <c r="M1561" s="16" t="e">
        <f t="shared" ca="1" si="53"/>
        <v>#VALUE!</v>
      </c>
      <c r="N1561" s="16" t="e">
        <f t="shared" ca="1" si="54"/>
        <v>#VALUE!</v>
      </c>
    </row>
    <row r="1562" spans="1:14" ht="24.75" customHeight="1" x14ac:dyDescent="0.8">
      <c r="A1562" s="18" t="s">
        <v>1525</v>
      </c>
      <c r="B1562" s="10">
        <f ca="1">IFERROR(__xludf.DUMMYFUNCTION("GOOGLEFINANCE(A1562,""PRICE"")"),14.5)</f>
        <v>14.5</v>
      </c>
      <c r="C1562" s="11">
        <f ca="1">IFERROR(__xludf.DUMMYFUNCTION("GOOGLEFINANCE(A1562,""PRICEOPEN"")"),14.58)</f>
        <v>14.58</v>
      </c>
      <c r="D1562" s="11">
        <f ca="1">IFERROR(__xludf.DUMMYFUNCTION("GOOGLEFINANCE(A1562,""HIGH"")"),14.77)</f>
        <v>14.77</v>
      </c>
      <c r="E1562" s="11">
        <f ca="1">IFERROR(__xludf.DUMMYFUNCTION("GOOGLEFINANCE(A1562,""LOW"")"),14.23)</f>
        <v>14.23</v>
      </c>
      <c r="F1562" s="12" t="str">
        <f t="shared" ca="1" si="49"/>
        <v/>
      </c>
      <c r="G1562" s="13">
        <f ca="1">IFERROR(__xludf.DUMMYFUNCTION("GOOGLEFINANCE(A1562,""CLOSEYEST"")"),14.45)</f>
        <v>14.45</v>
      </c>
      <c r="H1562" s="14" t="str">
        <f t="shared" ca="1" si="55"/>
        <v/>
      </c>
      <c r="I1562" s="15">
        <f t="shared" ca="1" si="50"/>
        <v>14.483333333333334</v>
      </c>
      <c r="J1562" s="16">
        <f t="shared" ca="1" si="51"/>
        <v>14.736666666666668</v>
      </c>
      <c r="K1562" s="16"/>
      <c r="L1562" s="16">
        <f t="shared" ca="1" si="52"/>
        <v>14.196666666666669</v>
      </c>
      <c r="M1562" s="16">
        <f t="shared" ca="1" si="53"/>
        <v>15.023333333333333</v>
      </c>
      <c r="N1562" s="16">
        <f t="shared" ca="1" si="54"/>
        <v>13.943333333333335</v>
      </c>
    </row>
    <row r="1563" spans="1:14" ht="24.75" customHeight="1" x14ac:dyDescent="0.8">
      <c r="A1563" s="18" t="s">
        <v>1526</v>
      </c>
      <c r="B1563" s="10">
        <f ca="1">IFERROR(__xludf.DUMMYFUNCTION("GOOGLEFINANCE(A1563,""PRICE"")"),26.25)</f>
        <v>26.25</v>
      </c>
      <c r="C1563" s="11">
        <f ca="1">IFERROR(__xludf.DUMMYFUNCTION("GOOGLEFINANCE(A1563,""PRICEOPEN"")"),26.21)</f>
        <v>26.21</v>
      </c>
      <c r="D1563" s="11">
        <f ca="1">IFERROR(__xludf.DUMMYFUNCTION("GOOGLEFINANCE(A1563,""HIGH"")"),26.59)</f>
        <v>26.59</v>
      </c>
      <c r="E1563" s="11">
        <f ca="1">IFERROR(__xludf.DUMMYFUNCTION("GOOGLEFINANCE(A1563,""LOW"")"),26.01)</f>
        <v>26.01</v>
      </c>
      <c r="F1563" s="12" t="str">
        <f t="shared" ca="1" si="49"/>
        <v/>
      </c>
      <c r="G1563" s="13">
        <f ca="1">IFERROR(__xludf.DUMMYFUNCTION("GOOGLEFINANCE(A1563,""CLOSEYEST"")"),26.21)</f>
        <v>26.21</v>
      </c>
      <c r="H1563" s="14" t="str">
        <f t="shared" ca="1" si="55"/>
        <v/>
      </c>
      <c r="I1563" s="15">
        <f t="shared" ca="1" si="50"/>
        <v>26.27</v>
      </c>
      <c r="J1563" s="16">
        <f t="shared" ca="1" si="51"/>
        <v>26.529999999999998</v>
      </c>
      <c r="K1563" s="16"/>
      <c r="L1563" s="16">
        <f t="shared" ca="1" si="52"/>
        <v>25.95</v>
      </c>
      <c r="M1563" s="16">
        <f t="shared" ca="1" si="53"/>
        <v>26.849999999999998</v>
      </c>
      <c r="N1563" s="16">
        <f t="shared" ca="1" si="54"/>
        <v>25.69</v>
      </c>
    </row>
    <row r="1564" spans="1:14" ht="24.75" customHeight="1" x14ac:dyDescent="0.8">
      <c r="A1564" s="18" t="s">
        <v>1527</v>
      </c>
      <c r="B1564" s="10">
        <f ca="1">IFERROR(__xludf.DUMMYFUNCTION("GOOGLEFINANCE(A1564,""PRICE"")"),103.78)</f>
        <v>103.78</v>
      </c>
      <c r="C1564" s="11">
        <f ca="1">IFERROR(__xludf.DUMMYFUNCTION("GOOGLEFINANCE(A1564,""PRICEOPEN"")"),106)</f>
        <v>106</v>
      </c>
      <c r="D1564" s="11">
        <f ca="1">IFERROR(__xludf.DUMMYFUNCTION("GOOGLEFINANCE(A1564,""HIGH"")"),106)</f>
        <v>106</v>
      </c>
      <c r="E1564" s="11">
        <f ca="1">IFERROR(__xludf.DUMMYFUNCTION("GOOGLEFINANCE(A1564,""LOW"")"),101.5)</f>
        <v>101.5</v>
      </c>
      <c r="F1564" s="12" t="str">
        <f t="shared" ca="1" si="49"/>
        <v>SELL</v>
      </c>
      <c r="G1564" s="13">
        <f ca="1">IFERROR(__xludf.DUMMYFUNCTION("GOOGLEFINANCE(A1564,""CLOSEYEST"")"),102.8)</f>
        <v>102.8</v>
      </c>
      <c r="H1564" s="14" t="str">
        <f t="shared" ca="1" si="55"/>
        <v>GAP UP</v>
      </c>
      <c r="I1564" s="15">
        <f t="shared" ca="1" si="50"/>
        <v>103.43333333333334</v>
      </c>
      <c r="J1564" s="16">
        <f t="shared" ca="1" si="51"/>
        <v>105.36666666666667</v>
      </c>
      <c r="K1564" s="16"/>
      <c r="L1564" s="16">
        <f t="shared" ca="1" si="52"/>
        <v>100.86666666666667</v>
      </c>
      <c r="M1564" s="16">
        <f t="shared" ca="1" si="53"/>
        <v>107.93333333333334</v>
      </c>
      <c r="N1564" s="16">
        <f t="shared" ca="1" si="54"/>
        <v>98.933333333333337</v>
      </c>
    </row>
    <row r="1565" spans="1:14" ht="24.75" customHeight="1" x14ac:dyDescent="0.8">
      <c r="A1565" s="18" t="s">
        <v>1528</v>
      </c>
      <c r="B1565" s="10" t="str">
        <f ca="1">IFERROR(__xludf.DUMMYFUNCTION("GOOGLEFINANCE(A1565,""PRICE"")"),"#N/A")</f>
        <v>#N/A</v>
      </c>
      <c r="C1565" s="11" t="str">
        <f ca="1">IFERROR(__xludf.DUMMYFUNCTION("GOOGLEFINANCE(A1565,""PRICEOPEN"")"),"#N/A")</f>
        <v>#N/A</v>
      </c>
      <c r="D1565" s="11" t="str">
        <f ca="1">IFERROR(__xludf.DUMMYFUNCTION("GOOGLEFINANCE(A1565,""HIGH"")"),"#N/A")</f>
        <v>#N/A</v>
      </c>
      <c r="E1565" s="11" t="str">
        <f ca="1">IFERROR(__xludf.DUMMYFUNCTION("GOOGLEFINANCE(A1565,""LOW"")"),"#N/A")</f>
        <v>#N/A</v>
      </c>
      <c r="F1565" s="12" t="str">
        <f t="shared" ca="1" si="49"/>
        <v>SELL</v>
      </c>
      <c r="G1565" s="13" t="str">
        <f ca="1">IFERROR(__xludf.DUMMYFUNCTION("GOOGLEFINANCE(A1565,""CLOSEYEST"")"),"#N/A")</f>
        <v>#N/A</v>
      </c>
      <c r="H1565" s="14" t="e">
        <f t="shared" ca="1" si="55"/>
        <v>#VALUE!</v>
      </c>
      <c r="I1565" s="15" t="e">
        <f t="shared" ca="1" si="50"/>
        <v>#VALUE!</v>
      </c>
      <c r="J1565" s="16" t="e">
        <f t="shared" ca="1" si="51"/>
        <v>#VALUE!</v>
      </c>
      <c r="K1565" s="16"/>
      <c r="L1565" s="16" t="e">
        <f t="shared" ca="1" si="52"/>
        <v>#VALUE!</v>
      </c>
      <c r="M1565" s="16" t="e">
        <f t="shared" ca="1" si="53"/>
        <v>#VALUE!</v>
      </c>
      <c r="N1565" s="16" t="e">
        <f t="shared" ca="1" si="54"/>
        <v>#VALUE!</v>
      </c>
    </row>
    <row r="1566" spans="1:14" ht="24.75" customHeight="1" x14ac:dyDescent="0.8">
      <c r="A1566" s="18" t="s">
        <v>1529</v>
      </c>
      <c r="B1566" s="10">
        <f ca="1">IFERROR(__xludf.DUMMYFUNCTION("GOOGLEFINANCE(A1566,""PRICE"")"),190)</f>
        <v>190</v>
      </c>
      <c r="C1566" s="11">
        <f ca="1">IFERROR(__xludf.DUMMYFUNCTION("GOOGLEFINANCE(A1566,""PRICEOPEN"")"),183)</f>
        <v>183</v>
      </c>
      <c r="D1566" s="11">
        <f ca="1">IFERROR(__xludf.DUMMYFUNCTION("GOOGLEFINANCE(A1566,""HIGH"")"),194.48)</f>
        <v>194.48</v>
      </c>
      <c r="E1566" s="11">
        <f ca="1">IFERROR(__xludf.DUMMYFUNCTION("GOOGLEFINANCE(A1566,""LOW"")"),181.61)</f>
        <v>181.61</v>
      </c>
      <c r="F1566" s="12" t="str">
        <f t="shared" ca="1" si="49"/>
        <v/>
      </c>
      <c r="G1566" s="13">
        <f ca="1">IFERROR(__xludf.DUMMYFUNCTION("GOOGLEFINANCE(A1566,""CLOSEYEST"")"),180.17)</f>
        <v>180.17</v>
      </c>
      <c r="H1566" s="14" t="str">
        <f t="shared" ca="1" si="55"/>
        <v>GAP UP</v>
      </c>
      <c r="I1566" s="15">
        <f t="shared" ca="1" si="50"/>
        <v>185.42</v>
      </c>
      <c r="J1566" s="16">
        <f t="shared" ca="1" si="51"/>
        <v>189.22999999999996</v>
      </c>
      <c r="K1566" s="16"/>
      <c r="L1566" s="16">
        <f t="shared" ca="1" si="52"/>
        <v>176.35999999999999</v>
      </c>
      <c r="M1566" s="16">
        <f t="shared" ca="1" si="53"/>
        <v>198.28999999999996</v>
      </c>
      <c r="N1566" s="16">
        <f t="shared" ca="1" si="54"/>
        <v>172.55</v>
      </c>
    </row>
    <row r="1567" spans="1:14" ht="24.75" customHeight="1" x14ac:dyDescent="0.8">
      <c r="A1567" s="18" t="s">
        <v>1530</v>
      </c>
      <c r="B1567" s="10" t="str">
        <f ca="1">IFERROR(__xludf.DUMMYFUNCTION("GOOGLEFINANCE(A1567,""PRICE"")"),"#N/A")</f>
        <v>#N/A</v>
      </c>
      <c r="C1567" s="11" t="str">
        <f ca="1">IFERROR(__xludf.DUMMYFUNCTION("GOOGLEFINANCE(A1567,""PRICEOPEN"")"),"#N/A")</f>
        <v>#N/A</v>
      </c>
      <c r="D1567" s="11" t="str">
        <f ca="1">IFERROR(__xludf.DUMMYFUNCTION("GOOGLEFINANCE(A1567,""HIGH"")"),"#N/A")</f>
        <v>#N/A</v>
      </c>
      <c r="E1567" s="11" t="str">
        <f ca="1">IFERROR(__xludf.DUMMYFUNCTION("GOOGLEFINANCE(A1567,""LOW"")"),"#N/A")</f>
        <v>#N/A</v>
      </c>
      <c r="F1567" s="12" t="str">
        <f t="shared" ca="1" si="49"/>
        <v>SELL</v>
      </c>
      <c r="G1567" s="13" t="str">
        <f ca="1">IFERROR(__xludf.DUMMYFUNCTION("GOOGLEFINANCE(A1567,""CLOSEYEST"")"),"#N/A")</f>
        <v>#N/A</v>
      </c>
      <c r="H1567" s="14" t="e">
        <f t="shared" ca="1" si="55"/>
        <v>#VALUE!</v>
      </c>
      <c r="I1567" s="15" t="e">
        <f t="shared" ca="1" si="50"/>
        <v>#VALUE!</v>
      </c>
      <c r="J1567" s="16" t="e">
        <f t="shared" ca="1" si="51"/>
        <v>#VALUE!</v>
      </c>
      <c r="K1567" s="16"/>
      <c r="L1567" s="16" t="e">
        <f t="shared" ca="1" si="52"/>
        <v>#VALUE!</v>
      </c>
      <c r="M1567" s="16" t="e">
        <f t="shared" ca="1" si="53"/>
        <v>#VALUE!</v>
      </c>
      <c r="N1567" s="16" t="e">
        <f t="shared" ca="1" si="54"/>
        <v>#VALUE!</v>
      </c>
    </row>
    <row r="1568" spans="1:14" ht="24.75" customHeight="1" x14ac:dyDescent="0.8">
      <c r="A1568" s="18" t="s">
        <v>1531</v>
      </c>
      <c r="B1568" s="10">
        <f ca="1">IFERROR(__xludf.DUMMYFUNCTION("GOOGLEFINANCE(A1568,""PRICE"")"),323)</f>
        <v>323</v>
      </c>
      <c r="C1568" s="11">
        <f ca="1">IFERROR(__xludf.DUMMYFUNCTION("GOOGLEFINANCE(A1568,""PRICEOPEN"")"),322)</f>
        <v>322</v>
      </c>
      <c r="D1568" s="11">
        <f ca="1">IFERROR(__xludf.DUMMYFUNCTION("GOOGLEFINANCE(A1568,""HIGH"")"),324.9)</f>
        <v>324.89999999999998</v>
      </c>
      <c r="E1568" s="11">
        <f ca="1">IFERROR(__xludf.DUMMYFUNCTION("GOOGLEFINANCE(A1568,""LOW"")"),317.1)</f>
        <v>317.10000000000002</v>
      </c>
      <c r="F1568" s="12" t="str">
        <f t="shared" ca="1" si="49"/>
        <v/>
      </c>
      <c r="G1568" s="13">
        <f ca="1">IFERROR(__xludf.DUMMYFUNCTION("GOOGLEFINANCE(A1568,""CLOSEYEST"")"),318.1)</f>
        <v>318.10000000000002</v>
      </c>
      <c r="H1568" s="14" t="str">
        <f t="shared" ca="1" si="55"/>
        <v>GAP UP</v>
      </c>
      <c r="I1568" s="15">
        <f t="shared" ca="1" si="50"/>
        <v>320.03333333333336</v>
      </c>
      <c r="J1568" s="16">
        <f t="shared" ca="1" si="51"/>
        <v>322.9666666666667</v>
      </c>
      <c r="K1568" s="16"/>
      <c r="L1568" s="16">
        <f t="shared" ca="1" si="52"/>
        <v>315.16666666666674</v>
      </c>
      <c r="M1568" s="16">
        <f t="shared" ca="1" si="53"/>
        <v>327.83333333333331</v>
      </c>
      <c r="N1568" s="16">
        <f t="shared" ca="1" si="54"/>
        <v>312.23333333333341</v>
      </c>
    </row>
    <row r="1569" spans="1:14" ht="24.75" customHeight="1" x14ac:dyDescent="0.8">
      <c r="A1569" s="18" t="s">
        <v>1532</v>
      </c>
      <c r="B1569" s="10" t="str">
        <f ca="1">IFERROR(__xludf.DUMMYFUNCTION("GOOGLEFINANCE(A1569,""PRICE"")"),"#N/A")</f>
        <v>#N/A</v>
      </c>
      <c r="C1569" s="11" t="str">
        <f ca="1">IFERROR(__xludf.DUMMYFUNCTION("GOOGLEFINANCE(A1569,""PRICEOPEN"")"),"#N/A")</f>
        <v>#N/A</v>
      </c>
      <c r="D1569" s="11" t="str">
        <f ca="1">IFERROR(__xludf.DUMMYFUNCTION("GOOGLEFINANCE(A1569,""HIGH"")"),"#N/A")</f>
        <v>#N/A</v>
      </c>
      <c r="E1569" s="11" t="str">
        <f ca="1">IFERROR(__xludf.DUMMYFUNCTION("GOOGLEFINANCE(A1569,""LOW"")"),"#N/A")</f>
        <v>#N/A</v>
      </c>
      <c r="F1569" s="12" t="str">
        <f t="shared" ca="1" si="49"/>
        <v>SELL</v>
      </c>
      <c r="G1569" s="13" t="str">
        <f ca="1">IFERROR(__xludf.DUMMYFUNCTION("GOOGLEFINANCE(A1569,""CLOSEYEST"")"),"#N/A")</f>
        <v>#N/A</v>
      </c>
      <c r="H1569" s="14" t="e">
        <f t="shared" ca="1" si="55"/>
        <v>#VALUE!</v>
      </c>
      <c r="I1569" s="15" t="e">
        <f t="shared" ca="1" si="50"/>
        <v>#VALUE!</v>
      </c>
      <c r="J1569" s="16" t="e">
        <f t="shared" ca="1" si="51"/>
        <v>#VALUE!</v>
      </c>
      <c r="K1569" s="16"/>
      <c r="L1569" s="16" t="e">
        <f t="shared" ca="1" si="52"/>
        <v>#VALUE!</v>
      </c>
      <c r="M1569" s="16" t="e">
        <f t="shared" ca="1" si="53"/>
        <v>#VALUE!</v>
      </c>
      <c r="N1569" s="16" t="e">
        <f t="shared" ca="1" si="54"/>
        <v>#VALUE!</v>
      </c>
    </row>
    <row r="1570" spans="1:14" ht="24.75" customHeight="1" x14ac:dyDescent="0.8">
      <c r="A1570" s="18" t="s">
        <v>1533</v>
      </c>
      <c r="B1570" s="10">
        <f ca="1">IFERROR(__xludf.DUMMYFUNCTION("GOOGLEFINANCE(A1570,""PRICE"")"),749)</f>
        <v>749</v>
      </c>
      <c r="C1570" s="11">
        <f ca="1">IFERROR(__xludf.DUMMYFUNCTION("GOOGLEFINANCE(A1570,""PRICEOPEN"")"),759.8)</f>
        <v>759.8</v>
      </c>
      <c r="D1570" s="11">
        <f ca="1">IFERROR(__xludf.DUMMYFUNCTION("GOOGLEFINANCE(A1570,""HIGH"")"),761.3)</f>
        <v>761.3</v>
      </c>
      <c r="E1570" s="11">
        <f ca="1">IFERROR(__xludf.DUMMYFUNCTION("GOOGLEFINANCE(A1570,""LOW"")"),740.1)</f>
        <v>740.1</v>
      </c>
      <c r="F1570" s="12" t="str">
        <f t="shared" ca="1" si="49"/>
        <v/>
      </c>
      <c r="G1570" s="13">
        <f ca="1">IFERROR(__xludf.DUMMYFUNCTION("GOOGLEFINANCE(A1570,""CLOSEYEST"")"),748.2)</f>
        <v>748.2</v>
      </c>
      <c r="H1570" s="14" t="str">
        <f t="shared" ca="1" si="55"/>
        <v>GAP UP</v>
      </c>
      <c r="I1570" s="15">
        <f t="shared" ca="1" si="50"/>
        <v>749.86666666666679</v>
      </c>
      <c r="J1570" s="16">
        <f t="shared" ca="1" si="51"/>
        <v>759.63333333333355</v>
      </c>
      <c r="K1570" s="16"/>
      <c r="L1570" s="16">
        <f t="shared" ca="1" si="52"/>
        <v>738.43333333333362</v>
      </c>
      <c r="M1570" s="16">
        <f t="shared" ca="1" si="53"/>
        <v>771.06666666666672</v>
      </c>
      <c r="N1570" s="16">
        <f t="shared" ca="1" si="54"/>
        <v>728.66666666666686</v>
      </c>
    </row>
    <row r="1571" spans="1:14" ht="24.75" customHeight="1" x14ac:dyDescent="0.8">
      <c r="A1571" s="18" t="s">
        <v>1534</v>
      </c>
      <c r="B1571" s="10">
        <f ca="1">IFERROR(__xludf.DUMMYFUNCTION("GOOGLEFINANCE(A1571,""PRICE"")"),52.6)</f>
        <v>52.6</v>
      </c>
      <c r="C1571" s="11">
        <f ca="1">IFERROR(__xludf.DUMMYFUNCTION("GOOGLEFINANCE(A1571,""PRICEOPEN"")"),52.75)</f>
        <v>52.75</v>
      </c>
      <c r="D1571" s="11">
        <f ca="1">IFERROR(__xludf.DUMMYFUNCTION("GOOGLEFINANCE(A1571,""HIGH"")"),52.75)</f>
        <v>52.75</v>
      </c>
      <c r="E1571" s="11">
        <f ca="1">IFERROR(__xludf.DUMMYFUNCTION("GOOGLEFINANCE(A1571,""LOW"")"),51.5)</f>
        <v>51.5</v>
      </c>
      <c r="F1571" s="12" t="str">
        <f t="shared" ca="1" si="49"/>
        <v>SELL</v>
      </c>
      <c r="G1571" s="13">
        <f ca="1">IFERROR(__xludf.DUMMYFUNCTION("GOOGLEFINANCE(A1571,""CLOSEYEST"")"),51.63)</f>
        <v>51.63</v>
      </c>
      <c r="H1571" s="14" t="str">
        <f t="shared" ca="1" si="55"/>
        <v>GAP UP</v>
      </c>
      <c r="I1571" s="15">
        <f t="shared" ca="1" si="50"/>
        <v>51.96</v>
      </c>
      <c r="J1571" s="16">
        <f t="shared" ca="1" si="51"/>
        <v>52.42</v>
      </c>
      <c r="K1571" s="16"/>
      <c r="L1571" s="16">
        <f t="shared" ca="1" si="52"/>
        <v>51.17</v>
      </c>
      <c r="M1571" s="16">
        <f t="shared" ca="1" si="53"/>
        <v>53.21</v>
      </c>
      <c r="N1571" s="16">
        <f t="shared" ca="1" si="54"/>
        <v>50.71</v>
      </c>
    </row>
    <row r="1572" spans="1:14" ht="24.75" customHeight="1" x14ac:dyDescent="0.8">
      <c r="A1572" s="18" t="s">
        <v>1535</v>
      </c>
      <c r="B1572" s="10">
        <f ca="1">IFERROR(__xludf.DUMMYFUNCTION("GOOGLEFINANCE(A1572,""PRICE"")"),47.43)</f>
        <v>47.43</v>
      </c>
      <c r="C1572" s="11">
        <f ca="1">IFERROR(__xludf.DUMMYFUNCTION("GOOGLEFINANCE(A1572,""PRICEOPEN"")"),47.43)</f>
        <v>47.43</v>
      </c>
      <c r="D1572" s="11">
        <f ca="1">IFERROR(__xludf.DUMMYFUNCTION("GOOGLEFINANCE(A1572,""HIGH"")"),47.43)</f>
        <v>47.43</v>
      </c>
      <c r="E1572" s="11">
        <f ca="1">IFERROR(__xludf.DUMMYFUNCTION("GOOGLEFINANCE(A1572,""LOW"")"),47.43)</f>
        <v>47.43</v>
      </c>
      <c r="F1572" s="12" t="str">
        <f t="shared" ca="1" si="49"/>
        <v>SELL</v>
      </c>
      <c r="G1572" s="13">
        <f ca="1">IFERROR(__xludf.DUMMYFUNCTION("GOOGLEFINANCE(A1572,""CLOSEYEST"")"),45.18)</f>
        <v>45.18</v>
      </c>
      <c r="H1572" s="14" t="str">
        <f t="shared" ca="1" si="55"/>
        <v>GAP UP</v>
      </c>
      <c r="I1572" s="15">
        <f t="shared" ca="1" si="50"/>
        <v>46.68</v>
      </c>
      <c r="J1572" s="16">
        <f t="shared" ca="1" si="51"/>
        <v>45.93</v>
      </c>
      <c r="K1572" s="16"/>
      <c r="L1572" s="16">
        <f t="shared" ca="1" si="52"/>
        <v>45.93</v>
      </c>
      <c r="M1572" s="16">
        <f t="shared" ca="1" si="53"/>
        <v>46.68</v>
      </c>
      <c r="N1572" s="16">
        <f t="shared" ca="1" si="54"/>
        <v>46.68</v>
      </c>
    </row>
    <row r="1573" spans="1:14" ht="24.75" customHeight="1" x14ac:dyDescent="0.8">
      <c r="A1573" s="18" t="s">
        <v>1536</v>
      </c>
      <c r="B1573" s="10">
        <f ca="1">IFERROR(__xludf.DUMMYFUNCTION("GOOGLEFINANCE(A1573,""PRICE"")"),75.8)</f>
        <v>75.8</v>
      </c>
      <c r="C1573" s="11">
        <f ca="1">IFERROR(__xludf.DUMMYFUNCTION("GOOGLEFINANCE(A1573,""PRICEOPEN"")"),79.9)</f>
        <v>79.900000000000006</v>
      </c>
      <c r="D1573" s="11">
        <f ca="1">IFERROR(__xludf.DUMMYFUNCTION("GOOGLEFINANCE(A1573,""HIGH"")"),79.9)</f>
        <v>79.900000000000006</v>
      </c>
      <c r="E1573" s="11">
        <f ca="1">IFERROR(__xludf.DUMMYFUNCTION("GOOGLEFINANCE(A1573,""LOW"")"),75.8)</f>
        <v>75.8</v>
      </c>
      <c r="F1573" s="12" t="str">
        <f t="shared" ca="1" si="49"/>
        <v>SELL</v>
      </c>
      <c r="G1573" s="13">
        <f ca="1">IFERROR(__xludf.DUMMYFUNCTION("GOOGLEFINANCE(A1573,""CLOSEYEST"")"),77.76)</f>
        <v>77.760000000000005</v>
      </c>
      <c r="H1573" s="14" t="str">
        <f t="shared" ca="1" si="55"/>
        <v>GAP UP</v>
      </c>
      <c r="I1573" s="15">
        <f t="shared" ca="1" si="50"/>
        <v>77.819999999999993</v>
      </c>
      <c r="J1573" s="16">
        <f t="shared" ca="1" si="51"/>
        <v>79.839999999999989</v>
      </c>
      <c r="K1573" s="16"/>
      <c r="L1573" s="16">
        <f t="shared" ca="1" si="52"/>
        <v>75.739999999999981</v>
      </c>
      <c r="M1573" s="16">
        <f t="shared" ca="1" si="53"/>
        <v>81.92</v>
      </c>
      <c r="N1573" s="16">
        <f t="shared" ca="1" si="54"/>
        <v>73.719999999999985</v>
      </c>
    </row>
    <row r="1574" spans="1:14" ht="24.75" customHeight="1" x14ac:dyDescent="0.8">
      <c r="A1574" s="18" t="s">
        <v>1537</v>
      </c>
      <c r="B1574" s="10">
        <f ca="1">IFERROR(__xludf.DUMMYFUNCTION("GOOGLEFINANCE(A1574,""PRICE"")"),40.28)</f>
        <v>40.28</v>
      </c>
      <c r="C1574" s="11">
        <f ca="1">IFERROR(__xludf.DUMMYFUNCTION("GOOGLEFINANCE(A1574,""PRICEOPEN"")"),39.81)</f>
        <v>39.81</v>
      </c>
      <c r="D1574" s="11">
        <f ca="1">IFERROR(__xludf.DUMMYFUNCTION("GOOGLEFINANCE(A1574,""HIGH"")"),40.69)</f>
        <v>40.69</v>
      </c>
      <c r="E1574" s="11">
        <f ca="1">IFERROR(__xludf.DUMMYFUNCTION("GOOGLEFINANCE(A1574,""LOW"")"),39.81)</f>
        <v>39.81</v>
      </c>
      <c r="F1574" s="12" t="str">
        <f t="shared" ca="1" si="49"/>
        <v>BUY</v>
      </c>
      <c r="G1574" s="13">
        <f ca="1">IFERROR(__xludf.DUMMYFUNCTION("GOOGLEFINANCE(A1574,""CLOSEYEST"")"),40.46)</f>
        <v>40.46</v>
      </c>
      <c r="H1574" s="14" t="str">
        <f t="shared" ca="1" si="55"/>
        <v>GAP DOWN</v>
      </c>
      <c r="I1574" s="15">
        <f t="shared" ca="1" si="50"/>
        <v>40.32</v>
      </c>
      <c r="J1574" s="16">
        <f t="shared" ca="1" si="51"/>
        <v>40.83</v>
      </c>
      <c r="K1574" s="16"/>
      <c r="L1574" s="16">
        <f t="shared" ca="1" si="52"/>
        <v>39.950000000000003</v>
      </c>
      <c r="M1574" s="16">
        <f t="shared" ca="1" si="53"/>
        <v>41.199999999999996</v>
      </c>
      <c r="N1574" s="16">
        <f t="shared" ca="1" si="54"/>
        <v>39.440000000000005</v>
      </c>
    </row>
    <row r="1575" spans="1:14" ht="24.75" customHeight="1" x14ac:dyDescent="0.8">
      <c r="A1575" s="18" t="s">
        <v>1538</v>
      </c>
      <c r="B1575" s="10">
        <f ca="1">IFERROR(__xludf.DUMMYFUNCTION("GOOGLEFINANCE(A1575,""PRICE"")"),122.9)</f>
        <v>122.9</v>
      </c>
      <c r="C1575" s="11">
        <f ca="1">IFERROR(__xludf.DUMMYFUNCTION("GOOGLEFINANCE(A1575,""PRICEOPEN"")"),121.1)</f>
        <v>121.1</v>
      </c>
      <c r="D1575" s="11">
        <f ca="1">IFERROR(__xludf.DUMMYFUNCTION("GOOGLEFINANCE(A1575,""HIGH"")"),123.89)</f>
        <v>123.89</v>
      </c>
      <c r="E1575" s="11">
        <f ca="1">IFERROR(__xludf.DUMMYFUNCTION("GOOGLEFINANCE(A1575,""LOW"")"),121.1)</f>
        <v>121.1</v>
      </c>
      <c r="F1575" s="12" t="str">
        <f t="shared" ca="1" si="49"/>
        <v>BUY</v>
      </c>
      <c r="G1575" s="13">
        <f ca="1">IFERROR(__xludf.DUMMYFUNCTION("GOOGLEFINANCE(A1575,""CLOSEYEST"")"),122.77)</f>
        <v>122.77</v>
      </c>
      <c r="H1575" s="14" t="str">
        <f t="shared" ca="1" si="55"/>
        <v>GAP DOWN</v>
      </c>
      <c r="I1575" s="15">
        <f t="shared" ca="1" si="50"/>
        <v>122.58666666666666</v>
      </c>
      <c r="J1575" s="16">
        <f t="shared" ca="1" si="51"/>
        <v>124.07333333333332</v>
      </c>
      <c r="K1575" s="16"/>
      <c r="L1575" s="16">
        <f t="shared" ca="1" si="52"/>
        <v>121.28333333333332</v>
      </c>
      <c r="M1575" s="16">
        <f t="shared" ca="1" si="53"/>
        <v>125.37666666666667</v>
      </c>
      <c r="N1575" s="16">
        <f t="shared" ca="1" si="54"/>
        <v>119.79666666666665</v>
      </c>
    </row>
    <row r="1576" spans="1:14" ht="24.75" customHeight="1" x14ac:dyDescent="0.8">
      <c r="A1576" s="18" t="s">
        <v>1539</v>
      </c>
      <c r="B1576" s="10">
        <f ca="1">IFERROR(__xludf.DUMMYFUNCTION("GOOGLEFINANCE(A1576,""PRICE"")"),138.8)</f>
        <v>138.80000000000001</v>
      </c>
      <c r="C1576" s="11">
        <f ca="1">IFERROR(__xludf.DUMMYFUNCTION("GOOGLEFINANCE(A1576,""PRICEOPEN"")"),131.4)</f>
        <v>131.4</v>
      </c>
      <c r="D1576" s="11">
        <f ca="1">IFERROR(__xludf.DUMMYFUNCTION("GOOGLEFINANCE(A1576,""HIGH"")"),139.36)</f>
        <v>139.36000000000001</v>
      </c>
      <c r="E1576" s="11">
        <f ca="1">IFERROR(__xludf.DUMMYFUNCTION("GOOGLEFINANCE(A1576,""LOW"")"),129.11)</f>
        <v>129.11000000000001</v>
      </c>
      <c r="F1576" s="12" t="str">
        <f t="shared" ca="1" si="49"/>
        <v/>
      </c>
      <c r="G1576" s="13">
        <f ca="1">IFERROR(__xludf.DUMMYFUNCTION("GOOGLEFINANCE(A1576,""CLOSEYEST"")"),132.73)</f>
        <v>132.72999999999999</v>
      </c>
      <c r="H1576" s="14" t="str">
        <f t="shared" ca="1" si="55"/>
        <v>GAP DOWN</v>
      </c>
      <c r="I1576" s="15">
        <f t="shared" ca="1" si="50"/>
        <v>133.73333333333335</v>
      </c>
      <c r="J1576" s="16">
        <f t="shared" ca="1" si="51"/>
        <v>138.35666666666668</v>
      </c>
      <c r="K1576" s="16"/>
      <c r="L1576" s="16">
        <f t="shared" ca="1" si="52"/>
        <v>128.10666666666668</v>
      </c>
      <c r="M1576" s="16">
        <f t="shared" ca="1" si="53"/>
        <v>143.98333333333335</v>
      </c>
      <c r="N1576" s="16">
        <f t="shared" ca="1" si="54"/>
        <v>123.48333333333335</v>
      </c>
    </row>
    <row r="1577" spans="1:14" ht="24.75" customHeight="1" x14ac:dyDescent="0.8">
      <c r="A1577" s="18" t="s">
        <v>1540</v>
      </c>
      <c r="B1577" s="10">
        <f ca="1">IFERROR(__xludf.DUMMYFUNCTION("GOOGLEFINANCE(A1577,""PRICE"")"),68.5)</f>
        <v>68.5</v>
      </c>
      <c r="C1577" s="11">
        <f ca="1">IFERROR(__xludf.DUMMYFUNCTION("GOOGLEFINANCE(A1577,""PRICEOPEN"")"),69.74)</f>
        <v>69.739999999999995</v>
      </c>
      <c r="D1577" s="11">
        <f ca="1">IFERROR(__xludf.DUMMYFUNCTION("GOOGLEFINANCE(A1577,""HIGH"")"),69.74)</f>
        <v>69.739999999999995</v>
      </c>
      <c r="E1577" s="11">
        <f ca="1">IFERROR(__xludf.DUMMYFUNCTION("GOOGLEFINANCE(A1577,""LOW"")"),67.07)</f>
        <v>67.069999999999993</v>
      </c>
      <c r="F1577" s="12" t="str">
        <f t="shared" ca="1" si="49"/>
        <v>SELL</v>
      </c>
      <c r="G1577" s="13">
        <f ca="1">IFERROR(__xludf.DUMMYFUNCTION("GOOGLEFINANCE(A1577,""CLOSEYEST"")"),68.65)</f>
        <v>68.650000000000006</v>
      </c>
      <c r="H1577" s="14" t="str">
        <f t="shared" ca="1" si="55"/>
        <v>GAP UP</v>
      </c>
      <c r="I1577" s="15">
        <f t="shared" ca="1" si="50"/>
        <v>68.486666666666665</v>
      </c>
      <c r="J1577" s="16">
        <f t="shared" ca="1" si="51"/>
        <v>69.903333333333336</v>
      </c>
      <c r="K1577" s="16"/>
      <c r="L1577" s="16">
        <f t="shared" ca="1" si="52"/>
        <v>67.233333333333334</v>
      </c>
      <c r="M1577" s="16">
        <f t="shared" ca="1" si="53"/>
        <v>71.156666666666666</v>
      </c>
      <c r="N1577" s="16">
        <f t="shared" ca="1" si="54"/>
        <v>65.816666666666663</v>
      </c>
    </row>
    <row r="1578" spans="1:14" ht="24.75" customHeight="1" x14ac:dyDescent="0.8">
      <c r="A1578" s="18" t="s">
        <v>1541</v>
      </c>
      <c r="B1578" s="10">
        <f ca="1">IFERROR(__xludf.DUMMYFUNCTION("GOOGLEFINANCE(A1578,""PRICE"")"),24.19)</f>
        <v>24.19</v>
      </c>
      <c r="C1578" s="11">
        <f ca="1">IFERROR(__xludf.DUMMYFUNCTION("GOOGLEFINANCE(A1578,""PRICEOPEN"")"),24.14)</f>
        <v>24.14</v>
      </c>
      <c r="D1578" s="11">
        <f ca="1">IFERROR(__xludf.DUMMYFUNCTION("GOOGLEFINANCE(A1578,""HIGH"")"),24.5)</f>
        <v>24.5</v>
      </c>
      <c r="E1578" s="11">
        <f ca="1">IFERROR(__xludf.DUMMYFUNCTION("GOOGLEFINANCE(A1578,""LOW"")"),23.8)</f>
        <v>23.8</v>
      </c>
      <c r="F1578" s="12" t="str">
        <f t="shared" ca="1" si="49"/>
        <v/>
      </c>
      <c r="G1578" s="13">
        <f ca="1">IFERROR(__xludf.DUMMYFUNCTION("GOOGLEFINANCE(A1578,""CLOSEYEST"")"),24.14)</f>
        <v>24.14</v>
      </c>
      <c r="H1578" s="14" t="str">
        <f t="shared" ca="1" si="55"/>
        <v/>
      </c>
      <c r="I1578" s="15">
        <f t="shared" ca="1" si="50"/>
        <v>24.146666666666665</v>
      </c>
      <c r="J1578" s="16">
        <f t="shared" ca="1" si="51"/>
        <v>24.493333333333329</v>
      </c>
      <c r="K1578" s="16"/>
      <c r="L1578" s="16">
        <f t="shared" ca="1" si="52"/>
        <v>23.793333333333329</v>
      </c>
      <c r="M1578" s="16">
        <f t="shared" ca="1" si="53"/>
        <v>24.846666666666664</v>
      </c>
      <c r="N1578" s="16">
        <f t="shared" ca="1" si="54"/>
        <v>23.446666666666665</v>
      </c>
    </row>
    <row r="1579" spans="1:14" ht="24.75" customHeight="1" x14ac:dyDescent="0.8">
      <c r="A1579" s="18" t="s">
        <v>1542</v>
      </c>
      <c r="B1579" s="10">
        <f ca="1">IFERROR(__xludf.DUMMYFUNCTION("GOOGLEFINANCE(A1579,""PRICE"")"),122.75)</f>
        <v>122.75</v>
      </c>
      <c r="C1579" s="11">
        <f ca="1">IFERROR(__xludf.DUMMYFUNCTION("GOOGLEFINANCE(A1579,""PRICEOPEN"")"),123)</f>
        <v>123</v>
      </c>
      <c r="D1579" s="11">
        <f ca="1">IFERROR(__xludf.DUMMYFUNCTION("GOOGLEFINANCE(A1579,""HIGH"")"),125)</f>
        <v>125</v>
      </c>
      <c r="E1579" s="11">
        <f ca="1">IFERROR(__xludf.DUMMYFUNCTION("GOOGLEFINANCE(A1579,""LOW"")"),120.3)</f>
        <v>120.3</v>
      </c>
      <c r="F1579" s="12" t="str">
        <f t="shared" ca="1" si="49"/>
        <v/>
      </c>
      <c r="G1579" s="13">
        <f ca="1">IFERROR(__xludf.DUMMYFUNCTION("GOOGLEFINANCE(A1579,""CLOSEYEST"")"),122.89)</f>
        <v>122.89</v>
      </c>
      <c r="H1579" s="14" t="str">
        <f t="shared" ca="1" si="55"/>
        <v/>
      </c>
      <c r="I1579" s="15">
        <f t="shared" ca="1" si="50"/>
        <v>122.73</v>
      </c>
      <c r="J1579" s="16">
        <f t="shared" ca="1" si="51"/>
        <v>125.16000000000001</v>
      </c>
      <c r="K1579" s="16"/>
      <c r="L1579" s="16">
        <f t="shared" ca="1" si="52"/>
        <v>120.46000000000001</v>
      </c>
      <c r="M1579" s="16">
        <f t="shared" ca="1" si="53"/>
        <v>127.43</v>
      </c>
      <c r="N1579" s="16">
        <f t="shared" ca="1" si="54"/>
        <v>118.03</v>
      </c>
    </row>
    <row r="1580" spans="1:14" ht="24.75" customHeight="1" x14ac:dyDescent="0.8">
      <c r="A1580" s="18" t="s">
        <v>1543</v>
      </c>
      <c r="B1580" s="10">
        <f ca="1">IFERROR(__xludf.DUMMYFUNCTION("GOOGLEFINANCE(A1580,""PRICE"")"),70.95)</f>
        <v>70.95</v>
      </c>
      <c r="C1580" s="11">
        <f ca="1">IFERROR(__xludf.DUMMYFUNCTION("GOOGLEFINANCE(A1580,""PRICEOPEN"")"),71.79)</f>
        <v>71.790000000000006</v>
      </c>
      <c r="D1580" s="11">
        <f ca="1">IFERROR(__xludf.DUMMYFUNCTION("GOOGLEFINANCE(A1580,""HIGH"")"),72.4)</f>
        <v>72.400000000000006</v>
      </c>
      <c r="E1580" s="11">
        <f ca="1">IFERROR(__xludf.DUMMYFUNCTION("GOOGLEFINANCE(A1580,""LOW"")"),70.59)</f>
        <v>70.59</v>
      </c>
      <c r="F1580" s="12" t="str">
        <f t="shared" ca="1" si="49"/>
        <v/>
      </c>
      <c r="G1580" s="13">
        <f ca="1">IFERROR(__xludf.DUMMYFUNCTION("GOOGLEFINANCE(A1580,""CLOSEYEST"")"),71.25)</f>
        <v>71.25</v>
      </c>
      <c r="H1580" s="14" t="str">
        <f t="shared" ca="1" si="55"/>
        <v/>
      </c>
      <c r="I1580" s="15">
        <f t="shared" ca="1" si="50"/>
        <v>71.413333333333341</v>
      </c>
      <c r="J1580" s="16">
        <f t="shared" ca="1" si="51"/>
        <v>72.236666666666679</v>
      </c>
      <c r="K1580" s="16"/>
      <c r="L1580" s="16">
        <f t="shared" ca="1" si="52"/>
        <v>70.426666666666677</v>
      </c>
      <c r="M1580" s="16">
        <f t="shared" ca="1" si="53"/>
        <v>73.223333333333343</v>
      </c>
      <c r="N1580" s="16">
        <f t="shared" ca="1" si="54"/>
        <v>69.603333333333339</v>
      </c>
    </row>
    <row r="1581" spans="1:14" ht="24.75" customHeight="1" x14ac:dyDescent="0.8">
      <c r="A1581" s="18" t="s">
        <v>1544</v>
      </c>
      <c r="B1581" s="10">
        <f ca="1">IFERROR(__xludf.DUMMYFUNCTION("GOOGLEFINANCE(A1581,""PRICE"")"),33.5)</f>
        <v>33.5</v>
      </c>
      <c r="C1581" s="11">
        <f ca="1">IFERROR(__xludf.DUMMYFUNCTION("GOOGLEFINANCE(A1581,""PRICEOPEN"")"),33.3)</f>
        <v>33.299999999999997</v>
      </c>
      <c r="D1581" s="11">
        <f ca="1">IFERROR(__xludf.DUMMYFUNCTION("GOOGLEFINANCE(A1581,""HIGH"")"),33.5)</f>
        <v>33.5</v>
      </c>
      <c r="E1581" s="11">
        <f ca="1">IFERROR(__xludf.DUMMYFUNCTION("GOOGLEFINANCE(A1581,""LOW"")"),32.6)</f>
        <v>32.6</v>
      </c>
      <c r="F1581" s="12" t="str">
        <f t="shared" ca="1" si="49"/>
        <v/>
      </c>
      <c r="G1581" s="13">
        <f ca="1">IFERROR(__xludf.DUMMYFUNCTION("GOOGLEFINANCE(A1581,""CLOSEYEST"")"),33.19)</f>
        <v>33.19</v>
      </c>
      <c r="H1581" s="14" t="str">
        <f t="shared" ca="1" si="55"/>
        <v/>
      </c>
      <c r="I1581" s="15">
        <f t="shared" ca="1" si="50"/>
        <v>33.096666666666664</v>
      </c>
      <c r="J1581" s="16">
        <f t="shared" ca="1" si="51"/>
        <v>33.593333333333327</v>
      </c>
      <c r="K1581" s="16"/>
      <c r="L1581" s="16">
        <f t="shared" ca="1" si="52"/>
        <v>32.693333333333328</v>
      </c>
      <c r="M1581" s="16">
        <f t="shared" ca="1" si="53"/>
        <v>33.996666666666663</v>
      </c>
      <c r="N1581" s="16">
        <f t="shared" ca="1" si="54"/>
        <v>32.196666666666665</v>
      </c>
    </row>
    <row r="1582" spans="1:14" ht="24.75" customHeight="1" x14ac:dyDescent="0.8">
      <c r="A1582" s="18" t="s">
        <v>1545</v>
      </c>
      <c r="B1582" s="10">
        <f ca="1">IFERROR(__xludf.DUMMYFUNCTION("GOOGLEFINANCE(A1582,""PRICE"")"),91.6)</f>
        <v>91.6</v>
      </c>
      <c r="C1582" s="11">
        <f ca="1">IFERROR(__xludf.DUMMYFUNCTION("GOOGLEFINANCE(A1582,""PRICEOPEN"")"),92.9)</f>
        <v>92.9</v>
      </c>
      <c r="D1582" s="11">
        <f ca="1">IFERROR(__xludf.DUMMYFUNCTION("GOOGLEFINANCE(A1582,""HIGH"")"),92.9)</f>
        <v>92.9</v>
      </c>
      <c r="E1582" s="11">
        <f ca="1">IFERROR(__xludf.DUMMYFUNCTION("GOOGLEFINANCE(A1582,""LOW"")"),91.6)</f>
        <v>91.6</v>
      </c>
      <c r="F1582" s="12" t="str">
        <f t="shared" ca="1" si="49"/>
        <v>SELL</v>
      </c>
      <c r="G1582" s="13">
        <f ca="1">IFERROR(__xludf.DUMMYFUNCTION("GOOGLEFINANCE(A1582,""CLOSEYEST"")"),91.64)</f>
        <v>91.64</v>
      </c>
      <c r="H1582" s="14" t="str">
        <f t="shared" ca="1" si="55"/>
        <v>GAP UP</v>
      </c>
      <c r="I1582" s="15">
        <f t="shared" ca="1" si="50"/>
        <v>92.046666666666667</v>
      </c>
      <c r="J1582" s="16">
        <f t="shared" ca="1" si="51"/>
        <v>92.493333333333339</v>
      </c>
      <c r="K1582" s="16"/>
      <c r="L1582" s="16">
        <f t="shared" ca="1" si="52"/>
        <v>91.193333333333328</v>
      </c>
      <c r="M1582" s="16">
        <f t="shared" ca="1" si="53"/>
        <v>93.346666666666678</v>
      </c>
      <c r="N1582" s="16">
        <f t="shared" ca="1" si="54"/>
        <v>90.746666666666655</v>
      </c>
    </row>
    <row r="1583" spans="1:14" ht="24.75" customHeight="1" x14ac:dyDescent="0.8">
      <c r="A1583" s="18" t="s">
        <v>1546</v>
      </c>
      <c r="B1583" s="10">
        <f ca="1">IFERROR(__xludf.DUMMYFUNCTION("GOOGLEFINANCE(A1583,""PRICE"")"),108)</f>
        <v>108</v>
      </c>
      <c r="C1583" s="11">
        <f ca="1">IFERROR(__xludf.DUMMYFUNCTION("GOOGLEFINANCE(A1583,""PRICEOPEN"")"),107)</f>
        <v>107</v>
      </c>
      <c r="D1583" s="11">
        <f ca="1">IFERROR(__xludf.DUMMYFUNCTION("GOOGLEFINANCE(A1583,""HIGH"")"),108.46)</f>
        <v>108.46</v>
      </c>
      <c r="E1583" s="11">
        <f ca="1">IFERROR(__xludf.DUMMYFUNCTION("GOOGLEFINANCE(A1583,""LOW"")"),103)</f>
        <v>103</v>
      </c>
      <c r="F1583" s="12" t="str">
        <f t="shared" ca="1" si="49"/>
        <v/>
      </c>
      <c r="G1583" s="13">
        <f ca="1">IFERROR(__xludf.DUMMYFUNCTION("GOOGLEFINANCE(A1583,""CLOSEYEST"")"),105.6)</f>
        <v>105.6</v>
      </c>
      <c r="H1583" s="14" t="str">
        <f t="shared" ca="1" si="55"/>
        <v>GAP UP</v>
      </c>
      <c r="I1583" s="15">
        <f t="shared" ca="1" si="50"/>
        <v>105.68666666666665</v>
      </c>
      <c r="J1583" s="16">
        <f t="shared" ca="1" si="51"/>
        <v>108.37333333333331</v>
      </c>
      <c r="K1583" s="16"/>
      <c r="L1583" s="16">
        <f t="shared" ca="1" si="52"/>
        <v>102.91333333333331</v>
      </c>
      <c r="M1583" s="16">
        <f t="shared" ca="1" si="53"/>
        <v>111.14666666666665</v>
      </c>
      <c r="N1583" s="16">
        <f t="shared" ca="1" si="54"/>
        <v>100.22666666666666</v>
      </c>
    </row>
    <row r="1584" spans="1:14" ht="24.75" customHeight="1" x14ac:dyDescent="0.8">
      <c r="A1584" s="18" t="s">
        <v>1547</v>
      </c>
      <c r="B1584" s="10">
        <f ca="1">IFERROR(__xludf.DUMMYFUNCTION("GOOGLEFINANCE(A1584,""PRICE"")"),38.07)</f>
        <v>38.07</v>
      </c>
      <c r="C1584" s="11">
        <f ca="1">IFERROR(__xludf.DUMMYFUNCTION("GOOGLEFINANCE(A1584,""PRICEOPEN"")"),38.07)</f>
        <v>38.07</v>
      </c>
      <c r="D1584" s="11">
        <f ca="1">IFERROR(__xludf.DUMMYFUNCTION("GOOGLEFINANCE(A1584,""HIGH"")"),38.07)</f>
        <v>38.07</v>
      </c>
      <c r="E1584" s="11">
        <f ca="1">IFERROR(__xludf.DUMMYFUNCTION("GOOGLEFINANCE(A1584,""LOW"")"),37)</f>
        <v>37</v>
      </c>
      <c r="F1584" s="12" t="str">
        <f t="shared" ca="1" si="49"/>
        <v>SELL</v>
      </c>
      <c r="G1584" s="13">
        <f ca="1">IFERROR(__xludf.DUMMYFUNCTION("GOOGLEFINANCE(A1584,""CLOSEYEST"")"),36.26)</f>
        <v>36.26</v>
      </c>
      <c r="H1584" s="14" t="str">
        <f t="shared" ca="1" si="55"/>
        <v>GAP UP</v>
      </c>
      <c r="I1584" s="15">
        <f t="shared" ca="1" si="50"/>
        <v>37.109999999999992</v>
      </c>
      <c r="J1584" s="16">
        <f t="shared" ca="1" si="51"/>
        <v>37.219999999999985</v>
      </c>
      <c r="K1584" s="16"/>
      <c r="L1584" s="16">
        <f t="shared" ca="1" si="52"/>
        <v>36.149999999999984</v>
      </c>
      <c r="M1584" s="16">
        <f t="shared" ca="1" si="53"/>
        <v>38.179999999999993</v>
      </c>
      <c r="N1584" s="16">
        <f t="shared" ca="1" si="54"/>
        <v>36.039999999999992</v>
      </c>
    </row>
    <row r="1585" spans="1:14" ht="24.75" customHeight="1" x14ac:dyDescent="0.8">
      <c r="A1585" s="18" t="s">
        <v>1548</v>
      </c>
      <c r="B1585" s="10">
        <f ca="1">IFERROR(__xludf.DUMMYFUNCTION("GOOGLEFINANCE(A1585,""PRICE"")"),72.5)</f>
        <v>72.5</v>
      </c>
      <c r="C1585" s="11">
        <f ca="1">IFERROR(__xludf.DUMMYFUNCTION("GOOGLEFINANCE(A1585,""PRICEOPEN"")"),73.98)</f>
        <v>73.98</v>
      </c>
      <c r="D1585" s="11">
        <f ca="1">IFERROR(__xludf.DUMMYFUNCTION("GOOGLEFINANCE(A1585,""HIGH"")"),73.98)</f>
        <v>73.98</v>
      </c>
      <c r="E1585" s="11">
        <f ca="1">IFERROR(__xludf.DUMMYFUNCTION("GOOGLEFINANCE(A1585,""LOW"")"),70.91)</f>
        <v>70.91</v>
      </c>
      <c r="F1585" s="12" t="str">
        <f t="shared" ca="1" si="49"/>
        <v>SELL</v>
      </c>
      <c r="G1585" s="13">
        <f ca="1">IFERROR(__xludf.DUMMYFUNCTION("GOOGLEFINANCE(A1585,""CLOSEYEST"")"),70.46)</f>
        <v>70.459999999999994</v>
      </c>
      <c r="H1585" s="14" t="str">
        <f t="shared" ca="1" si="55"/>
        <v>GAP UP</v>
      </c>
      <c r="I1585" s="15">
        <f t="shared" ca="1" si="50"/>
        <v>71.783333333333317</v>
      </c>
      <c r="J1585" s="16">
        <f t="shared" ca="1" si="51"/>
        <v>72.656666666666638</v>
      </c>
      <c r="K1585" s="16"/>
      <c r="L1585" s="16">
        <f t="shared" ca="1" si="52"/>
        <v>69.58666666666663</v>
      </c>
      <c r="M1585" s="16">
        <f t="shared" ca="1" si="53"/>
        <v>74.853333333333325</v>
      </c>
      <c r="N1585" s="16">
        <f t="shared" ca="1" si="54"/>
        <v>68.71333333333331</v>
      </c>
    </row>
    <row r="1586" spans="1:14" ht="24.75" customHeight="1" x14ac:dyDescent="0.8">
      <c r="A1586" s="18" t="s">
        <v>1549</v>
      </c>
      <c r="B1586" s="10">
        <f ca="1">IFERROR(__xludf.DUMMYFUNCTION("GOOGLEFINANCE(A1586,""PRICE"")"),9.11)</f>
        <v>9.11</v>
      </c>
      <c r="C1586" s="11">
        <f ca="1">IFERROR(__xludf.DUMMYFUNCTION("GOOGLEFINANCE(A1586,""PRICEOPEN"")"),9.11)</f>
        <v>9.11</v>
      </c>
      <c r="D1586" s="11">
        <f ca="1">IFERROR(__xludf.DUMMYFUNCTION("GOOGLEFINANCE(A1586,""HIGH"")"),9.11)</f>
        <v>9.11</v>
      </c>
      <c r="E1586" s="11">
        <f ca="1">IFERROR(__xludf.DUMMYFUNCTION("GOOGLEFINANCE(A1586,""LOW"")"),9.11)</f>
        <v>9.11</v>
      </c>
      <c r="F1586" s="12" t="str">
        <f t="shared" ca="1" si="49"/>
        <v>SELL</v>
      </c>
      <c r="G1586" s="13">
        <f ca="1">IFERROR(__xludf.DUMMYFUNCTION("GOOGLEFINANCE(A1586,""CLOSEYEST"")"),8.68)</f>
        <v>8.68</v>
      </c>
      <c r="H1586" s="14" t="str">
        <f t="shared" ca="1" si="55"/>
        <v>GAP UP</v>
      </c>
      <c r="I1586" s="15">
        <f t="shared" ca="1" si="50"/>
        <v>8.9666666666666668</v>
      </c>
      <c r="J1586" s="16">
        <f t="shared" ca="1" si="51"/>
        <v>8.8233333333333341</v>
      </c>
      <c r="K1586" s="16"/>
      <c r="L1586" s="16">
        <f t="shared" ca="1" si="52"/>
        <v>8.8233333333333341</v>
      </c>
      <c r="M1586" s="16">
        <f t="shared" ca="1" si="53"/>
        <v>8.9666666666666668</v>
      </c>
      <c r="N1586" s="16">
        <f t="shared" ca="1" si="54"/>
        <v>8.9666666666666668</v>
      </c>
    </row>
    <row r="1587" spans="1:14" ht="24.75" customHeight="1" x14ac:dyDescent="0.8">
      <c r="A1587" s="18" t="s">
        <v>1550</v>
      </c>
      <c r="B1587" s="10">
        <f ca="1">IFERROR(__xludf.DUMMYFUNCTION("GOOGLEFINANCE(A1587,""PRICE"")"),20.66)</f>
        <v>20.66</v>
      </c>
      <c r="C1587" s="11">
        <f ca="1">IFERROR(__xludf.DUMMYFUNCTION("GOOGLEFINANCE(A1587,""PRICEOPEN"")"),21.35)</f>
        <v>21.35</v>
      </c>
      <c r="D1587" s="11">
        <f ca="1">IFERROR(__xludf.DUMMYFUNCTION("GOOGLEFINANCE(A1587,""HIGH"")"),21.35)</f>
        <v>21.35</v>
      </c>
      <c r="E1587" s="11">
        <f ca="1">IFERROR(__xludf.DUMMYFUNCTION("GOOGLEFINANCE(A1587,""LOW"")"),20)</f>
        <v>20</v>
      </c>
      <c r="F1587" s="12" t="str">
        <f t="shared" ca="1" si="49"/>
        <v>SELL</v>
      </c>
      <c r="G1587" s="13">
        <f ca="1">IFERROR(__xludf.DUMMYFUNCTION("GOOGLEFINANCE(A1587,""CLOSEYEST"")"),21.02)</f>
        <v>21.02</v>
      </c>
      <c r="H1587" s="14" t="str">
        <f t="shared" ca="1" si="55"/>
        <v>GAP UP</v>
      </c>
      <c r="I1587" s="15">
        <f t="shared" ca="1" si="50"/>
        <v>20.790000000000003</v>
      </c>
      <c r="J1587" s="16">
        <f t="shared" ca="1" si="51"/>
        <v>21.580000000000005</v>
      </c>
      <c r="K1587" s="16"/>
      <c r="L1587" s="16">
        <f t="shared" ca="1" si="52"/>
        <v>20.230000000000004</v>
      </c>
      <c r="M1587" s="16">
        <f t="shared" ca="1" si="53"/>
        <v>22.140000000000004</v>
      </c>
      <c r="N1587" s="16">
        <f t="shared" ca="1" si="54"/>
        <v>19.440000000000001</v>
      </c>
    </row>
    <row r="1588" spans="1:14" ht="24.75" customHeight="1" x14ac:dyDescent="0.8">
      <c r="A1588" s="18" t="s">
        <v>1551</v>
      </c>
      <c r="B1588" s="10" t="str">
        <f ca="1">IFERROR(__xludf.DUMMYFUNCTION("GOOGLEFINANCE(A1588,""PRICE"")"),"#N/A")</f>
        <v>#N/A</v>
      </c>
      <c r="C1588" s="11" t="str">
        <f ca="1">IFERROR(__xludf.DUMMYFUNCTION("GOOGLEFINANCE(A1588,""PRICEOPEN"")"),"#N/A")</f>
        <v>#N/A</v>
      </c>
      <c r="D1588" s="11" t="str">
        <f ca="1">IFERROR(__xludf.DUMMYFUNCTION("GOOGLEFINANCE(A1588,""HIGH"")"),"#N/A")</f>
        <v>#N/A</v>
      </c>
      <c r="E1588" s="11" t="str">
        <f ca="1">IFERROR(__xludf.DUMMYFUNCTION("GOOGLEFINANCE(A1588,""LOW"")"),"#N/A")</f>
        <v>#N/A</v>
      </c>
      <c r="F1588" s="12" t="str">
        <f t="shared" ca="1" si="49"/>
        <v>SELL</v>
      </c>
      <c r="G1588" s="13" t="str">
        <f ca="1">IFERROR(__xludf.DUMMYFUNCTION("GOOGLEFINANCE(A1588,""CLOSEYEST"")"),"#N/A")</f>
        <v>#N/A</v>
      </c>
      <c r="H1588" s="14" t="e">
        <f t="shared" ca="1" si="55"/>
        <v>#VALUE!</v>
      </c>
      <c r="I1588" s="15" t="e">
        <f t="shared" ca="1" si="50"/>
        <v>#VALUE!</v>
      </c>
      <c r="J1588" s="16" t="e">
        <f t="shared" ca="1" si="51"/>
        <v>#VALUE!</v>
      </c>
      <c r="K1588" s="16"/>
      <c r="L1588" s="16" t="e">
        <f t="shared" ca="1" si="52"/>
        <v>#VALUE!</v>
      </c>
      <c r="M1588" s="16" t="e">
        <f t="shared" ca="1" si="53"/>
        <v>#VALUE!</v>
      </c>
      <c r="N1588" s="16" t="e">
        <f t="shared" ca="1" si="54"/>
        <v>#VALUE!</v>
      </c>
    </row>
    <row r="1589" spans="1:14" ht="24.75" customHeight="1" x14ac:dyDescent="0.8">
      <c r="A1589" s="18" t="s">
        <v>1552</v>
      </c>
      <c r="B1589" s="10">
        <f ca="1">IFERROR(__xludf.DUMMYFUNCTION("GOOGLEFINANCE(A1589,""PRICE"")"),99.99)</f>
        <v>99.99</v>
      </c>
      <c r="C1589" s="11">
        <f ca="1">IFERROR(__xludf.DUMMYFUNCTION("GOOGLEFINANCE(A1589,""PRICEOPEN"")"),101.32)</f>
        <v>101.32</v>
      </c>
      <c r="D1589" s="11">
        <f ca="1">IFERROR(__xludf.DUMMYFUNCTION("GOOGLEFINANCE(A1589,""HIGH"")"),102.2)</f>
        <v>102.2</v>
      </c>
      <c r="E1589" s="11">
        <f ca="1">IFERROR(__xludf.DUMMYFUNCTION("GOOGLEFINANCE(A1589,""LOW"")"),99.6)</f>
        <v>99.6</v>
      </c>
      <c r="F1589" s="12" t="str">
        <f t="shared" ca="1" si="49"/>
        <v/>
      </c>
      <c r="G1589" s="13">
        <f ca="1">IFERROR(__xludf.DUMMYFUNCTION("GOOGLEFINANCE(A1589,""CLOSEYEST"")"),101.32)</f>
        <v>101.32</v>
      </c>
      <c r="H1589" s="14" t="str">
        <f t="shared" ca="1" si="55"/>
        <v/>
      </c>
      <c r="I1589" s="15">
        <f t="shared" ca="1" si="50"/>
        <v>101.04</v>
      </c>
      <c r="J1589" s="16">
        <f t="shared" ca="1" si="51"/>
        <v>102.48000000000002</v>
      </c>
      <c r="K1589" s="16"/>
      <c r="L1589" s="16">
        <f t="shared" ca="1" si="52"/>
        <v>99.88000000000001</v>
      </c>
      <c r="M1589" s="16">
        <f t="shared" ca="1" si="53"/>
        <v>103.64000000000001</v>
      </c>
      <c r="N1589" s="16">
        <f t="shared" ca="1" si="54"/>
        <v>98.44</v>
      </c>
    </row>
    <row r="1590" spans="1:14" ht="24.75" customHeight="1" x14ac:dyDescent="0.8">
      <c r="A1590" s="18" t="s">
        <v>1553</v>
      </c>
      <c r="B1590" s="10">
        <f ca="1">IFERROR(__xludf.DUMMYFUNCTION("GOOGLEFINANCE(A1590,""PRICE"")"),102)</f>
        <v>102</v>
      </c>
      <c r="C1590" s="11">
        <f ca="1">IFERROR(__xludf.DUMMYFUNCTION("GOOGLEFINANCE(A1590,""PRICEOPEN"")"),101.24)</f>
        <v>101.24</v>
      </c>
      <c r="D1590" s="11">
        <f ca="1">IFERROR(__xludf.DUMMYFUNCTION("GOOGLEFINANCE(A1590,""HIGH"")"),102.84)</f>
        <v>102.84</v>
      </c>
      <c r="E1590" s="11">
        <f ca="1">IFERROR(__xludf.DUMMYFUNCTION("GOOGLEFINANCE(A1590,""LOW"")"),101.05)</f>
        <v>101.05</v>
      </c>
      <c r="F1590" s="12" t="str">
        <f t="shared" ca="1" si="49"/>
        <v/>
      </c>
      <c r="G1590" s="13">
        <f ca="1">IFERROR(__xludf.DUMMYFUNCTION("GOOGLEFINANCE(A1590,""CLOSEYEST"")"),101.85)</f>
        <v>101.85</v>
      </c>
      <c r="H1590" s="14" t="str">
        <f t="shared" ca="1" si="55"/>
        <v/>
      </c>
      <c r="I1590" s="15">
        <f t="shared" ca="1" si="50"/>
        <v>101.91333333333334</v>
      </c>
      <c r="J1590" s="16">
        <f t="shared" ca="1" si="51"/>
        <v>102.77666666666669</v>
      </c>
      <c r="K1590" s="16"/>
      <c r="L1590" s="16">
        <f t="shared" ca="1" si="52"/>
        <v>100.98666666666668</v>
      </c>
      <c r="M1590" s="16">
        <f t="shared" ca="1" si="53"/>
        <v>103.70333333333335</v>
      </c>
      <c r="N1590" s="16">
        <f t="shared" ca="1" si="54"/>
        <v>100.12333333333333</v>
      </c>
    </row>
    <row r="1591" spans="1:14" ht="24.75" customHeight="1" x14ac:dyDescent="0.8">
      <c r="A1591" s="18" t="s">
        <v>1554</v>
      </c>
      <c r="B1591" s="10">
        <f ca="1">IFERROR(__xludf.DUMMYFUNCTION("GOOGLEFINANCE(A1591,""PRICE"")"),0.59)</f>
        <v>0.59</v>
      </c>
      <c r="C1591" s="11">
        <f ca="1">IFERROR(__xludf.DUMMYFUNCTION("GOOGLEFINANCE(A1591,""PRICEOPEN"")"),0.59)</f>
        <v>0.59</v>
      </c>
      <c r="D1591" s="11">
        <f ca="1">IFERROR(__xludf.DUMMYFUNCTION("GOOGLEFINANCE(A1591,""HIGH"")"),0.6)</f>
        <v>0.6</v>
      </c>
      <c r="E1591" s="11">
        <f ca="1">IFERROR(__xludf.DUMMYFUNCTION("GOOGLEFINANCE(A1591,""LOW"")"),0.58)</f>
        <v>0.57999999999999996</v>
      </c>
      <c r="F1591" s="12" t="str">
        <f t="shared" ca="1" si="49"/>
        <v/>
      </c>
      <c r="G1591" s="13">
        <f ca="1">IFERROR(__xludf.DUMMYFUNCTION("GOOGLEFINANCE(A1591,""CLOSEYEST"")"),0.59)</f>
        <v>0.59</v>
      </c>
      <c r="H1591" s="14" t="str">
        <f t="shared" ca="1" si="55"/>
        <v/>
      </c>
      <c r="I1591" s="15">
        <f t="shared" ca="1" si="50"/>
        <v>0.59</v>
      </c>
      <c r="J1591" s="16">
        <f t="shared" ca="1" si="51"/>
        <v>0.6</v>
      </c>
      <c r="K1591" s="16"/>
      <c r="L1591" s="16">
        <f t="shared" ca="1" si="52"/>
        <v>0.57999999999999996</v>
      </c>
      <c r="M1591" s="16">
        <f t="shared" ca="1" si="53"/>
        <v>0.61</v>
      </c>
      <c r="N1591" s="16">
        <f t="shared" ca="1" si="54"/>
        <v>0.56999999999999995</v>
      </c>
    </row>
    <row r="1592" spans="1:14" ht="24.75" customHeight="1" x14ac:dyDescent="0.8">
      <c r="A1592" s="18" t="s">
        <v>1555</v>
      </c>
      <c r="B1592" s="10">
        <f ca="1">IFERROR(__xludf.DUMMYFUNCTION("GOOGLEFINANCE(A1592,""PRICE"")"),1.22)</f>
        <v>1.22</v>
      </c>
      <c r="C1592" s="11">
        <f ca="1">IFERROR(__xludf.DUMMYFUNCTION("GOOGLEFINANCE(A1592,""PRICEOPEN"")"),1.18)</f>
        <v>1.18</v>
      </c>
      <c r="D1592" s="11">
        <f ca="1">IFERROR(__xludf.DUMMYFUNCTION("GOOGLEFINANCE(A1592,""HIGH"")"),1.29)</f>
        <v>1.29</v>
      </c>
      <c r="E1592" s="11">
        <f ca="1">IFERROR(__xludf.DUMMYFUNCTION("GOOGLEFINANCE(A1592,""LOW"")"),1.18)</f>
        <v>1.18</v>
      </c>
      <c r="F1592" s="12" t="str">
        <f t="shared" ca="1" si="49"/>
        <v>BUY</v>
      </c>
      <c r="G1592" s="13">
        <f ca="1">IFERROR(__xludf.DUMMYFUNCTION("GOOGLEFINANCE(A1592,""CLOSEYEST"")"),1.23)</f>
        <v>1.23</v>
      </c>
      <c r="H1592" s="14" t="str">
        <f t="shared" ca="1" si="55"/>
        <v>GAP DOWN</v>
      </c>
      <c r="I1592" s="15">
        <f t="shared" ca="1" si="50"/>
        <v>1.2333333333333332</v>
      </c>
      <c r="J1592" s="16">
        <f t="shared" ca="1" si="51"/>
        <v>1.2866666666666664</v>
      </c>
      <c r="K1592" s="16"/>
      <c r="L1592" s="16">
        <f t="shared" ca="1" si="52"/>
        <v>1.1766666666666663</v>
      </c>
      <c r="M1592" s="16">
        <f t="shared" ca="1" si="53"/>
        <v>1.3433333333333333</v>
      </c>
      <c r="N1592" s="16">
        <f t="shared" ca="1" si="54"/>
        <v>1.1233333333333331</v>
      </c>
    </row>
    <row r="1593" spans="1:14" ht="15.75" customHeight="1" x14ac:dyDescent="0.2">
      <c r="A1593" s="19"/>
    </row>
    <row r="1594" spans="1:14" ht="15.75" customHeight="1" x14ac:dyDescent="0.2">
      <c r="A1594" s="19"/>
    </row>
    <row r="1595" spans="1:14" ht="15.75" customHeight="1" x14ac:dyDescent="0.2">
      <c r="A1595" s="19"/>
    </row>
  </sheetData>
  <mergeCells count="1">
    <mergeCell ref="B1:N1"/>
  </mergeCells>
  <conditionalFormatting sqref="F2:F1592">
    <cfRule type="containsText" dxfId="5" priority="3" operator="containsText" text="BUY">
      <formula>NOT(ISERROR(SEARCH(("BUY"),(F2))))</formula>
    </cfRule>
    <cfRule type="containsText" dxfId="4" priority="4" operator="containsText" text="SELL">
      <formula>NOT(ISERROR(SEARCH(("SELL"),(F2))))</formula>
    </cfRule>
    <cfRule type="containsBlanks" dxfId="3" priority="5">
      <formula>LEN(TRIM(F2))=0</formula>
    </cfRule>
  </conditionalFormatting>
  <conditionalFormatting sqref="H2:H1592">
    <cfRule type="containsText" dxfId="2" priority="1" operator="containsText" text="GAP UP">
      <formula>NOT(ISERROR(SEARCH(("GAP UP"),(H2))))</formula>
    </cfRule>
    <cfRule type="containsText" dxfId="1" priority="2" operator="containsText" text="GAP DOWN">
      <formula>NOT(ISERROR(SEARCH(("GAP DOWN"),(H2))))</formula>
    </cfRule>
    <cfRule type="containsBlanks" dxfId="0" priority="6">
      <formula>LEN(TRIM(H2))=0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OHL Strategy</vt:lpstr>
      <vt:lpstr>Sheet2</vt:lpstr>
      <vt:lpstr>Copy of OHL Strategy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dcterms:created xsi:type="dcterms:W3CDTF">2025-09-12T11:11:05Z</dcterms:created>
</cp:coreProperties>
</file>